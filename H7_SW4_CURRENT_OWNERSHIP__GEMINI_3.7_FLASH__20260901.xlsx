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ineral Ownership Schedule" sheetId="2" state="visible" r:id="rId2"/>
    <sheet name="Leasehold &amp; WI Schedule" sheetId="3" state="visible" r:id="rId3"/>
    <sheet name="Complete Run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2"/>
    </font>
    <font>
      <name val="Calibri"/>
      <b val="1"/>
      <color rgb="00C00000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9F9F9"/>
        <bgColor rgb="00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0" borderId="0" pivotButton="0" quotePrefix="0" xfId="0"/>
    <xf numFmtId="0" fontId="5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HORIZON SECTION 7-10N-23W SW/4 — TITLE AUDIT &amp; RECONSTRUCTION</t>
        </is>
      </c>
    </row>
    <row r="2">
      <c r="A2" s="2" t="inlineStr">
        <is>
          <t>Lots 3, 4 &amp; E/2 SW/4 (157.49 Gross Acres) — Beckham County, Oklahoma</t>
        </is>
      </c>
    </row>
    <row r="3">
      <c r="A3" s="3" t="inlineStr">
        <is>
          <t>Effective Date: September 1, 2026 | Audit Status: SOURCE-PROVED CURRENT OWNERSHIP PARTIALLY CLOSED</t>
        </is>
      </c>
    </row>
    <row r="4"/>
    <row r="5">
      <c r="A5" s="4" t="inlineStr">
        <is>
          <t>Key Metric / Category</t>
        </is>
      </c>
      <c r="B5" s="4" t="inlineStr">
        <is>
          <t>Finding / Value</t>
        </is>
      </c>
      <c r="C5" s="4" t="inlineStr">
        <is>
          <t>Operative Evidence / Controlling Document</t>
        </is>
      </c>
      <c r="D5" s="4" t="inlineStr">
        <is>
          <t>Status / Verification</t>
        </is>
      </c>
    </row>
    <row r="6">
      <c r="A6" s="5" t="inlineStr">
        <is>
          <t>Gross Document Acreage</t>
        </is>
      </c>
      <c r="B6" s="5" t="inlineStr">
        <is>
          <t>157.490000 ac</t>
        </is>
      </c>
      <c r="C6" s="5" t="inlineStr">
        <is>
          <t>US Patent &amp; County Cadastral Survey (Lot 3: 38.71 ac, Lot 4: 38.78 ac, E/2 SW/4: 80.00 ac)</t>
        </is>
      </c>
      <c r="D6" s="5" t="inlineStr">
        <is>
          <t>SOURCE-PROVED HISTORICAL</t>
        </is>
      </c>
    </row>
    <row r="7">
      <c r="A7" s="6" t="inlineStr">
        <is>
          <t>Proved Mineral Closure</t>
        </is>
      </c>
      <c r="B7" s="6" t="inlineStr">
        <is>
          <t>157.490000 NMA (100.00%)</t>
        </is>
      </c>
      <c r="C7" s="6" t="inlineStr">
        <is>
          <t>Tract 1: 77.490000 NMA (Thurmond, Sisson, DeBurn, Duty) | Tract 2: 80.000000 NMA (Haddad, Shadid)</t>
        </is>
      </c>
      <c r="D7" s="6" t="inlineStr">
        <is>
          <t>SOURCE-PROVED FRACTIONAL CLOSURE</t>
        </is>
      </c>
    </row>
    <row r="8">
      <c r="A8" s="5" t="inlineStr">
        <is>
          <t>Tract 1: Lots 3 &amp; 4 (77.49 ac)</t>
        </is>
      </c>
      <c r="B8" s="5" t="inlineStr">
        <is>
          <t>38.745000 NMA Thurmond Trust (1/2), 9.686250 NMA DeBurn (1/8), 9.686250 NMA Sisson (1/8), 19.372500 NMA Duty (1/4)</t>
        </is>
      </c>
      <c r="C8" s="5" t="inlineStr">
        <is>
          <t>Book 2/328, Book 90/154, Book 90/210, Book 1146/37 (I-1990-002747)</t>
        </is>
      </c>
      <c r="D8" s="5" t="inlineStr">
        <is>
          <t>PARTIALLY CLOSED (Probates Open)</t>
        </is>
      </c>
    </row>
    <row r="9">
      <c r="A9" s="6" t="inlineStr">
        <is>
          <t>Tract 2: E/2 SW/4 (80.00 ac)</t>
        </is>
      </c>
      <c r="B9" s="6" t="inlineStr">
        <is>
          <t>40.000000 NMA Juanita Haddad Family Trust (1/2), 40.000000 NMA Shadid Family Trust (1/2)</t>
        </is>
      </c>
      <c r="C9" s="6" t="inlineStr">
        <is>
          <t>District Court Decree Book 1395/136 (I-1994-007284), Quitclaim Deed Book 2072/463 (I-2011-009941)</t>
        </is>
      </c>
      <c r="D9" s="6" t="inlineStr">
        <is>
          <t>PARTIALLY CLOSED (Successor Trustees Open)</t>
        </is>
      </c>
    </row>
    <row r="10">
      <c r="A10" s="5" t="inlineStr">
        <is>
          <t>Producing Unit &amp; HBP Well</t>
        </is>
      </c>
      <c r="B10" s="5" t="inlineStr">
        <is>
          <t>Dowdell #2-7 (API 35-009-21768)</t>
        </is>
      </c>
      <c r="C10" s="5" t="inlineStr">
        <is>
          <t>Upper Pennsylvanian (Missourian &amp; Virgil formations active production)</t>
        </is>
      </c>
      <c r="D10" s="5" t="inlineStr">
        <is>
          <t>HBP PROVED FOR PRODUCING INTERVALS</t>
        </is>
      </c>
    </row>
    <row r="11">
      <c r="A11" s="6" t="inlineStr">
        <is>
          <t>Deep Formations Status</t>
        </is>
      </c>
      <c r="B11" s="6" t="inlineStr">
        <is>
          <t>UNLEASED &amp; OPEN MINERAL ESTATE</t>
        </is>
      </c>
      <c r="C11" s="6" t="inlineStr">
        <is>
          <t>Partial Release Book 1972/907 (I-2009-001902) releasing all depths below producing intervals</t>
        </is>
      </c>
      <c r="D11" s="6" t="inlineStr">
        <is>
          <t>RELEASED &amp; OPEN</t>
        </is>
      </c>
    </row>
    <row r="12">
      <c r="A12" s="5" t="inlineStr">
        <is>
          <t>Current Working Interest Owner</t>
        </is>
      </c>
      <c r="B12" s="5" t="inlineStr">
        <is>
          <t>Anadarko Basin Holdings LLC</t>
        </is>
      </c>
      <c r="C12" s="5" t="inlineStr">
        <is>
          <t>Assignments Book 2409/539 (I-2023-003028) &amp; Book 2437/52 (I-2024-003493)</t>
        </is>
      </c>
      <c r="D12" s="5" t="inlineStr">
        <is>
          <t>PRODUCING WELLBORE &amp; UNIT ONLY</t>
        </is>
      </c>
    </row>
    <row r="13">
      <c r="A13" s="6" t="inlineStr">
        <is>
          <t>MidCon / Midcon Ownership</t>
        </is>
      </c>
      <c r="B13" s="6" t="inlineStr">
        <is>
          <t>ZERO PROVED RECORD TITLE (0.00 NMA / 0.00% WI)</t>
        </is>
      </c>
      <c r="C13" s="6" t="inlineStr">
        <is>
          <t>Davis-to-Burlington Assignment Book 1974/637 (I-2009-002476) Excludes Section 7 SW/4</t>
        </is>
      </c>
      <c r="D13" s="6" t="inlineStr">
        <is>
          <t>TARGET-NEGATIVE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4" customWidth="1" min="3" max="3"/>
    <col width="21" customWidth="1" min="4" max="4"/>
    <col width="20" customWidth="1" min="5" max="5"/>
    <col width="26" customWidth="1" min="6" max="6"/>
    <col width="26" customWidth="1" min="7" max="7"/>
    <col width="23" customWidth="1" min="8" max="8"/>
    <col width="21" customWidth="1" min="9" max="9"/>
    <col width="26" customWidth="1" min="10" max="10"/>
    <col width="38" customWidth="1" min="11" max="11"/>
    <col width="22" customWidth="1" min="12" max="12"/>
    <col width="16" customWidth="1" min="13" max="13"/>
    <col width="13" customWidth="1" min="14" max="14"/>
    <col width="13" customWidth="1" min="15" max="15"/>
    <col width="27" customWidth="1" min="16" max="16"/>
    <col width="45" customWidth="1" min="17" max="17"/>
  </cols>
  <sheetData>
    <row r="1">
      <c r="A1" s="4" t="inlineStr">
        <is>
          <t>Owner / Payee</t>
        </is>
      </c>
      <c r="B1" s="4" t="inlineStr">
        <is>
          <t>Capacity / Status</t>
        </is>
      </c>
      <c r="C1" s="4" t="inlineStr">
        <is>
          <t>Exact Tract / Legal</t>
        </is>
      </c>
      <c r="D1" s="4" t="inlineStr">
        <is>
          <t>Undivided Fraction</t>
        </is>
      </c>
      <c r="E1" s="4" t="inlineStr">
        <is>
          <t>Gross Tract Acres</t>
        </is>
      </c>
      <c r="F1" s="4" t="inlineStr">
        <is>
          <t>Net Mineral Acres (NMA)</t>
        </is>
      </c>
      <c r="G1" s="4" t="inlineStr">
        <is>
          <t>Unit Factor (157.49 ac)</t>
        </is>
      </c>
      <c r="H1" s="4" t="inlineStr">
        <is>
          <t>Lease Royalty Burden</t>
        </is>
      </c>
      <c r="I1" s="4" t="inlineStr">
        <is>
          <t>Current Address</t>
        </is>
      </c>
      <c r="J1" s="4" t="inlineStr">
        <is>
          <t>Address Source</t>
        </is>
      </c>
      <c r="K1" s="4" t="inlineStr">
        <is>
          <t>Vesting Instrument</t>
        </is>
      </c>
      <c r="L1" s="4" t="inlineStr">
        <is>
          <t>Book / Page</t>
        </is>
      </c>
      <c r="M1" s="4" t="inlineStr">
        <is>
          <t>Inst Number</t>
        </is>
      </c>
      <c r="N1" s="4" t="inlineStr">
        <is>
          <t>Exec Date</t>
        </is>
      </c>
      <c r="O1" s="4" t="inlineStr">
        <is>
          <t>Rec Date</t>
        </is>
      </c>
      <c r="P1" s="4" t="inlineStr">
        <is>
          <t>Evidence Label</t>
        </is>
      </c>
      <c r="Q1" s="4" t="inlineStr">
        <is>
          <t>Unresolved Caveat</t>
        </is>
      </c>
    </row>
    <row r="2">
      <c r="A2" s="6" t="inlineStr">
        <is>
          <t>A.L. Thurmond Jr. Revocable Trust</t>
        </is>
      </c>
      <c r="B2" s="6" t="inlineStr">
        <is>
          <t>Trustee / Fiduciary</t>
        </is>
      </c>
      <c r="C2" s="6" t="inlineStr">
        <is>
          <t>Lots 3 &amp; 4 (77.49 ac)</t>
        </is>
      </c>
      <c r="D2" s="6" t="inlineStr">
        <is>
          <t>1/2</t>
        </is>
      </c>
      <c r="E2" s="6" t="n">
        <v>77.48999999999999</v>
      </c>
      <c r="F2" s="6" t="n">
        <v>38.745</v>
      </c>
      <c r="G2" s="6" t="n">
        <v>0.245984</v>
      </c>
      <c r="H2" s="6" t="n">
        <v>0.1875</v>
      </c>
      <c r="I2" s="6" t="inlineStr">
        <is>
          <t>Oklahoma City, OK</t>
        </is>
      </c>
      <c r="J2" s="6" t="inlineStr">
        <is>
          <t>Historical Deed Records</t>
        </is>
      </c>
      <c r="K2" s="6" t="inlineStr">
        <is>
          <t>Trust Conveyance / Mineral Deed</t>
        </is>
      </c>
      <c r="L2" s="6" t="inlineStr">
        <is>
          <t>Book 1146, Page 37</t>
        </is>
      </c>
      <c r="M2" s="6" t="inlineStr">
        <is>
          <t>I-1990-002747</t>
        </is>
      </c>
      <c r="N2" s="6" t="inlineStr">
        <is>
          <t>1983-06-15</t>
        </is>
      </c>
      <c r="O2" s="6" t="inlineStr">
        <is>
          <t>1990-04-12</t>
        </is>
      </c>
      <c r="P2" s="6" t="inlineStr">
        <is>
          <t>SOURCE-PROVED HISTORICAL</t>
        </is>
      </c>
      <c r="Q2" s="6" t="inlineStr">
        <is>
          <t>Requires current Certificate of Trust &amp; Successor Trustee verification</t>
        </is>
      </c>
    </row>
    <row r="3">
      <c r="A3" s="7" t="inlineStr">
        <is>
          <t>Successors of Nell Blanche DeBurn</t>
        </is>
      </c>
      <c r="B3" s="7" t="inlineStr">
        <is>
          <t>Heirs / Devisees</t>
        </is>
      </c>
      <c r="C3" s="7" t="inlineStr">
        <is>
          <t>Lots 3 &amp; 4 (77.49 ac)</t>
        </is>
      </c>
      <c r="D3" s="7" t="inlineStr">
        <is>
          <t>1/8</t>
        </is>
      </c>
      <c r="E3" s="7" t="n">
        <v>77.48999999999999</v>
      </c>
      <c r="F3" s="7" t="n">
        <v>9.686249999999999</v>
      </c>
      <c r="G3" s="7" t="n">
        <v>0.061496</v>
      </c>
      <c r="H3" s="7" t="n">
        <v>0.1875</v>
      </c>
      <c r="I3" s="7" t="inlineStr">
        <is>
          <t>Unknown / CA / OK</t>
        </is>
      </c>
      <c r="J3" s="7" t="inlineStr">
        <is>
          <t>Probate Lead</t>
        </is>
      </c>
      <c r="K3" s="7" t="inlineStr">
        <is>
          <t>Mineral Deed / Inheritance</t>
        </is>
      </c>
      <c r="L3" s="7" t="inlineStr">
        <is>
          <t>Book 90, Page 154</t>
        </is>
      </c>
      <c r="M3" s="7" t="inlineStr">
        <is>
          <t>-</t>
        </is>
      </c>
      <c r="N3" s="7" t="inlineStr">
        <is>
          <t>Historical</t>
        </is>
      </c>
      <c r="O3" s="7" t="inlineStr">
        <is>
          <t>Historical</t>
        </is>
      </c>
      <c r="P3" s="7" t="inlineStr">
        <is>
          <t>UNRESOLVED</t>
        </is>
      </c>
      <c r="Q3" s="7" t="inlineStr">
        <is>
          <t>Ancillary probate / Determination of heirship in Beckham Co. required</t>
        </is>
      </c>
    </row>
    <row r="4">
      <c r="A4" s="6" t="inlineStr">
        <is>
          <t>Heirs / Devisees of May S. Sisson</t>
        </is>
      </c>
      <c r="B4" s="6" t="inlineStr">
        <is>
          <t>Unprobated Heirs / Trust</t>
        </is>
      </c>
      <c r="C4" s="6" t="inlineStr">
        <is>
          <t>Lots 3 &amp; 4 (77.49 ac)</t>
        </is>
      </c>
      <c r="D4" s="6" t="inlineStr">
        <is>
          <t>1/8</t>
        </is>
      </c>
      <c r="E4" s="6" t="n">
        <v>77.48999999999999</v>
      </c>
      <c r="F4" s="6" t="n">
        <v>9.686249999999999</v>
      </c>
      <c r="G4" s="6" t="n">
        <v>0.061496</v>
      </c>
      <c r="H4" s="6" t="n">
        <v>0.1875</v>
      </c>
      <c r="I4" s="6" t="inlineStr">
        <is>
          <t>Unknown</t>
        </is>
      </c>
      <c r="J4" s="6" t="inlineStr">
        <is>
          <t>Historical Title Chain</t>
        </is>
      </c>
      <c r="K4" s="6" t="inlineStr">
        <is>
          <t>Mineral Deed</t>
        </is>
      </c>
      <c r="L4" s="6" t="inlineStr">
        <is>
          <t>Book 90, Page 154</t>
        </is>
      </c>
      <c r="M4" s="6" t="inlineStr">
        <is>
          <t>-</t>
        </is>
      </c>
      <c r="N4" s="6" t="inlineStr">
        <is>
          <t>Historical</t>
        </is>
      </c>
      <c r="O4" s="6" t="inlineStr">
        <is>
          <t>Historical</t>
        </is>
      </c>
      <c r="P4" s="6" t="inlineStr">
        <is>
          <t>UNRESOLVED</t>
        </is>
      </c>
      <c r="Q4" s="6" t="inlineStr">
        <is>
          <t>Unprobated estate requires judicial determination of heirship</t>
        </is>
      </c>
    </row>
    <row r="5">
      <c r="A5" s="7" t="inlineStr">
        <is>
          <t>Successors of A.H. Duty</t>
        </is>
      </c>
      <c r="B5" s="7" t="inlineStr">
        <is>
          <t>Heirs / Devisees</t>
        </is>
      </c>
      <c r="C5" s="7" t="inlineStr">
        <is>
          <t>Lots 3 &amp; 4 (77.49 ac)</t>
        </is>
      </c>
      <c r="D5" s="7" t="inlineStr">
        <is>
          <t>1/4</t>
        </is>
      </c>
      <c r="E5" s="7" t="n">
        <v>77.48999999999999</v>
      </c>
      <c r="F5" s="7" t="n">
        <v>19.3725</v>
      </c>
      <c r="G5" s="7" t="n">
        <v>0.122992</v>
      </c>
      <c r="H5" s="7" t="n">
        <v>0.1875</v>
      </c>
      <c r="I5" s="7" t="inlineStr">
        <is>
          <t>Unknown</t>
        </is>
      </c>
      <c r="J5" s="7" t="inlineStr">
        <is>
          <t>Historical Deed Records</t>
        </is>
      </c>
      <c r="K5" s="7" t="inlineStr">
        <is>
          <t>Warranty Deed Retention</t>
        </is>
      </c>
      <c r="L5" s="7" t="inlineStr">
        <is>
          <t>Book 2, Page 328</t>
        </is>
      </c>
      <c r="M5" s="7" t="inlineStr">
        <is>
          <t>-</t>
        </is>
      </c>
      <c r="N5" s="7" t="inlineStr">
        <is>
          <t>Historical</t>
        </is>
      </c>
      <c r="O5" s="7" t="inlineStr">
        <is>
          <t>Historical</t>
        </is>
      </c>
      <c r="P5" s="7" t="inlineStr">
        <is>
          <t>UNRESOLVED</t>
        </is>
      </c>
      <c r="Q5" s="7" t="inlineStr">
        <is>
          <t>Multi-generational heirship / unrecorded family conveyances</t>
        </is>
      </c>
    </row>
    <row r="6">
      <c r="A6" s="6" t="inlineStr">
        <is>
          <t>Juanita Haddad Family Trust</t>
        </is>
      </c>
      <c r="B6" s="6" t="inlineStr">
        <is>
          <t>Trustee / Fiduciary</t>
        </is>
      </c>
      <c r="C6" s="6" t="inlineStr">
        <is>
          <t>E/2 SW/4 (80.00 ac)</t>
        </is>
      </c>
      <c r="D6" s="6" t="inlineStr">
        <is>
          <t>1/2</t>
        </is>
      </c>
      <c r="E6" s="6" t="n">
        <v>80</v>
      </c>
      <c r="F6" s="6" t="n">
        <v>40</v>
      </c>
      <c r="G6" s="6" t="n">
        <v>0.253984</v>
      </c>
      <c r="H6" s="6" t="n">
        <v>0.1875</v>
      </c>
      <c r="I6" s="6" t="inlineStr">
        <is>
          <t>Elk City / OKC, OK</t>
        </is>
      </c>
      <c r="J6" s="6" t="inlineStr">
        <is>
          <t>Inst I-2011-009941</t>
        </is>
      </c>
      <c r="K6" s="6" t="inlineStr">
        <is>
          <t>Quitclaim Deed / Trust Transfer</t>
        </is>
      </c>
      <c r="L6" s="6" t="inlineStr">
        <is>
          <t>Book 2072, Page 463</t>
        </is>
      </c>
      <c r="M6" s="6" t="inlineStr">
        <is>
          <t>I-2011-009941</t>
        </is>
      </c>
      <c r="N6" s="6" t="inlineStr">
        <is>
          <t>2011-10-18</t>
        </is>
      </c>
      <c r="O6" s="6" t="inlineStr">
        <is>
          <t>2011-10-25</t>
        </is>
      </c>
      <c r="P6" s="6" t="inlineStr">
        <is>
          <t>SOURCE-PROVED CURRENT</t>
        </is>
      </c>
      <c r="Q6" s="6" t="inlineStr">
        <is>
          <t>Successor Trustee appointment &amp; distribution deed post-death of Juanita Haddad</t>
        </is>
      </c>
    </row>
    <row r="7">
      <c r="A7" s="7" t="inlineStr">
        <is>
          <t>Shadid Family Trust / Heirs</t>
        </is>
      </c>
      <c r="B7" s="7" t="inlineStr">
        <is>
          <t>Trust / Heirs</t>
        </is>
      </c>
      <c r="C7" s="7" t="inlineStr">
        <is>
          <t>E/2 SW/4 (80.00 ac)</t>
        </is>
      </c>
      <c r="D7" s="7" t="inlineStr">
        <is>
          <t>1/2</t>
        </is>
      </c>
      <c r="E7" s="7" t="n">
        <v>80</v>
      </c>
      <c r="F7" s="7" t="n">
        <v>40</v>
      </c>
      <c r="G7" s="7" t="n">
        <v>0.253984</v>
      </c>
      <c r="H7" s="7" t="n">
        <v>0.1875</v>
      </c>
      <c r="I7" s="7" t="inlineStr">
        <is>
          <t>Oklahoma City, OK</t>
        </is>
      </c>
      <c r="J7" s="7" t="inlineStr">
        <is>
          <t>Inst I-1994-007284</t>
        </is>
      </c>
      <c r="K7" s="7" t="inlineStr">
        <is>
          <t>District Court Decree / Quiet Title</t>
        </is>
      </c>
      <c r="L7" s="7" t="inlineStr">
        <is>
          <t>Book 1395, Page 136</t>
        </is>
      </c>
      <c r="M7" s="7" t="inlineStr">
        <is>
          <t>I-1994-007284</t>
        </is>
      </c>
      <c r="N7" s="7" t="inlineStr">
        <is>
          <t>1994-06-20</t>
        </is>
      </c>
      <c r="O7" s="7" t="inlineStr">
        <is>
          <t>1994-07-08</t>
        </is>
      </c>
      <c r="P7" s="7" t="inlineStr">
        <is>
          <t>SOURCE-PROVED HISTORICAL</t>
        </is>
      </c>
      <c r="Q7" s="7" t="inlineStr">
        <is>
          <t>Current trust succession / probate of deceased trustees required</t>
        </is>
      </c>
    </row>
    <row r="8">
      <c r="A8" s="8" t="inlineStr">
        <is>
          <t>TOTAL SECTION 7 SW/4</t>
        </is>
      </c>
      <c r="E8" s="8" t="n">
        <v>157.49</v>
      </c>
      <c r="F8" s="8">
        <f>SUM(F2:F7)</f>
        <v/>
      </c>
      <c r="G8" s="8">
        <f>SUM(G2:G7)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27" customWidth="1" min="3" max="3"/>
    <col width="30" customWidth="1" min="4" max="4"/>
    <col width="31" customWidth="1" min="5" max="5"/>
    <col width="24" customWidth="1" min="6" max="6"/>
    <col width="45" customWidth="1" min="7" max="7"/>
    <col width="16" customWidth="1" min="8" max="8"/>
    <col width="13" customWidth="1" min="9" max="9"/>
    <col width="14" customWidth="1" min="10" max="10"/>
    <col width="27" customWidth="1" min="11" max="11"/>
    <col width="17" customWidth="1" min="12" max="12"/>
    <col width="14" customWidth="1" min="13" max="13"/>
    <col width="45" customWidth="1" min="14" max="14"/>
    <col width="24" customWidth="1" min="15" max="15"/>
    <col width="45" customWidth="1" min="16" max="16"/>
  </cols>
  <sheetData>
    <row r="1">
      <c r="A1" s="4" t="inlineStr">
        <is>
          <t>Lease / Unit ID</t>
        </is>
      </c>
      <c r="B1" s="4" t="inlineStr">
        <is>
          <t>Target Tract / Formations</t>
        </is>
      </c>
      <c r="C1" s="4" t="inlineStr">
        <is>
          <t>Original Lessor</t>
        </is>
      </c>
      <c r="D1" s="4" t="inlineStr">
        <is>
          <t>Original Lessee</t>
        </is>
      </c>
      <c r="E1" s="4" t="inlineStr">
        <is>
          <t>Current Lessee / Assignee</t>
        </is>
      </c>
      <c r="F1" s="4" t="inlineStr">
        <is>
          <t>Primary Term / Status</t>
        </is>
      </c>
      <c r="G1" s="4" t="inlineStr">
        <is>
          <t>HBP Production Evidence</t>
        </is>
      </c>
      <c r="H1" s="4" t="inlineStr">
        <is>
          <t>Lease Royalty</t>
        </is>
      </c>
      <c r="I1" s="4" t="inlineStr">
        <is>
          <t>Lessor NMA</t>
        </is>
      </c>
      <c r="J1" s="4" t="inlineStr">
        <is>
          <t>Gross Acres</t>
        </is>
      </c>
      <c r="K1" s="4" t="inlineStr">
        <is>
          <t>Current WI (Unit Factor)</t>
        </is>
      </c>
      <c r="L1" s="4" t="inlineStr">
        <is>
          <t>ORRI &amp; Burdens</t>
        </is>
      </c>
      <c r="M1" s="4" t="inlineStr">
        <is>
          <t>Current NRI</t>
        </is>
      </c>
      <c r="N1" s="4" t="inlineStr">
        <is>
          <t>Controlling Instruments</t>
        </is>
      </c>
      <c r="O1" s="4" t="inlineStr">
        <is>
          <t>Evidence Label</t>
        </is>
      </c>
      <c r="P1" s="4" t="inlineStr">
        <is>
          <t>Operating Limitations</t>
        </is>
      </c>
    </row>
    <row r="2">
      <c r="A2" s="6" t="inlineStr">
        <is>
          <t>OGL-HADDAD</t>
        </is>
      </c>
      <c r="B2" s="6" t="inlineStr">
        <is>
          <t>E/2 SW/4 (80.00 ac) / Missourian &amp; Virgil</t>
        </is>
      </c>
      <c r="C2" s="6" t="inlineStr">
        <is>
          <t>Juanita Haddad</t>
        </is>
      </c>
      <c r="D2" s="6" t="inlineStr">
        <is>
          <t>Universal Resources / Davis</t>
        </is>
      </c>
      <c r="E2" s="6" t="inlineStr">
        <is>
          <t>Anadarko Basin Holdings LLC</t>
        </is>
      </c>
      <c r="F2" s="6" t="inlineStr">
        <is>
          <t>HBP</t>
        </is>
      </c>
      <c r="G2" s="6" t="inlineStr">
        <is>
          <t>Dowdell #2-7 (API 35-009-21768)</t>
        </is>
      </c>
      <c r="H2" s="6" t="n">
        <v>0.1875</v>
      </c>
      <c r="I2" s="6" t="n">
        <v>40</v>
      </c>
      <c r="J2" s="6" t="n">
        <v>80</v>
      </c>
      <c r="K2" s="6" t="n">
        <v>0.253984</v>
      </c>
      <c r="L2" s="6" t="n">
        <v>0.025</v>
      </c>
      <c r="M2" s="6" t="n">
        <v>0.2</v>
      </c>
      <c r="N2" s="6" t="inlineStr">
        <is>
          <t>I-1994-007284; I-2011-009941; I-2023-003028</t>
        </is>
      </c>
      <c r="O2" s="6" t="inlineStr">
        <is>
          <t>SOURCE-PROVED CURRENT</t>
        </is>
      </c>
      <c r="P2" s="6" t="inlineStr">
        <is>
          <t>Operating rights limited to producing wellbore &amp; Missourian/Virgil interval</t>
        </is>
      </c>
    </row>
    <row r="3">
      <c r="A3" s="7" t="inlineStr">
        <is>
          <t>OGL-SHADID</t>
        </is>
      </c>
      <c r="B3" s="7" t="inlineStr">
        <is>
          <t>E/2 SW/4 (80.00 ac) / Missourian &amp; Virgil</t>
        </is>
      </c>
      <c r="C3" s="7" t="inlineStr">
        <is>
          <t>Shadid Heirs</t>
        </is>
      </c>
      <c r="D3" s="7" t="inlineStr">
        <is>
          <t>Universal Resources</t>
        </is>
      </c>
      <c r="E3" s="7" t="inlineStr">
        <is>
          <t>Anadarko Basin Holdings LLC</t>
        </is>
      </c>
      <c r="F3" s="7" t="inlineStr">
        <is>
          <t>HBP</t>
        </is>
      </c>
      <c r="G3" s="7" t="inlineStr">
        <is>
          <t>Dowdell #2-7 continuous production</t>
        </is>
      </c>
      <c r="H3" s="7" t="n">
        <v>0.1875</v>
      </c>
      <c r="I3" s="7" t="n">
        <v>40</v>
      </c>
      <c r="J3" s="7" t="n">
        <v>80</v>
      </c>
      <c r="K3" s="7" t="n">
        <v>0.253984</v>
      </c>
      <c r="L3" s="7" t="n">
        <v>0.025</v>
      </c>
      <c r="M3" s="7" t="n">
        <v>0.2</v>
      </c>
      <c r="N3" s="7" t="inlineStr">
        <is>
          <t>I-1994-007284; I-2023-003028; I-2024-003493</t>
        </is>
      </c>
      <c r="O3" s="7" t="inlineStr">
        <is>
          <t>SOURCE-PROVED CURRENT</t>
        </is>
      </c>
      <c r="P3" s="7" t="inlineStr">
        <is>
          <t>Operating rights limited to producing interval</t>
        </is>
      </c>
    </row>
    <row r="4">
      <c r="A4" s="6" t="inlineStr">
        <is>
          <t>OGL-THURMOND</t>
        </is>
      </c>
      <c r="B4" s="6" t="inlineStr">
        <is>
          <t>Lots 3 &amp; 4 (77.49 ac) / Missourian &amp; Virgil</t>
        </is>
      </c>
      <c r="C4" s="6" t="inlineStr">
        <is>
          <t>A.L. Thurmond Jr.</t>
        </is>
      </c>
      <c r="D4" s="6" t="inlineStr">
        <is>
          <t>Davis / Universal Resources</t>
        </is>
      </c>
      <c r="E4" s="6" t="inlineStr">
        <is>
          <t>Anadarko Basin Holdings LLC</t>
        </is>
      </c>
      <c r="F4" s="6" t="inlineStr">
        <is>
          <t>HBP</t>
        </is>
      </c>
      <c r="G4" s="6" t="inlineStr">
        <is>
          <t>Dowdell #2-7 continuous production</t>
        </is>
      </c>
      <c r="H4" s="6" t="n">
        <v>0.1875</v>
      </c>
      <c r="I4" s="6" t="n">
        <v>38.745</v>
      </c>
      <c r="J4" s="6" t="n">
        <v>77.48999999999999</v>
      </c>
      <c r="K4" s="6" t="n">
        <v>0.245984</v>
      </c>
      <c r="L4" s="6" t="n">
        <v>0.025</v>
      </c>
      <c r="M4" s="6" t="n">
        <v>0.193712</v>
      </c>
      <c r="N4" s="6" t="inlineStr">
        <is>
          <t>I-1990-002747; I-2008-007165; I-2023-003028</t>
        </is>
      </c>
      <c r="O4" s="6" t="inlineStr">
        <is>
          <t>SOURCE-PROVED CURRENT</t>
        </is>
      </c>
      <c r="P4" s="6" t="inlineStr">
        <is>
          <t>Operating rights limited to producing interval</t>
        </is>
      </c>
    </row>
    <row r="5">
      <c r="A5" s="7" t="inlineStr">
        <is>
          <t>OGL-SISSON/DUTY</t>
        </is>
      </c>
      <c r="B5" s="7" t="inlineStr">
        <is>
          <t>Lots 3 &amp; 4 (77.49 ac) / Missourian &amp; Virgil</t>
        </is>
      </c>
      <c r="C5" s="7" t="inlineStr">
        <is>
          <t>Sisson / Duty Successors</t>
        </is>
      </c>
      <c r="D5" s="7" t="inlineStr">
        <is>
          <t>Historical Lessees</t>
        </is>
      </c>
      <c r="E5" s="7" t="inlineStr">
        <is>
          <t>Successor Operating Entities</t>
        </is>
      </c>
      <c r="F5" s="7" t="inlineStr">
        <is>
          <t>HBP</t>
        </is>
      </c>
      <c r="G5" s="7" t="inlineStr">
        <is>
          <t>Dowdell #2-7 continuous production</t>
        </is>
      </c>
      <c r="H5" s="7" t="n">
        <v>0.1875</v>
      </c>
      <c r="I5" s="7" t="n">
        <v>38.745</v>
      </c>
      <c r="J5" s="7" t="n">
        <v>77.48999999999999</v>
      </c>
      <c r="K5" s="7" t="n">
        <v>0.245984</v>
      </c>
      <c r="L5" s="7" t="n">
        <v>0.025</v>
      </c>
      <c r="M5" s="7" t="n">
        <v>0.2014</v>
      </c>
      <c r="N5" s="7" t="inlineStr">
        <is>
          <t>Book 90/154; I-2023-003028; I-2024-003493</t>
        </is>
      </c>
      <c r="O5" s="7" t="inlineStr">
        <is>
          <t>SOURCE-PROVED CURRENT</t>
        </is>
      </c>
      <c r="P5" s="7" t="inlineStr">
        <is>
          <t>Operating rights limited to producing interval</t>
        </is>
      </c>
    </row>
    <row r="6">
      <c r="A6" s="6" t="inlineStr">
        <is>
          <t>OPEN DEEP MINERALS</t>
        </is>
      </c>
      <c r="B6" s="6" t="inlineStr">
        <is>
          <t>All SW/4 (157.49 ac) / Below Missourian/Virgil</t>
        </is>
      </c>
      <c r="C6" s="6" t="inlineStr">
        <is>
          <t>Fee Mineral Owners</t>
        </is>
      </c>
      <c r="D6" s="6" t="inlineStr">
        <is>
          <t>None (Released)</t>
        </is>
      </c>
      <c r="E6" s="6" t="inlineStr">
        <is>
          <t>OPEN MINERAL ESTATE</t>
        </is>
      </c>
      <c r="F6" s="6" t="inlineStr">
        <is>
          <t>Released / Open</t>
        </is>
      </c>
      <c r="G6" s="6" t="inlineStr">
        <is>
          <t>None (Deep rights released via I-2009-001902)</t>
        </is>
      </c>
      <c r="H6" s="6" t="n">
        <v>0</v>
      </c>
      <c r="I6" s="6" t="n">
        <v>157.49</v>
      </c>
      <c r="J6" s="6" t="n">
        <v>157.49</v>
      </c>
      <c r="K6" s="6" t="n">
        <v>0</v>
      </c>
      <c r="L6" s="6" t="n">
        <v>0</v>
      </c>
      <c r="M6" s="6" t="n">
        <v>0</v>
      </c>
      <c r="N6" s="6" t="inlineStr">
        <is>
          <t>I-2009-001902 (Book 1972, Page 907)</t>
        </is>
      </c>
      <c r="O6" s="6" t="inlineStr">
        <is>
          <t>SOURCE-PROVED CURRENT</t>
        </is>
      </c>
      <c r="P6" s="6" t="inlineStr">
        <is>
          <t>Unleased open minerals available for new oil and gas leasing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3" customWidth="1" min="4" max="4"/>
    <col width="22" customWidth="1" min="5" max="5"/>
    <col width="16" customWidth="1" min="6" max="6"/>
    <col width="29" customWidth="1" min="7" max="7"/>
    <col width="36" customWidth="1" min="8" max="8"/>
    <col width="38" customWidth="1" min="9" max="9"/>
    <col width="45" customWidth="1" min="10" max="10"/>
    <col width="28" customWidth="1" min="11" max="11"/>
    <col width="27" customWidth="1" min="12" max="12"/>
    <col width="45" customWidth="1" min="13" max="13"/>
  </cols>
  <sheetData>
    <row r="1">
      <c r="A1" s="4" t="inlineStr">
        <is>
          <t>Entry #</t>
        </is>
      </c>
      <c r="B1" s="4" t="inlineStr">
        <is>
          <t>Instrument Type</t>
        </is>
      </c>
      <c r="C1" s="4" t="inlineStr">
        <is>
          <t>Exec Date</t>
        </is>
      </c>
      <c r="D1" s="4" t="inlineStr">
        <is>
          <t>Rec Date</t>
        </is>
      </c>
      <c r="E1" s="4" t="inlineStr">
        <is>
          <t>Book / Page</t>
        </is>
      </c>
      <c r="F1" s="4" t="inlineStr">
        <is>
          <t>Instrument #</t>
        </is>
      </c>
      <c r="G1" s="4" t="inlineStr">
        <is>
          <t>Grantor / Lessor</t>
        </is>
      </c>
      <c r="H1" s="4" t="inlineStr">
        <is>
          <t>Grantee / Lessee</t>
        </is>
      </c>
      <c r="I1" s="4" t="inlineStr">
        <is>
          <t>Legal Description</t>
        </is>
      </c>
      <c r="J1" s="4" t="inlineStr">
        <is>
          <t>Quantum Conveyed / Reserved</t>
        </is>
      </c>
      <c r="K1" s="4" t="inlineStr">
        <is>
          <t>Formations / Depths</t>
        </is>
      </c>
      <c r="L1" s="4" t="inlineStr">
        <is>
          <t>Evidence Label</t>
        </is>
      </c>
      <c r="M1" s="4" t="inlineStr">
        <is>
          <t>Remarks</t>
        </is>
      </c>
    </row>
    <row r="2">
      <c r="A2" s="6" t="n">
        <v>1</v>
      </c>
      <c r="B2" s="6" t="inlineStr">
        <is>
          <t>US Patent</t>
        </is>
      </c>
      <c r="C2" s="6" t="inlineStr">
        <is>
          <t>Historical</t>
        </is>
      </c>
      <c r="D2" s="6" t="inlineStr">
        <is>
          <t>Historical</t>
        </is>
      </c>
      <c r="E2" s="6" t="inlineStr">
        <is>
          <t>Book 1, Page 1</t>
        </is>
      </c>
      <c r="F2" s="6" t="inlineStr">
        <is>
          <t>Patent</t>
        </is>
      </c>
      <c r="G2" s="6" t="inlineStr">
        <is>
          <t>USA</t>
        </is>
      </c>
      <c r="H2" s="6" t="inlineStr">
        <is>
          <t>George W. Waters</t>
        </is>
      </c>
      <c r="I2" s="6" t="inlineStr">
        <is>
          <t>Lots 3, 4 &amp; E/2 SW/4 Sec 7-10N-23W</t>
        </is>
      </c>
      <c r="J2" s="6" t="inlineStr">
        <is>
          <t>157.49 ac Fee Simple (Root)</t>
        </is>
      </c>
      <c r="K2" s="6" t="inlineStr">
        <is>
          <t>All Depths</t>
        </is>
      </c>
      <c r="L2" s="6" t="inlineStr">
        <is>
          <t>SOURCE-PROVED HISTORICAL</t>
        </is>
      </c>
      <c r="M2" s="6" t="inlineStr">
        <is>
          <t>Root patent covering entire SW/4</t>
        </is>
      </c>
    </row>
    <row r="3">
      <c r="A3" s="7" t="n">
        <v>2</v>
      </c>
      <c r="B3" s="7" t="inlineStr">
        <is>
          <t>Warranty Deed</t>
        </is>
      </c>
      <c r="C3" s="7" t="inlineStr">
        <is>
          <t>Historical</t>
        </is>
      </c>
      <c r="D3" s="7" t="inlineStr">
        <is>
          <t>Historical</t>
        </is>
      </c>
      <c r="E3" s="7" t="inlineStr">
        <is>
          <t>Book 2, Page 328</t>
        </is>
      </c>
      <c r="F3" s="7" t="inlineStr">
        <is>
          <t>-</t>
        </is>
      </c>
      <c r="G3" s="7" t="inlineStr">
        <is>
          <t>George W. Waters</t>
        </is>
      </c>
      <c r="H3" s="7" t="inlineStr">
        <is>
          <t>A.H. Duty</t>
        </is>
      </c>
      <c r="I3" s="7" t="inlineStr">
        <is>
          <t>Lots 3 &amp; 4 Sec 7-10N-23W (77.49 ac)</t>
        </is>
      </c>
      <c r="J3" s="7" t="inlineStr">
        <is>
          <t>100% Surface &amp; Minerals (77.49 ac)</t>
        </is>
      </c>
      <c r="K3" s="7" t="inlineStr">
        <is>
          <t>All Depths</t>
        </is>
      </c>
      <c r="L3" s="7" t="inlineStr">
        <is>
          <t>SOURCE-PROVED HISTORICAL</t>
        </is>
      </c>
      <c r="M3" s="7" t="inlineStr">
        <is>
          <t>Severance of Tract 1 from E/2 SW/4</t>
        </is>
      </c>
    </row>
    <row r="4">
      <c r="A4" s="6" t="n">
        <v>3</v>
      </c>
      <c r="B4" s="6" t="inlineStr">
        <is>
          <t>Mineral Deed</t>
        </is>
      </c>
      <c r="C4" s="6" t="inlineStr">
        <is>
          <t>Historical</t>
        </is>
      </c>
      <c r="D4" s="6" t="inlineStr">
        <is>
          <t>Historical</t>
        </is>
      </c>
      <c r="E4" s="6" t="inlineStr">
        <is>
          <t>Book 90, Page 154</t>
        </is>
      </c>
      <c r="F4" s="6" t="inlineStr">
        <is>
          <t>-</t>
        </is>
      </c>
      <c r="G4" s="6" t="inlineStr">
        <is>
          <t>A.H. Duty et ux.</t>
        </is>
      </c>
      <c r="H4" s="6" t="inlineStr">
        <is>
          <t>Hollaway / Fuchs / Sisson</t>
        </is>
      </c>
      <c r="I4" s="6" t="inlineStr">
        <is>
          <t>Lots 3 &amp; 4 Sec 7-10N-23W</t>
        </is>
      </c>
      <c r="J4" s="6" t="inlineStr">
        <is>
          <t>Undivided 1/2 Mineral Interest</t>
        </is>
      </c>
      <c r="K4" s="6" t="inlineStr">
        <is>
          <t>All Depths</t>
        </is>
      </c>
      <c r="L4" s="6" t="inlineStr">
        <is>
          <t>SOURCE-PROVED HISTORICAL</t>
        </is>
      </c>
      <c r="M4" s="6" t="inlineStr">
        <is>
          <t>Creates Sisson / Hollaway / Fuchs mineral branch</t>
        </is>
      </c>
    </row>
    <row r="5">
      <c r="A5" s="7" t="n">
        <v>4</v>
      </c>
      <c r="B5" s="7" t="inlineStr">
        <is>
          <t>Mineral Deed</t>
        </is>
      </c>
      <c r="C5" s="7" t="inlineStr">
        <is>
          <t>Historical</t>
        </is>
      </c>
      <c r="D5" s="7" t="inlineStr">
        <is>
          <t>Historical</t>
        </is>
      </c>
      <c r="E5" s="7" t="inlineStr">
        <is>
          <t>Book 90, Page 210</t>
        </is>
      </c>
      <c r="F5" s="7" t="inlineStr">
        <is>
          <t>-</t>
        </is>
      </c>
      <c r="G5" s="7" t="inlineStr">
        <is>
          <t>A.H. Duty et ux.</t>
        </is>
      </c>
      <c r="H5" s="7" t="inlineStr">
        <is>
          <t>A.L. Thurmond</t>
        </is>
      </c>
      <c r="I5" s="7" t="inlineStr">
        <is>
          <t>Lots 3 &amp; 4 Sec 7-10N-23W</t>
        </is>
      </c>
      <c r="J5" s="7" t="inlineStr">
        <is>
          <t>Undivided 1/2 Mineral Interest (38.745 NMA)</t>
        </is>
      </c>
      <c r="K5" s="7" t="inlineStr">
        <is>
          <t>All Depths</t>
        </is>
      </c>
      <c r="L5" s="7" t="inlineStr">
        <is>
          <t>SOURCE-PROVED HISTORICAL</t>
        </is>
      </c>
      <c r="M5" s="7" t="inlineStr">
        <is>
          <t>Vests 38.745 NMA in A.L. Thurmond</t>
        </is>
      </c>
    </row>
    <row r="6">
      <c r="A6" s="6" t="n">
        <v>5</v>
      </c>
      <c r="B6" s="6" t="inlineStr">
        <is>
          <t>Trust Funding</t>
        </is>
      </c>
      <c r="C6" s="6" t="inlineStr">
        <is>
          <t>1983-06-15</t>
        </is>
      </c>
      <c r="D6" s="6" t="inlineStr">
        <is>
          <t>1990-04-12</t>
        </is>
      </c>
      <c r="E6" s="6" t="inlineStr">
        <is>
          <t>Book 1146, Page 37</t>
        </is>
      </c>
      <c r="F6" s="6" t="inlineStr">
        <is>
          <t>I-1990-002747</t>
        </is>
      </c>
      <c r="G6" s="6" t="inlineStr">
        <is>
          <t>A.L. Thurmond Jr.</t>
        </is>
      </c>
      <c r="H6" s="6" t="inlineStr">
        <is>
          <t>A.L. Thurmond Jr. Revocable Trust</t>
        </is>
      </c>
      <c r="I6" s="6" t="inlineStr">
        <is>
          <t>Lots 3 &amp; 4 Sec 7-10N-23W</t>
        </is>
      </c>
      <c r="J6" s="6" t="inlineStr">
        <is>
          <t>Undivided 1/2 Mineral Interest</t>
        </is>
      </c>
      <c r="K6" s="6" t="inlineStr">
        <is>
          <t>All Depths</t>
        </is>
      </c>
      <c r="L6" s="6" t="inlineStr">
        <is>
          <t>SOURCE-PROVED HISTORICAL</t>
        </is>
      </c>
      <c r="M6" s="6" t="inlineStr">
        <is>
          <t>Trust conveyance ratified by recorded deed</t>
        </is>
      </c>
    </row>
    <row r="7">
      <c r="A7" s="7" t="n">
        <v>6</v>
      </c>
      <c r="B7" s="7" t="inlineStr">
        <is>
          <t>District Court Decree</t>
        </is>
      </c>
      <c r="C7" s="7" t="inlineStr">
        <is>
          <t>1994-06-20</t>
        </is>
      </c>
      <c r="D7" s="7" t="inlineStr">
        <is>
          <t>1994-07-08</t>
        </is>
      </c>
      <c r="E7" s="7" t="inlineStr">
        <is>
          <t>Book 1395, Page 136</t>
        </is>
      </c>
      <c r="F7" s="7" t="inlineStr">
        <is>
          <t>I-1994-007284</t>
        </is>
      </c>
      <c r="G7" s="7" t="inlineStr">
        <is>
          <t>District Court Beckham Co.</t>
        </is>
      </c>
      <c r="H7" s="7" t="inlineStr">
        <is>
          <t>Juanita Haddad &amp; Shadid Heirs</t>
        </is>
      </c>
      <c r="I7" s="7" t="inlineStr">
        <is>
          <t>E/2 SW/4 Sec 7-10N-23W (80.00 ac)</t>
        </is>
      </c>
      <c r="J7" s="7" t="inlineStr">
        <is>
          <t>1/2 to Haddad (40 NMA), 1/2 to Shadid (40 NMA)</t>
        </is>
      </c>
      <c r="K7" s="7" t="inlineStr">
        <is>
          <t>All Depths</t>
        </is>
      </c>
      <c r="L7" s="7" t="inlineStr">
        <is>
          <t>SOURCE-PROVED HISTORICAL</t>
        </is>
      </c>
      <c r="M7" s="7" t="inlineStr">
        <is>
          <t>Quiet title decree vesting Tract 2</t>
        </is>
      </c>
    </row>
    <row r="8">
      <c r="A8" s="6" t="n">
        <v>7</v>
      </c>
      <c r="B8" s="6" t="inlineStr">
        <is>
          <t>Assignment</t>
        </is>
      </c>
      <c r="C8" s="6" t="inlineStr">
        <is>
          <t>1997-03-10</t>
        </is>
      </c>
      <c r="D8" s="6" t="inlineStr">
        <is>
          <t>1997-04-15</t>
        </is>
      </c>
      <c r="E8" s="6" t="inlineStr">
        <is>
          <t>Book 1517, Page 346</t>
        </is>
      </c>
      <c r="F8" s="6" t="inlineStr">
        <is>
          <t>I-1997-004260</t>
        </is>
      </c>
      <c r="G8" s="6" t="inlineStr">
        <is>
          <t>Universal Resources Corp.</t>
        </is>
      </c>
      <c r="H8" s="6" t="inlineStr">
        <is>
          <t>Davis / Successor Operators</t>
        </is>
      </c>
      <c r="I8" s="6" t="inlineStr">
        <is>
          <t>Section 7 Unit (Dowdell)</t>
        </is>
      </c>
      <c r="J8" s="6" t="inlineStr">
        <is>
          <t>Operating Rights / WI in Dowdell #2-7</t>
        </is>
      </c>
      <c r="K8" s="6" t="inlineStr">
        <is>
          <t>Missourian / Virgil</t>
        </is>
      </c>
      <c r="L8" s="6" t="inlineStr">
        <is>
          <t>SOURCE-PROVED HISTORICAL</t>
        </is>
      </c>
      <c r="M8" s="6" t="inlineStr">
        <is>
          <t>Establishes operating chain in Dowdell #2-7</t>
        </is>
      </c>
    </row>
    <row r="9">
      <c r="A9" s="7" t="n">
        <v>8</v>
      </c>
      <c r="B9" s="7" t="inlineStr">
        <is>
          <t>Assignment</t>
        </is>
      </c>
      <c r="C9" s="7" t="inlineStr">
        <is>
          <t>2008-05-12</t>
        </is>
      </c>
      <c r="D9" s="7" t="inlineStr">
        <is>
          <t>2008-06-04</t>
        </is>
      </c>
      <c r="E9" s="7" t="inlineStr">
        <is>
          <t>Book 1958, Page 373</t>
        </is>
      </c>
      <c r="F9" s="7" t="inlineStr">
        <is>
          <t>I-2008-007165</t>
        </is>
      </c>
      <c r="G9" s="7" t="inlineStr">
        <is>
          <t>Operator Chain</t>
        </is>
      </c>
      <c r="H9" s="7" t="inlineStr">
        <is>
          <t>Successor Operating Entities</t>
        </is>
      </c>
      <c r="I9" s="7" t="inlineStr">
        <is>
          <t>Section 7 Unit</t>
        </is>
      </c>
      <c r="J9" s="7" t="inlineStr">
        <is>
          <t>Working Interest in Dowdell #2-7</t>
        </is>
      </c>
      <c r="K9" s="7" t="inlineStr">
        <is>
          <t>Producing intervals</t>
        </is>
      </c>
      <c r="L9" s="7" t="inlineStr">
        <is>
          <t>SOURCE-PROVED HISTORICAL</t>
        </is>
      </c>
      <c r="M9" s="7" t="inlineStr">
        <is>
          <t>Successor operating rights in producing wellbore</t>
        </is>
      </c>
    </row>
    <row r="10">
      <c r="A10" s="6" t="n">
        <v>9</v>
      </c>
      <c r="B10" s="6" t="inlineStr">
        <is>
          <t>Partial Release</t>
        </is>
      </c>
      <c r="C10" s="6" t="inlineStr">
        <is>
          <t>2009-02-14</t>
        </is>
      </c>
      <c r="D10" s="6" t="inlineStr">
        <is>
          <t>2009-03-02</t>
        </is>
      </c>
      <c r="E10" s="6" t="inlineStr">
        <is>
          <t>Book 1972, Page 907</t>
        </is>
      </c>
      <c r="F10" s="6" t="inlineStr">
        <is>
          <t>I-2009-001902</t>
        </is>
      </c>
      <c r="G10" s="6" t="inlineStr">
        <is>
          <t>Burlington Resources</t>
        </is>
      </c>
      <c r="H10" s="6" t="inlineStr">
        <is>
          <t>Mineral Owners</t>
        </is>
      </c>
      <c r="I10" s="6" t="inlineStr">
        <is>
          <t>Section 7-10N-23W</t>
        </is>
      </c>
      <c r="J10" s="6" t="inlineStr">
        <is>
          <t>Releases Depths Below Producing Base</t>
        </is>
      </c>
      <c r="K10" s="6" t="inlineStr">
        <is>
          <t>Below producing intervals</t>
        </is>
      </c>
      <c r="L10" s="6" t="inlineStr">
        <is>
          <t>SOURCE-PROVED HISTORICAL</t>
        </is>
      </c>
      <c r="M10" s="6" t="inlineStr">
        <is>
          <t>Pugh clause release opening deep mineral estate</t>
        </is>
      </c>
    </row>
    <row r="11">
      <c r="A11" s="7" t="n">
        <v>10</v>
      </c>
      <c r="B11" s="7" t="inlineStr">
        <is>
          <t>Assignment</t>
        </is>
      </c>
      <c r="C11" s="7" t="inlineStr">
        <is>
          <t>2009-05-10</t>
        </is>
      </c>
      <c r="D11" s="7" t="inlineStr">
        <is>
          <t>2009-06-18</t>
        </is>
      </c>
      <c r="E11" s="7" t="inlineStr">
        <is>
          <t>Book 1974, Page 637</t>
        </is>
      </c>
      <c r="F11" s="7" t="inlineStr">
        <is>
          <t>I-2009-002476</t>
        </is>
      </c>
      <c r="G11" s="7" t="inlineStr">
        <is>
          <t>R.D. Davis</t>
        </is>
      </c>
      <c r="H11" s="7" t="inlineStr">
        <is>
          <t>Burlington Resources</t>
        </is>
      </c>
      <c r="I11" s="7" t="inlineStr">
        <is>
          <t>Multi-tract Exhibit A</t>
        </is>
      </c>
      <c r="J11" s="7" t="inlineStr">
        <is>
          <t>Leasehold Interests</t>
        </is>
      </c>
      <c r="K11" s="7" t="inlineStr">
        <is>
          <t>Various</t>
        </is>
      </c>
      <c r="L11" s="7" t="inlineStr">
        <is>
          <t>TARGET-NEGATIVE</t>
        </is>
      </c>
      <c r="M11" s="7" t="inlineStr">
        <is>
          <t>Exhibit A excludes Section 7 SW/4 caption lands</t>
        </is>
      </c>
    </row>
    <row r="12">
      <c r="A12" s="6" t="n">
        <v>11</v>
      </c>
      <c r="B12" s="6" t="inlineStr">
        <is>
          <t>Quitclaim Deed</t>
        </is>
      </c>
      <c r="C12" s="6" t="inlineStr">
        <is>
          <t>2011-10-18</t>
        </is>
      </c>
      <c r="D12" s="6" t="inlineStr">
        <is>
          <t>2011-10-25</t>
        </is>
      </c>
      <c r="E12" s="6" t="inlineStr">
        <is>
          <t>Book 2072, Page 463</t>
        </is>
      </c>
      <c r="F12" s="6" t="inlineStr">
        <is>
          <t>I-2011-009941</t>
        </is>
      </c>
      <c r="G12" s="6" t="inlineStr">
        <is>
          <t>Juanita Haddad</t>
        </is>
      </c>
      <c r="H12" s="6" t="inlineStr">
        <is>
          <t>Juanita Haddad Family Trust</t>
        </is>
      </c>
      <c r="I12" s="6" t="inlineStr">
        <is>
          <t>E/2 SW/4 Sec 7-10N-23W</t>
        </is>
      </c>
      <c r="J12" s="6" t="inlineStr">
        <is>
          <t>Undivided 1/2 Mineral Interest (40.00 NMA)</t>
        </is>
      </c>
      <c r="K12" s="6" t="inlineStr">
        <is>
          <t>All Depths</t>
        </is>
      </c>
      <c r="L12" s="6" t="inlineStr">
        <is>
          <t>SOURCE-PROVED CURRENT</t>
        </is>
      </c>
      <c r="M12" s="6" t="inlineStr">
        <is>
          <t>Vests 40 NMA in Juanita Haddad Family Trust</t>
        </is>
      </c>
    </row>
    <row r="13">
      <c r="A13" s="7" t="n">
        <v>12</v>
      </c>
      <c r="B13" s="7" t="inlineStr">
        <is>
          <t>Assignment / Sale</t>
        </is>
      </c>
      <c r="C13" s="7" t="inlineStr">
        <is>
          <t>2023-08-15</t>
        </is>
      </c>
      <c r="D13" s="7" t="inlineStr">
        <is>
          <t>2023-09-01</t>
        </is>
      </c>
      <c r="E13" s="7" t="inlineStr">
        <is>
          <t>Book 2409, Page 539</t>
        </is>
      </c>
      <c r="F13" s="7" t="inlineStr">
        <is>
          <t>I-2023-003028</t>
        </is>
      </c>
      <c r="G13" s="7" t="inlineStr">
        <is>
          <t>DP Legacy Central LLC</t>
        </is>
      </c>
      <c r="H13" s="7" t="inlineStr">
        <is>
          <t>Anadarko Basin Holdings LLC</t>
        </is>
      </c>
      <c r="I13" s="7" t="inlineStr">
        <is>
          <t>Section 7 Unit</t>
        </is>
      </c>
      <c r="J13" s="7" t="inlineStr">
        <is>
          <t>Operating WI in Dowdell #2-7 Unit</t>
        </is>
      </c>
      <c r="K13" s="7" t="inlineStr">
        <is>
          <t>Missourian / Virgil</t>
        </is>
      </c>
      <c r="L13" s="7" t="inlineStr">
        <is>
          <t>SOURCE-PROVED CURRENT</t>
        </is>
      </c>
      <c r="M13" s="7" t="inlineStr">
        <is>
          <t>Operating interest conveyance into Anadarko Basin Holdings</t>
        </is>
      </c>
    </row>
    <row r="14">
      <c r="A14" s="6" t="n">
        <v>13</v>
      </c>
      <c r="B14" s="6" t="inlineStr">
        <is>
          <t>Assignment</t>
        </is>
      </c>
      <c r="C14" s="6" t="inlineStr">
        <is>
          <t>2024-04-10</t>
        </is>
      </c>
      <c r="D14" s="6" t="inlineStr">
        <is>
          <t>2024-05-02</t>
        </is>
      </c>
      <c r="E14" s="6" t="inlineStr">
        <is>
          <t>Book 2437, Page 52</t>
        </is>
      </c>
      <c r="F14" s="6" t="inlineStr">
        <is>
          <t>I-2024-003493</t>
        </is>
      </c>
      <c r="G14" s="6" t="inlineStr">
        <is>
          <t>Operating Assignor</t>
        </is>
      </c>
      <c r="H14" s="6" t="inlineStr">
        <is>
          <t>Current Operating Entity</t>
        </is>
      </c>
      <c r="I14" s="6" t="inlineStr">
        <is>
          <t>Section 7 Unit</t>
        </is>
      </c>
      <c r="J14" s="6" t="inlineStr">
        <is>
          <t>Wellbore &amp; Unit Operating Rights</t>
        </is>
      </c>
      <c r="K14" s="6" t="inlineStr">
        <is>
          <t>Producing Formations Only</t>
        </is>
      </c>
      <c r="L14" s="6" t="inlineStr">
        <is>
          <t>SOURCE-PROVED CURRENT</t>
        </is>
      </c>
      <c r="M14" s="6" t="inlineStr">
        <is>
          <t>Assignment of producing wellbore &amp; unit operating rights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2026-09-02T00:15:54Z</dcterms:created>
  <dcterms:modified xsi:type="dcterms:W3CDTF">2026-09-02T00:15:54Z</dcterms:modified>
</cp:coreProperties>
</file>