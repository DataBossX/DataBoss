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lusions" sheetId="1" state="visible" r:id="rId1"/>
    <sheet xmlns:r="http://schemas.openxmlformats.org/officeDocument/2006/relationships" name="Sovereign_Inception" sheetId="2" state="visible" r:id="rId2"/>
    <sheet xmlns:r="http://schemas.openxmlformats.org/officeDocument/2006/relationships" name="Chain_Pre1988" sheetId="3" state="visible" r:id="rId3"/>
    <sheet xmlns:r="http://schemas.openxmlformats.org/officeDocument/2006/relationships" name="Chain_Post1988" sheetId="4" state="visible" r:id="rId4"/>
    <sheet xmlns:r="http://schemas.openxmlformats.org/officeDocument/2006/relationships" name="Direct_Diversified" sheetId="5" state="visible" r:id="rId5"/>
    <sheet xmlns:r="http://schemas.openxmlformats.org/officeDocument/2006/relationships" name="Countywide_Screen" sheetId="6" state="visible" r:id="rId6"/>
    <sheet xmlns:r="http://schemas.openxmlformats.org/officeDocument/2006/relationships" name="Leases" sheetId="7" state="visible" r:id="rId7"/>
    <sheet xmlns:r="http://schemas.openxmlformats.org/officeDocument/2006/relationships" name="Burdens" sheetId="8" state="visible" r:id="rId8"/>
    <sheet xmlns:r="http://schemas.openxmlformats.org/officeDocument/2006/relationships" name="Open_Requirements" sheetId="9" state="visible" r:id="rId9"/>
    <sheet xmlns:r="http://schemas.openxmlformats.org/officeDocument/2006/relationships" name="Surface" sheetId="10" state="visible" r:id="rId10"/>
    <sheet xmlns:r="http://schemas.openxmlformats.org/officeDocument/2006/relationships" name="Wells" sheetId="11" state="visible" r:id="rId11"/>
    <sheet xmlns:r="http://schemas.openxmlformats.org/officeDocument/2006/relationships" name="QA" sheetId="12" state="visible" r:id="rId12"/>
    <sheet xmlns:r="http://schemas.openxmlformats.org/officeDocument/2006/relationships" name="Sources" sheetId="13" state="visible" r:id="rId13"/>
  </sheets>
  <definedNames>
    <definedName name="_xlnm._FilterDatabase" localSheetId="0" hidden="1">'Conclusions'!$A$1:$E$9</definedName>
    <definedName name="_xlnm._FilterDatabase" localSheetId="1" hidden="1">'Sovereign_Inception'!$A$1:$J$5</definedName>
    <definedName name="_xlnm._FilterDatabase" localSheetId="2" hidden="1">'Chain_Pre1988'!$A$1:$I$12</definedName>
    <definedName name="_xlnm._FilterDatabase" localSheetId="3" hidden="1">'Chain_Post1988'!$A$1:$I$29</definedName>
    <definedName name="_xlnm._FilterDatabase" localSheetId="4" hidden="1">'Direct_Diversified'!$A$1:$I$9</definedName>
    <definedName name="_xlnm._FilterDatabase" localSheetId="5" hidden="1">'Countywide_Screen'!$A$1:$F$5</definedName>
    <definedName name="_xlnm._FilterDatabase" localSheetId="6" hidden="1">'Leases'!$A$1:$G$12</definedName>
    <definedName name="_xlnm._FilterDatabase" localSheetId="7" hidden="1">'Burdens'!$A$1:$F$9</definedName>
    <definedName name="_xlnm._FilterDatabase" localSheetId="8" hidden="1">'Open_Requirements'!$A$1:$E$13</definedName>
    <definedName name="_xlnm._FilterDatabase" localSheetId="9" hidden="1">'Surface'!$A$1:$E$11</definedName>
    <definedName name="_xlnm._FilterDatabase" localSheetId="10" hidden="1">'Wells'!$A$1:$F$12</definedName>
    <definedName name="_xlnm._FilterDatabase" localSheetId="11" hidden="1">'QA'!$A$1:$D$9</definedName>
    <definedName name="_xlnm._FilterDatabase" localSheetId="12" hidden="1">'Sources'!$A$1:$E$31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9"/>
    </font>
    <font>
      <name val="Aptos"/>
      <b val="1"/>
      <color rgb="009C0006"/>
      <sz val="9"/>
    </font>
    <font>
      <name val="Aptos"/>
      <b val="1"/>
      <color rgb="00006100"/>
      <sz val="9"/>
    </font>
    <font>
      <name val="Aptos"/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D:\Desktop\Horizon\32-11N-25W, Beckham County\source_canonical\Section Notes\Section Notes.xlsx" TargetMode="External" Id="rId1"/><Relationship Type="http://schemas.openxmlformats.org/officeDocument/2006/relationships/hyperlink" Target="D:\Desktop\Horizon\32-11N-25W, Beckham County\source_canonical\Index\Protocoled Index.pdf" TargetMode="External" Id="rId2"/><Relationship Type="http://schemas.openxmlformats.org/officeDocument/2006/relationships/hyperlink" Target="D:\Desktop\Horizon\32-11N-25W, Beckham County\source_canonical\Images" TargetMode="External" Id="rId3"/><Relationship Type="http://schemas.openxmlformats.org/officeDocument/2006/relationships/hyperlink" Target="D:\Desktop\Horizon\32-11N-25W, Beckham County\source_canonical\Plat Map\Plat Map.pdf" TargetMode="External" Id="rId4"/><Relationship Type="http://schemas.openxmlformats.org/officeDocument/2006/relationships/hyperlink" Target="D:\Desktop\Horizon\32-11N-25W, Beckham County\source_canonical\Tax Roll\Tax Roll.pdf" TargetMode="External" Id="rId5"/><Relationship Type="http://schemas.openxmlformats.org/officeDocument/2006/relationships/hyperlink" Target="https://okcountyrecords.com/search/beckham" TargetMode="External" Id="rId6"/><Relationship Type="http://schemas.openxmlformats.org/officeDocument/2006/relationships/hyperlink" Target="https://www.oklahoma.gov/occ/divisions/oil-gas/oil-gas-data.html" TargetMode="External" Id="rId7"/><Relationship Type="http://schemas.openxmlformats.org/officeDocument/2006/relationships/hyperlink" Target="D:\Desktop\Horizon\32-11N-25W, Beckham County\source_canonical\Images\0003.jpg" TargetMode="External" Id="rId8"/><Relationship Type="http://schemas.openxmlformats.org/officeDocument/2006/relationships/hyperlink" Target="D:\Desktop\Horizon\32-11N-25W, Beckham County\source_canonical\Images\0004.jpg" TargetMode="External" Id="rId9"/><Relationship Type="http://schemas.openxmlformats.org/officeDocument/2006/relationships/hyperlink" Target="D:\Desktop\Horizon\32-11N-25W, Beckham County\source_canonical\Images\0005.jpg" TargetMode="External" Id="rId10"/><Relationship Type="http://schemas.openxmlformats.org/officeDocument/2006/relationships/hyperlink" Target="D:\Desktop\Horizon\32-11N-25W, Beckham County\source_canonical\Images\0006.jpg" TargetMode="External" Id="rId11"/><Relationship Type="http://schemas.openxmlformats.org/officeDocument/2006/relationships/hyperlink" Target="D:\Desktop\Horizon\32-11N-25W, Beckham County\source_canonical\Images\1940.jpg" TargetMode="External" Id="rId12"/><Relationship Type="http://schemas.openxmlformats.org/officeDocument/2006/relationships/hyperlink" Target="D:\Desktop\Horizon\32-11N-25W, Beckham County\source_canonical\Images\1949.jpg" TargetMode="External" Id="rId13"/><Relationship Type="http://schemas.openxmlformats.org/officeDocument/2006/relationships/hyperlink" Target="D:\Desktop\Horizon\32-11N-25W, Beckham County\source_canonical\Images\1946.jpg" TargetMode="External" Id="rId14"/><Relationship Type="http://schemas.openxmlformats.org/officeDocument/2006/relationships/hyperlink" Target="D:\Desktop\Horizon\32-11N-25W, Beckham County\source_canonical\Images\1938.jpg" TargetMode="External" Id="rId15"/><Relationship Type="http://schemas.openxmlformats.org/officeDocument/2006/relationships/hyperlink" Target="D:\Desktop\Horizon\32-11N-25W, Beckham County\source_canonical\Images\4103.jpg" TargetMode="External" Id="rId16"/><Relationship Type="http://schemas.openxmlformats.org/officeDocument/2006/relationships/hyperlink" Target="D:\Desktop\Horizon\32-11N-25W, Beckham County\source_canonical\Images\4120.jpg" TargetMode="External" Id="rId17"/><Relationship Type="http://schemas.openxmlformats.org/officeDocument/2006/relationships/hyperlink" Target="D:\Desktop\Horizon\32-11N-25W, Beckham County\source_canonical\Images\4386.jpg" TargetMode="External" Id="rId18"/><Relationship Type="http://schemas.openxmlformats.org/officeDocument/2006/relationships/hyperlink" Target="D:\Desktop\Horizon\32-11N-25W, Beckham County\source_canonical\Images\4438.jpg" TargetMode="External" Id="rId19"/><Relationship Type="http://schemas.openxmlformats.org/officeDocument/2006/relationships/hyperlink" Target="D:\Desktop\Horizon\32-11N-25W, Beckham County\source_canonical\Images\4840.jpg" TargetMode="External" Id="rId20"/><Relationship Type="http://schemas.openxmlformats.org/officeDocument/2006/relationships/hyperlink" Target="D:\Desktop\Horizon\32-11N-25W, Beckham County\source_canonical\Images\4868.jpg" TargetMode="External" Id="rId21"/><Relationship Type="http://schemas.openxmlformats.org/officeDocument/2006/relationships/hyperlink" Target="D:\Desktop\Horizon\32-11N-25W, Beckham County\source_canonical\Images\4893.jpg" TargetMode="External" Id="rId22"/><Relationship Type="http://schemas.openxmlformats.org/officeDocument/2006/relationships/hyperlink" Target="https://okcountyrecords.com/detail/beckham/2022-000152/27093726" TargetMode="External" Id="rId23"/><Relationship Type="http://schemas.openxmlformats.org/officeDocument/2006/relationships/hyperlink" Target="https://okcountyrecords.com/detail/beckham/2022-004838/28268306" TargetMode="External" Id="rId24"/><Relationship Type="http://schemas.openxmlformats.org/officeDocument/2006/relationships/hyperlink" Target="https://okcountyrecords.com/detail/beckham/2022-004938/28279236" TargetMode="External" Id="rId25"/><Relationship Type="http://schemas.openxmlformats.org/officeDocument/2006/relationships/hyperlink" Target="https://okcountyrecords.com/detail/beckham/2023-000796/28512407" TargetMode="External" Id="rId26"/><Relationship Type="http://schemas.openxmlformats.org/officeDocument/2006/relationships/hyperlink" Target="https://okcountyrecords.com/detail/beckham/2025-001808/34086362" TargetMode="External" Id="rId27"/><Relationship Type="http://schemas.openxmlformats.org/officeDocument/2006/relationships/hyperlink" Target="https://okcountyrecords.com/detail/beckham/2026-000215/34968247" TargetMode="External" Id="rId28"/><Relationship Type="http://schemas.openxmlformats.org/officeDocument/2006/relationships/hyperlink" Target="D:\Desktop\Horizon\32-11N-25W, Beckham County\analysis_work\rbdms-wells.csv" TargetMode="External" Id="rId29"/><Relationship Type="http://schemas.openxmlformats.org/officeDocument/2006/relationships/hyperlink" Target="D:\Desktop\Horizon\32-11N-25W, Beckham County\analysis_work\completions-wells-formations-base.xlsx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58" customWidth="1" min="3" max="3"/>
    <col width="24" customWidth="1" min="4" max="4"/>
    <col width="18" customWidth="1" min="5" max="5"/>
  </cols>
  <sheetData>
    <row r="1" ht="28" customHeight="1">
      <c r="A1" s="1" t="inlineStr">
        <is>
          <t>ID</t>
        </is>
      </c>
      <c r="B1" s="1" t="inlineStr">
        <is>
          <t>Conclusion</t>
        </is>
      </c>
      <c r="C1" s="1" t="inlineStr">
        <is>
          <t>Record basis</t>
        </is>
      </c>
      <c r="D1" s="1" t="inlineStr">
        <is>
          <t>Confidence</t>
        </is>
      </c>
      <c r="E1" s="1" t="inlineStr">
        <is>
          <t>Status</t>
        </is>
      </c>
    </row>
    <row r="2">
      <c r="A2" s="2" t="inlineStr">
        <is>
          <t>C1</t>
        </is>
      </c>
      <c r="B2" s="2" t="inlineStr">
        <is>
          <t>Diversified-affiliated entities acquired a material interest indexed against all of Section 32 through the 2021/2022 KL CHK/Tapstone transaction structure.</t>
        </is>
      </c>
      <c r="C2" s="2" t="inlineStr">
        <is>
          <t>Record index + public metadata support the transaction and full-section indexing, but not the asset schedule or decimal.</t>
        </is>
      </c>
      <c r="D2" s="2" t="inlineStr">
        <is>
          <t>90%</t>
        </is>
      </c>
      <c r="E2" s="2" t="inlineStr">
        <is>
          <t>QUALIFIED</t>
        </is>
      </c>
    </row>
    <row r="3">
      <c r="A3" s="2" t="inlineStr">
        <is>
          <t>C2</t>
        </is>
      </c>
      <c r="B3" s="2" t="inlineStr">
        <is>
          <t>The principal index-supported chain is Chesapeake affiliates -&gt; KL CHK SPV LLC -&gt; Diversified Production LLC/OCM Denali -&gt; DP Legacy Tapstone LLC -&gt; Diversified ABS VI Upstream LLC and DP Sooner HoldCo LLC.</t>
        </is>
      </c>
      <c r="C3" s="2" t="inlineStr">
        <is>
          <t>Book/page and party sequence are supported; substantive conveyance terms are not available.</t>
        </is>
      </c>
      <c r="D3" s="2" t="inlineStr">
        <is>
          <t>95% metadata / 30% current vesting</t>
        </is>
      </c>
      <c r="E3" s="2" t="inlineStr">
        <is>
          <t>OPEN</t>
        </is>
      </c>
    </row>
    <row r="4">
      <c r="A4" s="2" t="inlineStr">
        <is>
          <t>C3</t>
        </is>
      </c>
      <c r="B4" s="2" t="inlineStr">
        <is>
          <t>DP Sooner HoldCo LLC later conveyed a long-description asset package to Diversified Production LLC at Bk 2400/P551-567.</t>
        </is>
      </c>
      <c r="C4" s="2" t="inlineStr">
        <is>
          <t>Public metadata confirms the document; the missing exhibit prevents tying the subject asset and fraction to the prior branch.</t>
        </is>
      </c>
      <c r="D4" s="2" t="inlineStr">
        <is>
          <t>95% metadata / 25% substantive effect</t>
        </is>
      </c>
      <c r="E4" s="2" t="inlineStr">
        <is>
          <t>OPEN</t>
        </is>
      </c>
    </row>
    <row r="5">
      <c r="A5" s="2" t="inlineStr">
        <is>
          <t>C4</t>
        </is>
      </c>
      <c r="B5" s="2" t="inlineStr">
        <is>
          <t>No exact present WI, NRI, leasehold decimal, ORRI decimal, mineral interest, royalty interest, or net acres can be calculated for Diversified from the delivered evidence.</t>
        </is>
      </c>
      <c r="C5" s="2" t="inlineStr">
        <is>
          <t>The operative post-1988 instruments and their schedules are absent; historical interests are depth-, wellbore-, payout-, and burden-dependent.</t>
        </is>
      </c>
      <c r="D5" s="2" t="inlineStr">
        <is>
          <t>100% that evidence is insufficient</t>
        </is>
      </c>
      <c r="E5" s="3" t="inlineStr">
        <is>
          <t>OPEN ITEM</t>
        </is>
      </c>
    </row>
    <row r="6">
      <c r="A6" s="2" t="inlineStr">
        <is>
          <t>C5</t>
        </is>
      </c>
      <c r="B6" s="2" t="inlineStr">
        <is>
          <t>No direct record evidence reviewed establishes a Diversified mineral-fee, lessor-royalty, nonparticipating royalty, or surface ownership interest.</t>
        </is>
      </c>
      <c r="C6" s="2" t="inlineStr">
        <is>
          <t>Absence of evidence is not a negative title opinion; post-1988 copies and a complete fee/mineral chain are required.</t>
        </is>
      </c>
      <c r="D6" s="2" t="inlineStr">
        <is>
          <t>85% as to reviewed packet; 0% as negative title</t>
        </is>
      </c>
      <c r="E6" s="2" t="inlineStr">
        <is>
          <t>NOT ESTABLISHED</t>
        </is>
      </c>
    </row>
    <row r="7">
      <c r="A7" s="2" t="inlineStr">
        <is>
          <t>C6</t>
        </is>
      </c>
      <c r="B7" s="2" t="inlineStr">
        <is>
          <t>Book 2395/P967 is a KeyBank financing-statement termination, not a title conveyance; the Diversified ABS conveyance is Book 2395/P415.</t>
        </is>
      </c>
      <c r="C7" s="2" t="inlineStr">
        <is>
          <t>High-resolution index reconciliation agrees with county public metadata.</t>
        </is>
      </c>
      <c r="D7" s="2" t="inlineStr">
        <is>
          <t>99%</t>
        </is>
      </c>
      <c r="E7" s="4" t="inlineStr">
        <is>
          <t>RESOLVED</t>
        </is>
      </c>
    </row>
    <row r="8">
      <c r="A8" s="2" t="inlineStr">
        <is>
          <t>C7</t>
        </is>
      </c>
      <c r="B8" s="2" t="inlineStr">
        <is>
          <t>Historical interests are subject to material ORRIs, payout/reversion provisions, unrecorded development agreements, wellbore/depth limits, and potentially unreleased blanket liens.</t>
        </is>
      </c>
      <c r="C8" s="2" t="inlineStr">
        <is>
          <t>Existence of historical burdens is directly supported; present survival cannot be resolved.</t>
        </is>
      </c>
      <c r="D8" s="2" t="inlineStr">
        <is>
          <t>95% existence / 25% current survival</t>
        </is>
      </c>
      <c r="E8" s="2" t="inlineStr">
        <is>
          <t>OPEN</t>
        </is>
      </c>
    </row>
    <row r="9">
      <c r="A9" s="2" t="inlineStr">
        <is>
          <t>C8</t>
        </is>
      </c>
      <c r="B9" s="2" t="inlineStr">
        <is>
          <t>Section-level well activity does not establish that any particular lease in Diversified's chain is held by production.</t>
        </is>
      </c>
      <c r="C9" s="2" t="inlineStr">
        <is>
          <t>OCC data identifies active wells, but no lease-to-well schedule, production allocation, cessation history, or savings-clause analysis was supplied.</t>
        </is>
      </c>
      <c r="D9" s="2" t="inlineStr">
        <is>
          <t>100% legal/evidentiary limitation</t>
        </is>
      </c>
      <c r="E9" s="3" t="inlineStr">
        <is>
          <t>OPEN ITEM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6" customWidth="1" min="4" max="4"/>
    <col width="18" customWidth="1" min="5" max="5"/>
    <col width="16" customWidth="1" min="6" max="6"/>
    <col width="25" customWidth="1" min="7" max="7"/>
    <col width="50" customWidth="1" min="8" max="8"/>
    <col width="10" customWidth="1" min="9" max="9"/>
    <col width="22" customWidth="1" min="10" max="10"/>
  </cols>
  <sheetData>
    <row r="1" ht="28" customHeight="1">
      <c r="A1" s="1" t="inlineStr">
        <is>
          <t>Tract</t>
        </is>
      </c>
      <c r="B1" s="1" t="inlineStr">
        <is>
          <t>Grantor</t>
        </is>
      </c>
      <c r="C1" s="1" t="inlineStr">
        <is>
          <t>Grantee</t>
        </is>
      </c>
      <c r="D1" s="1" t="inlineStr">
        <is>
          <t>Instrument</t>
        </is>
      </c>
      <c r="E1" s="1" t="inlineStr">
        <is>
          <t>Execution/Receipt</t>
        </is>
      </c>
      <c r="F1" s="1" t="inlineStr">
        <is>
          <t>Recording</t>
        </is>
      </c>
      <c r="G1" s="1" t="inlineStr">
        <is>
          <t>Reference</t>
        </is>
      </c>
      <c r="H1" s="1" t="inlineStr">
        <is>
          <t>Reservations/Open</t>
        </is>
      </c>
      <c r="I1" s="1" t="inlineStr">
        <is>
          <t>Source</t>
        </is>
      </c>
      <c r="J1" s="1" t="inlineStr">
        <is>
          <t>Confidence</t>
        </is>
      </c>
    </row>
    <row r="2">
      <c r="A2" s="2" t="inlineStr">
        <is>
          <t>NE/4 (160 ac)</t>
        </is>
      </c>
      <c r="B2" s="2" t="inlineStr">
        <is>
          <t>United States</t>
        </is>
      </c>
      <c r="C2" s="2" t="inlineStr">
        <is>
          <t>Cornelius B. Cornelius</t>
        </is>
      </c>
      <c r="D2" s="2" t="inlineStr">
        <is>
          <t>Homestead patent</t>
        </is>
      </c>
      <c r="E2" s="2" t="inlineStr">
        <is>
          <t>1907-03-22</t>
        </is>
      </c>
      <c r="F2" s="2" t="inlineStr">
        <is>
          <t>1907-06-08</t>
        </is>
      </c>
      <c r="G2" s="2" t="inlineStr">
        <is>
          <t>Patent Bk 3/P469</t>
        </is>
      </c>
      <c r="H2" s="2" t="inlineStr">
        <is>
          <t>No mineral reservation is apparent on the reviewed image.</t>
        </is>
      </c>
      <c r="I2" s="2" t="inlineStr">
        <is>
          <t>P-001</t>
        </is>
      </c>
      <c r="J2" s="2" t="inlineStr">
        <is>
          <t>98%</t>
        </is>
      </c>
    </row>
    <row r="3">
      <c r="A3" s="2" t="inlineStr">
        <is>
          <t>SE/4 (160 ac)</t>
        </is>
      </c>
      <c r="B3" s="2" t="inlineStr">
        <is>
          <t>U.S. land office</t>
        </is>
      </c>
      <c r="C3" s="2" t="inlineStr">
        <is>
          <t>Velmore Biggs</t>
        </is>
      </c>
      <c r="D3" s="2" t="inlineStr">
        <is>
          <t>Final receiver's receipt (earliest supplied land-office evidence)</t>
        </is>
      </c>
      <c r="E3" s="2" t="inlineStr">
        <is>
          <t>1906-06-28 receipt</t>
        </is>
      </c>
      <c r="F3" s="2" t="inlineStr">
        <is>
          <t>1906-08-08 (image stamp)</t>
        </is>
      </c>
      <c r="G3" s="2" t="inlineStr">
        <is>
          <t>Image 0004; patent copy not supplied</t>
        </is>
      </c>
      <c r="H3" s="2" t="inlineStr">
        <is>
          <t>OPEN: obtain actual patent/certified land patent record.</t>
        </is>
      </c>
      <c r="I3" s="2" t="inlineStr">
        <is>
          <t>P-002</t>
        </is>
      </c>
      <c r="J3" s="2" t="inlineStr">
        <is>
          <t>90% identity/legal; 0% patent completeness</t>
        </is>
      </c>
    </row>
    <row r="4">
      <c r="A4" s="2" t="inlineStr">
        <is>
          <t>NW/4 (160 ac)</t>
        </is>
      </c>
      <c r="B4" s="2" t="inlineStr">
        <is>
          <t>U.S. land office</t>
        </is>
      </c>
      <c r="C4" s="2" t="inlineStr">
        <is>
          <t>Herman Stevens</t>
        </is>
      </c>
      <c r="D4" s="2" t="inlineStr">
        <is>
          <t>Final receiver's receipt No. 3894</t>
        </is>
      </c>
      <c r="E4" s="2" t="inlineStr">
        <is>
          <t>1905-05-04 receipt</t>
        </is>
      </c>
      <c r="F4" s="2" t="inlineStr">
        <is>
          <t>1905-05-12</t>
        </is>
      </c>
      <c r="G4" s="2" t="inlineStr">
        <is>
          <t>Image 0005; patent copy not supplied</t>
        </is>
      </c>
      <c r="H4" s="2" t="inlineStr">
        <is>
          <t>OPEN: obtain actual patent/certified land patent record.</t>
        </is>
      </c>
      <c r="I4" s="2" t="inlineStr">
        <is>
          <t>P-003</t>
        </is>
      </c>
      <c r="J4" s="2" t="inlineStr">
        <is>
          <t>90% identity/legal; 0% patent completeness</t>
        </is>
      </c>
    </row>
    <row r="5">
      <c r="A5" s="2" t="inlineStr">
        <is>
          <t>SW/4 (160 ac)</t>
        </is>
      </c>
      <c r="B5" s="2" t="inlineStr">
        <is>
          <t>U.S. land office</t>
        </is>
      </c>
      <c r="C5" s="2" t="inlineStr">
        <is>
          <t>Augustus P. Stevens</t>
        </is>
      </c>
      <c r="D5" s="2" t="inlineStr">
        <is>
          <t>Final receiver's receipt No. 3895</t>
        </is>
      </c>
      <c r="E5" s="2" t="inlineStr">
        <is>
          <t>1905-05-04 receipt</t>
        </is>
      </c>
      <c r="F5" s="2" t="inlineStr">
        <is>
          <t>1905-05-12</t>
        </is>
      </c>
      <c r="G5" s="2" t="inlineStr">
        <is>
          <t>Image 0006; patent copy not supplied</t>
        </is>
      </c>
      <c r="H5" s="2" t="inlineStr">
        <is>
          <t>OPEN: obtain actual patent/certified land patent record.</t>
        </is>
      </c>
      <c r="I5" s="2" t="inlineStr">
        <is>
          <t>P-004</t>
        </is>
      </c>
      <c r="J5" s="2" t="inlineStr">
        <is>
          <t>90% identity/legal; 0% patent completeness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  <col width="44" customWidth="1" min="3" max="3"/>
    <col width="24" customWidth="1" min="4" max="4"/>
    <col width="25" customWidth="1" min="5" max="5"/>
    <col width="52" customWidth="1" min="6" max="6"/>
    <col width="78" customWidth="1" min="7" max="7"/>
    <col width="11" customWidth="1" min="8" max="8"/>
    <col width="22" customWidth="1" min="9" max="9"/>
  </cols>
  <sheetData>
    <row r="1" ht="28" customHeight="1">
      <c r="A1" s="1" t="inlineStr">
        <is>
          <t>Date</t>
        </is>
      </c>
      <c r="B1" s="1" t="inlineStr">
        <is>
          <t>Grantor</t>
        </is>
      </c>
      <c r="C1" s="1" t="inlineStr">
        <is>
          <t>Grantee</t>
        </is>
      </c>
      <c r="D1" s="1" t="inlineStr">
        <is>
          <t>Type</t>
        </is>
      </c>
      <c r="E1" s="1" t="inlineStr">
        <is>
          <t>Book/Page</t>
        </is>
      </c>
      <c r="F1" s="1" t="inlineStr">
        <is>
          <t>Legal/Estate</t>
        </is>
      </c>
      <c r="G1" s="1" t="inlineStr">
        <is>
          <t>Effect/Reservations</t>
        </is>
      </c>
      <c r="H1" s="1" t="inlineStr">
        <is>
          <t>Source</t>
        </is>
      </c>
      <c r="I1" s="1" t="inlineStr">
        <is>
          <t>Confidence</t>
        </is>
      </c>
    </row>
    <row r="2">
      <c r="A2" s="2" t="inlineStr">
        <is>
          <t>1981-05-28 / corrected 1981-09-16</t>
        </is>
      </c>
      <c r="B2" s="2" t="inlineStr">
        <is>
          <t>Union Oil Co. of California</t>
        </is>
      </c>
      <c r="C2" s="2" t="inlineStr">
        <is>
          <t>Leede Exploration</t>
        </is>
      </c>
      <c r="D2" s="2" t="inlineStr">
        <is>
          <t>Correction Assignment</t>
        </is>
      </c>
      <c r="E2" s="2" t="inlineStr">
        <is>
          <t>Bk 502/P267 (supersedes Bk 471/P330)</t>
        </is>
      </c>
      <c r="F2" s="2" t="inlineStr">
        <is>
          <t>Crook #1-32 wellbore only; Morrow-Springer interval 16,210-20,451 ft; effective first runs</t>
        </is>
      </c>
      <c r="G2" s="2" t="inlineStr">
        <is>
          <t>Union retained 7/64 gas/condensate/distillate ORRI and 1/16 oil/casinghead-gas ORRI; no warranty; subject to unrecorded 1979 agreement.</t>
        </is>
      </c>
      <c r="H2" s="2" t="inlineStr">
        <is>
          <t>L-001</t>
        </is>
      </c>
      <c r="I2" s="2" t="inlineStr">
        <is>
          <t>98%</t>
        </is>
      </c>
    </row>
    <row r="3">
      <c r="A3" s="2" t="inlineStr">
        <is>
          <t>1981-09-17</t>
        </is>
      </c>
      <c r="B3" s="2" t="inlineStr">
        <is>
          <t>Leede Exploration</t>
        </is>
      </c>
      <c r="C3" s="2" t="inlineStr">
        <is>
          <t>Mesa 64%; American Petrofina 25%; ENI 5%; Jack O. McCall 4%; Midland National Bank, Trustee 1%; Sterling Petroleum-1978-A 1%</t>
        </is>
      </c>
      <c r="D3" s="2" t="inlineStr">
        <is>
          <t>Correction Assignment</t>
        </is>
      </c>
      <c r="E3" s="2" t="inlineStr">
        <is>
          <t>Bk 509/P220 (supersedes Bk 471/P337)</t>
        </is>
      </c>
      <c r="F3" s="2" t="inlineStr">
        <is>
          <t>Same Crook wellbore/depth interest; effective first runs</t>
        </is>
      </c>
      <c r="G3" s="2" t="inlineStr">
        <is>
          <t>Percentages total 100%. Leede reserved ORRI sufficient for 75% aggregate NRI plus 1/4 after-payout reversion; special warranty only; unrecorded Payfield agreement.</t>
        </is>
      </c>
      <c r="H3" s="2" t="inlineStr">
        <is>
          <t>L-002</t>
        </is>
      </c>
      <c r="I3" s="2" t="inlineStr">
        <is>
          <t>98%</t>
        </is>
      </c>
    </row>
    <row r="4">
      <c r="A4" s="2" t="inlineStr">
        <is>
          <t>1981-09-17</t>
        </is>
      </c>
      <c r="B4" s="2" t="inlineStr">
        <is>
          <t>Leede Exploration</t>
        </is>
      </c>
      <c r="C4" s="2" t="inlineStr">
        <is>
          <t>David G. Campbell 1%; H. Barry Park 1%; R. William Cone .10%; Dennis E. Popham .10%; Gina L. Hickman .05%</t>
        </is>
      </c>
      <c r="D4" s="2" t="inlineStr">
        <is>
          <t>Corrected ORRI Assignment</t>
        </is>
      </c>
      <c r="E4" s="2" t="inlineStr">
        <is>
          <t>Bk 509/P176</t>
        </is>
      </c>
      <c r="F4" s="2" t="inlineStr">
        <is>
          <t>Same Crook wellbore/depth interest</t>
        </is>
      </c>
      <c r="G4" s="2" t="inlineStr">
        <is>
          <t>Aggregate 2.25% ORRI; cost-free except taxes; pooling/free-fuel provisions; special warranty.</t>
        </is>
      </c>
      <c r="H4" s="2" t="inlineStr">
        <is>
          <t>L-003</t>
        </is>
      </c>
      <c r="I4" s="2" t="inlineStr">
        <is>
          <t>99%</t>
        </is>
      </c>
    </row>
    <row r="5">
      <c r="A5" s="2" t="inlineStr">
        <is>
          <t>1981-09-17</t>
        </is>
      </c>
      <c r="B5" s="2" t="inlineStr">
        <is>
          <t>Leede Exploration</t>
        </is>
      </c>
      <c r="C5" s="2" t="inlineStr">
        <is>
          <t>Edward H. Leede 21.053%; Midland National Bank, Trustee 52.632%; Clyde Pine, Jerry Hudgeons, Robert Frazier, Charles Ray, Thomas Morgan 5.263% each</t>
        </is>
      </c>
      <c r="D5" s="2" t="inlineStr">
        <is>
          <t>Assignment of Interest</t>
        </is>
      </c>
      <c r="E5" s="2" t="inlineStr">
        <is>
          <t>Bk 502/P265</t>
        </is>
      </c>
      <c r="F5" s="2" t="inlineStr">
        <is>
          <t>All Leede royalty/ORRI in Section 32</t>
        </is>
      </c>
      <c r="G5" s="2" t="inlineStr">
        <is>
          <t>Allocations total 100.000%; expressly excludes Leede's after-payout Crook WI.</t>
        </is>
      </c>
      <c r="H5" s="2" t="inlineStr">
        <is>
          <t>L-004</t>
        </is>
      </c>
      <c r="I5" s="2" t="inlineStr">
        <is>
          <t>99%</t>
        </is>
      </c>
    </row>
    <row r="6">
      <c r="A6" s="2" t="inlineStr">
        <is>
          <t>1985-09-12; effective 1984-07-01; recorded 1985-09-27</t>
        </is>
      </c>
      <c r="B6" s="2" t="inlineStr">
        <is>
          <t>First City National Bank of Midland, Trustee</t>
        </is>
      </c>
      <c r="C6" s="2" t="inlineStr">
        <is>
          <t>Consolidation of Leede Trusts</t>
        </is>
      </c>
      <c r="D6" s="2" t="inlineStr">
        <is>
          <t>Assignment</t>
        </is>
      </c>
      <c r="E6" s="2" t="inlineStr">
        <is>
          <t>Bk 839/P188</t>
        </is>
      </c>
      <c r="F6" s="2" t="inlineStr">
        <is>
          <t>Only royalty/ORRI acquired under Bk 502/P265</t>
        </is>
      </c>
      <c r="G6" s="2" t="inlineStr">
        <is>
          <t>No warranty. Does not identify or transfer the Bank's separate 1% Crook participant WI.</t>
        </is>
      </c>
      <c r="H6" s="2" t="inlineStr">
        <is>
          <t>L-005</t>
        </is>
      </c>
      <c r="I6" s="2" t="inlineStr">
        <is>
          <t>99%</t>
        </is>
      </c>
    </row>
    <row r="7">
      <c r="A7" s="2" t="inlineStr">
        <is>
          <t>1985-07-29; effective 1985-02-04; recorded 1985-10-23</t>
        </is>
      </c>
      <c r="B7" s="2" t="inlineStr">
        <is>
          <t>Cities Service Oil &amp; Gas Corp.</t>
        </is>
      </c>
      <c r="C7" s="2" t="inlineStr">
        <is>
          <t>Leede Exploration</t>
        </is>
      </c>
      <c r="D7" s="2" t="inlineStr">
        <is>
          <t>Assignment of Borehole Rights in Production</t>
        </is>
      </c>
      <c r="E7" s="2" t="inlineStr">
        <is>
          <t>Bk 845/P47</t>
        </is>
      </c>
      <c r="F7" s="2" t="inlineStr">
        <is>
          <t>E/2 SE/4; Pearl #1-32 wellbore below 11,100 ft to but not below 19,480 ft</t>
        </is>
      </c>
      <c r="G7" s="2" t="inlineStr">
        <is>
          <t>Reserves 1/8 of 8/8 ORRI; five-year renewal/extension reach; subject to unrecorded 1985 agreement; no warranty.</t>
        </is>
      </c>
      <c r="H7" s="2" t="inlineStr">
        <is>
          <t>L-006</t>
        </is>
      </c>
      <c r="I7" s="2" t="inlineStr">
        <is>
          <t>98%</t>
        </is>
      </c>
    </row>
    <row r="8">
      <c r="A8" s="2" t="inlineStr">
        <is>
          <t>1985-10-29; effective first production; recorded 1986-03-06</t>
        </is>
      </c>
      <c r="B8" s="2" t="inlineStr">
        <is>
          <t>Union Oil Co. of California</t>
        </is>
      </c>
      <c r="C8" s="2" t="inlineStr">
        <is>
          <t>Leede Exploration</t>
        </is>
      </c>
      <c r="D8" s="2" t="inlineStr">
        <is>
          <t>Assignment</t>
        </is>
      </c>
      <c r="E8" s="2" t="inlineStr">
        <is>
          <t>Bk 872/P279</t>
        </is>
      </c>
      <c r="F8" s="2" t="inlineStr">
        <is>
          <t>Listed Section 32 leases from top Morrow to 19,480 ft; E/2 SE/4 limited to 11,100-19,480 ft; excludes Crook rights already assigned</t>
        </is>
      </c>
      <c r="G8" s="2" t="inlineStr">
        <is>
          <t>Reserves 1/8 gas/condensate/distillate ORRI and 1/16 oil/casinghead-gas ORRI; no warranty; unrecorded 1984 agreement.</t>
        </is>
      </c>
      <c r="H8" s="2" t="inlineStr">
        <is>
          <t>L-007</t>
        </is>
      </c>
      <c r="I8" s="2" t="inlineStr">
        <is>
          <t>98%</t>
        </is>
      </c>
    </row>
    <row r="9">
      <c r="A9" s="2" t="inlineStr">
        <is>
          <t>1986-02-19; effective 1983-10-01</t>
        </is>
      </c>
      <c r="B9" s="2" t="inlineStr">
        <is>
          <t>Clyde Pine, Charles Ray, Robert Frazier / Leede Exploration</t>
        </is>
      </c>
      <c r="C9" s="2" t="inlineStr">
        <is>
          <t>Mutual parties</t>
        </is>
      </c>
      <c r="D9" s="2" t="inlineStr">
        <is>
          <t>PRF Agreement</t>
        </is>
      </c>
      <c r="E9" s="2" t="inlineStr">
        <is>
          <t>Bk 903/P50</t>
        </is>
      </c>
      <c r="F9" s="2" t="inlineStr">
        <is>
          <t>McCall #1-29 Hunton spacing: S/2 Sec. 29 + N/2 Sec. 32; Pearl #1-32 Lower Morrow spacing: all Sec. 32</t>
        </is>
      </c>
      <c r="G9" s="2" t="inlineStr">
        <is>
          <t>Before package payout: each PRF .526300% and Leede 98.421100% of LGWI; after payout: each PRF 1.315750% and Leede 96.052750%. Percentages apply to defined LGWI, not 8/8 WI.</t>
        </is>
      </c>
      <c r="H9" s="2" t="inlineStr">
        <is>
          <t>L-008</t>
        </is>
      </c>
      <c r="I9" s="2" t="inlineStr">
        <is>
          <t>98%</t>
        </is>
      </c>
    </row>
    <row r="10">
      <c r="A10" s="2" t="inlineStr">
        <is>
          <t>1987-12-02; effective 1987-08-31; recorded 1987-12-04</t>
        </is>
      </c>
      <c r="B10" s="2" t="inlineStr">
        <is>
          <t>TCW Royalty Co., Trust Company of the West, Richard Grantham, Trustee, and Arthur Carlson</t>
        </is>
      </c>
      <c r="C10" s="2" t="inlineStr">
        <is>
          <t>Leede Exploration</t>
        </is>
      </c>
      <c r="D10" s="2" t="inlineStr">
        <is>
          <t>Assignment and Reservation</t>
        </is>
      </c>
      <c r="E10" s="2" t="inlineStr">
        <is>
          <t>Bk 987/P159 et seq.</t>
        </is>
      </c>
      <c r="F10" s="2" t="inlineStr">
        <is>
          <t>Returns rights under 1984 term-loan/royalty documents</t>
        </is>
      </c>
      <c r="G10" s="2" t="inlineStr">
        <is>
          <t>Reserves ORRI equal to .5% of Leede NRI: McCall .043146%, Pearl .052310%, Crook 0%; no title warranty.</t>
        </is>
      </c>
      <c r="H10" s="2" t="inlineStr">
        <is>
          <t>L-009</t>
        </is>
      </c>
      <c r="I10" s="2" t="inlineStr">
        <is>
          <t>99%</t>
        </is>
      </c>
    </row>
    <row r="11">
      <c r="A11" s="2" t="inlineStr">
        <is>
          <t>1988-01-13</t>
        </is>
      </c>
      <c r="B11" s="2" t="inlineStr">
        <is>
          <t>First City National Bank of Midland</t>
        </is>
      </c>
      <c r="C11" s="2" t="inlineStr">
        <is>
          <t>Leede parties</t>
        </is>
      </c>
      <c r="D11" s="2" t="inlineStr">
        <is>
          <t>Release</t>
        </is>
      </c>
      <c r="E11" s="2" t="inlineStr">
        <is>
          <t>Bk 995/P52</t>
        </is>
      </c>
      <c r="F11" s="2" t="inlineStr">
        <is>
          <t>Enumerated Pearl/Crook/McCall mortgage interests</t>
        </is>
      </c>
      <c r="G11" s="2" t="inlineStr">
        <is>
          <t>Full/final release of enumerated 1984/1987 TCW, Vinson and First City liens; does not prove release of any unlisted lien.</t>
        </is>
      </c>
      <c r="H11" s="2" t="inlineStr">
        <is>
          <t>L-010</t>
        </is>
      </c>
      <c r="I11" s="2" t="inlineStr">
        <is>
          <t>97%</t>
        </is>
      </c>
    </row>
    <row r="12">
      <c r="A12" s="2" t="inlineStr">
        <is>
          <t>1988-02-18; effective 1988-01-01; recorded 1988-04-26</t>
        </is>
      </c>
      <c r="B12" s="2" t="inlineStr">
        <is>
          <t>Consolidation of Leede Trusts</t>
        </is>
      </c>
      <c r="C12" s="2" t="inlineStr">
        <is>
          <t>Leede Exploration</t>
        </is>
      </c>
      <c r="D12" s="2" t="inlineStr">
        <is>
          <t>Assignment</t>
        </is>
      </c>
      <c r="E12" s="2" t="inlineStr">
        <is>
          <t>Bk 1014/P75</t>
        </is>
      </c>
      <c r="F12" s="2" t="inlineStr">
        <is>
          <t>N/2 Sec. 32, all depths below top Hunton; plus S/2 Sec. 29 all depths</t>
        </is>
      </c>
      <c r="G12" s="2" t="inlineStr">
        <is>
          <t>Purports to assign all OGLs and working/cost-bearing interests without warranty. Source into Consolidation proves only royalty/ORRI; no WI source or decimal shown. Does not expressly reconvey the 52.632% royalty/ORRI strand.</t>
        </is>
      </c>
      <c r="H12" s="2" t="inlineStr">
        <is>
          <t>L-011</t>
        </is>
      </c>
      <c r="I12" s="2" t="inlineStr">
        <is>
          <t>99% text / 20% ownership effect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25" customWidth="1" min="4" max="4"/>
    <col width="30" customWidth="1" min="5" max="5"/>
    <col width="62" customWidth="1" min="6" max="6"/>
    <col width="20" customWidth="1" min="7" max="7"/>
    <col width="11" customWidth="1" min="8" max="8"/>
    <col width="24" customWidth="1" min="9" max="9"/>
  </cols>
  <sheetData>
    <row r="1" ht="28" customHeight="1">
      <c r="A1" s="1" t="inlineStr">
        <is>
          <t>Recorded</t>
        </is>
      </c>
      <c r="B1" s="1" t="inlineStr">
        <is>
          <t>Grantor</t>
        </is>
      </c>
      <c r="C1" s="1" t="inlineStr">
        <is>
          <t>Grantee</t>
        </is>
      </c>
      <c r="D1" s="1" t="inlineStr">
        <is>
          <t>Type</t>
        </is>
      </c>
      <c r="E1" s="1" t="inlineStr">
        <is>
          <t>Book/Page</t>
        </is>
      </c>
      <c r="F1" s="1" t="inlineStr">
        <is>
          <t>Significance</t>
        </is>
      </c>
      <c r="G1" s="1" t="inlineStr">
        <is>
          <t>Evidence tier</t>
        </is>
      </c>
      <c r="H1" s="1" t="inlineStr">
        <is>
          <t>Source</t>
        </is>
      </c>
      <c r="I1" s="1" t="inlineStr">
        <is>
          <t>Confidence</t>
        </is>
      </c>
    </row>
    <row r="2">
      <c r="A2" s="2" t="inlineStr">
        <is>
          <t>1988-05-05</t>
        </is>
      </c>
      <c r="B2" s="2" t="inlineStr">
        <is>
          <t>Leede Exploration et al.</t>
        </is>
      </c>
      <c r="C2" s="2" t="inlineStr">
        <is>
          <t>Exxon Corp.</t>
        </is>
      </c>
      <c r="D2" s="2" t="inlineStr">
        <is>
          <t>Assignment</t>
        </is>
      </c>
      <c r="E2" s="2" t="inlineStr">
        <is>
          <t>1016/38</t>
        </is>
      </c>
      <c r="F2" s="2" t="inlineStr">
        <is>
          <t>Early post-cutoff transfer; underlying copy absent</t>
        </is>
      </c>
      <c r="G2" s="2" t="inlineStr">
        <is>
          <t>Index-only</t>
        </is>
      </c>
      <c r="H2" s="2" t="inlineStr">
        <is>
          <t>S-002</t>
        </is>
      </c>
      <c r="I2" s="2" t="inlineStr">
        <is>
          <t>90% metadata</t>
        </is>
      </c>
    </row>
    <row r="3">
      <c r="A3" s="2" t="inlineStr">
        <is>
          <t>1990-01-05</t>
        </is>
      </c>
      <c r="B3" s="2" t="inlineStr">
        <is>
          <t>Leede Exploration et al.</t>
        </is>
      </c>
      <c r="C3" s="2" t="inlineStr">
        <is>
          <t>TCW Royalty Co. et al.</t>
        </is>
      </c>
      <c r="D3" s="2" t="inlineStr">
        <is>
          <t>Assignment</t>
        </is>
      </c>
      <c r="E3" s="2" t="inlineStr">
        <is>
          <t>1137/65</t>
        </is>
      </c>
      <c r="F3" s="2" t="inlineStr">
        <is>
          <t>Possible royalty/ORRI burden</t>
        </is>
      </c>
      <c r="G3" s="2" t="inlineStr">
        <is>
          <t>Index-only</t>
        </is>
      </c>
      <c r="H3" s="2" t="inlineStr">
        <is>
          <t>S-002</t>
        </is>
      </c>
      <c r="I3" s="2" t="inlineStr">
        <is>
          <t>90% metadata</t>
        </is>
      </c>
    </row>
    <row r="4">
      <c r="A4" s="2" t="inlineStr">
        <is>
          <t>1990-03-21</t>
        </is>
      </c>
      <c r="B4" s="2" t="inlineStr">
        <is>
          <t>Atom Land &amp; Exploration et al.</t>
        </is>
      </c>
      <c r="C4" s="2" t="inlineStr">
        <is>
          <t>Leede Exploration et al.</t>
        </is>
      </c>
      <c r="D4" s="2" t="inlineStr">
        <is>
          <t>Stipulation</t>
        </is>
      </c>
      <c r="E4" s="2" t="inlineStr">
        <is>
          <t>1137/340; 1140/1</t>
        </is>
      </c>
      <c r="F4" s="2" t="inlineStr">
        <is>
          <t>Potential title clarification</t>
        </is>
      </c>
      <c r="G4" s="2" t="inlineStr">
        <is>
          <t>Index-only</t>
        </is>
      </c>
      <c r="H4" s="2" t="inlineStr">
        <is>
          <t>S-002</t>
        </is>
      </c>
      <c r="I4" s="2" t="inlineStr">
        <is>
          <t>85% metadata</t>
        </is>
      </c>
    </row>
    <row r="5">
      <c r="A5" s="2" t="inlineStr">
        <is>
          <t>1991-07-25</t>
        </is>
      </c>
      <c r="B5" s="2" t="inlineStr">
        <is>
          <t>Leede Exploration</t>
        </is>
      </c>
      <c r="C5" s="2" t="inlineStr">
        <is>
          <t>NICOR Exploration Co.</t>
        </is>
      </c>
      <c r="D5" s="2" t="inlineStr">
        <is>
          <t>Assignments</t>
        </is>
      </c>
      <c r="E5" s="2" t="inlineStr">
        <is>
          <t>1217/304; 1217/318</t>
        </is>
      </c>
      <c r="F5" s="2" t="inlineStr">
        <is>
          <t>Possible outstanding leasehold slices</t>
        </is>
      </c>
      <c r="G5" s="2" t="inlineStr">
        <is>
          <t>Index-only</t>
        </is>
      </c>
      <c r="H5" s="2" t="inlineStr">
        <is>
          <t>S-002</t>
        </is>
      </c>
      <c r="I5" s="2" t="inlineStr">
        <is>
          <t>90% metadata</t>
        </is>
      </c>
    </row>
    <row r="6">
      <c r="A6" s="2" t="inlineStr">
        <is>
          <t>1992-04-21</t>
        </is>
      </c>
      <c r="B6" s="2" t="inlineStr">
        <is>
          <t>Leede Exploration et al.</t>
        </is>
      </c>
      <c r="C6" s="2" t="inlineStr">
        <is>
          <t>TCW Royalty Co. et al.</t>
        </is>
      </c>
      <c r="D6" s="2" t="inlineStr">
        <is>
          <t>Conveyance</t>
        </is>
      </c>
      <c r="E6" s="2" t="inlineStr">
        <is>
          <t>1257/197</t>
        </is>
      </c>
      <c r="F6" s="2" t="inlineStr">
        <is>
          <t>Potential full-section royalty/ORRI conveyance</t>
        </is>
      </c>
      <c r="G6" s="2" t="inlineStr">
        <is>
          <t>Index-only</t>
        </is>
      </c>
      <c r="H6" s="2" t="inlineStr">
        <is>
          <t>S-002</t>
        </is>
      </c>
      <c r="I6" s="2" t="inlineStr">
        <is>
          <t>90% metadata</t>
        </is>
      </c>
    </row>
    <row r="7">
      <c r="A7" s="2" t="inlineStr">
        <is>
          <t>1993-03-31</t>
        </is>
      </c>
      <c r="B7" s="2" t="inlineStr">
        <is>
          <t>Leede Exploration</t>
        </is>
      </c>
      <c r="C7" s="2" t="inlineStr">
        <is>
          <t>Exxon Corp.</t>
        </is>
      </c>
      <c r="D7" s="2" t="inlineStr">
        <is>
          <t>Assignment</t>
        </is>
      </c>
      <c r="E7" s="2" t="inlineStr">
        <is>
          <t>1303/202</t>
        </is>
      </c>
      <c r="F7" s="2" t="inlineStr">
        <is>
          <t>Full-section-indexed Exxon link</t>
        </is>
      </c>
      <c r="G7" s="2" t="inlineStr">
        <is>
          <t>Index-only</t>
        </is>
      </c>
      <c r="H7" s="2" t="inlineStr">
        <is>
          <t>S-002</t>
        </is>
      </c>
      <c r="I7" s="2" t="inlineStr">
        <is>
          <t>92% metadata</t>
        </is>
      </c>
    </row>
    <row r="8">
      <c r="A8" s="2" t="inlineStr">
        <is>
          <t>1994-02-03 / 1995-10-24</t>
        </is>
      </c>
      <c r="B8" s="2" t="inlineStr">
        <is>
          <t>Leede Exploration</t>
        </is>
      </c>
      <c r="C8" s="2" t="inlineStr">
        <is>
          <t>Leede Operating Co. / Leede Operating Co. LLC</t>
        </is>
      </c>
      <c r="D8" s="2" t="inlineStr">
        <is>
          <t>Assignment / Conveyance</t>
        </is>
      </c>
      <c r="E8" s="2" t="inlineStr">
        <is>
          <t>1346/34; 1442/270</t>
        </is>
      </c>
      <c r="F8" s="2" t="inlineStr">
        <is>
          <t>Leede operating branch</t>
        </is>
      </c>
      <c r="G8" s="2" t="inlineStr">
        <is>
          <t>Index-only</t>
        </is>
      </c>
      <c r="H8" s="2" t="inlineStr">
        <is>
          <t>S-002</t>
        </is>
      </c>
      <c r="I8" s="2" t="inlineStr">
        <is>
          <t>90% metadata</t>
        </is>
      </c>
    </row>
    <row r="9">
      <c r="A9" s="2" t="inlineStr">
        <is>
          <t>1997-06-19</t>
        </is>
      </c>
      <c r="B9" s="2" t="inlineStr">
        <is>
          <t>Leede Operating Co.</t>
        </is>
      </c>
      <c r="C9" s="2" t="inlineStr">
        <is>
          <t>St. Mary Land &amp; Exploration</t>
        </is>
      </c>
      <c r="D9" s="2" t="inlineStr">
        <is>
          <t>Assignments</t>
        </is>
      </c>
      <c r="E9" s="2" t="inlineStr">
        <is>
          <t>1522/84; 1522/87</t>
        </is>
      </c>
      <c r="F9" s="2" t="inlineStr">
        <is>
          <t>Potential outstanding/divested branch</t>
        </is>
      </c>
      <c r="G9" s="2" t="inlineStr">
        <is>
          <t>Index-only</t>
        </is>
      </c>
      <c r="H9" s="2" t="inlineStr">
        <is>
          <t>S-002</t>
        </is>
      </c>
      <c r="I9" s="2" t="inlineStr">
        <is>
          <t>90% metadata</t>
        </is>
      </c>
    </row>
    <row r="10">
      <c r="A10" s="2" t="inlineStr">
        <is>
          <t>1997-07-07 / 1997-09-15</t>
        </is>
      </c>
      <c r="B10" s="2" t="inlineStr">
        <is>
          <t>Mid-Continent Energy / Leede Exploration</t>
        </is>
      </c>
      <c r="C10" s="2" t="inlineStr">
        <is>
          <t>Sanguine Ltd. / Exxon Corp.</t>
        </is>
      </c>
      <c r="D10" s="2" t="inlineStr">
        <is>
          <t>Assignment / Conveyance</t>
        </is>
      </c>
      <c r="E10" s="2" t="inlineStr">
        <is>
          <t>1524/36; 1533/362</t>
        </is>
      </c>
      <c r="F10" s="2" t="inlineStr">
        <is>
          <t>Separate/partial branches; exact tracts open</t>
        </is>
      </c>
      <c r="G10" s="2" t="inlineStr">
        <is>
          <t>Index-only</t>
        </is>
      </c>
      <c r="H10" s="2" t="inlineStr">
        <is>
          <t>S-002</t>
        </is>
      </c>
      <c r="I10" s="2" t="inlineStr">
        <is>
          <t>88% metadata</t>
        </is>
      </c>
    </row>
    <row r="11">
      <c r="A11" s="2" t="inlineStr">
        <is>
          <t>1998-09-24 / 1998-11-06</t>
        </is>
      </c>
      <c r="B11" s="2" t="inlineStr">
        <is>
          <t>Leede Exploration / Leede Operating</t>
        </is>
      </c>
      <c r="C11" s="2" t="inlineStr">
        <is>
          <t>Kabala Oil &amp; Gas LLC / self-stipulations</t>
        </is>
      </c>
      <c r="D11" s="2" t="inlineStr">
        <is>
          <t>Assignment / Stipulations</t>
        </is>
      </c>
      <c r="E11" s="2" t="inlineStr">
        <is>
          <t>1577/450; 1581/303; 1581/319</t>
        </is>
      </c>
      <c r="F11" s="2" t="inlineStr">
        <is>
          <t>Potential outstanding branch/title clarification</t>
        </is>
      </c>
      <c r="G11" s="2" t="inlineStr">
        <is>
          <t>Index-only</t>
        </is>
      </c>
      <c r="H11" s="2" t="inlineStr">
        <is>
          <t>S-002</t>
        </is>
      </c>
      <c r="I11" s="2" t="inlineStr">
        <is>
          <t>88% metadata</t>
        </is>
      </c>
    </row>
    <row r="12">
      <c r="A12" s="2" t="inlineStr">
        <is>
          <t>2001-06-14</t>
        </is>
      </c>
      <c r="B12" s="2" t="inlineStr">
        <is>
          <t>Staghorn Resources</t>
        </is>
      </c>
      <c r="C12" s="2" t="inlineStr">
        <is>
          <t>Chesapeake Exploration</t>
        </is>
      </c>
      <c r="D12" s="2" t="inlineStr">
        <is>
          <t>Assignment</t>
        </is>
      </c>
      <c r="E12" s="2" t="inlineStr">
        <is>
          <t>1697/574</t>
        </is>
      </c>
      <c r="F12" s="2" t="inlineStr">
        <is>
          <t>Full-section-indexed Chesapeake acquisition</t>
        </is>
      </c>
      <c r="G12" s="2" t="inlineStr">
        <is>
          <t>Index-only</t>
        </is>
      </c>
      <c r="H12" s="2" t="inlineStr">
        <is>
          <t>S-002</t>
        </is>
      </c>
      <c r="I12" s="2" t="inlineStr">
        <is>
          <t>93% metadata</t>
        </is>
      </c>
    </row>
    <row r="13">
      <c r="A13" s="2" t="inlineStr">
        <is>
          <t>2003-07-28 / 2003-08-18</t>
        </is>
      </c>
      <c r="B13" s="2" t="inlineStr">
        <is>
          <t>Mobil Exploration Co. / Exxon Mobil Corp.</t>
        </is>
      </c>
      <c r="C13" s="2" t="inlineStr">
        <is>
          <t>Chesapeake Exploration</t>
        </is>
      </c>
      <c r="D13" s="2" t="inlineStr">
        <is>
          <t>Assignment-type entries</t>
        </is>
      </c>
      <c r="E13" s="2" t="inlineStr">
        <is>
          <t>1783/118; 1784/959</t>
        </is>
      </c>
      <c r="F13" s="2" t="inlineStr">
        <is>
          <t>Partial-tract predecessor links</t>
        </is>
      </c>
      <c r="G13" s="2" t="inlineStr">
        <is>
          <t>Index-only</t>
        </is>
      </c>
      <c r="H13" s="2" t="inlineStr">
        <is>
          <t>S-002</t>
        </is>
      </c>
      <c r="I13" s="2" t="inlineStr">
        <is>
          <t>90% metadata</t>
        </is>
      </c>
    </row>
    <row r="14">
      <c r="A14" s="2" t="inlineStr">
        <is>
          <t>2015-02-18</t>
        </is>
      </c>
      <c r="B14" s="2" t="inlineStr">
        <is>
          <t>Chesapeake Exploration et al.</t>
        </is>
      </c>
      <c r="C14" s="2" t="inlineStr">
        <is>
          <t>Linn Operating</t>
        </is>
      </c>
      <c r="D14" s="2" t="inlineStr">
        <is>
          <t>Wellbore sale</t>
        </is>
      </c>
      <c r="E14" s="2" t="inlineStr">
        <is>
          <t>2183/174</t>
        </is>
      </c>
      <c r="F14" s="2" t="inlineStr">
        <is>
          <t>Potential wellbore-specific divestiture</t>
        </is>
      </c>
      <c r="G14" s="2" t="inlineStr">
        <is>
          <t>Index-only</t>
        </is>
      </c>
      <c r="H14" s="2" t="inlineStr">
        <is>
          <t>S-002</t>
        </is>
      </c>
      <c r="I14" s="2" t="inlineStr">
        <is>
          <t>90% metadata</t>
        </is>
      </c>
    </row>
    <row r="15">
      <c r="A15" s="2" t="inlineStr">
        <is>
          <t>2015-03-31 / 2016-06-07</t>
        </is>
      </c>
      <c r="B15" s="2" t="inlineStr">
        <is>
          <t>Chesapeake Exploration et al.</t>
        </is>
      </c>
      <c r="C15" s="2" t="inlineStr">
        <is>
          <t>FourPoint Energy</t>
        </is>
      </c>
      <c r="D15" s="2" t="inlineStr">
        <is>
          <t>Conveyance / Assignment / Memorandum</t>
        </is>
      </c>
      <c r="E15" s="2" t="inlineStr">
        <is>
          <t>2185/639; 2225/1; 2225/710</t>
        </is>
      </c>
      <c r="F15" s="2" t="inlineStr">
        <is>
          <t>FourPoint branch; wellbore/depth/excluded assets open</t>
        </is>
      </c>
      <c r="G15" s="2" t="inlineStr">
        <is>
          <t>Index-only</t>
        </is>
      </c>
      <c r="H15" s="2" t="inlineStr">
        <is>
          <t>S-002</t>
        </is>
      </c>
      <c r="I15" s="2" t="inlineStr">
        <is>
          <t>95% metadata</t>
        </is>
      </c>
    </row>
    <row r="16">
      <c r="A16" s="2" t="inlineStr">
        <is>
          <t>2020-12-10</t>
        </is>
      </c>
      <c r="B16" s="2" t="inlineStr">
        <is>
          <t>Unbridled Resources et al.</t>
        </is>
      </c>
      <c r="C16" s="2" t="inlineStr">
        <is>
          <t>Public</t>
        </is>
      </c>
      <c r="D16" s="2" t="inlineStr">
        <is>
          <t>Name Change</t>
        </is>
      </c>
      <c r="E16" s="2" t="inlineStr">
        <is>
          <t>2340/218</t>
        </is>
      </c>
      <c r="F16" s="2" t="inlineStr">
        <is>
          <t>FourPoint/Unbridled identity evidence</t>
        </is>
      </c>
      <c r="G16" s="2" t="inlineStr">
        <is>
          <t>Index-only</t>
        </is>
      </c>
      <c r="H16" s="2" t="inlineStr">
        <is>
          <t>S-002</t>
        </is>
      </c>
      <c r="I16" s="2" t="inlineStr">
        <is>
          <t>95% metadata</t>
        </is>
      </c>
    </row>
    <row r="17">
      <c r="A17" s="2" t="inlineStr">
        <is>
          <t>2020-12-14</t>
        </is>
      </c>
      <c r="B17" s="2" t="inlineStr">
        <is>
          <t>Chesapeake Exploration et al.</t>
        </is>
      </c>
      <c r="C17" s="2" t="inlineStr">
        <is>
          <t>Tapstone Energy LLC</t>
        </is>
      </c>
      <c r="D17" s="2" t="inlineStr">
        <is>
          <t>Assignment</t>
        </is>
      </c>
      <c r="E17" s="2" t="inlineStr">
        <is>
          <t>2340/403</t>
        </is>
      </c>
      <c r="F17" s="2" t="inlineStr">
        <is>
          <t>Full-section-indexed Tapstone branch</t>
        </is>
      </c>
      <c r="G17" s="2" t="inlineStr">
        <is>
          <t>Index-only</t>
        </is>
      </c>
      <c r="H17" s="2" t="inlineStr">
        <is>
          <t>S-002</t>
        </is>
      </c>
      <c r="I17" s="2" t="inlineStr">
        <is>
          <t>97% metadata</t>
        </is>
      </c>
    </row>
    <row r="18">
      <c r="A18" s="2" t="inlineStr">
        <is>
          <t>2020-12-14</t>
        </is>
      </c>
      <c r="B18" s="2" t="inlineStr">
        <is>
          <t>Chesapeake Exploration et al.</t>
        </is>
      </c>
      <c r="C18" s="2" t="inlineStr">
        <is>
          <t>KL CHK SPV LLC</t>
        </is>
      </c>
      <c r="D18" s="2" t="inlineStr">
        <is>
          <t>Assignment</t>
        </is>
      </c>
      <c r="E18" s="2" t="inlineStr">
        <is>
          <t>2340/490</t>
        </is>
      </c>
      <c r="F18" s="2" t="inlineStr">
        <is>
          <t>Full-section-indexed KL CHK branch</t>
        </is>
      </c>
      <c r="G18" s="2" t="inlineStr">
        <is>
          <t>Index-only</t>
        </is>
      </c>
      <c r="H18" s="2" t="inlineStr">
        <is>
          <t>S-002</t>
        </is>
      </c>
      <c r="I18" s="2" t="inlineStr">
        <is>
          <t>98% metadata</t>
        </is>
      </c>
    </row>
    <row r="19">
      <c r="A19" s="2" t="inlineStr">
        <is>
          <t>2021-12-02; recorded 2022-01-12</t>
        </is>
      </c>
      <c r="B19" s="2" t="inlineStr">
        <is>
          <t>KL CHK SPV LLC</t>
        </is>
      </c>
      <c r="C19" s="2" t="inlineStr">
        <is>
          <t>Diversified Production LLC and OCM Denali Holdings LLC</t>
        </is>
      </c>
      <c r="D19" s="2" t="inlineStr">
        <is>
          <t>Assignment</t>
        </is>
      </c>
      <c r="E19" s="2" t="inlineStr">
        <is>
          <t>2371/470-494; I-2022-000152</t>
        </is>
      </c>
      <c r="F19" s="2" t="inlineStr">
        <is>
          <t>Long description; all Section 32 Q-Q boxes indexed; fractions/schedules absent</t>
        </is>
      </c>
      <c r="G19" s="2" t="inlineStr">
        <is>
          <t>Public metadata + index</t>
        </is>
      </c>
      <c r="H19" s="2" t="inlineStr">
        <is>
          <t>C-001</t>
        </is>
      </c>
      <c r="I19" s="2" t="inlineStr">
        <is>
          <t>99% metadata / 0% decimal</t>
        </is>
      </c>
    </row>
    <row r="20">
      <c r="A20" s="2" t="inlineStr">
        <is>
          <t>2022-01-12</t>
        </is>
      </c>
      <c r="B20" s="2" t="inlineStr">
        <is>
          <t>Tapstone Energy LLC et al.</t>
        </is>
      </c>
      <c r="C20" s="2" t="inlineStr">
        <is>
          <t>OCM Denali Holdings LLC</t>
        </is>
      </c>
      <c r="D20" s="2" t="inlineStr">
        <is>
          <t>Assignment / Agreement</t>
        </is>
      </c>
      <c r="E20" s="2" t="inlineStr">
        <is>
          <t>2371/495; 2371/514</t>
        </is>
      </c>
      <c r="F20" s="2" t="inlineStr">
        <is>
          <t>Parallel co-acquirer branch; operative terms absent</t>
        </is>
      </c>
      <c r="G20" s="2" t="inlineStr">
        <is>
          <t>Index-only</t>
        </is>
      </c>
      <c r="H20" s="2" t="inlineStr">
        <is>
          <t>S-002</t>
        </is>
      </c>
      <c r="I20" s="2" t="inlineStr">
        <is>
          <t>97% metadata</t>
        </is>
      </c>
    </row>
    <row r="21">
      <c r="A21" s="2" t="inlineStr">
        <is>
          <t>2022-01-12</t>
        </is>
      </c>
      <c r="B21" s="2" t="inlineStr">
        <is>
          <t>Diversified Production LLC et al.</t>
        </is>
      </c>
      <c r="C21" s="2" t="inlineStr">
        <is>
          <t>OCM Denali Holdings LLC et al.</t>
        </is>
      </c>
      <c r="D21" s="2" t="inlineStr">
        <is>
          <t>Memorandum</t>
        </is>
      </c>
      <c r="E21" s="2" t="inlineStr">
        <is>
          <t>2371/533</t>
        </is>
      </c>
      <c r="F21" s="2" t="inlineStr">
        <is>
          <t>Notice of relationship; not independently dispositive</t>
        </is>
      </c>
      <c r="G21" s="2" t="inlineStr">
        <is>
          <t>Index-only</t>
        </is>
      </c>
      <c r="H21" s="2" t="inlineStr">
        <is>
          <t>S-002</t>
        </is>
      </c>
      <c r="I21" s="2" t="inlineStr">
        <is>
          <t>97% metadata</t>
        </is>
      </c>
    </row>
    <row r="22">
      <c r="A22" s="2" t="inlineStr">
        <is>
          <t>2022-08-24</t>
        </is>
      </c>
      <c r="B22" s="2" t="inlineStr">
        <is>
          <t>Diversified Production LLC; DP Legacy Central LLC; DP KL CHK Merger Co LLC; DP Legacy Merger Co LLC</t>
        </is>
      </c>
      <c r="C22" s="2" t="inlineStr">
        <is>
          <t>DP Legacy Tapstone LLC</t>
        </is>
      </c>
      <c r="D22" s="2" t="inlineStr">
        <is>
          <t>Merger</t>
        </is>
      </c>
      <c r="E22" s="2" t="inlineStr">
        <is>
          <t>2389/500-580; I-2022-003506</t>
        </is>
      </c>
      <c r="F22" s="2" t="inlineStr">
        <is>
          <t>Corporate succession entry across Section 32; certificate/terms absent</t>
        </is>
      </c>
      <c r="G22" s="2" t="inlineStr">
        <is>
          <t>Public metadata + index</t>
        </is>
      </c>
      <c r="H22" s="2" t="inlineStr">
        <is>
          <t>S-002</t>
        </is>
      </c>
      <c r="I22" s="2" t="inlineStr">
        <is>
          <t>99% metadata / 35% vesting effect</t>
        </is>
      </c>
    </row>
    <row r="23">
      <c r="A23" s="2" t="inlineStr">
        <is>
          <t>2022-08-24</t>
        </is>
      </c>
      <c r="B23" s="2" t="inlineStr">
        <is>
          <t>Diversified Oil &amp; Gas Corp. et al.</t>
        </is>
      </c>
      <c r="C23" s="2" t="inlineStr">
        <is>
          <t>Public</t>
        </is>
      </c>
      <c r="D23" s="2" t="inlineStr">
        <is>
          <t>Amended affidavit</t>
        </is>
      </c>
      <c r="E23" s="2" t="inlineStr">
        <is>
          <t>2389/581</t>
        </is>
      </c>
      <c r="F23" s="2" t="inlineStr">
        <is>
          <t>Corporate identity notice; not a conveyance</t>
        </is>
      </c>
      <c r="G23" s="2" t="inlineStr">
        <is>
          <t>Index-only</t>
        </is>
      </c>
      <c r="H23" s="2" t="inlineStr">
        <is>
          <t>S-002</t>
        </is>
      </c>
      <c r="I23" s="2" t="inlineStr">
        <is>
          <t>95% metadata</t>
        </is>
      </c>
    </row>
    <row r="24">
      <c r="A24" s="2" t="inlineStr">
        <is>
          <t>2022-11-18</t>
        </is>
      </c>
      <c r="B24" s="2" t="inlineStr">
        <is>
          <t>DP Legacy Tapstone LLC</t>
        </is>
      </c>
      <c r="C24" s="2" t="inlineStr">
        <is>
          <t>Diversified ABS VI Upstream LLC and DP Sooner HoldCo LLC</t>
        </is>
      </c>
      <c r="D24" s="2" t="inlineStr">
        <is>
          <t>Conveyance</t>
        </is>
      </c>
      <c r="E24" s="2" t="inlineStr">
        <is>
          <t>2395/415-464; I-2022-004838</t>
        </is>
      </c>
      <c r="F24" s="2" t="inlineStr">
        <is>
          <t>Long description; all Section 32 Q-Q boxes indexed; estates/fractions/schedules absent</t>
        </is>
      </c>
      <c r="G24" s="2" t="inlineStr">
        <is>
          <t>Public metadata + index</t>
        </is>
      </c>
      <c r="H24" s="2" t="inlineStr">
        <is>
          <t>C-002</t>
        </is>
      </c>
      <c r="I24" s="2" t="inlineStr">
        <is>
          <t>99% metadata / 0% decimal</t>
        </is>
      </c>
    </row>
    <row r="25">
      <c r="A25" s="2" t="inlineStr">
        <is>
          <t>2023-03-02</t>
        </is>
      </c>
      <c r="B25" s="2" t="inlineStr">
        <is>
          <t>DP Sooner HoldCo LLC</t>
        </is>
      </c>
      <c r="C25" s="2" t="inlineStr">
        <is>
          <t>Diversified Production LLC</t>
        </is>
      </c>
      <c r="D25" s="2" t="inlineStr">
        <is>
          <t>Conveyance</t>
        </is>
      </c>
      <c r="E25" s="2" t="inlineStr">
        <is>
          <t>2400/551-567; I-2023-000796</t>
        </is>
      </c>
      <c r="F25" s="2" t="inlineStr">
        <is>
          <t>Long description; relation to prior branch and subject asset fraction open</t>
        </is>
      </c>
      <c r="G25" s="2" t="inlineStr">
        <is>
          <t>Public metadata + index</t>
        </is>
      </c>
      <c r="H25" s="2" t="inlineStr">
        <is>
          <t>C-004</t>
        </is>
      </c>
      <c r="I25" s="2" t="inlineStr">
        <is>
          <t>99% metadata / 25% title effect</t>
        </is>
      </c>
    </row>
    <row r="26">
      <c r="A26" s="2" t="inlineStr">
        <is>
          <t>2023-11-14</t>
        </is>
      </c>
      <c r="B26" s="2" t="inlineStr">
        <is>
          <t>Unbridled Resources</t>
        </is>
      </c>
      <c r="C26" s="2" t="inlineStr">
        <is>
          <t>MNR ABS Issuer I WB</t>
        </is>
      </c>
      <c r="D26" s="2" t="inlineStr">
        <is>
          <t>Conveyance</t>
        </is>
      </c>
      <c r="E26" s="2" t="inlineStr">
        <is>
          <t>2415/328</t>
        </is>
      </c>
      <c r="F26" s="2" t="inlineStr">
        <is>
          <t>Later FourPoint/Unbridled securitization branch; reconcile to Tapstone/KL CHK</t>
        </is>
      </c>
      <c r="G26" s="2" t="inlineStr">
        <is>
          <t>Index-only</t>
        </is>
      </c>
      <c r="H26" s="2" t="inlineStr">
        <is>
          <t>S-002</t>
        </is>
      </c>
      <c r="I26" s="2" t="inlineStr">
        <is>
          <t>92% metadata</t>
        </is>
      </c>
    </row>
    <row r="27">
      <c r="A27" s="2" t="inlineStr">
        <is>
          <t>2025-05-13</t>
        </is>
      </c>
      <c r="B27" s="2" t="inlineStr">
        <is>
          <t>Diversified Energy Company PLC</t>
        </is>
      </c>
      <c r="C27" s="2" t="inlineStr">
        <is>
          <t>Public</t>
        </is>
      </c>
      <c r="D27" s="2" t="inlineStr">
        <is>
          <t>Merger</t>
        </is>
      </c>
      <c r="E27" s="2" t="inlineStr">
        <is>
          <t>2451/4-23; I-2025-001808</t>
        </is>
      </c>
      <c r="F27" s="2" t="inlineStr">
        <is>
          <t>Corporate merger metadata; merged/surviving entities and title effect absent</t>
        </is>
      </c>
      <c r="G27" s="2" t="inlineStr">
        <is>
          <t>Public metadata + index</t>
        </is>
      </c>
      <c r="H27" s="2" t="inlineStr">
        <is>
          <t>C-005</t>
        </is>
      </c>
      <c r="I27" s="2" t="inlineStr">
        <is>
          <t>99% metadata / 20% title effect</t>
        </is>
      </c>
    </row>
    <row r="28">
      <c r="A28" s="2" t="inlineStr">
        <is>
          <t>2026-01-23</t>
        </is>
      </c>
      <c r="B28" s="2" t="inlineStr">
        <is>
          <t>Canvas Energy II LLC</t>
        </is>
      </c>
      <c r="C28" s="2" t="inlineStr">
        <is>
          <t>DP Ponies LLC</t>
        </is>
      </c>
      <c r="D28" s="2" t="inlineStr">
        <is>
          <t>Conveyance</t>
        </is>
      </c>
      <c r="E28" s="2" t="inlineStr">
        <is>
          <t>2476/1</t>
        </is>
      </c>
      <c r="F28" s="2" t="inlineStr">
        <is>
          <t>Separate DP-affiliated acquisition; relation to subject Diversified branch open</t>
        </is>
      </c>
      <c r="G28" s="2" t="inlineStr">
        <is>
          <t>Index-only</t>
        </is>
      </c>
      <c r="H28" s="2" t="inlineStr">
        <is>
          <t>S-002</t>
        </is>
      </c>
      <c r="I28" s="2" t="inlineStr">
        <is>
          <t>95% metadata</t>
        </is>
      </c>
    </row>
    <row r="29">
      <c r="A29" s="2" t="inlineStr">
        <is>
          <t>2026-01-23</t>
        </is>
      </c>
      <c r="B29" s="2" t="inlineStr">
        <is>
          <t>Diversified Production LLC; DP Ponies LLC; DP Secretariat LLC; DP American Pharoah LLC; DP Seabiscuit LLC; DP Sovereignty LLC</t>
        </is>
      </c>
      <c r="C29" s="2" t="inlineStr">
        <is>
          <t>Same group, with DE American Pharoah LLC name on grantee side</t>
        </is>
      </c>
      <c r="D29" s="2" t="inlineStr">
        <is>
          <t>Agreement</t>
        </is>
      </c>
      <c r="E29" s="2" t="inlineStr">
        <is>
          <t>2476/121-130; I-2026-000215</t>
        </is>
      </c>
      <c r="F29" s="2" t="inlineStr">
        <is>
          <t>Agreement only; not facially a conveyance; long description and effect absent</t>
        </is>
      </c>
      <c r="G29" s="2" t="inlineStr">
        <is>
          <t>Public metadata + index</t>
        </is>
      </c>
      <c r="H29" s="2" t="inlineStr">
        <is>
          <t>C-006</t>
        </is>
      </c>
      <c r="I29" s="2" t="inlineStr">
        <is>
          <t>99% metadata / 10% title effect</t>
        </is>
      </c>
    </row>
  </sheetData>
  <autoFilter ref="A1:I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48" customWidth="1" min="4" max="4"/>
    <col width="22" customWidth="1" min="5" max="5"/>
    <col width="28" customWidth="1" min="6" max="6"/>
    <col width="38" customWidth="1" min="7" max="7"/>
    <col width="11" customWidth="1" min="8" max="8"/>
    <col width="28" customWidth="1" min="9" max="9"/>
  </cols>
  <sheetData>
    <row r="1" ht="28" customHeight="1">
      <c r="A1" s="1" t="inlineStr">
        <is>
          <t>Recorded</t>
        </is>
      </c>
      <c r="B1" s="1" t="inlineStr">
        <is>
          <t>Instrument</t>
        </is>
      </c>
      <c r="C1" s="1" t="inlineStr">
        <is>
          <t>Grantor</t>
        </is>
      </c>
      <c r="D1" s="1" t="inlineStr">
        <is>
          <t>Grantee</t>
        </is>
      </c>
      <c r="E1" s="1" t="inlineStr">
        <is>
          <t>Type</t>
        </is>
      </c>
      <c r="F1" s="1" t="inlineStr">
        <is>
          <t>Book/Page</t>
        </is>
      </c>
      <c r="G1" s="1" t="inlineStr">
        <is>
          <t>Coverage</t>
        </is>
      </c>
      <c r="H1" s="1" t="inlineStr">
        <is>
          <t>Source</t>
        </is>
      </c>
      <c r="I1" s="1" t="inlineStr">
        <is>
          <t>Confidence</t>
        </is>
      </c>
    </row>
    <row r="2">
      <c r="A2" s="2" t="inlineStr">
        <is>
          <t>2022-01-12</t>
        </is>
      </c>
      <c r="B2" s="2" t="inlineStr">
        <is>
          <t>I-2022-000152</t>
        </is>
      </c>
      <c r="C2" s="2" t="inlineStr">
        <is>
          <t>KL CHK SPV LLC</t>
        </is>
      </c>
      <c r="D2" s="2" t="inlineStr">
        <is>
          <t>Diversified Production LLC; OCM Denali Holdings LLC</t>
        </is>
      </c>
      <c r="E2" s="2" t="inlineStr">
        <is>
          <t>Assignment</t>
        </is>
      </c>
      <c r="F2" s="2" t="inlineStr">
        <is>
          <t>2371/470-494</t>
        </is>
      </c>
      <c r="G2" s="2" t="inlineStr">
        <is>
          <t>All 16 Q-Q ticks; long description</t>
        </is>
      </c>
      <c r="H2" s="2" t="inlineStr">
        <is>
          <t>C-001</t>
        </is>
      </c>
      <c r="I2" s="2" t="inlineStr">
        <is>
          <t>99% metadata; 0% decimal</t>
        </is>
      </c>
    </row>
    <row r="3">
      <c r="A3" s="2" t="inlineStr">
        <is>
          <t>2022-01-12</t>
        </is>
      </c>
      <c r="B3" s="2" t="inlineStr">
        <is>
          <t>I-2022-000155</t>
        </is>
      </c>
      <c r="C3" s="2" t="inlineStr">
        <is>
          <t>Diversified Production LLC et al.</t>
        </is>
      </c>
      <c r="D3" s="2" t="inlineStr">
        <is>
          <t>OCM Denali Holdings LLC et al.</t>
        </is>
      </c>
      <c r="E3" s="2" t="inlineStr">
        <is>
          <t>Memorandum</t>
        </is>
      </c>
      <c r="F3" s="2" t="inlineStr">
        <is>
          <t>2371/533</t>
        </is>
      </c>
      <c r="G3" s="2" t="inlineStr">
        <is>
          <t>All 16 Q-Q ticks</t>
        </is>
      </c>
      <c r="H3" s="2" t="inlineStr">
        <is>
          <t>S-002</t>
        </is>
      </c>
      <c r="I3" s="2" t="inlineStr">
        <is>
          <t>97% metadata</t>
        </is>
      </c>
    </row>
    <row r="4">
      <c r="A4" s="2" t="inlineStr">
        <is>
          <t>2022-08-24</t>
        </is>
      </c>
      <c r="B4" s="2" t="inlineStr">
        <is>
          <t>I-2022-003506</t>
        </is>
      </c>
      <c r="C4" s="2" t="inlineStr">
        <is>
          <t>Diversified Production LLC et al.</t>
        </is>
      </c>
      <c r="D4" s="2" t="inlineStr">
        <is>
          <t>DP Legacy Tapstone LLC</t>
        </is>
      </c>
      <c r="E4" s="2" t="inlineStr">
        <is>
          <t>Merger</t>
        </is>
      </c>
      <c r="F4" s="2" t="inlineStr">
        <is>
          <t>2389/500-580</t>
        </is>
      </c>
      <c r="G4" s="2" t="inlineStr">
        <is>
          <t>All 16 Q-Q ticks</t>
        </is>
      </c>
      <c r="H4" s="2" t="inlineStr">
        <is>
          <t>S-002</t>
        </is>
      </c>
      <c r="I4" s="2" t="inlineStr">
        <is>
          <t>99% metadata</t>
        </is>
      </c>
    </row>
    <row r="5">
      <c r="A5" s="2" t="inlineStr">
        <is>
          <t>2022-08-24</t>
        </is>
      </c>
      <c r="B5" s="2" t="inlineStr">
        <is>
          <t>I-2022-003507</t>
        </is>
      </c>
      <c r="C5" s="2" t="inlineStr">
        <is>
          <t>Diversified Oil &amp; Gas Corp. et al.</t>
        </is>
      </c>
      <c r="D5" s="2" t="inlineStr">
        <is>
          <t>Public</t>
        </is>
      </c>
      <c r="E5" s="2" t="inlineStr">
        <is>
          <t>Amended affidavit</t>
        </is>
      </c>
      <c r="F5" s="2" t="inlineStr">
        <is>
          <t>2389/581</t>
        </is>
      </c>
      <c r="G5" s="2" t="inlineStr">
        <is>
          <t>All 16 Q-Q ticks</t>
        </is>
      </c>
      <c r="H5" s="2" t="inlineStr">
        <is>
          <t>S-002</t>
        </is>
      </c>
      <c r="I5" s="2" t="inlineStr">
        <is>
          <t>95% metadata</t>
        </is>
      </c>
    </row>
    <row r="6">
      <c r="A6" s="2" t="inlineStr">
        <is>
          <t>2022-11-18</t>
        </is>
      </c>
      <c r="B6" s="2" t="inlineStr">
        <is>
          <t>I-2022-004838</t>
        </is>
      </c>
      <c r="C6" s="2" t="inlineStr">
        <is>
          <t>DP Legacy Tapstone LLC</t>
        </is>
      </c>
      <c r="D6" s="2" t="inlineStr">
        <is>
          <t>Diversified ABS VI Upstream LLC; DP Sooner HoldCo LLC</t>
        </is>
      </c>
      <c r="E6" s="2" t="inlineStr">
        <is>
          <t>Conveyance</t>
        </is>
      </c>
      <c r="F6" s="2" t="inlineStr">
        <is>
          <t>2395/415-464</t>
        </is>
      </c>
      <c r="G6" s="2" t="inlineStr">
        <is>
          <t>All 16 Q-Q ticks; long description</t>
        </is>
      </c>
      <c r="H6" s="2" t="inlineStr">
        <is>
          <t>C-002</t>
        </is>
      </c>
      <c r="I6" s="2" t="inlineStr">
        <is>
          <t>99% metadata; 0% decimal</t>
        </is>
      </c>
    </row>
    <row r="7">
      <c r="A7" s="2" t="inlineStr">
        <is>
          <t>2023-03-02</t>
        </is>
      </c>
      <c r="B7" s="2" t="inlineStr">
        <is>
          <t>I-2023-000796</t>
        </is>
      </c>
      <c r="C7" s="2" t="inlineStr">
        <is>
          <t>DP Sooner HoldCo LLC</t>
        </is>
      </c>
      <c r="D7" s="2" t="inlineStr">
        <is>
          <t>Diversified Production LLC</t>
        </is>
      </c>
      <c r="E7" s="2" t="inlineStr">
        <is>
          <t>Conveyance</t>
        </is>
      </c>
      <c r="F7" s="2" t="inlineStr">
        <is>
          <t>2400/551-567</t>
        </is>
      </c>
      <c r="G7" s="2" t="inlineStr">
        <is>
          <t>Broad/all-section ticks; long description</t>
        </is>
      </c>
      <c r="H7" s="2" t="inlineStr">
        <is>
          <t>C-004</t>
        </is>
      </c>
      <c r="I7" s="2" t="inlineStr">
        <is>
          <t>99% metadata; 25% effect</t>
        </is>
      </c>
    </row>
    <row r="8">
      <c r="A8" s="2" t="inlineStr">
        <is>
          <t>2025-05-13</t>
        </is>
      </c>
      <c r="B8" s="2" t="inlineStr">
        <is>
          <t>I-2025-001808</t>
        </is>
      </c>
      <c r="C8" s="2" t="inlineStr">
        <is>
          <t>Diversified Energy Company PLC</t>
        </is>
      </c>
      <c r="D8" s="2" t="inlineStr">
        <is>
          <t>Public</t>
        </is>
      </c>
      <c r="E8" s="2" t="inlineStr">
        <is>
          <t>Merger</t>
        </is>
      </c>
      <c r="F8" s="2" t="inlineStr">
        <is>
          <t>2451/4-23</t>
        </is>
      </c>
      <c r="G8" s="2" t="inlineStr">
        <is>
          <t>Broad/all-section ticks; long description</t>
        </is>
      </c>
      <c r="H8" s="2" t="inlineStr">
        <is>
          <t>C-005</t>
        </is>
      </c>
      <c r="I8" s="2" t="inlineStr">
        <is>
          <t>99% metadata; 20% effect</t>
        </is>
      </c>
    </row>
    <row r="9">
      <c r="A9" s="2" t="inlineStr">
        <is>
          <t>2026-01-23</t>
        </is>
      </c>
      <c r="B9" s="2" t="inlineStr">
        <is>
          <t>I-2026-000215</t>
        </is>
      </c>
      <c r="C9" s="2" t="inlineStr">
        <is>
          <t>Diversified Production LLC and five DP affiliates</t>
        </is>
      </c>
      <c r="D9" s="2" t="inlineStr">
        <is>
          <t>Same group, one entity-name variance</t>
        </is>
      </c>
      <c r="E9" s="2" t="inlineStr">
        <is>
          <t>Agreement</t>
        </is>
      </c>
      <c r="F9" s="2" t="inlineStr">
        <is>
          <t>2476/121-130</t>
        </is>
      </c>
      <c r="G9" s="2" t="inlineStr">
        <is>
          <t>All 16 Q-Q ticks; long description</t>
        </is>
      </c>
      <c r="H9" s="2" t="inlineStr">
        <is>
          <t>C-006</t>
        </is>
      </c>
      <c r="I9" s="2" t="inlineStr">
        <is>
          <t>99% metadata; 10% effect</t>
        </is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50" customWidth="1" min="4" max="4"/>
    <col width="42" customWidth="1" min="5" max="5"/>
    <col width="78" customWidth="1" min="6" max="6"/>
  </cols>
  <sheetData>
    <row r="1" ht="28" customHeight="1">
      <c r="A1" s="1" t="inlineStr">
        <is>
          <t>Instrument</t>
        </is>
      </c>
      <c r="B1" s="1" t="inlineStr">
        <is>
          <t>Type</t>
        </is>
      </c>
      <c r="C1" s="1" t="inlineStr">
        <is>
          <t>Book/Page</t>
        </is>
      </c>
      <c r="D1" s="1" t="inlineStr">
        <is>
          <t>Grantor</t>
        </is>
      </c>
      <c r="E1" s="1" t="inlineStr">
        <is>
          <t>Grantee</t>
        </is>
      </c>
      <c r="F1" s="1" t="inlineStr">
        <is>
          <t>Screening status</t>
        </is>
      </c>
    </row>
    <row r="2">
      <c r="A2" s="2" t="inlineStr">
        <is>
          <t>2024-002930</t>
        </is>
      </c>
      <c r="B2" s="2" t="inlineStr">
        <is>
          <t>Wellbore Assignment</t>
        </is>
      </c>
      <c r="C2" s="2" t="inlineStr">
        <is>
          <t>2434/751-760</t>
        </is>
      </c>
      <c r="D2" s="2" t="inlineStr">
        <is>
          <t>Diversified Production LLC and DP Legacy Central LLC</t>
        </is>
      </c>
      <c r="E2" s="2" t="inlineStr">
        <is>
          <t>Teocalli Exploration LLC</t>
        </is>
      </c>
      <c r="F2" s="2" t="inlineStr">
        <is>
          <t>Long description; not indexed to the subject section in the supplied section index. Pull schedule before excluding.</t>
        </is>
      </c>
    </row>
    <row r="3">
      <c r="A3" s="2" t="inlineStr">
        <is>
          <t>2025-003599</t>
        </is>
      </c>
      <c r="B3" s="2" t="inlineStr">
        <is>
          <t>Wellbore Assignment</t>
        </is>
      </c>
      <c r="C3" s="2" t="inlineStr">
        <is>
          <t>2464/200-217</t>
        </is>
      </c>
      <c r="D3" s="2" t="inlineStr">
        <is>
          <t>Stephens Production Co. / Continental Properties affiliates</t>
        </is>
      </c>
      <c r="E3" s="2" t="inlineStr">
        <is>
          <t>Diversified Production LLC</t>
        </is>
      </c>
      <c r="F3" s="2" t="inlineStr">
        <is>
          <t>Long description; potential acquisition not established to Section 32.</t>
        </is>
      </c>
    </row>
    <row r="4">
      <c r="A4" s="2" t="inlineStr">
        <is>
          <t>2026-001031</t>
        </is>
      </c>
      <c r="B4" s="2" t="inlineStr">
        <is>
          <t>Affidavit</t>
        </is>
      </c>
      <c r="C4" s="2" t="inlineStr">
        <is>
          <t>2480/824-883</t>
        </is>
      </c>
      <c r="D4" s="2" t="inlineStr">
        <is>
          <t>DP Legacy Central LLC; Diversified Production LLC</t>
        </is>
      </c>
      <c r="E4" s="2" t="inlineStr">
        <is>
          <t>Public / affidavit filing</t>
        </is>
      </c>
      <c r="F4" s="2" t="inlineStr">
        <is>
          <t>Sixty pages and long description; subject applicability and substantive effect OPEN.</t>
        </is>
      </c>
    </row>
    <row r="5">
      <c r="A5" s="2" t="inlineStr">
        <is>
          <t>2026-001039</t>
        </is>
      </c>
      <c r="B5" s="2" t="inlineStr">
        <is>
          <t>Merger</t>
        </is>
      </c>
      <c r="C5" s="2" t="inlineStr">
        <is>
          <t>2480/903-909</t>
        </is>
      </c>
      <c r="D5" s="2" t="inlineStr">
        <is>
          <t>Multiple DP/Diversified/Canvas affiliates</t>
        </is>
      </c>
      <c r="E5" s="2" t="inlineStr">
        <is>
          <t>Public</t>
        </is>
      </c>
      <c r="F5" s="2" t="inlineStr">
        <is>
          <t>No indexed legal description; corporate effect may be global. Pull certificate/plan before final vesting conclusion.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18" customWidth="1" min="4" max="4"/>
    <col width="34" customWidth="1" min="5" max="5"/>
    <col width="45" customWidth="1" min="6" max="6"/>
    <col width="46" customWidth="1" min="7" max="7"/>
  </cols>
  <sheetData>
    <row r="1" ht="28" customHeight="1">
      <c r="A1" s="1" t="inlineStr">
        <is>
          <t>Effective date</t>
        </is>
      </c>
      <c r="B1" s="1" t="inlineStr">
        <is>
          <t>Lessor</t>
        </is>
      </c>
      <c r="C1" s="1" t="inlineStr">
        <is>
          <t>Lessee</t>
        </is>
      </c>
      <c r="D1" s="1" t="inlineStr">
        <is>
          <t>Book/Page</t>
        </is>
      </c>
      <c r="E1" s="1" t="inlineStr">
        <is>
          <t>Legal</t>
        </is>
      </c>
      <c r="F1" s="1" t="inlineStr">
        <is>
          <t>Later treatment</t>
        </is>
      </c>
      <c r="G1" s="1" t="inlineStr">
        <is>
          <t>Terms/Status</t>
        </is>
      </c>
    </row>
    <row r="2">
      <c r="A2" s="2" t="inlineStr">
        <is>
          <t>1947-11-13</t>
        </is>
      </c>
      <c r="B2" s="2" t="inlineStr">
        <is>
          <t>Garretts</t>
        </is>
      </c>
      <c r="C2" s="2" t="inlineStr">
        <is>
          <t>C.E. McKinley</t>
        </is>
      </c>
      <c r="D2" s="2" t="inlineStr">
        <is>
          <t>63/33</t>
        </is>
      </c>
      <c r="E2" s="2" t="inlineStr">
        <is>
          <t>E/2 SE/4</t>
        </is>
      </c>
      <c r="F2" s="2" t="inlineStr">
        <is>
          <t>Below 11,100 ft in later assignment exhibit</t>
        </is>
      </c>
      <c r="G2" s="2" t="inlineStr">
        <is>
          <t>Original term, royalty, clauses, HBP: OPEN</t>
        </is>
      </c>
    </row>
    <row r="3">
      <c r="A3" s="2" t="inlineStr">
        <is>
          <t>1972-02-05</t>
        </is>
      </c>
      <c r="B3" s="2" t="inlineStr">
        <is>
          <t>Charlie B. and Ina Pearl Crook</t>
        </is>
      </c>
      <c r="C3" s="2" t="inlineStr">
        <is>
          <t>Union</t>
        </is>
      </c>
      <c r="D3" s="2" t="inlineStr">
        <is>
          <t>264/345</t>
        </is>
      </c>
      <c r="E3" s="2" t="inlineStr">
        <is>
          <t>NE/4</t>
        </is>
      </c>
      <c r="F3" s="2" t="inlineStr">
        <is>
          <t>Later deep assignment subject</t>
        </is>
      </c>
      <c r="G3" s="2" t="inlineStr">
        <is>
          <t>Original term, royalty, clauses, HBP: OPEN</t>
        </is>
      </c>
    </row>
    <row r="4">
      <c r="A4" s="2" t="inlineStr">
        <is>
          <t>1976-04-29</t>
        </is>
      </c>
      <c r="B4" s="2" t="inlineStr">
        <is>
          <t>Cora B. LeGrand</t>
        </is>
      </c>
      <c r="C4" s="2" t="inlineStr">
        <is>
          <t>Union</t>
        </is>
      </c>
      <c r="D4" s="2" t="inlineStr">
        <is>
          <t>307/31</t>
        </is>
      </c>
      <c r="E4" s="2" t="inlineStr">
        <is>
          <t>W/2 SE/4 + S/2 SW/4</t>
        </is>
      </c>
      <c r="F4" s="2" t="inlineStr">
        <is>
          <t>Later deep assignment subject</t>
        </is>
      </c>
      <c r="G4" s="2" t="inlineStr">
        <is>
          <t>Original term, royalty, clauses, HBP: OPEN</t>
        </is>
      </c>
    </row>
    <row r="5">
      <c r="A5" s="2" t="inlineStr">
        <is>
          <t>1977-10-14</t>
        </is>
      </c>
      <c r="B5" s="2" t="inlineStr">
        <is>
          <t>Gertrude L. LaFortune et al.</t>
        </is>
      </c>
      <c r="C5" s="2" t="inlineStr">
        <is>
          <t>Union</t>
        </is>
      </c>
      <c r="D5" s="2" t="inlineStr">
        <is>
          <t>340/302</t>
        </is>
      </c>
      <c r="E5" s="2" t="inlineStr">
        <is>
          <t>N/2 SW/4</t>
        </is>
      </c>
      <c r="F5" s="2" t="inlineStr">
        <is>
          <t>Later deep assignment subject</t>
        </is>
      </c>
      <c r="G5" s="2" t="inlineStr">
        <is>
          <t>Original term, royalty, clauses, HBP: OPEN</t>
        </is>
      </c>
    </row>
    <row r="6">
      <c r="A6" s="2" t="inlineStr">
        <is>
          <t>1977-10-14</t>
        </is>
      </c>
      <c r="B6" s="2" t="inlineStr">
        <is>
          <t>Gertrude LaFortune, widow</t>
        </is>
      </c>
      <c r="C6" s="2" t="inlineStr">
        <is>
          <t>Union</t>
        </is>
      </c>
      <c r="D6" s="2" t="inlineStr">
        <is>
          <t>340/304</t>
        </is>
      </c>
      <c r="E6" s="2" t="inlineStr">
        <is>
          <t>N/2 SW/4</t>
        </is>
      </c>
      <c r="F6" s="2" t="inlineStr">
        <is>
          <t>Overlap/chain relationship must be read</t>
        </is>
      </c>
      <c r="G6" s="2" t="inlineStr">
        <is>
          <t>Original term, royalty, clauses, HBP: OPEN</t>
        </is>
      </c>
    </row>
    <row r="7">
      <c r="A7" s="2" t="inlineStr">
        <is>
          <t>1977-09-29</t>
        </is>
      </c>
      <c r="B7" s="2" t="inlineStr">
        <is>
          <t>George T. Harrison Jr. and Renata Harrison</t>
        </is>
      </c>
      <c r="C7" s="2" t="inlineStr">
        <is>
          <t>Union</t>
        </is>
      </c>
      <c r="D7" s="2" t="inlineStr">
        <is>
          <t>340/323</t>
        </is>
      </c>
      <c r="E7" s="2" t="inlineStr">
        <is>
          <t>N/2 NW/4 + N/2 SW/4</t>
        </is>
      </c>
      <c r="F7" s="2" t="inlineStr">
        <is>
          <t>Later deep assignment subject</t>
        </is>
      </c>
      <c r="G7" s="2" t="inlineStr">
        <is>
          <t>Original term, royalty, clauses, HBP: OPEN</t>
        </is>
      </c>
    </row>
    <row r="8">
      <c r="A8" s="2" t="inlineStr">
        <is>
          <t>1977-09-29</t>
        </is>
      </c>
      <c r="B8" s="2" t="inlineStr">
        <is>
          <t>Carol Seidenbach Leach</t>
        </is>
      </c>
      <c r="C8" s="2" t="inlineStr">
        <is>
          <t>Union</t>
        </is>
      </c>
      <c r="D8" s="2" t="inlineStr">
        <is>
          <t>342/564</t>
        </is>
      </c>
      <c r="E8" s="2" t="inlineStr">
        <is>
          <t>N/2 SW/4</t>
        </is>
      </c>
      <c r="F8" s="2" t="inlineStr">
        <is>
          <t>Later deep assignment subject</t>
        </is>
      </c>
      <c r="G8" s="2" t="inlineStr">
        <is>
          <t>Original term, royalty, clauses, HBP: OPEN</t>
        </is>
      </c>
    </row>
    <row r="9">
      <c r="A9" s="2" t="inlineStr">
        <is>
          <t>1977-11-01</t>
        </is>
      </c>
      <c r="B9" s="2" t="inlineStr">
        <is>
          <t>Cynthia Seidenbach Kruse</t>
        </is>
      </c>
      <c r="C9" s="2" t="inlineStr">
        <is>
          <t>Union</t>
        </is>
      </c>
      <c r="D9" s="2" t="inlineStr">
        <is>
          <t>342/566</t>
        </is>
      </c>
      <c r="E9" s="2" t="inlineStr">
        <is>
          <t>N/2 SW/4</t>
        </is>
      </c>
      <c r="F9" s="2" t="inlineStr">
        <is>
          <t>Later deep assignment subject</t>
        </is>
      </c>
      <c r="G9" s="2" t="inlineStr">
        <is>
          <t>Original term, royalty, clauses, HBP: OPEN</t>
        </is>
      </c>
    </row>
    <row r="10">
      <c r="A10" s="2" t="inlineStr">
        <is>
          <t>1978-05-16</t>
        </is>
      </c>
      <c r="B10" s="2" t="inlineStr">
        <is>
          <t>F.L. Randel</t>
        </is>
      </c>
      <c r="C10" s="2" t="inlineStr">
        <is>
          <t>Union</t>
        </is>
      </c>
      <c r="D10" s="2" t="inlineStr">
        <is>
          <t>352/719</t>
        </is>
      </c>
      <c r="E10" s="2" t="inlineStr">
        <is>
          <t>NE/4</t>
        </is>
      </c>
      <c r="F10" s="2" t="inlineStr">
        <is>
          <t>Later deep assignment subject</t>
        </is>
      </c>
      <c r="G10" s="2" t="inlineStr">
        <is>
          <t>Original term, royalty, clauses, HBP: OPEN</t>
        </is>
      </c>
    </row>
    <row r="11">
      <c r="A11" s="2" t="inlineStr">
        <is>
          <t>1978-05-16</t>
        </is>
      </c>
      <c r="B11" s="2" t="inlineStr">
        <is>
          <t>J.L. Randel</t>
        </is>
      </c>
      <c r="C11" s="2" t="inlineStr">
        <is>
          <t>Union</t>
        </is>
      </c>
      <c r="D11" s="2" t="inlineStr">
        <is>
          <t>352/721</t>
        </is>
      </c>
      <c r="E11" s="2" t="inlineStr">
        <is>
          <t>NE/4</t>
        </is>
      </c>
      <c r="F11" s="2" t="inlineStr">
        <is>
          <t>Later deep assignment subject</t>
        </is>
      </c>
      <c r="G11" s="2" t="inlineStr">
        <is>
          <t>Original term, royalty, clauses, HBP: OPEN</t>
        </is>
      </c>
    </row>
    <row r="12">
      <c r="A12" s="2" t="inlineStr">
        <is>
          <t>1979-03-21</t>
        </is>
      </c>
      <c r="B12" s="2" t="inlineStr">
        <is>
          <t>Great Western Oil &amp; Gas</t>
        </is>
      </c>
      <c r="C12" s="2" t="inlineStr">
        <is>
          <t>Union</t>
        </is>
      </c>
      <c r="D12" s="2" t="inlineStr">
        <is>
          <t>376/369</t>
        </is>
      </c>
      <c r="E12" s="2" t="inlineStr">
        <is>
          <t>NE/4</t>
        </is>
      </c>
      <c r="F12" s="2" t="inlineStr">
        <is>
          <t>Later deep assignment subject</t>
        </is>
      </c>
      <c r="G12" s="2" t="inlineStr">
        <is>
          <t>Source of lessor title and lease terms: OPEN</t>
        </is>
      </c>
    </row>
  </sheetData>
  <autoFilter ref="A1:G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0" customWidth="1" min="3" max="3"/>
    <col width="60" customWidth="1" min="4" max="4"/>
    <col width="11" customWidth="1" min="5" max="5"/>
    <col width="30" customWidth="1" min="6" max="6"/>
  </cols>
  <sheetData>
    <row r="1" ht="28" customHeight="1">
      <c r="A1" s="1" t="inlineStr">
        <is>
          <t>Burden</t>
        </is>
      </c>
      <c r="B1" s="1" t="inlineStr">
        <is>
          <t>Scope</t>
        </is>
      </c>
      <c r="C1" s="1" t="inlineStr">
        <is>
          <t>Quantum</t>
        </is>
      </c>
      <c r="D1" s="1" t="inlineStr">
        <is>
          <t>Special terms</t>
        </is>
      </c>
      <c r="E1" s="1" t="inlineStr">
        <is>
          <t>Source</t>
        </is>
      </c>
      <c r="F1" s="1" t="inlineStr">
        <is>
          <t>Present effect</t>
        </is>
      </c>
    </row>
    <row r="2">
      <c r="A2" s="2" t="inlineStr">
        <is>
          <t>Union Crook reservation</t>
        </is>
      </c>
      <c r="B2" s="2" t="inlineStr">
        <is>
          <t>Crook wellbore; 16,210-20,451 ft</t>
        </is>
      </c>
      <c r="C2" s="2" t="inlineStr">
        <is>
          <t>7/64 (10.9375%) gas/condensate/distillate; 1/16 (6.25%) oil/casinghead gas</t>
        </is>
      </c>
      <c r="D2" s="2" t="inlineStr">
        <is>
          <t>Renewals/extensions; proportionate reduction; excess-burden absorption</t>
        </is>
      </c>
      <c r="E2" s="2" t="inlineStr">
        <is>
          <t>L-001</t>
        </is>
      </c>
      <c r="F2" s="2" t="inlineStr">
        <is>
          <t>Current survival OPEN</t>
        </is>
      </c>
    </row>
    <row r="3">
      <c r="A3" s="2" t="inlineStr">
        <is>
          <t>Leede participant/reversion structure</t>
        </is>
      </c>
      <c r="B3" s="2" t="inlineStr">
        <is>
          <t>Crook wellbore/depth</t>
        </is>
      </c>
      <c r="C3" s="2" t="inlineStr">
        <is>
          <t>Participants allocated 100%; aggregate participant NRI fixed at 75%; Leede 1/4 after-payout reversion</t>
        </is>
      </c>
      <c r="D3" s="2" t="inlineStr">
        <is>
          <t>Payout accounting and reassignments absent</t>
        </is>
      </c>
      <c r="E3" s="2" t="inlineStr">
        <is>
          <t>L-002</t>
        </is>
      </c>
      <c r="F3" s="2" t="inlineStr">
        <is>
          <t>Current WI/NRI OPEN</t>
        </is>
      </c>
    </row>
    <row r="4">
      <c r="A4" s="2" t="inlineStr">
        <is>
          <t>Employee ORRI</t>
        </is>
      </c>
      <c r="B4" s="2" t="inlineStr">
        <is>
          <t>Crook wellbore/depth</t>
        </is>
      </c>
      <c r="C4" s="2" t="inlineStr">
        <is>
          <t>2.25% of 8/8 aggregate</t>
        </is>
      </c>
      <c r="D4" s="2" t="inlineStr">
        <is>
          <t>Cost-free except taxes; pooling/free fuel</t>
        </is>
      </c>
      <c r="E4" s="2" t="inlineStr">
        <is>
          <t>L-003</t>
        </is>
      </c>
      <c r="F4" s="2" t="inlineStr">
        <is>
          <t>Current survival OPEN</t>
        </is>
      </c>
    </row>
    <row r="5">
      <c r="A5" s="2" t="inlineStr">
        <is>
          <t>Cities Service Pearl reservation</t>
        </is>
      </c>
      <c r="B5" s="2" t="inlineStr">
        <is>
          <t>Pearl wellbore; E/2 SE/4; 11,100-19,480 ft</t>
        </is>
      </c>
      <c r="C5" s="2" t="inlineStr">
        <is>
          <t>1/8 of 8/8 ORRI</t>
        </is>
      </c>
      <c r="D5" s="2" t="inlineStr">
        <is>
          <t>Five-year renewal/extension reach; proportionate reduction</t>
        </is>
      </c>
      <c r="E5" s="2" t="inlineStr">
        <is>
          <t>L-006</t>
        </is>
      </c>
      <c r="F5" s="2" t="inlineStr">
        <is>
          <t>Current survival OPEN</t>
        </is>
      </c>
    </row>
    <row r="6">
      <c r="A6" s="2" t="inlineStr">
        <is>
          <t>Union Pearl/deep reservation</t>
        </is>
      </c>
      <c r="B6" s="2" t="inlineStr">
        <is>
          <t>Listed leases; top Morrow to 19,480 ft</t>
        </is>
      </c>
      <c r="C6" s="2" t="inlineStr">
        <is>
          <t>1/8 gas/condensate/distillate; 1/16 oil/casinghead gas</t>
        </is>
      </c>
      <c r="D6" s="2" t="inlineStr">
        <is>
          <t>Prior Crook rights excepted</t>
        </is>
      </c>
      <c r="E6" s="2" t="inlineStr">
        <is>
          <t>L-007</t>
        </is>
      </c>
      <c r="F6" s="2" t="inlineStr">
        <is>
          <t>Current survival OPEN</t>
        </is>
      </c>
    </row>
    <row r="7">
      <c r="A7" s="2" t="inlineStr">
        <is>
          <t>PRF interests</t>
        </is>
      </c>
      <c r="B7" s="2" t="inlineStr">
        <is>
          <t>Defined LGWI; McCall Hunton and Pearl Lower Morrow</t>
        </is>
      </c>
      <c r="C7" s="2" t="inlineStr">
        <is>
          <t>Each PRF .526300% before package payout / 1.315750% after; Leede balance</t>
        </is>
      </c>
      <c r="D7" s="2" t="inlineStr">
        <is>
          <t>Not percentages of 8/8 WI; special financing limitations</t>
        </is>
      </c>
      <c r="E7" s="2" t="inlineStr">
        <is>
          <t>L-008</t>
        </is>
      </c>
      <c r="F7" s="2" t="inlineStr">
        <is>
          <t>Payout status OPEN</t>
        </is>
      </c>
    </row>
    <row r="8">
      <c r="A8" s="2" t="inlineStr">
        <is>
          <t>TCW/Grantham/Carlson ORRI</t>
        </is>
      </c>
      <c r="B8" s="2" t="inlineStr">
        <is>
          <t>McCall/Pearl/Crook table</t>
        </is>
      </c>
      <c r="C8" s="2" t="inlineStr">
        <is>
          <t>.5% of Leede NRI; exact historical values .043146%, .052310%, 0%</t>
        </is>
      </c>
      <c r="D8" s="2" t="inlineStr">
        <is>
          <t>No title warranty; tied to 1984 royalty documents</t>
        </is>
      </c>
      <c r="E8" s="2" t="inlineStr">
        <is>
          <t>L-009</t>
        </is>
      </c>
      <c r="F8" s="2" t="inlineStr">
        <is>
          <t>Current survival OPEN</t>
        </is>
      </c>
    </row>
    <row r="9">
      <c r="A9" s="2" t="inlineStr">
        <is>
          <t>Modern blanket financing</t>
        </is>
      </c>
      <c r="B9" s="2" t="inlineStr">
        <is>
          <t>Tapstone/DP Legacy/MNR/DP Ponies asset packages</t>
        </is>
      </c>
      <c r="C9" s="2" t="inlineStr">
        <is>
          <t>Mortgages and fixture statements at 2341/127, 2371/554-589, 2389/590-630, 2415/410 et seq., 2476/67-109</t>
        </is>
      </c>
      <c r="D9" s="2" t="inlineStr">
        <is>
          <t>Several releases/terminations exist, but collateral schedules were not reviewed</t>
        </is>
      </c>
      <c r="E9" s="2" t="inlineStr">
        <is>
          <t>S-002</t>
        </is>
      </c>
      <c r="F9" s="2" t="inlineStr">
        <is>
          <t>Lien status OPEN</t>
        </is>
      </c>
    </row>
  </sheetData>
  <autoFilter ref="A1:F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90" customWidth="1" min="3" max="3"/>
    <col width="70" customWidth="1" min="4" max="4"/>
    <col width="14" customWidth="1" min="5" max="5"/>
  </cols>
  <sheetData>
    <row r="1" ht="28" customHeight="1">
      <c r="A1" s="1" t="inlineStr">
        <is>
          <t>Priority</t>
        </is>
      </c>
      <c r="B1" s="1" t="inlineStr">
        <is>
          <t>Requirement</t>
        </is>
      </c>
      <c r="C1" s="1" t="inlineStr">
        <is>
          <t>Specific action</t>
        </is>
      </c>
      <c r="D1" s="1" t="inlineStr">
        <is>
          <t>Reason</t>
        </is>
      </c>
      <c r="E1" s="1" t="inlineStr">
        <is>
          <t>Level</t>
        </is>
      </c>
    </row>
    <row r="2">
      <c r="A2" s="2" t="n">
        <v>1</v>
      </c>
      <c r="B2" s="2" t="inlineStr">
        <is>
          <t>Obtain certified, complete copies of the 2020-2026 operative instruments and every exhibit/schedule</t>
        </is>
      </c>
      <c r="C2" s="2" t="inlineStr">
        <is>
          <t>At minimum Bk/Pg 2340/403, 2340/490, 2371/470, 2371/495, 2371/514, 2371/533, 2389/500, 2389/581, 2395/415, 2400/551, 2451/4 and 2476/121.</t>
        </is>
      </c>
      <c r="D2" s="2" t="inlineStr">
        <is>
          <t>Required for estate, decimal, exclusions, depth, effective date, warranty, after-acquired-title and current vesting.</t>
        </is>
      </c>
      <c r="E2" s="3" t="inlineStr">
        <is>
          <t>CRITICAL</t>
        </is>
      </c>
    </row>
    <row r="3">
      <c r="A3" s="2" t="n">
        <v>2</v>
      </c>
      <c r="B3" s="2" t="inlineStr">
        <is>
          <t>Pull the post-April-1988 predecessor chain</t>
        </is>
      </c>
      <c r="C3" s="2" t="inlineStr">
        <is>
          <t>Start with Bk/Pg 1014/76, 1014/228, 1016/38; then Leede/TCW/NICOR/Exxon/Leede Operating/St. Mary/Sanguine/Kabala/Chesapeake links listed in the evidence register.</t>
        </is>
      </c>
      <c r="D3" s="2" t="inlineStr">
        <is>
          <t>Closes the 1988-2020 record gap and reconciles parallel branches.</t>
        </is>
      </c>
      <c r="E3" s="3" t="inlineStr">
        <is>
          <t>CRITICAL</t>
        </is>
      </c>
    </row>
    <row r="4">
      <c r="A4" s="2" t="n">
        <v>3</v>
      </c>
      <c r="B4" s="2" t="inlineStr">
        <is>
          <t>Obtain and abstract every underlying OGL</t>
        </is>
      </c>
      <c r="C4" s="2" t="inlineStr">
        <is>
          <t>Bk/Pg 63/33, 264/345, 307/31, 340/302, 340/304, 340/323, 342/564, 342/566, 352/719, 352/721, 376/369, plus any lease added in later schedules.</t>
        </is>
      </c>
      <c r="D4" s="2" t="inlineStr">
        <is>
          <t>Needed for primary term, royalty, pooling, Pugh/depth, continuous drilling, extension and termination analysis.</t>
        </is>
      </c>
      <c r="E4" s="3" t="inlineStr">
        <is>
          <t>CRITICAL</t>
        </is>
      </c>
    </row>
    <row r="5">
      <c r="A5" s="2" t="n">
        <v>4</v>
      </c>
      <c r="B5" s="2" t="inlineStr">
        <is>
          <t>Resolve payout/reversion and unrecorded agreements</t>
        </is>
      </c>
      <c r="C5" s="2" t="inlineStr">
        <is>
          <t>Obtain 7/9/1979, 11/20/1979 and 1/7/1980, 2/7/1984, 3/20/1985 and Exxon/NICOR/Vinson/White/TCW agreements; secure payout statements and required reassignments.</t>
        </is>
      </c>
      <c r="D5" s="2" t="inlineStr">
        <is>
          <t>Determines Crook/PRF/Leede WI and ORRI burdens.</t>
        </is>
      </c>
      <c r="E5" s="3" t="inlineStr">
        <is>
          <t>CRITICAL</t>
        </is>
      </c>
    </row>
    <row r="6">
      <c r="A6" s="2" t="n">
        <v>5</v>
      </c>
      <c r="B6" s="2" t="inlineStr">
        <is>
          <t>Cure the Midland Bank/Consolidation source-title defects</t>
        </is>
      </c>
      <c r="C6" s="2" t="inlineStr">
        <is>
          <t>Prove transfer of Midland Bank's separate 1% participant WI and identify the source for the WI purportedly assigned at Bk 1014/P75; confirm disposition of Consolidation's 52.632% share of Leede royalty/ORRI.</t>
        </is>
      </c>
      <c r="D6" s="2" t="inlineStr">
        <is>
          <t>Avoids nemo-dat and stranded-ORRI issues.</t>
        </is>
      </c>
      <c r="E6" s="3" t="inlineStr">
        <is>
          <t>CRITICAL</t>
        </is>
      </c>
    </row>
    <row r="7">
      <c r="A7" s="2" t="n">
        <v>6</v>
      </c>
      <c r="B7" s="2" t="inlineStr">
        <is>
          <t>Reconcile the FourPoint/Unbridled/MNR branch with Tapstone/KL CHK/Diversified</t>
        </is>
      </c>
      <c r="C7" s="2" t="inlineStr">
        <is>
          <t>Read the 2015 wellbore sale, 2015/2016 FourPoint instruments, 2020 assignments, and 2023 MNR conveyance schedules.</t>
        </is>
      </c>
      <c r="D7" s="2" t="inlineStr">
        <is>
          <t>Determines whether branches represent separate wells, leases, depths, retained interests or overlapping title.</t>
        </is>
      </c>
      <c r="E7" s="2" t="inlineStr">
        <is>
          <t>HIGH</t>
        </is>
      </c>
    </row>
    <row r="8">
      <c r="A8" s="2" t="n">
        <v>7</v>
      </c>
      <c r="B8" s="2" t="inlineStr">
        <is>
          <t>Establish HBP and current producing formations lease-by-lease</t>
        </is>
      </c>
      <c r="C8" s="2" t="inlineStr">
        <is>
          <t>Match each lease to wells/units; obtain OCC orders, completion records, production histories, shut-in/cessation data and savings-clause facts.</t>
        </is>
      </c>
      <c r="D8" s="2" t="inlineStr">
        <is>
          <t>Section-level production alone is not proof of lease perpetuation.</t>
        </is>
      </c>
      <c r="E8" s="2" t="inlineStr">
        <is>
          <t>HIGH</t>
        </is>
      </c>
    </row>
    <row r="9">
      <c r="A9" s="2" t="n">
        <v>8</v>
      </c>
      <c r="B9" s="2" t="inlineStr">
        <is>
          <t>Close financing/lien status</t>
        </is>
      </c>
      <c r="C9" s="2" t="inlineStr">
        <is>
          <t>Compare mortgage and UCC collateral schedules to the final lease schedule; obtain missing releases, subordinations or payoff evidence.</t>
        </is>
      </c>
      <c r="D9" s="2" t="inlineStr">
        <is>
          <t>Several blanket lien filings and releases are indexed, but applicability cannot be determined.</t>
        </is>
      </c>
      <c r="E9" s="2" t="inlineStr">
        <is>
          <t>HIGH</t>
        </is>
      </c>
    </row>
    <row r="10">
      <c r="A10" s="2" t="n">
        <v>9</v>
      </c>
      <c r="B10" s="2" t="inlineStr">
        <is>
          <t>Obtain merger/name-change authority and current entity evidence</t>
        </is>
      </c>
      <c r="C10" s="2" t="inlineStr">
        <is>
          <t>Certificates, plans of merger, good-standing/authority evidence and complete grantee lists for 2389/500, 2389/581, 2451/4 and 2476/121.</t>
        </is>
      </c>
      <c r="D10" s="2" t="inlineStr">
        <is>
          <t>Required to establish the current vested record entity and execution authority.</t>
        </is>
      </c>
      <c r="E10" s="2" t="inlineStr">
        <is>
          <t>HIGH</t>
        </is>
      </c>
    </row>
    <row r="11">
      <c r="A11" s="2" t="n">
        <v>10</v>
      </c>
      <c r="B11" s="2" t="inlineStr">
        <is>
          <t>Complete fee/mineral chain and patent inception if required by assignment scope</t>
        </is>
      </c>
      <c r="C11" s="2" t="inlineStr">
        <is>
          <t>Obtain SE/NW/SW patents and run quarter-by-quarter mineral/royalty chain through the effective date, including probate, trust and corporate succession.</t>
        </is>
      </c>
      <c r="D11" s="2" t="inlineStr">
        <is>
          <t>The present review does not support a negative mineral/royalty opinion.</t>
        </is>
      </c>
      <c r="E11" s="2" t="inlineStr">
        <is>
          <t>HIGH</t>
        </is>
      </c>
    </row>
    <row r="12">
      <c r="A12" s="2" t="n">
        <v>11</v>
      </c>
      <c r="B12" s="2" t="inlineStr">
        <is>
          <t>Run courthouse continuation</t>
        </is>
      </c>
      <c r="C12" s="2" t="inlineStr">
        <is>
          <t>Continue from 2026-07-01 through the final effective date; include records without legal descriptions and UCC central filings.</t>
        </is>
      </c>
      <c r="D12" s="2" t="inlineStr">
        <is>
          <t>The supplied section index is certified only through 2026-07-01.</t>
        </is>
      </c>
      <c r="E12" s="3" t="inlineStr">
        <is>
          <t>CRITICAL</t>
        </is>
      </c>
    </row>
    <row r="13">
      <c r="A13" s="2" t="n">
        <v>12</v>
      </c>
      <c r="B13" s="2" t="inlineStr">
        <is>
          <t>Replace the defective tax-roll item</t>
        </is>
      </c>
      <c r="C13" s="2" t="inlineStr">
        <is>
          <t>Obtain the actual current tax roll and confirm ad valorem/production-tax status if relevant.</t>
        </is>
      </c>
      <c r="D13" s="2" t="inlineStr">
        <is>
          <t>The supplied Tax Roll PDF duplicates the assessor parcel map.</t>
        </is>
      </c>
      <c r="E13" s="2" t="inlineStr">
        <is>
          <t>MEDIUM</t>
        </is>
      </c>
    </row>
  </sheetData>
  <autoFilter ref="A1:E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5" customWidth="1" min="3" max="3"/>
    <col width="18" customWidth="1" min="4" max="4"/>
    <col width="22" customWidth="1" min="5" max="5"/>
  </cols>
  <sheetData>
    <row r="1" ht="28" customHeight="1">
      <c r="A1" s="1" t="inlineStr">
        <is>
          <t>Legal</t>
        </is>
      </c>
      <c r="B1" s="1" t="inlineStr">
        <is>
          <t>Acres</t>
        </is>
      </c>
      <c r="C1" s="1" t="inlineStr">
        <is>
          <t>Assessor owner</t>
        </is>
      </c>
      <c r="D1" s="1" t="inlineStr">
        <is>
          <t>Account</t>
        </is>
      </c>
      <c r="E1" s="1" t="inlineStr">
        <is>
          <t>Assessor Book/Page</t>
        </is>
      </c>
    </row>
    <row r="2">
      <c r="A2" s="2" t="inlineStr">
        <is>
          <t>S/2 N/2 SW/4</t>
        </is>
      </c>
      <c r="B2" s="2" t="n">
        <v>40</v>
      </c>
      <c r="C2" s="2" t="inlineStr">
        <is>
          <t>Maddoux, Gail, Trustee of Rev.</t>
        </is>
      </c>
      <c r="D2" s="2" t="inlineStr">
        <is>
          <t>050005632</t>
        </is>
      </c>
      <c r="E2" s="2" t="inlineStr">
        <is>
          <t>1868/526</t>
        </is>
      </c>
    </row>
    <row r="3">
      <c r="A3" s="2" t="inlineStr">
        <is>
          <t>SE/4 NE/4</t>
        </is>
      </c>
      <c r="B3" s="2" t="n">
        <v>40</v>
      </c>
      <c r="C3" s="2" t="inlineStr">
        <is>
          <t>Crook, Ola Mae</t>
        </is>
      </c>
      <c r="D3" s="2" t="inlineStr">
        <is>
          <t>050005631</t>
        </is>
      </c>
      <c r="E3" s="2" t="inlineStr">
        <is>
          <t>2111/585</t>
        </is>
      </c>
    </row>
    <row r="4">
      <c r="A4" s="2" t="inlineStr">
        <is>
          <t>S/2 SW/4 and W/2 SE/4</t>
        </is>
      </c>
      <c r="B4" s="2" t="n">
        <v>160</v>
      </c>
      <c r="C4" s="2" t="inlineStr">
        <is>
          <t>Sumpter, Elizabeth et al.</t>
        </is>
      </c>
      <c r="D4" s="2" t="inlineStr">
        <is>
          <t>050005629</t>
        </is>
      </c>
      <c r="E4" s="2" t="inlineStr">
        <is>
          <t>2391/68</t>
        </is>
      </c>
    </row>
    <row r="5">
      <c r="A5" s="2" t="inlineStr">
        <is>
          <t>SW/4 NW/4</t>
        </is>
      </c>
      <c r="B5" s="2" t="n">
        <v>40</v>
      </c>
      <c r="C5" s="2" t="inlineStr">
        <is>
          <t>Sumpter, Elizabeth Lesley</t>
        </is>
      </c>
      <c r="D5" s="2" t="inlineStr">
        <is>
          <t>050005628</t>
        </is>
      </c>
      <c r="E5" s="2" t="inlineStr">
        <is>
          <t>2302/166</t>
        </is>
      </c>
    </row>
    <row r="6">
      <c r="A6" s="2" t="inlineStr">
        <is>
          <t>N/2 N/2 SW/4</t>
        </is>
      </c>
      <c r="B6" s="2" t="n">
        <v>40</v>
      </c>
      <c r="C6" s="2" t="inlineStr">
        <is>
          <t>Maddoux, Gerry L., Trustee Living Trust</t>
        </is>
      </c>
      <c r="D6" s="2" t="inlineStr">
        <is>
          <t>050005627</t>
        </is>
      </c>
      <c r="E6" s="2" t="inlineStr">
        <is>
          <t>Not shown</t>
        </is>
      </c>
    </row>
    <row r="7">
      <c r="A7" s="2" t="inlineStr">
        <is>
          <t>N/2 NW/4</t>
        </is>
      </c>
      <c r="B7" s="2" t="n">
        <v>80</v>
      </c>
      <c r="C7" s="2" t="inlineStr">
        <is>
          <t>Maddoux, Gerry L., Trustee Living Trust</t>
        </is>
      </c>
      <c r="D7" s="2" t="inlineStr">
        <is>
          <t>050005626</t>
        </is>
      </c>
      <c r="E7" s="2" t="inlineStr">
        <is>
          <t>Not shown</t>
        </is>
      </c>
    </row>
    <row r="8">
      <c r="A8" s="2" t="inlineStr">
        <is>
          <t>N/2 NE/4 and SW/4 NE/4</t>
        </is>
      </c>
      <c r="B8" s="2" t="n">
        <v>120</v>
      </c>
      <c r="C8" s="2" t="inlineStr">
        <is>
          <t>Hanks, Darrell Lee et al.</t>
        </is>
      </c>
      <c r="D8" s="2" t="inlineStr">
        <is>
          <t>050005625</t>
        </is>
      </c>
      <c r="E8" s="2" t="inlineStr">
        <is>
          <t>2290/494</t>
        </is>
      </c>
    </row>
    <row r="9">
      <c r="A9" s="2" t="inlineStr">
        <is>
          <t>E/2 SE/4 less 12.72 acres</t>
        </is>
      </c>
      <c r="B9" s="2" t="n">
        <v>67.28</v>
      </c>
      <c r="C9" s="2" t="inlineStr">
        <is>
          <t>Crook, Ola Mae</t>
        </is>
      </c>
      <c r="D9" s="2" t="inlineStr">
        <is>
          <t>050005630</t>
        </is>
      </c>
      <c r="E9" s="2" t="inlineStr">
        <is>
          <t>2111/585</t>
        </is>
      </c>
    </row>
    <row r="10">
      <c r="A10" s="2" t="inlineStr">
        <is>
          <t>12.72-acre metes-and-bounds wind parcel</t>
        </is>
      </c>
      <c r="B10" s="2" t="n">
        <v>12.72</v>
      </c>
      <c r="C10" s="2" t="inlineStr">
        <is>
          <t>Acciona Wind Energy USA</t>
        </is>
      </c>
      <c r="D10" s="2" t="inlineStr">
        <is>
          <t>050020323</t>
        </is>
      </c>
      <c r="E10" s="2" t="inlineStr">
        <is>
          <t>2052/466</t>
        </is>
      </c>
    </row>
    <row r="11">
      <c r="A11" s="2" t="inlineStr">
        <is>
          <t>SE/4 NW/4</t>
        </is>
      </c>
      <c r="B11" s="2" t="n">
        <v>40</v>
      </c>
      <c r="C11" s="2" t="inlineStr">
        <is>
          <t>Johnson, Abby Colleen</t>
        </is>
      </c>
      <c r="D11" s="2" t="inlineStr">
        <is>
          <t>050024355</t>
        </is>
      </c>
      <c r="E11" s="2" t="inlineStr">
        <is>
          <t>2483/572</t>
        </is>
      </c>
    </row>
    <row r="13">
      <c r="A13" s="5" t="inlineStr">
        <is>
          <t>TOTAL</t>
        </is>
      </c>
      <c r="B13" s="5">
        <f>SUM(B2:B11)</f>
        <v/>
      </c>
    </row>
  </sheetData>
  <autoFilter ref="A1:E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8" customWidth="1" min="4" max="4"/>
    <col width="15" customWidth="1" min="5" max="5"/>
    <col width="70" customWidth="1" min="6" max="6"/>
  </cols>
  <sheetData>
    <row r="1" ht="28" customHeight="1">
      <c r="A1" s="1" t="inlineStr">
        <is>
          <t>API</t>
        </is>
      </c>
      <c r="B1" s="1" t="inlineStr">
        <is>
          <t>Well</t>
        </is>
      </c>
      <c r="C1" s="1" t="inlineStr">
        <is>
          <t>Listed operator</t>
        </is>
      </c>
      <c r="D1" s="1" t="inlineStr">
        <is>
          <t>Status</t>
        </is>
      </c>
      <c r="E1" s="1" t="inlineStr">
        <is>
          <t>Type</t>
        </is>
      </c>
      <c r="F1" s="1" t="inlineStr">
        <is>
          <t>Context</t>
        </is>
      </c>
    </row>
    <row r="2">
      <c r="A2" s="2" t="inlineStr">
        <is>
          <t>35-009-00075</t>
        </is>
      </c>
      <c r="B2" s="2" t="inlineStr">
        <is>
          <t>Cora Garrett C-310</t>
        </is>
      </c>
      <c r="C2" s="2" t="inlineStr">
        <is>
          <t>BP America</t>
        </is>
      </c>
      <c r="D2" s="2" t="inlineStr">
        <is>
          <t>PA</t>
        </is>
      </c>
      <c r="E2" s="2" t="inlineStr">
        <is>
          <t>Gas</t>
        </is>
      </c>
      <c r="F2" s="2" t="inlineStr">
        <is>
          <t>Plugged/abandoned; no Diversified title inference</t>
        </is>
      </c>
    </row>
    <row r="3">
      <c r="A3" s="2" t="inlineStr">
        <is>
          <t>35-009-20312</t>
        </is>
      </c>
      <c r="B3" s="2" t="inlineStr">
        <is>
          <t>Crook 1-32</t>
        </is>
      </c>
      <c r="C3" s="2" t="inlineStr">
        <is>
          <t>Complete Oil &amp; Gas Services LLC</t>
        </is>
      </c>
      <c r="D3" s="2" t="inlineStr">
        <is>
          <t>AC (dataset anomaly)</t>
        </is>
      </c>
      <c r="E3" s="2" t="inlineStr">
        <is>
          <t>Dry</t>
        </is>
      </c>
      <c r="F3" s="2" t="inlineStr">
        <is>
          <t>Completion master: Granite Wash Lower, 13,348-13,595 ft; active-status/dry-type conflict</t>
        </is>
      </c>
    </row>
    <row r="4">
      <c r="A4" s="2" t="inlineStr">
        <is>
          <t>35-009-20605</t>
        </is>
      </c>
      <c r="B4" s="2" t="inlineStr">
        <is>
          <t>Pearl 1-32</t>
        </is>
      </c>
      <c r="C4" s="2" t="inlineStr">
        <is>
          <t>SM Energy</t>
        </is>
      </c>
      <c r="D4" s="2" t="inlineStr">
        <is>
          <t>PA</t>
        </is>
      </c>
      <c r="E4" s="2" t="inlineStr">
        <is>
          <t>Gas</t>
        </is>
      </c>
      <c r="F4" s="2" t="inlineStr">
        <is>
          <t>Historical Pearl well; no current-title inference</t>
        </is>
      </c>
    </row>
    <row r="5">
      <c r="A5" s="2" t="inlineStr">
        <is>
          <t>35-009-20738</t>
        </is>
      </c>
      <c r="B5" s="2" t="inlineStr">
        <is>
          <t>Legrand 1-32</t>
        </is>
      </c>
      <c r="C5" s="2" t="inlineStr">
        <is>
          <t>Leede Oil &amp; Gas</t>
        </is>
      </c>
      <c r="D5" s="2" t="inlineStr">
        <is>
          <t>PA</t>
        </is>
      </c>
      <c r="E5" s="2" t="inlineStr">
        <is>
          <t>Dry</t>
        </is>
      </c>
      <c r="F5" s="2" t="inlineStr">
        <is>
          <t>Plugged/abandoned</t>
        </is>
      </c>
    </row>
    <row r="6">
      <c r="A6" s="2" t="inlineStr">
        <is>
          <t>35-009-21072</t>
        </is>
      </c>
      <c r="B6" s="2" t="inlineStr">
        <is>
          <t>JGL 1-32</t>
        </is>
      </c>
      <c r="C6" s="2" t="inlineStr">
        <is>
          <t>BCE-Mach II LLC</t>
        </is>
      </c>
      <c r="D6" s="2" t="inlineStr">
        <is>
          <t>AC</t>
        </is>
      </c>
      <c r="E6" s="2" t="inlineStr">
        <is>
          <t>Gas</t>
        </is>
      </c>
      <c r="F6" s="2" t="inlineStr">
        <is>
          <t>Active status only; producing formation not established here</t>
        </is>
      </c>
    </row>
    <row r="7">
      <c r="A7" s="2" t="inlineStr">
        <is>
          <t>35-009-21085</t>
        </is>
      </c>
      <c r="B7" s="2" t="inlineStr">
        <is>
          <t>Hanks Crook 1-32</t>
        </is>
      </c>
      <c r="C7" s="2" t="inlineStr">
        <is>
          <t>BCE-Mach II LLC</t>
        </is>
      </c>
      <c r="D7" s="2" t="inlineStr">
        <is>
          <t>AC</t>
        </is>
      </c>
      <c r="E7" s="2" t="inlineStr">
        <is>
          <t>Gas</t>
        </is>
      </c>
      <c r="F7" s="2" t="inlineStr">
        <is>
          <t>Active status only</t>
        </is>
      </c>
    </row>
    <row r="8">
      <c r="A8" s="2" t="inlineStr">
        <is>
          <t>35-009-21166</t>
        </is>
      </c>
      <c r="B8" s="2" t="inlineStr">
        <is>
          <t>Crook-Legrand 1-32</t>
        </is>
      </c>
      <c r="C8" s="2" t="inlineStr">
        <is>
          <t>Vastar</t>
        </is>
      </c>
      <c r="D8" s="2" t="inlineStr">
        <is>
          <t>PA</t>
        </is>
      </c>
      <c r="E8" s="2" t="inlineStr">
        <is>
          <t>No type</t>
        </is>
      </c>
      <c r="F8" s="2" t="inlineStr">
        <is>
          <t>Plugged/abandoned</t>
        </is>
      </c>
    </row>
    <row r="9">
      <c r="A9" s="2" t="inlineStr">
        <is>
          <t>35-009-21236</t>
        </is>
      </c>
      <c r="B9" s="2" t="inlineStr">
        <is>
          <t>Legrand 1-32</t>
        </is>
      </c>
      <c r="C9" s="2" t="inlineStr">
        <is>
          <t>BCE-Mach II LLC</t>
        </is>
      </c>
      <c r="D9" s="2" t="inlineStr">
        <is>
          <t>AC</t>
        </is>
      </c>
      <c r="E9" s="2" t="inlineStr">
        <is>
          <t>Gas</t>
        </is>
      </c>
      <c r="F9" s="2" t="inlineStr">
        <is>
          <t>Active status only</t>
        </is>
      </c>
    </row>
    <row r="10">
      <c r="A10" s="2" t="inlineStr">
        <is>
          <t>35-009-21245</t>
        </is>
      </c>
      <c r="B10" s="2" t="inlineStr">
        <is>
          <t>Katie 1-32</t>
        </is>
      </c>
      <c r="C10" s="2" t="inlineStr">
        <is>
          <t>BP America</t>
        </is>
      </c>
      <c r="D10" s="2" t="inlineStr">
        <is>
          <t>EX</t>
        </is>
      </c>
      <c r="E10" s="2" t="inlineStr">
        <is>
          <t>No type</t>
        </is>
      </c>
      <c r="F10" s="2" t="inlineStr">
        <is>
          <t>Expired/other nonactive status</t>
        </is>
      </c>
    </row>
    <row r="11">
      <c r="A11" s="2" t="inlineStr">
        <is>
          <t>35-009-21258</t>
        </is>
      </c>
      <c r="B11" s="2" t="inlineStr">
        <is>
          <t>Legrand 2-32</t>
        </is>
      </c>
      <c r="C11" s="2" t="inlineStr">
        <is>
          <t>BCE-Mach II LLC</t>
        </is>
      </c>
      <c r="D11" s="2" t="inlineStr">
        <is>
          <t>AC</t>
        </is>
      </c>
      <c r="E11" s="2" t="inlineStr">
        <is>
          <t>Gas</t>
        </is>
      </c>
      <c r="F11" s="2" t="inlineStr">
        <is>
          <t>Active status only</t>
        </is>
      </c>
    </row>
    <row r="12">
      <c r="A12" s="2" t="inlineStr">
        <is>
          <t>35-009-21391</t>
        </is>
      </c>
      <c r="B12" s="2" t="inlineStr">
        <is>
          <t>Twin 1-32</t>
        </is>
      </c>
      <c r="C12" s="2" t="inlineStr">
        <is>
          <t>BCE-Mach II LLC</t>
        </is>
      </c>
      <c r="D12" s="2" t="inlineStr">
        <is>
          <t>AC</t>
        </is>
      </c>
      <c r="E12" s="2" t="inlineStr">
        <is>
          <t>Gas</t>
        </is>
      </c>
      <c r="F12" s="2" t="inlineStr">
        <is>
          <t>Completion master: Granite Wash Low, 12,548-12,604 ft; 2016 tests are historical, not current production</t>
        </is>
      </c>
    </row>
  </sheetData>
  <autoFilter ref="A1:F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0" customWidth="1" min="3" max="3"/>
    <col width="30" customWidth="1" min="4" max="4"/>
  </cols>
  <sheetData>
    <row r="1" ht="28" customHeight="1">
      <c r="A1" s="1" t="inlineStr">
        <is>
          <t>Check</t>
        </is>
      </c>
      <c r="B1" s="1" t="inlineStr">
        <is>
          <t>Formula</t>
        </is>
      </c>
      <c r="C1" s="1" t="inlineStr">
        <is>
          <t>Result</t>
        </is>
      </c>
      <c r="D1" s="1" t="inlineStr">
        <is>
          <t>Status</t>
        </is>
      </c>
    </row>
    <row r="2">
      <c r="A2" s="2" t="inlineStr">
        <is>
          <t>Participant allocation</t>
        </is>
      </c>
      <c r="B2" s="2" t="inlineStr">
        <is>
          <t>64 + 25 + 5 + 4 + 1 + 1</t>
        </is>
      </c>
      <c r="C2" s="2" t="inlineStr">
        <is>
          <t>100.000%</t>
        </is>
      </c>
      <c r="D2" s="4" t="inlineStr">
        <is>
          <t>PASS</t>
        </is>
      </c>
    </row>
    <row r="3">
      <c r="A3" s="2" t="inlineStr">
        <is>
          <t>Employee ORRI</t>
        </is>
      </c>
      <c r="B3" s="2" t="inlineStr">
        <is>
          <t>1 + 1 + .10 + .10 + .05</t>
        </is>
      </c>
      <c r="C3" s="2" t="inlineStr">
        <is>
          <t>2.250%</t>
        </is>
      </c>
      <c r="D3" s="4" t="inlineStr">
        <is>
          <t>PASS</t>
        </is>
      </c>
    </row>
    <row r="4">
      <c r="A4" s="2" t="inlineStr">
        <is>
          <t>Leede royalty/ORRI beneficiary weights</t>
        </is>
      </c>
      <c r="B4" s="2" t="inlineStr">
        <is>
          <t>21.053 + 52.632 + (5 x 5.263)</t>
        </is>
      </c>
      <c r="C4" s="2" t="inlineStr">
        <is>
          <t>100.000%</t>
        </is>
      </c>
      <c r="D4" s="4" t="inlineStr">
        <is>
          <t>PASS</t>
        </is>
      </c>
    </row>
    <row r="5">
      <c r="A5" s="2" t="inlineStr">
        <is>
          <t>PRF before-payout LGWI</t>
        </is>
      </c>
      <c r="B5" s="2" t="inlineStr">
        <is>
          <t>3 x .526300 + 98.421100</t>
        </is>
      </c>
      <c r="C5" s="2" t="inlineStr">
        <is>
          <t>100.000000%</t>
        </is>
      </c>
      <c r="D5" s="4" t="inlineStr">
        <is>
          <t>PASS</t>
        </is>
      </c>
    </row>
    <row r="6">
      <c r="A6" s="2" t="inlineStr">
        <is>
          <t>PRF after-payout LGWI</t>
        </is>
      </c>
      <c r="B6" s="2" t="inlineStr">
        <is>
          <t>3 x 1.315750 + 96.052750</t>
        </is>
      </c>
      <c r="C6" s="2" t="inlineStr">
        <is>
          <t>100.000000%</t>
        </is>
      </c>
      <c r="D6" s="4" t="inlineStr">
        <is>
          <t>PASS</t>
        </is>
      </c>
    </row>
    <row r="7">
      <c r="A7" s="2" t="inlineStr">
        <is>
          <t>TCW McCall reservation</t>
        </is>
      </c>
      <c r="B7" s="2" t="inlineStr">
        <is>
          <t>8.629197% x .5%</t>
        </is>
      </c>
      <c r="C7" s="2" t="inlineStr">
        <is>
          <t>.043145985% -&gt; .043146%</t>
        </is>
      </c>
      <c r="D7" s="4" t="inlineStr">
        <is>
          <t>PASS</t>
        </is>
      </c>
    </row>
    <row r="8">
      <c r="A8" s="2" t="inlineStr">
        <is>
          <t>TCW Pearl reservation</t>
        </is>
      </c>
      <c r="B8" s="2" t="inlineStr">
        <is>
          <t>10.462093% x .5%</t>
        </is>
      </c>
      <c r="C8" s="2" t="inlineStr">
        <is>
          <t>.052310465% -&gt; .052310% shown</t>
        </is>
      </c>
      <c r="D8" s="2" t="inlineStr">
        <is>
          <t>PASS (record rounding/truncation)</t>
        </is>
      </c>
    </row>
    <row r="9">
      <c r="A9" s="2" t="inlineStr">
        <is>
          <t>Surface parcel acreage</t>
        </is>
      </c>
      <c r="B9" s="2" t="inlineStr">
        <is>
          <t>40+40+160+40+40+80+120+67.28+12.72+40</t>
        </is>
      </c>
      <c r="C9" s="2" t="inlineStr">
        <is>
          <t>640.00 acres</t>
        </is>
      </c>
      <c r="D9" s="4" t="inlineStr">
        <is>
          <t>PASS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95" customWidth="1" min="4" max="4"/>
    <col width="80" customWidth="1" min="5" max="5"/>
  </cols>
  <sheetData>
    <row r="1" ht="28" customHeight="1">
      <c r="A1" s="1" t="inlineStr">
        <is>
          <t>ID</t>
        </is>
      </c>
      <c r="B1" s="1" t="inlineStr">
        <is>
          <t>Source</t>
        </is>
      </c>
      <c r="C1" s="1" t="inlineStr">
        <is>
          <t>Tier</t>
        </is>
      </c>
      <c r="D1" s="1" t="inlineStr">
        <is>
          <t>Location / URL</t>
        </is>
      </c>
      <c r="E1" s="1" t="inlineStr">
        <is>
          <t>Use</t>
        </is>
      </c>
    </row>
    <row r="2">
      <c r="A2" s="2" t="inlineStr">
        <is>
          <t>S-001</t>
        </is>
      </c>
      <c r="B2" s="2" t="inlineStr">
        <is>
          <t>Section Notes</t>
        </is>
      </c>
      <c r="C2" s="2" t="inlineStr">
        <is>
          <t>Local controlling source</t>
        </is>
      </c>
      <c r="D2" s="6" t="inlineStr">
        <is>
          <t>D:\Desktop\Horizon\32-11N-25W, Beckham County\source_canonical\Section Notes\Section Notes.xlsx</t>
        </is>
      </c>
      <c r="E2" s="2" t="inlineStr">
        <is>
          <t>Inception (Through Date): Patent-1988; Last Book/Page 2490/471 (WD); index certified 2026-07-01.</t>
        </is>
      </c>
    </row>
    <row r="3">
      <c r="A3" s="2" t="inlineStr">
        <is>
          <t>S-002</t>
        </is>
      </c>
      <c r="B3" s="2" t="inlineStr">
        <is>
          <t>Protocoled Index</t>
        </is>
      </c>
      <c r="C3" s="2" t="inlineStr">
        <is>
          <t>Local controlling source</t>
        </is>
      </c>
      <c r="D3" s="6" t="inlineStr">
        <is>
          <t>D:\Desktop\Horizon\32-11N-25W, Beckham County\source_canonical\Index\Protocoled Index.pdf</t>
        </is>
      </c>
      <c r="E3" s="2" t="inlineStr">
        <is>
          <t>62 scanned pages; post-1988 entries are index-only because record images stop in April 1988.</t>
        </is>
      </c>
    </row>
    <row r="4">
      <c r="A4" s="2" t="inlineStr">
        <is>
          <t>S-003</t>
        </is>
      </c>
      <c r="B4" s="2" t="inlineStr">
        <is>
          <t>Record-image archive</t>
        </is>
      </c>
      <c r="C4" s="2" t="inlineStr">
        <is>
          <t>Local controlling source</t>
        </is>
      </c>
      <c r="D4" s="6" t="inlineStr">
        <is>
          <t>D:\Desktop\Horizon\32-11N-25W, Beckham County\source_canonical\Images</t>
        </is>
      </c>
      <c r="E4" s="2" t="inlineStr">
        <is>
          <t>4,893 JPGs, continuous 0001-4893; exact cutoff Bk 1014/P75.</t>
        </is>
      </c>
    </row>
    <row r="5">
      <c r="A5" s="2" t="inlineStr">
        <is>
          <t>S-004</t>
        </is>
      </c>
      <c r="B5" s="2" t="inlineStr">
        <is>
          <t>Assessor parcel map/account listing</t>
        </is>
      </c>
      <c r="C5" s="2" t="inlineStr">
        <is>
          <t>Ancillary local source</t>
        </is>
      </c>
      <c r="D5" s="6" t="inlineStr">
        <is>
          <t>D:\Desktop\Horizon\32-11N-25W, Beckham County\source_canonical\Plat Map\Plat Map.pdf</t>
        </is>
      </c>
      <c r="E5" s="2" t="inlineStr">
        <is>
          <t>Printed 2026-07-02; ten surface parcels totaling 640.00 acres; not a mineral-title source.</t>
        </is>
      </c>
    </row>
    <row r="6">
      <c r="A6" s="2" t="inlineStr">
        <is>
          <t>S-005</t>
        </is>
      </c>
      <c r="B6" s="2" t="inlineStr">
        <is>
          <t>Purported Tax Roll</t>
        </is>
      </c>
      <c r="C6" s="2" t="inlineStr">
        <is>
          <t>Defective local source</t>
        </is>
      </c>
      <c r="D6" s="6" t="inlineStr">
        <is>
          <t>D:\Desktop\Horizon\32-11N-25W, Beckham County\source_canonical\Tax Roll\Tax Roll.pdf</t>
        </is>
      </c>
      <c r="E6" s="2" t="inlineStr">
        <is>
          <t>Byte-for-byte duplicate of S-004; no actual tax roll was supplied.</t>
        </is>
      </c>
    </row>
    <row r="7">
      <c r="A7" s="2" t="inlineStr">
        <is>
          <t>S-006</t>
        </is>
      </c>
      <c r="B7" s="2" t="inlineStr">
        <is>
          <t>Beckham County public index/search</t>
        </is>
      </c>
      <c r="C7" s="2" t="inlineStr">
        <is>
          <t>Public metadata only</t>
        </is>
      </c>
      <c r="D7" s="6" t="inlineStr">
        <is>
          <t>https://okcountyrecords.com/search/beckham</t>
        </is>
      </c>
      <c r="E7" s="2" t="inlineStr">
        <is>
          <t>County-linked search; underlying post-1988 images require access/credits and were not obtained.</t>
        </is>
      </c>
    </row>
    <row r="8">
      <c r="A8" s="2" t="inlineStr">
        <is>
          <t>S-007</t>
        </is>
      </c>
      <c r="B8" s="2" t="inlineStr">
        <is>
          <t>OCC Oil &amp; Gas data downloads</t>
        </is>
      </c>
      <c r="C8" s="2" t="inlineStr">
        <is>
          <t>Regulatory corroboration</t>
        </is>
      </c>
      <c r="D8" s="6" t="inlineStr">
        <is>
          <t>https://www.oklahoma.gov/occ/divisions/oil-gas/oil-gas-data.html</t>
        </is>
      </c>
      <c r="E8" s="2" t="inlineStr">
        <is>
          <t>Official RBDMS well-status CSV and completion master used for well/formation context, not title.</t>
        </is>
      </c>
    </row>
    <row r="9">
      <c r="A9" s="2" t="inlineStr">
        <is>
          <t>P-001</t>
        </is>
      </c>
      <c r="B9" s="2" t="inlineStr">
        <is>
          <t>U.S. patent to Cornelius B. Cornelius</t>
        </is>
      </c>
      <c r="C9" s="2" t="inlineStr">
        <is>
          <t>Direct image</t>
        </is>
      </c>
      <c r="D9" s="6" t="inlineStr">
        <is>
          <t>D:\Desktop\Horizon\32-11N-25W, Beckham County\source_canonical\Images\0003.jpg</t>
        </is>
      </c>
      <c r="E9" s="2" t="inlineStr">
        <is>
          <t>NE/4; patent dated 1907-03-22; recorded 1907-06-08, Patent Bk 3/P469.</t>
        </is>
      </c>
    </row>
    <row r="10">
      <c r="A10" s="2" t="inlineStr">
        <is>
          <t>P-002</t>
        </is>
      </c>
      <c r="B10" s="2" t="inlineStr">
        <is>
          <t>Final receiver receipt to Velmore Biggs</t>
        </is>
      </c>
      <c r="C10" s="2" t="inlineStr">
        <is>
          <t>Direct image</t>
        </is>
      </c>
      <c r="D10" s="6" t="inlineStr">
        <is>
          <t>D:\Desktop\Horizon\32-11N-25W, Beckham County\source_canonical\Images\0004.jpg</t>
        </is>
      </c>
      <c r="E10" s="2" t="inlineStr">
        <is>
          <t>SE/4; earliest supplied land-office evidence; not a patent copy.</t>
        </is>
      </c>
    </row>
    <row r="11">
      <c r="A11" s="2" t="inlineStr">
        <is>
          <t>P-003</t>
        </is>
      </c>
      <c r="B11" s="2" t="inlineStr">
        <is>
          <t>Final receiver receipt to Herman Stevens</t>
        </is>
      </c>
      <c r="C11" s="2" t="inlineStr">
        <is>
          <t>Direct image</t>
        </is>
      </c>
      <c r="D11" s="6" t="inlineStr">
        <is>
          <t>D:\Desktop\Horizon\32-11N-25W, Beckham County\source_canonical\Images\0005.jpg</t>
        </is>
      </c>
      <c r="E11" s="2" t="inlineStr">
        <is>
          <t>NW/4; earliest supplied land-office evidence; not a patent copy.</t>
        </is>
      </c>
    </row>
    <row r="12">
      <c r="A12" s="2" t="inlineStr">
        <is>
          <t>P-004</t>
        </is>
      </c>
      <c r="B12" s="2" t="inlineStr">
        <is>
          <t>Final receiver receipt to Augustus P. Stevens</t>
        </is>
      </c>
      <c r="C12" s="2" t="inlineStr">
        <is>
          <t>Direct image</t>
        </is>
      </c>
      <c r="D12" s="6" t="inlineStr">
        <is>
          <t>D:\Desktop\Horizon\32-11N-25W, Beckham County\source_canonical\Images\0006.jpg</t>
        </is>
      </c>
      <c r="E12" s="2" t="inlineStr">
        <is>
          <t>SW/4; earliest supplied land-office evidence; not a patent copy.</t>
        </is>
      </c>
    </row>
    <row r="13">
      <c r="A13" s="2" t="inlineStr">
        <is>
          <t>L-001</t>
        </is>
      </c>
      <c r="B13" s="2" t="inlineStr">
        <is>
          <t>Union -&gt; Leede correction assignment</t>
        </is>
      </c>
      <c r="C13" s="2" t="inlineStr">
        <is>
          <t>Direct images</t>
        </is>
      </c>
      <c r="D13" s="6" t="inlineStr">
        <is>
          <t>D:\Desktop\Horizon\32-11N-25W, Beckham County\source_canonical\Images\1940.jpg</t>
        </is>
      </c>
      <c r="E13" s="2" t="inlineStr">
        <is>
          <t>Bk 502/P267; images 1940-1943; Crook wellbore/Morrow-Springer interval.</t>
        </is>
      </c>
    </row>
    <row r="14">
      <c r="A14" s="2" t="inlineStr">
        <is>
          <t>L-002</t>
        </is>
      </c>
      <c r="B14" s="2" t="inlineStr">
        <is>
          <t>Leede -&gt; participant group correction assignment</t>
        </is>
      </c>
      <c r="C14" s="2" t="inlineStr">
        <is>
          <t>Direct images</t>
        </is>
      </c>
      <c r="D14" s="6" t="inlineStr">
        <is>
          <t>D:\Desktop\Horizon\32-11N-25W, Beckham County\source_canonical\Images\1949.jpg</t>
        </is>
      </c>
      <c r="E14" s="2" t="inlineStr">
        <is>
          <t>Bk 509/P220; images 1949-1952; participant percentages and payout reversion.</t>
        </is>
      </c>
    </row>
    <row r="15">
      <c r="A15" s="2" t="inlineStr">
        <is>
          <t>L-003</t>
        </is>
      </c>
      <c r="B15" s="2" t="inlineStr">
        <is>
          <t>Leede -&gt; Campbell et al. ORRI</t>
        </is>
      </c>
      <c r="C15" s="2" t="inlineStr">
        <is>
          <t>Direct images</t>
        </is>
      </c>
      <c r="D15" s="6" t="inlineStr">
        <is>
          <t>D:\Desktop\Horizon\32-11N-25W, Beckham County\source_canonical\Images\1946.jpg</t>
        </is>
      </c>
      <c r="E15" s="2" t="inlineStr">
        <is>
          <t>Bk 509/P176; images 1946-1948; aggregate 2.25% ORRI.</t>
        </is>
      </c>
    </row>
    <row r="16">
      <c r="A16" s="2" t="inlineStr">
        <is>
          <t>L-004</t>
        </is>
      </c>
      <c r="B16" s="2" t="inlineStr">
        <is>
          <t>Leede -&gt; named royalty/ORRI owners</t>
        </is>
      </c>
      <c r="C16" s="2" t="inlineStr">
        <is>
          <t>Direct images</t>
        </is>
      </c>
      <c r="D16" s="6" t="inlineStr">
        <is>
          <t>D:\Desktop\Horizon\32-11N-25W, Beckham County\source_canonical\Images\1938.jpg</t>
        </is>
      </c>
      <c r="E16" s="2" t="inlineStr">
        <is>
          <t>Bk 502/P265; images 1938-1939; allocation totals 100% of Leede royalty/ORRI.</t>
        </is>
      </c>
    </row>
    <row r="17">
      <c r="A17" s="2" t="inlineStr">
        <is>
          <t>L-005</t>
        </is>
      </c>
      <c r="B17" s="2" t="inlineStr">
        <is>
          <t>First City National Bank, Trustee -&gt; Consolidation of Leede Trusts</t>
        </is>
      </c>
      <c r="C17" s="2" t="inlineStr">
        <is>
          <t>Direct image</t>
        </is>
      </c>
      <c r="D17" s="6" t="inlineStr">
        <is>
          <t>D:\Desktop\Horizon\32-11N-25W, Beckham County\source_canonical\Images\4103.jpg</t>
        </is>
      </c>
      <c r="E17" s="2" t="inlineStr">
        <is>
          <t>Bk 839/P188; transfers only royalty/ORRI acquired under Bk 502/P265.</t>
        </is>
      </c>
    </row>
    <row r="18">
      <c r="A18" s="2" t="inlineStr">
        <is>
          <t>L-006</t>
        </is>
      </c>
      <c r="B18" s="2" t="inlineStr">
        <is>
          <t>Cities Service -&gt; Leede borehole rights</t>
        </is>
      </c>
      <c r="C18" s="2" t="inlineStr">
        <is>
          <t>Direct images</t>
        </is>
      </c>
      <c r="D18" s="6" t="inlineStr">
        <is>
          <t>D:\Desktop\Horizon\32-11N-25W, Beckham County\source_canonical\Images\4120.jpg</t>
        </is>
      </c>
      <c r="E18" s="2" t="inlineStr">
        <is>
          <t>Bk 845/P47; images 4120-4121; Pearl wellbore; 1/8 ORRI reservation.</t>
        </is>
      </c>
    </row>
    <row r="19">
      <c r="A19" s="2" t="inlineStr">
        <is>
          <t>L-007</t>
        </is>
      </c>
      <c r="B19" s="2" t="inlineStr">
        <is>
          <t>Union -&gt; Leede deep assignment</t>
        </is>
      </c>
      <c r="C19" s="2" t="inlineStr">
        <is>
          <t>Direct images</t>
        </is>
      </c>
      <c r="D19" s="6" t="inlineStr">
        <is>
          <t>D:\Desktop\Horizon\32-11N-25W, Beckham County\source_canonical\Images\4386.jpg</t>
        </is>
      </c>
      <c r="E19" s="2" t="inlineStr">
        <is>
          <t>Bk 872/P279; images 4386-4393; top Morrow to 19,480 feet, with exceptions/reservations.</t>
        </is>
      </c>
    </row>
    <row r="20">
      <c r="A20" s="2" t="inlineStr">
        <is>
          <t>L-008</t>
        </is>
      </c>
      <c r="B20" s="2" t="inlineStr">
        <is>
          <t>PRF Agreement</t>
        </is>
      </c>
      <c r="C20" s="2" t="inlineStr">
        <is>
          <t>Direct images</t>
        </is>
      </c>
      <c r="D20" s="6" t="inlineStr">
        <is>
          <t>D:\Desktop\Horizon\32-11N-25W, Beckham County\source_canonical\Images\4438.jpg</t>
        </is>
      </c>
      <c r="E20" s="2" t="inlineStr">
        <is>
          <t>Bk 903/P50; images 4438-4463; payout-dependent LGWI allocations.</t>
        </is>
      </c>
    </row>
    <row r="21">
      <c r="A21" s="2" t="inlineStr">
        <is>
          <t>L-009</t>
        </is>
      </c>
      <c r="B21" s="2" t="inlineStr">
        <is>
          <t>TCW/Grantham/Carlson -&gt; Leede assignment and reservation</t>
        </is>
      </c>
      <c r="C21" s="2" t="inlineStr">
        <is>
          <t>Direct images</t>
        </is>
      </c>
      <c r="D21" s="6" t="inlineStr">
        <is>
          <t>D:\Desktop\Horizon\32-11N-25W, Beckham County\source_canonical\Images\4840.jpg</t>
        </is>
      </c>
      <c r="E21" s="2" t="inlineStr">
        <is>
          <t>Bk 987/P159; images 4840-4857; exact historical NRI and 0.5%-of-Leede-NRI ORRI table.</t>
        </is>
      </c>
    </row>
    <row r="22">
      <c r="A22" s="2" t="inlineStr">
        <is>
          <t>L-010</t>
        </is>
      </c>
      <c r="B22" s="2" t="inlineStr">
        <is>
          <t>First City National Bank release</t>
        </is>
      </c>
      <c r="C22" s="2" t="inlineStr">
        <is>
          <t>Direct images</t>
        </is>
      </c>
      <c r="D22" s="6" t="inlineStr">
        <is>
          <t>D:\Desktop\Horizon\32-11N-25W, Beckham County\source_canonical\Images\4868.jpg</t>
        </is>
      </c>
      <c r="E22" s="2" t="inlineStr">
        <is>
          <t>Bk 995/P52; images 4868-4870; enumerated financing releases.</t>
        </is>
      </c>
    </row>
    <row r="23">
      <c r="A23" s="2" t="inlineStr">
        <is>
          <t>L-011</t>
        </is>
      </c>
      <c r="B23" s="2" t="inlineStr">
        <is>
          <t>Consolidation of Leede Trusts -&gt; Leede Exploration</t>
        </is>
      </c>
      <c r="C23" s="2" t="inlineStr">
        <is>
          <t>Direct image</t>
        </is>
      </c>
      <c r="D23" s="6" t="inlineStr">
        <is>
          <t>D:\Desktop\Horizon\32-11N-25W, Beckham County\source_canonical\Images\4893.jpg</t>
        </is>
      </c>
      <c r="E23" s="2" t="inlineStr">
        <is>
          <t>Bk 1014/P75; N/2 below top Hunton; last supplied record image; source-title defect.</t>
        </is>
      </c>
    </row>
    <row r="24">
      <c r="A24" s="2" t="inlineStr">
        <is>
          <t>C-001</t>
        </is>
      </c>
      <c r="B24" s="2" t="inlineStr">
        <is>
          <t>2022-000152 public detail</t>
        </is>
      </c>
      <c r="C24" s="2" t="inlineStr">
        <is>
          <t>Public metadata only</t>
        </is>
      </c>
      <c r="D24" s="6" t="inlineStr">
        <is>
          <t>https://okcountyrecords.com/detail/beckham/2022-000152/27093726</t>
        </is>
      </c>
      <c r="E24" s="2" t="inlineStr">
        <is>
          <t>Bk 2371/470-494; KL CHK SPV LLC -&gt; Diversified Production LLC and OCM Denali Holdings LLC.</t>
        </is>
      </c>
    </row>
    <row r="25">
      <c r="A25" s="2" t="inlineStr">
        <is>
          <t>C-002</t>
        </is>
      </c>
      <c r="B25" s="2" t="inlineStr">
        <is>
          <t>2022-004838 public detail</t>
        </is>
      </c>
      <c r="C25" s="2" t="inlineStr">
        <is>
          <t>Public metadata only</t>
        </is>
      </c>
      <c r="D25" s="6" t="inlineStr">
        <is>
          <t>https://okcountyrecords.com/detail/beckham/2022-004838/28268306</t>
        </is>
      </c>
      <c r="E25" s="2" t="inlineStr">
        <is>
          <t>Bk 2395/415-464; DP Legacy Tapstone LLC -&gt; Diversified ABS VI Upstream LLC and DP Sooner HoldCo LLC.</t>
        </is>
      </c>
    </row>
    <row r="26">
      <c r="A26" s="2" t="inlineStr">
        <is>
          <t>C-003</t>
        </is>
      </c>
      <c r="B26" s="2" t="inlineStr">
        <is>
          <t>2022-004938 public detail</t>
        </is>
      </c>
      <c r="C26" s="2" t="inlineStr">
        <is>
          <t>Public metadata only</t>
        </is>
      </c>
      <c r="D26" s="6" t="inlineStr">
        <is>
          <t>https://okcountyrecords.com/detail/beckham/2022-004938/28279236</t>
        </is>
      </c>
      <c r="E26" s="2" t="inlineStr">
        <is>
          <t>Bk 2395/967-972; KeyBank -&gt; Tapstone/Diversified; termination, not conveyance.</t>
        </is>
      </c>
    </row>
    <row r="27">
      <c r="A27" s="2" t="inlineStr">
        <is>
          <t>C-004</t>
        </is>
      </c>
      <c r="B27" s="2" t="inlineStr">
        <is>
          <t>2023-000796 public detail</t>
        </is>
      </c>
      <c r="C27" s="2" t="inlineStr">
        <is>
          <t>Public metadata only</t>
        </is>
      </c>
      <c r="D27" s="6" t="inlineStr">
        <is>
          <t>https://okcountyrecords.com/detail/beckham/2023-000796/28512407</t>
        </is>
      </c>
      <c r="E27" s="2" t="inlineStr">
        <is>
          <t>Bk 2400/551-567; DP Sooner HoldCo LLC -&gt; Diversified Production LLC.</t>
        </is>
      </c>
    </row>
    <row r="28">
      <c r="A28" s="2" t="inlineStr">
        <is>
          <t>C-005</t>
        </is>
      </c>
      <c r="B28" s="2" t="inlineStr">
        <is>
          <t>2025-001808 public detail</t>
        </is>
      </c>
      <c r="C28" s="2" t="inlineStr">
        <is>
          <t>Public metadata only</t>
        </is>
      </c>
      <c r="D28" s="6" t="inlineStr">
        <is>
          <t>https://okcountyrecords.com/detail/beckham/2025-001808/34086362</t>
        </is>
      </c>
      <c r="E28" s="2" t="inlineStr">
        <is>
          <t>Bk 2451/4-23; Diversified Energy Company PLC -&gt; Public; merger metadata.</t>
        </is>
      </c>
    </row>
    <row r="29">
      <c r="A29" s="2" t="inlineStr">
        <is>
          <t>C-006</t>
        </is>
      </c>
      <c r="B29" s="2" t="inlineStr">
        <is>
          <t>2026-000215 public detail</t>
        </is>
      </c>
      <c r="C29" s="2" t="inlineStr">
        <is>
          <t>Public metadata only</t>
        </is>
      </c>
      <c r="D29" s="6" t="inlineStr">
        <is>
          <t>https://okcountyrecords.com/detail/beckham/2026-000215/34968247</t>
        </is>
      </c>
      <c r="E29" s="2" t="inlineStr">
        <is>
          <t>Bk 2476/121-130; six grantors and six grantees; agreement metadata.</t>
        </is>
      </c>
    </row>
    <row r="30">
      <c r="A30" s="2" t="inlineStr">
        <is>
          <t>O-001</t>
        </is>
      </c>
      <c r="B30" s="2" t="inlineStr">
        <is>
          <t>OCC RBDMS well-status file</t>
        </is>
      </c>
      <c r="C30" s="2" t="inlineStr">
        <is>
          <t>Official regulatory dataset</t>
        </is>
      </c>
      <c r="D30" s="6" t="inlineStr">
        <is>
          <t>D:\Desktop\Horizon\32-11N-25W, Beckham County\analysis_work\rbdms-wells.csv</t>
        </is>
      </c>
      <c r="E30" s="2" t="inlineStr">
        <is>
          <t>Nightly download; section well/status/operator context.</t>
        </is>
      </c>
    </row>
    <row r="31">
      <c r="A31" s="2" t="inlineStr">
        <is>
          <t>O-002</t>
        </is>
      </c>
      <c r="B31" s="2" t="inlineStr">
        <is>
          <t>OCC completion master</t>
        </is>
      </c>
      <c r="C31" s="2" t="inlineStr">
        <is>
          <t>Official regulatory dataset</t>
        </is>
      </c>
      <c r="D31" s="6" t="inlineStr">
        <is>
          <t>D:\Desktop\Horizon\32-11N-25W, Beckham County\analysis_work\completions-wells-formations-base.xlsx</t>
        </is>
      </c>
      <c r="E31" s="2" t="inlineStr">
        <is>
          <t>Completion/formation intervals and historical test data; not proof of current lease HBP.</t>
        </is>
      </c>
    </row>
  </sheetData>
  <autoFilter ref="A1:E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Horizon Energy</dc:creator>
  <dc:title xmlns:dc="http://purl.org/dc/elements/1.1/">Diversified Title Evidence Register — 32-11N-25W</dc:title>
  <dc:subject xmlns:dc="http://purl.org/dc/elements/1.1/">Source-traced title chain, lease schedule, burdens, open requirements and QA</dc:subject>
  <dcterms:created xmlns:dcterms="http://purl.org/dc/terms/" xmlns:xsi="http://www.w3.org/2001/XMLSchema-instance" xsi:type="dcterms:W3CDTF">2026-07-09T00:00:00Z</dcterms:created>
  <dcterms:modified xmlns:dcterms="http://purl.org/dc/terms/" xmlns:xsi="http://www.w3.org/2001/XMLSchema-instance" xsi:type="dcterms:W3CDTF">2026-07-09T23:38:18Z</dcterms:modified>
</cp:coreProperties>
</file>