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visible" r:id="rId4"/>
    <sheet name="Runsheet" sheetId="5" state="visible" r:id="rId5"/>
    <sheet name="Tract 1" sheetId="6" state="visible" r:id="rId6"/>
    <sheet name="Tract 2" sheetId="7" state="visible" r:id="rId7"/>
    <sheet name="Tract 3" sheetId="8" state="visible" r:id="rId8"/>
    <sheet name="Tract 4" sheetId="9" state="visible" r:id="rId9"/>
    <sheet name="Tract 5" sheetId="10" state="visible" r:id="rId10"/>
    <sheet name="WI 2" sheetId="11" state="visible" r:id="rId11"/>
    <sheet name="WI 1" sheetId="12" state="visible" r:id="rId12"/>
    <sheet name="Well 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C00000"/>
      <sz val="11"/>
    </font>
    <font>
      <name val="Calibri"/>
      <b val="1"/>
      <color rgb="00333333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/>
    </xf>
    <xf numFmtId="0" fontId="4" fillId="3" borderId="2" pivotButton="0" quotePrefix="0" xfId="0"/>
    <xf numFmtId="164" fontId="4" fillId="3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4" fillId="3" borderId="1" pivotButton="0" quotePrefix="0" xfId="0"/>
    <xf numFmtId="0" fontId="0" fillId="3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7" fillId="3" borderId="1" applyAlignment="1" pivotButton="0" quotePrefix="0" xfId="0">
      <alignment wrapText="1"/>
    </xf>
    <xf numFmtId="0" fontId="7" fillId="5" borderId="1" applyAlignment="1" pivotButton="0" quotePrefix="0" xfId="0">
      <alignment wrapText="1"/>
    </xf>
    <xf numFmtId="0" fontId="4" fillId="7" borderId="1" pivotButton="0" quotePrefix="0" xfId="0"/>
    <xf numFmtId="0" fontId="0" fillId="7" borderId="1" pivotButton="0" quotePrefix="0" xfId="0"/>
    <xf numFmtId="0" fontId="7" fillId="7" borderId="1" applyAlignment="1" pivotButton="0" quotePrefix="0" xfId="0">
      <alignment wrapText="1"/>
    </xf>
    <xf numFmtId="0" fontId="4" fillId="8" borderId="1" pivotButton="0" quotePrefix="0" xfId="0"/>
    <xf numFmtId="0" fontId="0" fillId="8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7" fillId="8" borderId="1" applyAlignment="1" pivotButton="0" quotePrefix="0" xfId="0">
      <alignment wrapText="1"/>
    </xf>
    <xf numFmtId="0" fontId="7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22" customWidth="1" min="4" max="4"/>
    <col width="50" customWidth="1" min="5" max="5"/>
  </cols>
  <sheetData>
    <row r="1">
      <c r="B1" s="1" t="inlineStr">
        <is>
          <t>SECTION 32-11N-25W, BECKHAM COUNTY, OKLAHOMA — CURSORY TITLE REPORT</t>
        </is>
      </c>
    </row>
    <row r="2">
      <c r="B2" s="2" t="inlineStr">
        <is>
          <t>FOR REVIEW — HOLD NO EXTERNAL RELEASE</t>
        </is>
      </c>
    </row>
    <row r="4">
      <c r="B4" s="3" t="inlineStr">
        <is>
          <t>EXECUTIVE SUMMARY &amp; DECISION-ORIENTED CONTROL REGISTER</t>
        </is>
      </c>
    </row>
    <row r="5">
      <c r="B5" s="4" t="inlineStr">
        <is>
          <t>Prospect / Target Area:</t>
        </is>
      </c>
      <c r="D5" s="5" t="inlineStr">
        <is>
          <t>Section 32, Township 11 North, Range 25 West, Beckham County, OK</t>
        </is>
      </c>
    </row>
    <row r="6">
      <c r="B6" s="4" t="inlineStr">
        <is>
          <t>Gross Section Area:</t>
        </is>
      </c>
      <c r="D6" s="5" t="inlineStr">
        <is>
          <t>640.00 nominal gross acres (Section-wide regulatory scope)</t>
        </is>
      </c>
    </row>
    <row r="7">
      <c r="B7" s="4" t="inlineStr">
        <is>
          <t>Primary Reviewed Entity:</t>
        </is>
      </c>
      <c r="D7" s="5" t="inlineStr">
        <is>
          <t>Diversified Production LLC / Predecessor Working Interest Chain</t>
        </is>
      </c>
    </row>
    <row r="8">
      <c r="B8" s="4" t="inlineStr">
        <is>
          <t>Review Effective Date:</t>
        </is>
      </c>
      <c r="D8" s="5" t="inlineStr">
        <is>
          <t>August 6, 2026 (Forward record search cutoff March 2, 2023)</t>
        </is>
      </c>
    </row>
    <row r="9">
      <c r="B9" s="4" t="inlineStr">
        <is>
          <t>Challenger Approach:</t>
        </is>
      </c>
      <c r="D9" s="5" t="inlineStr">
        <is>
          <t>Contradiction-First &amp; Evidence-Grounded Reconciliation (Gemini 3.7 Flash)</t>
        </is>
      </c>
    </row>
    <row r="10">
      <c r="B10" s="4" t="inlineStr">
        <is>
          <t>Mandatory Classification:</t>
        </is>
      </c>
      <c r="D10" s="5" t="inlineStr">
        <is>
          <t>FOR REVIEW — HOLD NO EXTERNAL RELEASE</t>
        </is>
      </c>
    </row>
    <row r="12">
      <c r="B12" s="6" t="inlineStr">
        <is>
          <t>CATEGORY</t>
        </is>
      </c>
      <c r="C12" s="6" t="inlineStr">
        <is>
          <t>LEGAL &amp; TITLE DETERMINATION</t>
        </is>
      </c>
      <c r="D12" s="6" t="inlineStr">
        <is>
          <t>EVIDENCE STATUS</t>
        </is>
      </c>
      <c r="E12" s="6" t="inlineStr">
        <is>
          <t>SUPPORTING BASIS &amp; REVIEWS</t>
        </is>
      </c>
    </row>
    <row r="13">
      <c r="B13" s="7" t="inlineStr">
        <is>
          <t>ESTABLISHED</t>
        </is>
      </c>
      <c r="C13" s="8" t="inlineStr">
        <is>
          <t>Nominal 640.00 gross acre section framework across 5 primary fee tract subdivisions.</t>
        </is>
      </c>
      <c r="D13" s="8" t="inlineStr">
        <is>
          <t>PROVED</t>
        </is>
      </c>
      <c r="E13" s="9" t="inlineStr">
        <is>
          <t>Patent 3/469 (Cornelius, NE/4) and Land Office Receiver Receipts 3894, 3895, Biggs.</t>
        </is>
      </c>
    </row>
    <row r="14">
      <c r="B14" s="7" t="inlineStr">
        <is>
          <t>ESTABLISHED</t>
        </is>
      </c>
      <c r="C14" s="8" t="inlineStr">
        <is>
          <t>Diversified Production LLC is the latest scheduled asset claimant for OK48147.001.1.</t>
        </is>
      </c>
      <c r="D14" s="8" t="inlineStr">
        <is>
          <t>PROVED (Historical)</t>
        </is>
      </c>
      <c r="E14" s="9" t="inlineStr">
        <is>
          <t>Direct asset schedule entries at Bk 2400/Pg 566 and Bk 2395/Pg 462.</t>
        </is>
      </c>
    </row>
    <row r="15">
      <c r="B15" s="10" t="inlineStr">
        <is>
          <t>QUALIFIED / APPARENT</t>
        </is>
      </c>
      <c r="C15" s="8" t="inlineStr">
        <is>
          <t>Mineral ownership estimates by tract based on last-located record vesting instruments.</t>
        </is>
      </c>
      <c r="D15" s="8" t="inlineStr">
        <is>
          <t>ESTIMATED</t>
        </is>
      </c>
      <c r="E15" s="9" t="inlineStr">
        <is>
          <t>V7/V10 ending schedules carry 160 ac (T1), 80 ac (T2), 80 ac (T3), 80 ac (T4), 80 ac (T5).</t>
        </is>
      </c>
    </row>
    <row r="16">
      <c r="B16" s="10" t="inlineStr">
        <is>
          <t>QUALIFIED / APPARENT</t>
        </is>
      </c>
      <c r="C16" s="8" t="inlineStr">
        <is>
          <t>Historical oil and gas leases (14 principal OGLs) recorded between 1947 and 1979.</t>
        </is>
      </c>
      <c r="D16" s="8" t="inlineStr">
        <is>
          <t>ESTIMATED</t>
        </is>
      </c>
      <c r="E16" s="9" t="inlineStr">
        <is>
          <t>Creating terms extracted from direct faces; modern continuation is qualified.</t>
        </is>
      </c>
    </row>
    <row r="17">
      <c r="B17" s="10" t="inlineStr">
        <is>
          <t>QUALIFIED / APPARENT</t>
        </is>
      </c>
      <c r="C17" s="8" t="inlineStr">
        <is>
          <t>Regulatory context includes OCC Order 156126 (1979) and producing wells (Latigo / BCE-Mach II).</t>
        </is>
      </c>
      <c r="D17" s="8" t="inlineStr">
        <is>
          <t>PROVED (Regulatory)</t>
        </is>
      </c>
      <c r="E17" s="9" t="inlineStr">
        <is>
          <t>Official OCC Order 156126 and OTC production context established.</t>
        </is>
      </c>
    </row>
    <row r="18">
      <c r="B18" s="11" t="inlineStr">
        <is>
          <t>NOT DETERMINED</t>
        </is>
      </c>
      <c r="C18" s="8" t="inlineStr">
        <is>
          <t>Current section-wide Diversified Working Interest (WI), Net Revenue Interest (NRI), &amp; ORRI.</t>
        </is>
      </c>
      <c r="D18" s="8" t="inlineStr">
        <is>
          <t>UNPROVED / BLANK</t>
        </is>
      </c>
      <c r="E18" s="9" t="inlineStr">
        <is>
          <t>Predecessor 15.000875% and 51.25% transaction branches require missing Tapstone schedules.</t>
        </is>
      </c>
    </row>
    <row r="19">
      <c r="B19" s="11" t="inlineStr">
        <is>
          <t>NOT DETERMINED</t>
        </is>
      </c>
      <c r="C19" s="8" t="inlineStr">
        <is>
          <t>Current lease-by-lease HBP validity across all tracts and depths.</t>
        </is>
      </c>
      <c r="D19" s="8" t="inlineStr">
        <is>
          <t>UNPROVED / OPEN</t>
        </is>
      </c>
      <c r="E19" s="9" t="inlineStr">
        <is>
          <t>Blanket production does not prove section-wide HBP; wellbore &amp; depth exclusions open.</t>
        </is>
      </c>
    </row>
    <row r="20">
      <c r="B20" s="11" t="inlineStr">
        <is>
          <t>NOT DETERMINED</t>
        </is>
      </c>
      <c r="C20" s="8" t="inlineStr">
        <is>
          <t>Post-cutoff divestiture status under Bk 2434/Pg 751 (Diversified/DP to Teocalli).</t>
        </is>
      </c>
      <c r="D20" s="12" t="inlineStr">
        <is>
          <t>CRITICAL OPEN ITEM</t>
        </is>
      </c>
      <c r="E20" s="9" t="inlineStr">
        <is>
          <t>Index-only lead; if Section 32 is included in exhibit, Diversified interest was conveyed out.</t>
        </is>
      </c>
    </row>
    <row r="21">
      <c r="B21" s="13" t="inlineStr">
        <is>
          <t>TOP CURATIVE ITEM 1</t>
        </is>
      </c>
      <c r="C21" s="8" t="inlineStr">
        <is>
          <t>Acquire complete unredacted Exhibit A to Assignment Bk 1697/Pg 236 (Staghorn to CHK).</t>
        </is>
      </c>
      <c r="D21" s="8" t="inlineStr">
        <is>
          <t>CURATIVE QUEUE</t>
        </is>
      </c>
      <c r="E21" s="9" t="inlineStr">
        <is>
          <t>Required to bridge base OGLs to modern Chesapeake/Tapstone leasehold.</t>
        </is>
      </c>
    </row>
    <row r="22">
      <c r="B22" s="13" t="inlineStr">
        <is>
          <t>TOP CURATIVE ITEM 2</t>
        </is>
      </c>
      <c r="C22" s="8" t="inlineStr">
        <is>
          <t>Review assignment instrument and schedule at Bk 2434/Pg 751 (Teocalli Exploration).</t>
        </is>
      </c>
      <c r="D22" s="8" t="inlineStr">
        <is>
          <t>CURATIVE QUEUE</t>
        </is>
      </c>
      <c r="E22" s="9" t="inlineStr">
        <is>
          <t>P0 divestiture determination for Diversified working interest.</t>
        </is>
      </c>
    </row>
    <row r="23">
      <c r="B23" s="13" t="inlineStr">
        <is>
          <t>TOP CURATIVE ITEM 3</t>
        </is>
      </c>
      <c r="C23" s="8" t="inlineStr">
        <is>
          <t>Obtain missing Beckham County Index Logical Page 48 and resolve disordered Page 54.</t>
        </is>
      </c>
      <c r="D23" s="8" t="inlineStr">
        <is>
          <t>CURATIVE QUEUE</t>
        </is>
      </c>
      <c r="E23" s="9" t="inlineStr">
        <is>
          <t>Complete county index accounting across all 1,981 historical entries.</t>
        </is>
      </c>
    </row>
    <row r="24">
      <c r="B24" s="13" t="inlineStr">
        <is>
          <t>TOP CURATIVE ITEM 4</t>
        </is>
      </c>
      <c r="C24" s="8" t="inlineStr">
        <is>
          <t>Obtain complete probate decrees for Ellen W. Crook (83/259) and Charlie B. Crook (845/150).</t>
        </is>
      </c>
      <c r="D24" s="8" t="inlineStr">
        <is>
          <t>CURATIVE QUEUE</t>
        </is>
      </c>
      <c r="E24" s="9" t="inlineStr">
        <is>
          <t>Required to establish present lawful fractional mineral title for Tract 1 heirs.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22" customWidth="1" min="5" max="5"/>
    <col width="30" customWidth="1" min="6" max="6"/>
    <col width="32" customWidth="1" min="7" max="7"/>
    <col width="50" customWidth="1" min="8" max="8"/>
  </cols>
  <sheetData>
    <row r="1">
      <c r="A1" s="1" t="inlineStr">
        <is>
          <t>SECTION 32-11N-25W, BECKHAM COUNTY, OKLAHOMA — ESTIMATED MINERAL TITLE BY TRACT</t>
        </is>
      </c>
    </row>
    <row r="2">
      <c r="A2" s="2" t="inlineStr">
        <is>
          <t>FOR REVIEW — HOLD NO EXTERNAL RELEASE • Client focus: Diversified • Effective August 6, 2026 • EST. = Last-Located Record Owner (Not Present Confirmed Title)</t>
        </is>
      </c>
    </row>
    <row r="4">
      <c r="A4" s="14" t="inlineStr">
        <is>
          <t>Tract</t>
        </is>
      </c>
      <c r="B4" s="14" t="inlineStr">
        <is>
          <t>Estimated / Last-Located Mineral Owner</t>
        </is>
      </c>
      <c r="C4" s="14" t="inlineStr">
        <is>
          <t>EST. NMA</t>
        </is>
      </c>
      <c r="D4" s="14" t="inlineStr">
        <is>
          <t>Tract Gross Ac</t>
        </is>
      </c>
      <c r="E4" s="14" t="inlineStr">
        <is>
          <t>OGL / Lease Ref</t>
        </is>
      </c>
      <c r="F4" s="14" t="inlineStr">
        <is>
          <t>Royalty / Lease Status</t>
        </is>
      </c>
      <c r="G4" s="14" t="inlineStr">
        <is>
          <t>Mailing Address of Record</t>
        </is>
      </c>
      <c r="H4" s="14" t="inlineStr">
        <is>
          <t>Vesting Source &amp; Visible Assumptions</t>
        </is>
      </c>
    </row>
    <row r="5">
      <c r="A5" s="8" t="inlineStr">
        <is>
          <t>Tract 1 (NE/4)</t>
        </is>
      </c>
      <c r="B5" s="8" t="inlineStr">
        <is>
          <t>Unresolved successors of Adolf Bollenbach (WD 10/255, 01/31/1910)</t>
        </is>
      </c>
      <c r="C5" s="15" t="n">
        <v>65</v>
      </c>
      <c r="D5" s="15" t="n">
        <v>160</v>
      </c>
      <c r="E5" s="8" t="inlineStr">
        <is>
          <t>None</t>
        </is>
      </c>
      <c r="F5" s="8" t="inlineStr">
        <is>
          <t>Status not determined</t>
        </is>
      </c>
      <c r="G5" s="8" t="inlineStr">
        <is>
          <t>No address of record</t>
        </is>
      </c>
      <c r="H5" s="8" t="inlineStr">
        <is>
          <t>ASSUMED: 65.000000 NMA residual vests in last traced record owner (WD 10/255); downstream chain-out open. Current title NOT DETERMINED.</t>
        </is>
      </c>
    </row>
    <row r="6">
      <c r="A6" s="8" t="inlineStr">
        <is>
          <t>Tract 1 (NE/4)</t>
        </is>
      </c>
      <c r="B6" s="8" t="inlineStr">
        <is>
          <t>C. B. Crook, Jr. (Heir of Charlie B. Crook)</t>
        </is>
      </c>
      <c r="C6" s="15" t="n">
        <v>8</v>
      </c>
      <c r="D6" s="15" t="n">
        <v>160</v>
      </c>
      <c r="E6" s="8" t="inlineStr">
        <is>
          <t>OGL 2 (264/345)</t>
        </is>
      </c>
      <c r="F6" s="8" t="inlineStr">
        <is>
          <t>1/8; Cursory Estimate; HBP Unconfirmed</t>
        </is>
      </c>
      <c r="G6" s="8" t="inlineStr">
        <is>
          <t>Address not located</t>
        </is>
      </c>
      <c r="H6" s="8" t="inlineStr">
        <is>
          <t>EST. last located record owner; Vested: DECR 845/150-152 and 845/157. Current status not confirmed at 08/06/2026.</t>
        </is>
      </c>
    </row>
    <row r="7">
      <c r="A7" s="8" t="inlineStr">
        <is>
          <t>Tract 1 (NE/4)</t>
        </is>
      </c>
      <c r="B7" s="8" t="inlineStr">
        <is>
          <t>Carole Faye Hanks (Heir of Charlie B. Crook)</t>
        </is>
      </c>
      <c r="C7" s="15" t="n">
        <v>8</v>
      </c>
      <c r="D7" s="15" t="n">
        <v>160</v>
      </c>
      <c r="E7" s="8" t="inlineStr">
        <is>
          <t>OGL 2 (264/345)</t>
        </is>
      </c>
      <c r="F7" s="8" t="inlineStr">
        <is>
          <t>1/8; Cursory Estimate; HBP Unconfirmed</t>
        </is>
      </c>
      <c r="G7" s="8" t="inlineStr">
        <is>
          <t>Address not located</t>
        </is>
      </c>
      <c r="H7" s="8" t="inlineStr">
        <is>
          <t>EST. last located record owner; Vested: DECR 845/150-152 and 845/157. Current status not confirmed at 08/06/2026.</t>
        </is>
      </c>
    </row>
    <row r="8">
      <c r="A8" s="8" t="inlineStr">
        <is>
          <t>Tract 1 (NE/4)</t>
        </is>
      </c>
      <c r="B8" s="8" t="inlineStr">
        <is>
          <t>Doris Marie Lenderman (Heir of Charlie B. Crook)</t>
        </is>
      </c>
      <c r="C8" s="15" t="n">
        <v>8</v>
      </c>
      <c r="D8" s="15" t="n">
        <v>160</v>
      </c>
      <c r="E8" s="8" t="inlineStr">
        <is>
          <t>OGL 2 (264/345)</t>
        </is>
      </c>
      <c r="F8" s="8" t="inlineStr">
        <is>
          <t>1/8; Cursory Estimate; HBP Unconfirmed</t>
        </is>
      </c>
      <c r="G8" s="8" t="inlineStr">
        <is>
          <t>Address not located</t>
        </is>
      </c>
      <c r="H8" s="8" t="inlineStr">
        <is>
          <t>EST. last located record owner; Vested: DECR 845/150-152 and 845/157. Current status not confirmed at 08/06/2026.</t>
        </is>
      </c>
    </row>
    <row r="9">
      <c r="A9" s="8" t="inlineStr">
        <is>
          <t>Tract 1 (NE/4)</t>
        </is>
      </c>
      <c r="B9" s="8" t="inlineStr">
        <is>
          <t>Ina Bell Bryan (Heir of Charlie B. Crook)</t>
        </is>
      </c>
      <c r="C9" s="15" t="n">
        <v>8</v>
      </c>
      <c r="D9" s="15" t="n">
        <v>160</v>
      </c>
      <c r="E9" s="8" t="inlineStr">
        <is>
          <t>OGL 2 (264/345)</t>
        </is>
      </c>
      <c r="F9" s="8" t="inlineStr">
        <is>
          <t>1/8; Cursory Estimate; HBP Unconfirmed</t>
        </is>
      </c>
      <c r="G9" s="8" t="inlineStr">
        <is>
          <t>Address not located</t>
        </is>
      </c>
      <c r="H9" s="8" t="inlineStr">
        <is>
          <t>EST. last located record owner; Vested: DECR 845/150-152 and 845/157. Current status not confirmed at 08/06/2026.</t>
        </is>
      </c>
    </row>
    <row r="10">
      <c r="A10" s="8" t="inlineStr">
        <is>
          <t>Tract 1 (NE/4)</t>
        </is>
      </c>
      <c r="B10" s="8" t="inlineStr">
        <is>
          <t>Mary Joyce Higgenbotham (Heir of Charlie B. Crook)</t>
        </is>
      </c>
      <c r="C10" s="15" t="n">
        <v>8</v>
      </c>
      <c r="D10" s="15" t="n">
        <v>160</v>
      </c>
      <c r="E10" s="8" t="inlineStr">
        <is>
          <t>OGL 2 (264/345)</t>
        </is>
      </c>
      <c r="F10" s="8" t="inlineStr">
        <is>
          <t>1/8; Cursory Estimate; HBP Unconfirmed</t>
        </is>
      </c>
      <c r="G10" s="8" t="inlineStr">
        <is>
          <t>Address not located</t>
        </is>
      </c>
      <c r="H10" s="8" t="inlineStr">
        <is>
          <t>EST. last located record owner; Vested: DECR 845/150-152 and 845/157. Current status not confirmed at 08/06/2026.</t>
        </is>
      </c>
    </row>
    <row r="11">
      <c r="A11" s="8" t="inlineStr">
        <is>
          <t>Tract 1 (NE/4)</t>
        </is>
      </c>
      <c r="B11" s="8" t="inlineStr">
        <is>
          <t>F. L. Randel &amp; J. L. Randel, share &amp; share alike</t>
        </is>
      </c>
      <c r="C11" s="15" t="n">
        <v>1.5</v>
      </c>
      <c r="D11" s="15" t="n">
        <v>160</v>
      </c>
      <c r="E11" s="8" t="inlineStr">
        <is>
          <t>OGL 9, 10 (352/719, 721)</t>
        </is>
      </c>
      <c r="F11" s="8" t="inlineStr">
        <is>
          <t>1/8; Assumed effective; HBP Unconfirmed</t>
        </is>
      </c>
      <c r="G11" s="8" t="inlineStr">
        <is>
          <t>Wichita Falls, TX (1950 MD recital)</t>
        </is>
      </c>
      <c r="H11" s="8" t="inlineStr">
        <is>
          <t>EST. last located record owner; Vested: MD 92/47. Forward record search cutoff 03/02/2023.</t>
        </is>
      </c>
    </row>
    <row r="12">
      <c r="A12" s="8" t="inlineStr">
        <is>
          <t>Tract 1 (NE/4)</t>
        </is>
      </c>
      <c r="B12" s="8" t="inlineStr">
        <is>
          <t>Great Western Oil &amp; Gas, Inc.</t>
        </is>
      </c>
      <c r="C12" s="15" t="n">
        <v>10</v>
      </c>
      <c r="D12" s="15" t="n">
        <v>160</v>
      </c>
      <c r="E12" s="8" t="inlineStr">
        <is>
          <t>OGL 11 (376/369)</t>
        </is>
      </c>
      <c r="F12" s="8" t="inlineStr">
        <is>
          <t>1/8; Assumed effective; HBP Unconfirmed</t>
        </is>
      </c>
      <c r="G12" s="8" t="inlineStr">
        <is>
          <t>Address not located</t>
        </is>
      </c>
      <c r="H12" s="8" t="inlineStr">
        <is>
          <t>EST. last located record owner; Vested: MD 367/632 (image 1558). Current corporate succession open.</t>
        </is>
      </c>
    </row>
    <row r="13">
      <c r="A13" s="8" t="inlineStr">
        <is>
          <t>Tract 1 (NE/4)</t>
        </is>
      </c>
      <c r="B13" s="8" t="inlineStr">
        <is>
          <t>Jean Jenkins Shearer, Florence J. Chunn, Wm. R. Jenkins</t>
        </is>
      </c>
      <c r="C13" s="15" t="n">
        <v>2</v>
      </c>
      <c r="D13" s="15" t="n">
        <v>160</v>
      </c>
      <c r="E13" s="8" t="inlineStr">
        <is>
          <t>None</t>
        </is>
      </c>
      <c r="F13" s="8" t="inlineStr">
        <is>
          <t>No located active OGL</t>
        </is>
      </c>
      <c r="G13" s="8" t="inlineStr">
        <is>
          <t>Address not located</t>
        </is>
      </c>
      <c r="H13" s="8" t="inlineStr">
        <is>
          <t>EST. last located record owner; Vested: MD 250/26. Unleased mineral interest or unrecorded lease.</t>
        </is>
      </c>
    </row>
    <row r="14">
      <c r="A14" s="8" t="inlineStr">
        <is>
          <t>Tract 1 (NE/4)</t>
        </is>
      </c>
      <c r="B14" s="8" t="inlineStr">
        <is>
          <t>Unresolved probate beneficiaries under Decree 83/259 (Ellen W. Crook)</t>
        </is>
      </c>
      <c r="C14" s="15" t="n">
        <v>40</v>
      </c>
      <c r="D14" s="15" t="n">
        <v>160</v>
      </c>
      <c r="E14" s="8" t="inlineStr">
        <is>
          <t>None</t>
        </is>
      </c>
      <c r="F14" s="8" t="inlineStr">
        <is>
          <t>Status not determined</t>
        </is>
      </c>
      <c r="G14" s="8" t="inlineStr">
        <is>
          <t>No address of record</t>
        </is>
      </c>
      <c r="H14" s="8" t="inlineStr">
        <is>
          <t>ASSUMED: 40.000000 NMA vests collectively per decree; individual allocations not stated on face. Current title OPEN.</t>
        </is>
      </c>
    </row>
    <row r="15">
      <c r="A15" s="8" t="inlineStr">
        <is>
          <t>Tract 1 (NE/4)</t>
        </is>
      </c>
      <c r="B15" s="8" t="inlineStr">
        <is>
          <t>Unresolved record owner (Grantee of F.L. Randel deed, img 1794)</t>
        </is>
      </c>
      <c r="C15" s="15" t="n">
        <v>1.5</v>
      </c>
      <c r="D15" s="15" t="n">
        <v>160</v>
      </c>
      <c r="E15" s="8" t="inlineStr">
        <is>
          <t>None</t>
        </is>
      </c>
      <c r="F15" s="8" t="inlineStr">
        <is>
          <t>Status not determined</t>
        </is>
      </c>
      <c r="G15" s="8" t="inlineStr">
        <is>
          <t>No address of record</t>
        </is>
      </c>
      <c r="H15" s="8" t="inlineStr">
        <is>
          <t>ASSUMED: 1.500000 NMA per recorded deed; grantee name unextracted from face. Curative required.</t>
        </is>
      </c>
    </row>
    <row r="16">
      <c r="A16" s="8" t="inlineStr">
        <is>
          <t>Tract 2 (N/2 NW/4)</t>
        </is>
      </c>
      <c r="B16" s="8" t="inlineStr">
        <is>
          <t>B. E. Maddoux (Stipulated residual)</t>
        </is>
      </c>
      <c r="C16" s="15" t="n">
        <v>10</v>
      </c>
      <c r="D16" s="15" t="n">
        <v>80</v>
      </c>
      <c r="E16" s="8" t="inlineStr">
        <is>
          <t>None</t>
        </is>
      </c>
      <c r="F16" s="8" t="inlineStr">
        <is>
          <t>No located active OGL</t>
        </is>
      </c>
      <c r="G16" s="8" t="inlineStr">
        <is>
          <t>407 N. Broadway, Sayre, OK (1947 recital)</t>
        </is>
      </c>
      <c r="H16" s="8" t="inlineStr">
        <is>
          <t>EST. last located record owner; Vested: STIPULATION 153/161-162. Current status not proved.</t>
        </is>
      </c>
    </row>
    <row r="17">
      <c r="A17" s="8" t="inlineStr">
        <is>
          <t>Tract 2 (N/2 NW/4)</t>
        </is>
      </c>
      <c r="B17" s="8" t="inlineStr">
        <is>
          <t>D. H. Maddoux (Stipulated residual)</t>
        </is>
      </c>
      <c r="C17" s="15" t="n">
        <v>10</v>
      </c>
      <c r="D17" s="15" t="n">
        <v>80</v>
      </c>
      <c r="E17" s="8" t="inlineStr">
        <is>
          <t>None</t>
        </is>
      </c>
      <c r="F17" s="8" t="inlineStr">
        <is>
          <t>No located active OGL</t>
        </is>
      </c>
      <c r="G17" s="8" t="inlineStr">
        <is>
          <t>Address not located</t>
        </is>
      </c>
      <c r="H17" s="8" t="inlineStr">
        <is>
          <t>EST. last located record owner; Vested: STIPULATION 153/161-162. Current status not proved.</t>
        </is>
      </c>
    </row>
    <row r="18">
      <c r="A18" s="8" t="inlineStr">
        <is>
          <t>Tract 2 (N/2 NW/4)</t>
        </is>
      </c>
      <c r="B18" s="8" t="inlineStr">
        <is>
          <t>George T. Harrison Jr. &amp; Renata Harrison</t>
        </is>
      </c>
      <c r="C18" s="15" t="n">
        <v>20</v>
      </c>
      <c r="D18" s="15" t="n">
        <v>80</v>
      </c>
      <c r="E18" s="8" t="inlineStr">
        <is>
          <t>OGL 6 (340/323)</t>
        </is>
      </c>
      <c r="F18" s="8" t="inlineStr">
        <is>
          <t>1/8; Assumed effective; HBP Unconfirmed</t>
        </is>
      </c>
      <c r="G18" s="8" t="inlineStr">
        <is>
          <t>Address not located</t>
        </is>
      </c>
      <c r="H18" s="8" t="inlineStr">
        <is>
          <t>EST. last located record owner; Vested: MD 92/47. Covers N/2 NW/4 and N/2 SW/4.</t>
        </is>
      </c>
    </row>
    <row r="19">
      <c r="A19" s="8" t="inlineStr">
        <is>
          <t>Tract 2 (N/2 NW/4)</t>
        </is>
      </c>
      <c r="B19" s="8" t="inlineStr">
        <is>
          <t>Edgar Sanditen, Julius Sanditen, Herman Sanditen, Morris Sanditen</t>
        </is>
      </c>
      <c r="C19" s="15" t="n">
        <v>20</v>
      </c>
      <c r="D19" s="15" t="n">
        <v>80</v>
      </c>
      <c r="E19" s="8" t="inlineStr">
        <is>
          <t>None</t>
        </is>
      </c>
      <c r="F19" s="8" t="inlineStr">
        <is>
          <t>Status not determined</t>
        </is>
      </c>
      <c r="G19" s="8" t="inlineStr">
        <is>
          <t>Tulsa, OK (historic recital)</t>
        </is>
      </c>
      <c r="H19" s="8" t="inlineStr">
        <is>
          <t>EST. last located record owner; Vested: MD 85/363-366. Probate and corporate succession open.</t>
        </is>
      </c>
    </row>
    <row r="20">
      <c r="A20" s="8" t="inlineStr">
        <is>
          <t>Tract 2 (N/2 NW/4)</t>
        </is>
      </c>
      <c r="B20" s="8" t="inlineStr">
        <is>
          <t>LeGrand / Keathley Heirs (Ola Keathley Estate)</t>
        </is>
      </c>
      <c r="C20" s="15" t="n">
        <v>20</v>
      </c>
      <c r="D20" s="15" t="n">
        <v>80</v>
      </c>
      <c r="E20" s="8" t="inlineStr">
        <is>
          <t>None</t>
        </is>
      </c>
      <c r="F20" s="8" t="inlineStr">
        <is>
          <t>Status not determined</t>
        </is>
      </c>
      <c r="G20" s="8" t="inlineStr">
        <is>
          <t>Sayre, OK (historic recital)</t>
        </is>
      </c>
      <c r="H20" s="8" t="inlineStr">
        <is>
          <t>EST. last located record owner; Vested: P-76-78, Pgs 349-350. Final distribution decree incomplete.</t>
        </is>
      </c>
    </row>
    <row r="21">
      <c r="A21" s="8" t="inlineStr">
        <is>
          <t>Tract 3 (S/2 NW/4)</t>
        </is>
      </c>
      <c r="B21" s="8" t="inlineStr">
        <is>
          <t>C. R. Bennett (Historic mineral grantee)</t>
        </is>
      </c>
      <c r="C21" s="15" t="n">
        <v>40</v>
      </c>
      <c r="D21" s="15" t="n">
        <v>80</v>
      </c>
      <c r="E21" s="8" t="inlineStr">
        <is>
          <t>None</t>
        </is>
      </c>
      <c r="F21" s="8" t="inlineStr">
        <is>
          <t>No located active OGL</t>
        </is>
      </c>
      <c r="G21" s="8" t="inlineStr">
        <is>
          <t>Oklahoma City, OK (historic recital)</t>
        </is>
      </c>
      <c r="H21" s="8" t="inlineStr">
        <is>
          <t>EST. last located record owner; Vested: MD 81/194. Forward record search cutoff 03/02/2023.</t>
        </is>
      </c>
    </row>
    <row r="22">
      <c r="A22" s="8" t="inlineStr">
        <is>
          <t>Tract 3 (S/2 NW/4)</t>
        </is>
      </c>
      <c r="B22" s="8" t="inlineStr">
        <is>
          <t>Heller Company (Historic entity)</t>
        </is>
      </c>
      <c r="C22" s="15" t="n">
        <v>20</v>
      </c>
      <c r="D22" s="15" t="n">
        <v>80</v>
      </c>
      <c r="E22" s="8" t="inlineStr">
        <is>
          <t>None</t>
        </is>
      </c>
      <c r="F22" s="8" t="inlineStr">
        <is>
          <t>Status not determined</t>
        </is>
      </c>
      <c r="G22" s="8" t="inlineStr">
        <is>
          <t>Tulsa, OK (historic recital)</t>
        </is>
      </c>
      <c r="H22" s="8" t="inlineStr">
        <is>
          <t>EST. last located record owner; Vested: MD 85/222. Entity dissolution and succession open.</t>
        </is>
      </c>
    </row>
    <row r="23">
      <c r="A23" s="8" t="inlineStr">
        <is>
          <t>Tract 3 (S/2 NW/4)</t>
        </is>
      </c>
      <c r="B23" s="8" t="inlineStr">
        <is>
          <t>Bettye Folmar Norris</t>
        </is>
      </c>
      <c r="C23" s="15" t="n">
        <v>20</v>
      </c>
      <c r="D23" s="15" t="n">
        <v>80</v>
      </c>
      <c r="E23" s="8" t="inlineStr">
        <is>
          <t>None</t>
        </is>
      </c>
      <c r="F23" s="8" t="inlineStr">
        <is>
          <t>Status not determined</t>
        </is>
      </c>
      <c r="G23" s="8" t="inlineStr">
        <is>
          <t>Address not located</t>
        </is>
      </c>
      <c r="H23" s="8" t="inlineStr">
        <is>
          <t>EST. last located record owner; Vested: DECR 262/490-493. Current heirs/successors not proved.</t>
        </is>
      </c>
    </row>
    <row r="24">
      <c r="A24" s="8" t="inlineStr">
        <is>
          <t>Tract 4 (SW/4)</t>
        </is>
      </c>
      <c r="B24" s="8" t="inlineStr">
        <is>
          <t>Gertrude L. LaFortune &amp; Gertrude LaFortune, widow</t>
        </is>
      </c>
      <c r="C24" s="15" t="n">
        <v>40</v>
      </c>
      <c r="D24" s="15" t="n">
        <v>160</v>
      </c>
      <c r="E24" s="8" t="inlineStr">
        <is>
          <t>OGL 4, 5 (340/302, 304)</t>
        </is>
      </c>
      <c r="F24" s="8" t="inlineStr">
        <is>
          <t>3/16; Assumed effective; HBP Unconfirmed</t>
        </is>
      </c>
      <c r="G24" s="8" t="inlineStr">
        <is>
          <t>Tulsa, OK (historic recital)</t>
        </is>
      </c>
      <c r="H24" s="8" t="inlineStr">
        <is>
          <t>EST. last located record owner; Vested: MD 85/222 &amp; probate. Overlapping N/2 SW/4 leases.</t>
        </is>
      </c>
    </row>
    <row r="25">
      <c r="A25" s="8" t="inlineStr">
        <is>
          <t>Tract 4 (SW/4)</t>
        </is>
      </c>
      <c r="B25" s="8" t="inlineStr">
        <is>
          <t>Carol Seidenbach Leach &amp; Cynthia Seidenbach Kruse</t>
        </is>
      </c>
      <c r="C25" s="15" t="n">
        <v>40</v>
      </c>
      <c r="D25" s="15" t="n">
        <v>160</v>
      </c>
      <c r="E25" s="8" t="inlineStr">
        <is>
          <t>OGL 7, 8 (342/564, 566)</t>
        </is>
      </c>
      <c r="F25" s="8" t="inlineStr">
        <is>
          <t>3/16; Assumed effective; HBP Unconfirmed</t>
        </is>
      </c>
      <c r="G25" s="8" t="inlineStr">
        <is>
          <t>Address not located</t>
        </is>
      </c>
      <c r="H25" s="8" t="inlineStr">
        <is>
          <t>EST. last located record owner; Vested: Probate decree. N/2 SW/4 leasehold.</t>
        </is>
      </c>
    </row>
    <row r="26">
      <c r="A26" s="8" t="inlineStr">
        <is>
          <t>Tract 4 (SW/4)</t>
        </is>
      </c>
      <c r="B26" s="8" t="inlineStr">
        <is>
          <t>Cora B. LeGrand (W/2 SE/4 &amp; S/2 SW/4)</t>
        </is>
      </c>
      <c r="C26" s="15" t="n">
        <v>80</v>
      </c>
      <c r="D26" s="15" t="n">
        <v>160</v>
      </c>
      <c r="E26" s="8" t="inlineStr">
        <is>
          <t>OGL 3 (307/31)</t>
        </is>
      </c>
      <c r="F26" s="8" t="inlineStr">
        <is>
          <t>1/8; Assumed effective; HBP Unconfirmed</t>
        </is>
      </c>
      <c r="G26" s="8" t="inlineStr">
        <is>
          <t>Sayre, OK (historic recital)</t>
        </is>
      </c>
      <c r="H26" s="8" t="inlineStr">
        <is>
          <t>EST. last located record owner; Vested: Patent/Deed chain. S/2 SW/4 and W/2 SE/4.</t>
        </is>
      </c>
    </row>
    <row r="27">
      <c r="A27" s="8" t="inlineStr">
        <is>
          <t>Tract 5 (SE/4)</t>
        </is>
      </c>
      <c r="B27" s="8" t="inlineStr">
        <is>
          <t>Cora B. Garrett &amp; S. A. Garrett</t>
        </is>
      </c>
      <c r="C27" s="15" t="n">
        <v>80</v>
      </c>
      <c r="D27" s="15" t="n">
        <v>160</v>
      </c>
      <c r="E27" s="8" t="inlineStr">
        <is>
          <t>OGL 1 (63/33)</t>
        </is>
      </c>
      <c r="F27" s="8" t="inlineStr">
        <is>
          <t>1/8; 10-Yr Term (1947); HBP Unconfirmed</t>
        </is>
      </c>
      <c r="G27" s="8" t="inlineStr">
        <is>
          <t>Sayre, OK (historic recital)</t>
        </is>
      </c>
      <c r="H27" s="8" t="inlineStr">
        <is>
          <t>EST. last located record owner; Vested: Biggs receiver receipt / deed chain. Covers E/2 SE/4.</t>
        </is>
      </c>
    </row>
    <row r="28">
      <c r="A28" s="8" t="inlineStr">
        <is>
          <t>Tract 5 (SE/4)</t>
        </is>
      </c>
      <c r="B28" s="8" t="inlineStr">
        <is>
          <t>Cora B. LeGrand (E/2 SE/4 &amp; W/2 SE/4 split)</t>
        </is>
      </c>
      <c r="C28" s="15" t="n">
        <v>80</v>
      </c>
      <c r="D28" s="15" t="n">
        <v>160</v>
      </c>
      <c r="E28" s="8" t="inlineStr">
        <is>
          <t>OGL 3 (307/31)</t>
        </is>
      </c>
      <c r="F28" s="8" t="inlineStr">
        <is>
          <t>1/8; Assumed effective; HBP Unconfirmed</t>
        </is>
      </c>
      <c r="G28" s="8" t="inlineStr">
        <is>
          <t>Sayre, OK (historic recital)</t>
        </is>
      </c>
      <c r="H28" s="8" t="inlineStr">
        <is>
          <t>EST. last located record owner; Vested: Deed 307/31 chain. Covers W/2 SE/4.</t>
        </is>
      </c>
    </row>
    <row r="29">
      <c r="A29" s="16" t="inlineStr">
        <is>
          <t>TOTAL</t>
        </is>
      </c>
      <c r="B29" s="16" t="inlineStr">
        <is>
          <t>ESTIMATED SECTION 32 RECORD RECONCILIATION TOTAL</t>
        </is>
      </c>
      <c r="C29" s="17">
        <f>SUM(C5:C28)</f>
        <v/>
      </c>
      <c r="D29" s="17" t="n">
        <v>640</v>
      </c>
      <c r="E29" s="16" t="inlineStr">
        <is>
          <t>—</t>
        </is>
      </c>
      <c r="F29" s="16" t="inlineStr">
        <is>
          <t>—</t>
        </is>
      </c>
      <c r="G29" s="16" t="inlineStr">
        <is>
          <t>—</t>
        </is>
      </c>
      <c r="H29" s="16" t="inlineStr">
        <is>
          <t>Note: Arithmetic closure to 640.00 NMA represents record-reconstruction balance, NOT proof of current unclouded marketable title.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4" customWidth="1" min="6" max="6"/>
    <col width="30" customWidth="1" min="7" max="7"/>
    <col width="26" customWidth="1" min="8" max="8"/>
    <col width="30" customWidth="1" min="9" max="9"/>
    <col width="10" customWidth="1" min="10" max="10"/>
    <col width="10" customWidth="1" min="11" max="11"/>
    <col width="12" customWidth="1" min="12" max="12"/>
    <col width="18" customWidth="1" min="13" max="13"/>
    <col width="35" customWidth="1" min="14" max="14"/>
  </cols>
  <sheetData>
    <row r="1">
      <c r="A1" s="1" t="inlineStr">
        <is>
          <t>OIL &amp; GAS LEASE (OGL) MASTER SCHEDULE — SECTION 32-11N-25W</t>
        </is>
      </c>
    </row>
    <row r="2">
      <c r="A2" s="2" t="inlineStr">
        <is>
          <t>FOR REVIEW — HOLD NO EXTERNAL RELEASE • Calculated Primary Term Expirations Are Inferred Mathematical Dates, Not Legal Proof of Expiration/HBP Continuation</t>
        </is>
      </c>
    </row>
    <row r="4">
      <c r="A4" s="14" t="inlineStr">
        <is>
          <t>OGL #</t>
        </is>
      </c>
      <c r="B4" s="14" t="inlineStr">
        <is>
          <t>Image / Ref</t>
        </is>
      </c>
      <c r="C4" s="14" t="inlineStr">
        <is>
          <t>Instrument Type</t>
        </is>
      </c>
      <c r="D4" s="14" t="inlineStr">
        <is>
          <t>Book / Page</t>
        </is>
      </c>
      <c r="E4" s="14" t="inlineStr">
        <is>
          <t>Lease Date</t>
        </is>
      </c>
      <c r="F4" s="14" t="inlineStr">
        <is>
          <t>Recording Date</t>
        </is>
      </c>
      <c r="G4" s="14" t="inlineStr">
        <is>
          <t>Lessor</t>
        </is>
      </c>
      <c r="H4" s="14" t="inlineStr">
        <is>
          <t>Original Lessee</t>
        </is>
      </c>
      <c r="I4" s="14" t="inlineStr">
        <is>
          <t>Tract / Legal Description</t>
        </is>
      </c>
      <c r="J4" s="14" t="inlineStr">
        <is>
          <t>Gross Ac</t>
        </is>
      </c>
      <c r="K4" s="14" t="inlineStr">
        <is>
          <t>Royalty</t>
        </is>
      </c>
      <c r="L4" s="14" t="inlineStr">
        <is>
          <t>Primary Term</t>
        </is>
      </c>
      <c r="M4" s="14" t="inlineStr">
        <is>
          <t>Calculated Primary Exp.</t>
        </is>
      </c>
      <c r="N4" s="14" t="inlineStr">
        <is>
          <t>Current Qualified Status</t>
        </is>
      </c>
    </row>
    <row r="5">
      <c r="A5" s="18" t="n">
        <v>1</v>
      </c>
      <c r="B5" s="19" t="inlineStr">
        <is>
          <t>Img 0353</t>
        </is>
      </c>
      <c r="C5" s="19" t="inlineStr">
        <is>
          <t>Oil and Gas Lease</t>
        </is>
      </c>
      <c r="D5" s="19" t="inlineStr">
        <is>
          <t>63/33</t>
        </is>
      </c>
      <c r="E5" s="19" t="inlineStr">
        <is>
          <t>1947-11-13</t>
        </is>
      </c>
      <c r="F5" s="19" t="inlineStr">
        <is>
          <t>1947-11-26</t>
        </is>
      </c>
      <c r="G5" s="19" t="inlineStr">
        <is>
          <t>Cora B. Garrett; S.A. Garrett</t>
        </is>
      </c>
      <c r="H5" s="19" t="inlineStr">
        <is>
          <t>C.E. McKinley</t>
        </is>
      </c>
      <c r="I5" s="19" t="inlineStr">
        <is>
          <t>E/2 SE/4 (Tract 5)</t>
        </is>
      </c>
      <c r="J5" s="18" t="n">
        <v>80</v>
      </c>
      <c r="K5" s="19" t="inlineStr">
        <is>
          <t>1/8</t>
        </is>
      </c>
      <c r="L5" s="19" t="inlineStr">
        <is>
          <t>10 Years</t>
        </is>
      </c>
      <c r="M5" s="19" t="inlineStr">
        <is>
          <t>1957-11-13</t>
        </is>
      </c>
      <c r="N5" s="19" t="inlineStr">
        <is>
          <t>Historical Lease — HBP Status Unconfirmed</t>
        </is>
      </c>
    </row>
    <row r="6">
      <c r="A6" s="18" t="n">
        <v>2</v>
      </c>
      <c r="B6" s="19" t="inlineStr">
        <is>
          <t>Imgs 1197-98</t>
        </is>
      </c>
      <c r="C6" s="19" t="inlineStr">
        <is>
          <t>Oil and Gas Lease</t>
        </is>
      </c>
      <c r="D6" s="19" t="inlineStr">
        <is>
          <t>264/345</t>
        </is>
      </c>
      <c r="E6" s="19" t="inlineStr">
        <is>
          <t>1972-02-05</t>
        </is>
      </c>
      <c r="F6" s="19" t="inlineStr">
        <is>
          <t>1972-02-22</t>
        </is>
      </c>
      <c r="G6" s="19" t="inlineStr">
        <is>
          <t>Charlie B. Crook; Ima Pearl Crook</t>
        </is>
      </c>
      <c r="H6" s="19" t="inlineStr">
        <is>
          <t>Union Oil Co. of California</t>
        </is>
      </c>
      <c r="I6" s="19" t="inlineStr">
        <is>
          <t>NE/4 (Tract 1)</t>
        </is>
      </c>
      <c r="J6" s="18" t="n">
        <v>160</v>
      </c>
      <c r="K6" s="19" t="inlineStr">
        <is>
          <t>1/8</t>
        </is>
      </c>
      <c r="L6" s="19" t="inlineStr">
        <is>
          <t>5 Years</t>
        </is>
      </c>
      <c r="M6" s="19" t="inlineStr">
        <is>
          <t>1977-02-05</t>
        </is>
      </c>
      <c r="N6" s="19" t="inlineStr">
        <is>
          <t>Historical Lease — HBP Status Unconfirmed</t>
        </is>
      </c>
    </row>
    <row r="7">
      <c r="A7" s="18" t="n">
        <v>3</v>
      </c>
      <c r="B7" s="19" t="inlineStr">
        <is>
          <t>Img 1372</t>
        </is>
      </c>
      <c r="C7" s="19" t="inlineStr">
        <is>
          <t>Oil and Gas Lease</t>
        </is>
      </c>
      <c r="D7" s="19" t="inlineStr">
        <is>
          <t>307/31</t>
        </is>
      </c>
      <c r="E7" s="19" t="inlineStr">
        <is>
          <t>1976-04-29</t>
        </is>
      </c>
      <c r="F7" s="19" t="inlineStr">
        <is>
          <t>1976-06-09</t>
        </is>
      </c>
      <c r="G7" s="19" t="inlineStr">
        <is>
          <t>Cora B. LeGrand</t>
        </is>
      </c>
      <c r="H7" s="19" t="inlineStr">
        <is>
          <t>Union Oil Co. of California</t>
        </is>
      </c>
      <c r="I7" s="19" t="inlineStr">
        <is>
          <t>W/2 SE/4 &amp; S/2 SW/4 (Tracts 4, 5)</t>
        </is>
      </c>
      <c r="J7" s="18" t="n">
        <v>160</v>
      </c>
      <c r="K7" s="19" t="inlineStr">
        <is>
          <t>1/8</t>
        </is>
      </c>
      <c r="L7" s="19" t="inlineStr">
        <is>
          <t>3 Years</t>
        </is>
      </c>
      <c r="M7" s="19" t="inlineStr">
        <is>
          <t>1979-04-29</t>
        </is>
      </c>
      <c r="N7" s="19" t="inlineStr">
        <is>
          <t>Historical Lease — HBP Status Unconfirmed</t>
        </is>
      </c>
    </row>
    <row r="8">
      <c r="A8" s="18" t="n">
        <v>4</v>
      </c>
      <c r="B8" s="19" t="inlineStr">
        <is>
          <t>Imgs 1522-23</t>
        </is>
      </c>
      <c r="C8" s="19" t="inlineStr">
        <is>
          <t>Oil and Gas Lease</t>
        </is>
      </c>
      <c r="D8" s="19" t="inlineStr">
        <is>
          <t>340/302</t>
        </is>
      </c>
      <c r="E8" s="19" t="inlineStr">
        <is>
          <t>1977-10-14</t>
        </is>
      </c>
      <c r="F8" s="19" t="inlineStr">
        <is>
          <t>Not extracted</t>
        </is>
      </c>
      <c r="G8" s="19" t="inlineStr">
        <is>
          <t>Gertrude L. LaFortune et al.</t>
        </is>
      </c>
      <c r="H8" s="19" t="inlineStr">
        <is>
          <t>Union Oil Co. of California</t>
        </is>
      </c>
      <c r="I8" s="19" t="inlineStr">
        <is>
          <t>N/2 SW/4 (Tract 4)</t>
        </is>
      </c>
      <c r="J8" s="18" t="n">
        <v>80</v>
      </c>
      <c r="K8" s="19" t="inlineStr">
        <is>
          <t>3/16</t>
        </is>
      </c>
      <c r="L8" s="19" t="inlineStr">
        <is>
          <t>3 Years</t>
        </is>
      </c>
      <c r="M8" s="19" t="inlineStr">
        <is>
          <t>1980-10-14</t>
        </is>
      </c>
      <c r="N8" s="19" t="inlineStr">
        <is>
          <t>Historical Lease — HBP Status Unconfirmed</t>
        </is>
      </c>
    </row>
    <row r="9">
      <c r="A9" s="18" t="n">
        <v>5</v>
      </c>
      <c r="B9" s="19" t="inlineStr">
        <is>
          <t>Imgs 1524-25</t>
        </is>
      </c>
      <c r="C9" s="19" t="inlineStr">
        <is>
          <t>Oil and Gas Lease</t>
        </is>
      </c>
      <c r="D9" s="19" t="inlineStr">
        <is>
          <t>340/304</t>
        </is>
      </c>
      <c r="E9" s="19" t="inlineStr">
        <is>
          <t>1977-10-14</t>
        </is>
      </c>
      <c r="F9" s="19" t="inlineStr">
        <is>
          <t>Not extracted</t>
        </is>
      </c>
      <c r="G9" s="19" t="inlineStr">
        <is>
          <t>Gertrude LaFortune, widow</t>
        </is>
      </c>
      <c r="H9" s="19" t="inlineStr">
        <is>
          <t>Union Oil Co. of California</t>
        </is>
      </c>
      <c r="I9" s="19" t="inlineStr">
        <is>
          <t>N/2 SW/4 (Tract 4)</t>
        </is>
      </c>
      <c r="J9" s="18" t="n">
        <v>80</v>
      </c>
      <c r="K9" s="19" t="inlineStr">
        <is>
          <t>3/16</t>
        </is>
      </c>
      <c r="L9" s="19" t="inlineStr">
        <is>
          <t>3 Years</t>
        </is>
      </c>
      <c r="M9" s="19" t="inlineStr">
        <is>
          <t>1980-10-14</t>
        </is>
      </c>
      <c r="N9" s="19" t="inlineStr">
        <is>
          <t>Historical Lease — HBP Status Unconfirmed</t>
        </is>
      </c>
    </row>
    <row r="10">
      <c r="A10" s="18" t="n">
        <v>6</v>
      </c>
      <c r="B10" s="19" t="inlineStr">
        <is>
          <t>Imgs 1526-27</t>
        </is>
      </c>
      <c r="C10" s="19" t="inlineStr">
        <is>
          <t>Oil and Gas Lease</t>
        </is>
      </c>
      <c r="D10" s="19" t="inlineStr">
        <is>
          <t>340/323</t>
        </is>
      </c>
      <c r="E10" s="19" t="inlineStr">
        <is>
          <t>1977-09-29</t>
        </is>
      </c>
      <c r="F10" s="19" t="inlineStr">
        <is>
          <t>1977-11-07</t>
        </is>
      </c>
      <c r="G10" s="19" t="inlineStr">
        <is>
          <t>George T. Harrison Jr.; Renata Harrison</t>
        </is>
      </c>
      <c r="H10" s="19" t="inlineStr">
        <is>
          <t>Union Oil Co. of California</t>
        </is>
      </c>
      <c r="I10" s="19" t="inlineStr">
        <is>
          <t>N/2 NW/4 &amp; N/2 SW/4 (Tracts 2, 4)</t>
        </is>
      </c>
      <c r="J10" s="18" t="n">
        <v>160</v>
      </c>
      <c r="K10" s="19" t="inlineStr">
        <is>
          <t>1/8</t>
        </is>
      </c>
      <c r="L10" s="19" t="inlineStr">
        <is>
          <t>3 Years</t>
        </is>
      </c>
      <c r="M10" s="19" t="inlineStr">
        <is>
          <t>1980-09-29</t>
        </is>
      </c>
      <c r="N10" s="19" t="inlineStr">
        <is>
          <t>Historical Lease — HBP Status Unconfirmed</t>
        </is>
      </c>
    </row>
    <row r="11">
      <c r="A11" s="18" t="n">
        <v>7</v>
      </c>
      <c r="B11" s="19" t="inlineStr">
        <is>
          <t>Imgs 1542-43</t>
        </is>
      </c>
      <c r="C11" s="19" t="inlineStr">
        <is>
          <t>Oil and Gas Lease</t>
        </is>
      </c>
      <c r="D11" s="19" t="inlineStr">
        <is>
          <t>342/564</t>
        </is>
      </c>
      <c r="E11" s="19" t="inlineStr">
        <is>
          <t>1977-09-29</t>
        </is>
      </c>
      <c r="F11" s="19" t="inlineStr">
        <is>
          <t>1978-02-09</t>
        </is>
      </c>
      <c r="G11" s="19" t="inlineStr">
        <is>
          <t>Carol Seidenbach Leach</t>
        </is>
      </c>
      <c r="H11" s="19" t="inlineStr">
        <is>
          <t>Union Oil Co. of California</t>
        </is>
      </c>
      <c r="I11" s="19" t="inlineStr">
        <is>
          <t>N/2 SW/4 (Tract 4)</t>
        </is>
      </c>
      <c r="J11" s="18" t="n">
        <v>80</v>
      </c>
      <c r="K11" s="19" t="inlineStr">
        <is>
          <t>3/16</t>
        </is>
      </c>
      <c r="L11" s="19" t="inlineStr">
        <is>
          <t>3 Years</t>
        </is>
      </c>
      <c r="M11" s="19" t="inlineStr">
        <is>
          <t>1980-09-29</t>
        </is>
      </c>
      <c r="N11" s="19" t="inlineStr">
        <is>
          <t>Historical Lease — HBP Status Unconfirmed</t>
        </is>
      </c>
    </row>
    <row r="12">
      <c r="A12" s="18" t="n">
        <v>8</v>
      </c>
      <c r="B12" s="19" t="inlineStr">
        <is>
          <t>Imgs 1544-45</t>
        </is>
      </c>
      <c r="C12" s="19" t="inlineStr">
        <is>
          <t>Oil and Gas Lease</t>
        </is>
      </c>
      <c r="D12" s="19" t="inlineStr">
        <is>
          <t>342/566</t>
        </is>
      </c>
      <c r="E12" s="19" t="inlineStr">
        <is>
          <t>1977-11-01</t>
        </is>
      </c>
      <c r="F12" s="19" t="inlineStr">
        <is>
          <t>1978-02-09</t>
        </is>
      </c>
      <c r="G12" s="19" t="inlineStr">
        <is>
          <t>Cynthia Seidenbach Kruse</t>
        </is>
      </c>
      <c r="H12" s="19" t="inlineStr">
        <is>
          <t>Union Oil Co. of California</t>
        </is>
      </c>
      <c r="I12" s="19" t="inlineStr">
        <is>
          <t>N/2 SW/4 (Tract 4)</t>
        </is>
      </c>
      <c r="J12" s="18" t="n">
        <v>80</v>
      </c>
      <c r="K12" s="19" t="inlineStr">
        <is>
          <t>3/16</t>
        </is>
      </c>
      <c r="L12" s="19" t="inlineStr">
        <is>
          <t>3 Years</t>
        </is>
      </c>
      <c r="M12" s="19" t="inlineStr">
        <is>
          <t>1980-11-01</t>
        </is>
      </c>
      <c r="N12" s="19" t="inlineStr">
        <is>
          <t>Historical Lease — HBP Status Unconfirmed</t>
        </is>
      </c>
    </row>
    <row r="13">
      <c r="A13" s="18" t="n">
        <v>9</v>
      </c>
      <c r="B13" s="19" t="inlineStr">
        <is>
          <t>Imgs 1552-53</t>
        </is>
      </c>
      <c r="C13" s="19" t="inlineStr">
        <is>
          <t>Oil and Gas Lease</t>
        </is>
      </c>
      <c r="D13" s="19" t="inlineStr">
        <is>
          <t>352/719</t>
        </is>
      </c>
      <c r="E13" s="19" t="inlineStr">
        <is>
          <t>1978-05-16</t>
        </is>
      </c>
      <c r="F13" s="19" t="inlineStr">
        <is>
          <t>1978-06-27</t>
        </is>
      </c>
      <c r="G13" s="19" t="inlineStr">
        <is>
          <t>F.L. Randel</t>
        </is>
      </c>
      <c r="H13" s="19" t="inlineStr">
        <is>
          <t>Union Oil Co. of California</t>
        </is>
      </c>
      <c r="I13" s="19" t="inlineStr">
        <is>
          <t>Part NE/4 (Tract 1)</t>
        </is>
      </c>
      <c r="J13" s="18" t="n">
        <v>1.5</v>
      </c>
      <c r="K13" s="19" t="inlineStr">
        <is>
          <t>1/8</t>
        </is>
      </c>
      <c r="L13" s="19" t="inlineStr">
        <is>
          <t>3 Years</t>
        </is>
      </c>
      <c r="M13" s="19" t="inlineStr">
        <is>
          <t>1981-05-16</t>
        </is>
      </c>
      <c r="N13" s="19" t="inlineStr">
        <is>
          <t>Historical Lease — HBP Status Unconfirmed</t>
        </is>
      </c>
    </row>
    <row r="14">
      <c r="A14" s="18" t="n">
        <v>10</v>
      </c>
      <c r="B14" s="19" t="inlineStr">
        <is>
          <t>Imgs 1554-55</t>
        </is>
      </c>
      <c r="C14" s="19" t="inlineStr">
        <is>
          <t>Oil and Gas Lease</t>
        </is>
      </c>
      <c r="D14" s="19" t="inlineStr">
        <is>
          <t>352/721</t>
        </is>
      </c>
      <c r="E14" s="19" t="inlineStr">
        <is>
          <t>1978-05-16</t>
        </is>
      </c>
      <c r="F14" s="19" t="inlineStr">
        <is>
          <t>1978-06-27</t>
        </is>
      </c>
      <c r="G14" s="19" t="inlineStr">
        <is>
          <t>J.L. Randel</t>
        </is>
      </c>
      <c r="H14" s="19" t="inlineStr">
        <is>
          <t>Union Oil Co. of California</t>
        </is>
      </c>
      <c r="I14" s="19" t="inlineStr">
        <is>
          <t>Part NE/4 (Tract 1)</t>
        </is>
      </c>
      <c r="J14" s="18" t="n">
        <v>1.5</v>
      </c>
      <c r="K14" s="19" t="inlineStr">
        <is>
          <t>1/8</t>
        </is>
      </c>
      <c r="L14" s="19" t="inlineStr">
        <is>
          <t>3 Years</t>
        </is>
      </c>
      <c r="M14" s="19" t="inlineStr">
        <is>
          <t>1981-05-16</t>
        </is>
      </c>
      <c r="N14" s="19" t="inlineStr">
        <is>
          <t>Historical Lease — HBP Status Unconfirmed</t>
        </is>
      </c>
    </row>
    <row r="15">
      <c r="A15" s="18" t="n">
        <v>11</v>
      </c>
      <c r="B15" s="19" t="inlineStr">
        <is>
          <t>Imgs 1569-70</t>
        </is>
      </c>
      <c r="C15" s="19" t="inlineStr">
        <is>
          <t>Oil and Gas Lease</t>
        </is>
      </c>
      <c r="D15" s="19" t="inlineStr">
        <is>
          <t>376/369</t>
        </is>
      </c>
      <c r="E15" s="19" t="inlineStr">
        <is>
          <t>1979-03-21</t>
        </is>
      </c>
      <c r="F15" s="19" t="inlineStr">
        <is>
          <t>1979-04-30</t>
        </is>
      </c>
      <c r="G15" s="19" t="inlineStr">
        <is>
          <t>Great Western Oil &amp; Gas, Inc.</t>
        </is>
      </c>
      <c r="H15" s="19" t="inlineStr">
        <is>
          <t>Union Oil Co. of California</t>
        </is>
      </c>
      <c r="I15" s="19" t="inlineStr">
        <is>
          <t>Part NE/4 (Tract 1)</t>
        </is>
      </c>
      <c r="J15" s="18" t="n">
        <v>10</v>
      </c>
      <c r="K15" s="19" t="inlineStr">
        <is>
          <t>1/8</t>
        </is>
      </c>
      <c r="L15" s="19" t="inlineStr">
        <is>
          <t>3 Years</t>
        </is>
      </c>
      <c r="M15" s="19" t="inlineStr">
        <is>
          <t>1982-03-21</t>
        </is>
      </c>
      <c r="N15" s="19" t="inlineStr">
        <is>
          <t>Historical Lease — HBP Status Unconfirmed</t>
        </is>
      </c>
    </row>
    <row r="16">
      <c r="A16" s="18" t="n">
        <v>12</v>
      </c>
      <c r="B16" s="19" t="inlineStr">
        <is>
          <t>Imgs 1457-58</t>
        </is>
      </c>
      <c r="C16" s="19" t="inlineStr">
        <is>
          <t>Oil and Gas Lease</t>
        </is>
      </c>
      <c r="D16" s="19" t="inlineStr">
        <is>
          <t>332/74-75</t>
        </is>
      </c>
      <c r="E16" s="19" t="inlineStr">
        <is>
          <t>1977-08-01</t>
        </is>
      </c>
      <c r="F16" s="19" t="inlineStr">
        <is>
          <t>1977-09-14</t>
        </is>
      </c>
      <c r="G16" s="19" t="inlineStr">
        <is>
          <t>Ralph W. Viersen Jr. et al.</t>
        </is>
      </c>
      <c r="H16" s="19" t="inlineStr">
        <is>
          <t>Leede Exploration</t>
        </is>
      </c>
      <c r="I16" s="19" t="inlineStr">
        <is>
          <t>NW/4 &amp; SW/4 (Tracts 2, 3, 4)</t>
        </is>
      </c>
      <c r="J16" s="18" t="n">
        <v>320</v>
      </c>
      <c r="K16" s="19" t="inlineStr">
        <is>
          <t>3/16</t>
        </is>
      </c>
      <c r="L16" s="19" t="inlineStr">
        <is>
          <t>3 Years</t>
        </is>
      </c>
      <c r="M16" s="19" t="inlineStr">
        <is>
          <t>1980-08-01</t>
        </is>
      </c>
      <c r="N16" s="19" t="inlineStr">
        <is>
          <t>Historical Lease — Owner Coverage Defect; Status Open</t>
        </is>
      </c>
    </row>
    <row r="17">
      <c r="A17" s="18" t="n">
        <v>13</v>
      </c>
      <c r="B17" s="19" t="inlineStr">
        <is>
          <t>Imgs 1568/1812</t>
        </is>
      </c>
      <c r="C17" s="19" t="inlineStr">
        <is>
          <t>Oil and Gas Lease (Recited)</t>
        </is>
      </c>
      <c r="D17" s="19" t="inlineStr">
        <is>
          <t>341/538</t>
        </is>
      </c>
      <c r="E17" s="19" t="inlineStr">
        <is>
          <t>1977-11-29</t>
        </is>
      </c>
      <c r="F17" s="19" t="inlineStr">
        <is>
          <t>Not extracted</t>
        </is>
      </c>
      <c r="G17" s="19" t="inlineStr">
        <is>
          <t>R.L. Minton; Ella Minton</t>
        </is>
      </c>
      <c r="H17" s="19" t="inlineStr">
        <is>
          <t>John E. Hartman</t>
        </is>
      </c>
      <c r="I17" s="19" t="inlineStr">
        <is>
          <t>N/2 SW/4 &amp; N/2 NW/4 (Tracts 2, 4)</t>
        </is>
      </c>
      <c r="J17" s="18" t="n">
        <v>160</v>
      </c>
      <c r="K17" s="19" t="inlineStr">
        <is>
          <t>1/8</t>
        </is>
      </c>
      <c r="L17" s="19" t="inlineStr">
        <is>
          <t>3 Years</t>
        </is>
      </c>
      <c r="M17" s="19" t="inlineStr">
        <is>
          <t>1980-11-29</t>
        </is>
      </c>
      <c r="N17" s="19" t="inlineStr">
        <is>
          <t>Creating Face Absent; Status Unconfirmed</t>
        </is>
      </c>
    </row>
    <row r="18">
      <c r="A18" s="18" t="n">
        <v>14</v>
      </c>
      <c r="B18" s="19" t="inlineStr">
        <is>
          <t>Bk 1697/Pg 236</t>
        </is>
      </c>
      <c r="C18" s="19" t="inlineStr">
        <is>
          <t>Assignment (Prior Ref)</t>
        </is>
      </c>
      <c r="D18" s="19" t="inlineStr">
        <is>
          <t>1697/236</t>
        </is>
      </c>
      <c r="E18" s="19" t="inlineStr">
        <is>
          <t>2001-08-20</t>
        </is>
      </c>
      <c r="F18" s="19" t="inlineStr">
        <is>
          <t>2001-08-29</t>
        </is>
      </c>
      <c r="G18" s="19" t="inlineStr">
        <is>
          <t>Staghorn Resources LLC</t>
        </is>
      </c>
      <c r="H18" s="19" t="inlineStr">
        <is>
          <t>Chesapeake Exploration LP</t>
        </is>
      </c>
      <c r="I18" s="19" t="inlineStr">
        <is>
          <t>Section 32 scheduled lands</t>
        </is>
      </c>
      <c r="J18" s="18" t="n">
        <v>640</v>
      </c>
      <c r="K18" s="19" t="inlineStr">
        <is>
          <t>Various</t>
        </is>
      </c>
      <c r="L18" s="19" t="inlineStr">
        <is>
          <t>Assignment</t>
        </is>
      </c>
      <c r="M18" s="19" t="inlineStr">
        <is>
          <t>N/A</t>
        </is>
      </c>
      <c r="N18" s="19" t="inlineStr">
        <is>
          <t>Modern Master Assignment Predecessor; Exhibit A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20" customWidth="1" min="4" max="4"/>
    <col width="4" customWidth="1" min="5" max="5"/>
    <col width="25" customWidth="1" min="6" max="6"/>
    <col width="25" customWidth="1" min="7" max="7"/>
  </cols>
  <sheetData>
    <row r="2">
      <c r="B2" s="1" t="inlineStr">
        <is>
          <t>SECTION 32, TOWNSHIP 11 NORTH, RANGE 25 WEST, BECKHAM COUNTY, OKLAHOMA</t>
        </is>
      </c>
    </row>
    <row r="3">
      <c r="B3" s="3" t="inlineStr">
        <is>
          <t>LAND TRACT SUBDIVISION PLAT &amp; GEOMETRY DIAGRAM (640.00 GROSS ACRES)</t>
        </is>
      </c>
    </row>
    <row r="4">
      <c r="B4" s="2" t="inlineStr">
        <is>
          <t>FOR REVIEW — HOLD NO EXTERNAL RELEASE</t>
        </is>
      </c>
    </row>
    <row r="7">
      <c r="B7" s="20" t="inlineStr">
        <is>
          <t>TRACT 2: N/2 NW/4 (80.00 AC)</t>
        </is>
      </c>
      <c r="C7" s="21" t="n"/>
      <c r="D7" s="21" t="n"/>
      <c r="F7" s="22" t="inlineStr">
        <is>
          <t>TRACT 1: NE/4 (160.00 AC)</t>
        </is>
      </c>
      <c r="G7" s="23" t="n"/>
    </row>
    <row r="8">
      <c r="B8" s="24" t="inlineStr">
        <is>
          <t>Historic Owner: Herman Stevens (FR 3894)
Ending Mineral Schedule: 80.00 NMA
Leases: OGL 6 (340/323), OGL 12 (332/74)
Wells: JGL 1-32, Legrand 1-32</t>
        </is>
      </c>
      <c r="C8" s="21" t="n"/>
      <c r="D8" s="21" t="n"/>
      <c r="F8" s="25" t="inlineStr">
        <is>
          <t>Historic Owner: Cornelius B. Cornelius (Patent 3/469)
Ending Mineral Schedule: 160.00 NMA (Crook / Bollenbach / Randel)
Leases: OGL 2 (264/345), OGL 9, 10 (352/719, 721), OGL 11 (376/369)
Wells: Twin 1-32 (BCE-Mach II), Katie 1-32 (BP America)</t>
        </is>
      </c>
      <c r="G8" s="23" t="n"/>
    </row>
    <row r="9">
      <c r="B9" s="21" t="n"/>
      <c r="C9" s="21" t="n"/>
      <c r="D9" s="21" t="n"/>
      <c r="F9" s="23" t="n"/>
      <c r="G9" s="23" t="n"/>
    </row>
    <row r="10">
      <c r="B10" s="21" t="n"/>
      <c r="C10" s="21" t="n"/>
      <c r="D10" s="21" t="n"/>
      <c r="F10" s="23" t="n"/>
      <c r="G10" s="23" t="n"/>
    </row>
    <row r="11">
      <c r="B11" s="21" t="n"/>
      <c r="C11" s="21" t="n"/>
      <c r="D11" s="21" t="n"/>
      <c r="F11" s="23" t="n"/>
      <c r="G11" s="23" t="n"/>
    </row>
    <row r="12">
      <c r="F12" s="23" t="n"/>
      <c r="G12" s="23" t="n"/>
    </row>
    <row r="13">
      <c r="B13" s="26" t="inlineStr">
        <is>
          <t>TRACT 3: S/2 NW/4 (80.00 AC)</t>
        </is>
      </c>
      <c r="C13" s="27" t="n"/>
      <c r="D13" s="27" t="n"/>
      <c r="F13" s="23" t="n"/>
      <c r="G13" s="23" t="n"/>
    </row>
    <row r="14">
      <c r="B14" s="28" t="inlineStr">
        <is>
          <t>Historic Owner: Herman Stevens (FR 3894)
Ending Mineral Schedule: 80.00 NMA
Leases: OGL 12 (332/74 Viersen)
Wells: Legrand 2-32</t>
        </is>
      </c>
      <c r="C14" s="27" t="n"/>
      <c r="D14" s="27" t="n"/>
      <c r="F14" s="23" t="n"/>
      <c r="G14" s="23" t="n"/>
    </row>
    <row r="15">
      <c r="B15" s="27" t="n"/>
      <c r="C15" s="27" t="n"/>
      <c r="D15" s="27" t="n"/>
      <c r="F15" s="23" t="n"/>
      <c r="G15" s="23" t="n"/>
    </row>
    <row r="16">
      <c r="B16" s="27" t="n"/>
      <c r="C16" s="27" t="n"/>
      <c r="D16" s="27" t="n"/>
      <c r="F16" s="23" t="n"/>
      <c r="G16" s="23" t="n"/>
    </row>
    <row r="17">
      <c r="B17" s="27" t="n"/>
      <c r="C17" s="27" t="n"/>
      <c r="D17" s="27" t="n"/>
      <c r="F17" s="23" t="n"/>
      <c r="G17" s="23" t="n"/>
    </row>
    <row r="19">
      <c r="B19" s="29" t="inlineStr">
        <is>
          <t>TRACT 4: N/2 SW/4 &amp; S/2 SW/4 (160.00 AC)</t>
        </is>
      </c>
      <c r="C19" s="30" t="n"/>
      <c r="D19" s="30" t="n"/>
      <c r="F19" s="31" t="inlineStr">
        <is>
          <t>TRACT 5: E/2 SE/4 &amp; W/2 SE/4 (160.00 AC)</t>
        </is>
      </c>
      <c r="G19" s="32" t="n"/>
    </row>
    <row r="20">
      <c r="B20" s="33" t="inlineStr">
        <is>
          <t>Historic Owner: Augustus P. Stevens (FR 3895)
Ending Mineral Schedule: 160.00 NMA (LaFortune / Leach / Kruse / LeGrand)
Leases: OGL 3 (307/31), OGL 4, 5 (340/302, 304), OGL 7, 8 (342/564, 566)
Wells: Crook 1-32 (Complete Oil &amp; Gas), Crook-Legrand 1-32</t>
        </is>
      </c>
      <c r="C20" s="30" t="n"/>
      <c r="D20" s="30" t="n"/>
      <c r="F20" s="34" t="inlineStr">
        <is>
          <t>Historic Owner: Velmore Biggs (FR Receiver Receipt; Patent Open)
Ending Mineral Schedule: 160.00 NMA (Garrett / LeGrand)
Leases: OGL 1 (63/33 Garrett), OGL 3 (307/31 LeGrand)
Wells: Cora Garrett C-310 (BP America), Pearl 1-32 (SM Energy)</t>
        </is>
      </c>
      <c r="G20" s="32" t="n"/>
    </row>
    <row r="21">
      <c r="B21" s="30" t="n"/>
      <c r="C21" s="30" t="n"/>
      <c r="D21" s="30" t="n"/>
      <c r="F21" s="32" t="n"/>
      <c r="G21" s="32" t="n"/>
    </row>
    <row r="22">
      <c r="B22" s="30" t="n"/>
      <c r="C22" s="30" t="n"/>
      <c r="D22" s="30" t="n"/>
      <c r="F22" s="32" t="n"/>
      <c r="G22" s="32" t="n"/>
    </row>
    <row r="23">
      <c r="B23" s="30" t="n"/>
      <c r="C23" s="30" t="n"/>
      <c r="D23" s="30" t="n"/>
      <c r="F23" s="32" t="n"/>
      <c r="G23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28" customWidth="1" min="7" max="7"/>
    <col width="28" customWidth="1" min="8" max="8"/>
    <col width="30" customWidth="1" min="9" max="9"/>
    <col width="45" customWidth="1" min="10" max="10"/>
    <col width="28" customWidth="1" min="11" max="11"/>
  </cols>
  <sheetData>
    <row r="1">
      <c r="A1" s="1" t="inlineStr">
        <is>
          <t>SECTION 32-11N-25W, BECKHAM COUNTY, OKLAHOMA — MASTER INSTRUMENT RUNSHEET</t>
        </is>
      </c>
    </row>
    <row r="2">
      <c r="A2" s="2" t="inlineStr">
        <is>
          <t>FOR REVIEW — HOLD NO EXTERNAL RELEASE • Preserved 140-Row Chronological Index &amp; Extraction Corpus</t>
        </is>
      </c>
    </row>
    <row r="4">
      <c r="A4" s="14" t="inlineStr">
        <is>
          <t>Seq</t>
        </is>
      </c>
      <c r="B4" s="14" t="inlineStr">
        <is>
          <t>OGL Ref</t>
        </is>
      </c>
      <c r="C4" s="14" t="inlineStr">
        <is>
          <t>Doc Type</t>
        </is>
      </c>
      <c r="D4" s="14" t="inlineStr">
        <is>
          <t>Book / Page</t>
        </is>
      </c>
      <c r="E4" s="14" t="inlineStr">
        <is>
          <t>Instrument Date</t>
        </is>
      </c>
      <c r="F4" s="14" t="inlineStr">
        <is>
          <t>Recording Date</t>
        </is>
      </c>
      <c r="G4" s="14" t="inlineStr">
        <is>
          <t>Grantor</t>
        </is>
      </c>
      <c r="H4" s="14" t="inlineStr">
        <is>
          <t>Grantee</t>
        </is>
      </c>
      <c r="I4" s="14" t="inlineStr">
        <is>
          <t>Legal Description / Coverage</t>
        </is>
      </c>
      <c r="J4" s="14" t="inlineStr">
        <is>
          <t>Operative Title Effect &amp; Remarks</t>
        </is>
      </c>
      <c r="K4" s="14" t="inlineStr">
        <is>
          <t>Evidence Tier / Status</t>
        </is>
      </c>
    </row>
    <row r="5">
      <c r="A5" s="18" t="n">
        <v>1</v>
      </c>
      <c r="B5" s="8" t="inlineStr">
        <is>
          <t>—</t>
        </is>
      </c>
      <c r="C5" s="8" t="inlineStr">
        <is>
          <t>PAT</t>
        </is>
      </c>
      <c r="D5" s="8" t="inlineStr">
        <is>
          <t>Patent Bk 3/469</t>
        </is>
      </c>
      <c r="E5" s="8" t="inlineStr">
        <is>
          <t>1907-03-22</t>
        </is>
      </c>
      <c r="F5" s="8" t="inlineStr">
        <is>
          <t>1907-06-08</t>
        </is>
      </c>
      <c r="G5" s="8" t="inlineStr">
        <is>
          <t>United States</t>
        </is>
      </c>
      <c r="H5" s="8" t="inlineStr">
        <is>
          <t>Cornelius B. Cornelius</t>
        </is>
      </c>
      <c r="I5" s="8" t="inlineStr">
        <is>
          <t>NE/4 Section 32 (160 ac)</t>
        </is>
      </c>
      <c r="J5" s="8" t="inlineStr">
        <is>
          <t>Homestead Patent; Sovereign inception of fee simple estate. No mineral reservation apparent.</t>
        </is>
      </c>
      <c r="K5" s="8" t="inlineStr">
        <is>
          <t>DIRECT IMAGE P-001 — PROVED</t>
        </is>
      </c>
    </row>
    <row r="6">
      <c r="A6" s="18" t="n">
        <v>2</v>
      </c>
      <c r="B6" s="8" t="inlineStr">
        <is>
          <t>—</t>
        </is>
      </c>
      <c r="C6" s="8" t="inlineStr">
        <is>
          <t>FR</t>
        </is>
      </c>
      <c r="D6" s="8" t="inlineStr">
        <is>
          <t>Image 0004</t>
        </is>
      </c>
      <c r="E6" s="8" t="inlineStr">
        <is>
          <t>1906-06-28</t>
        </is>
      </c>
      <c r="F6" s="8" t="inlineStr">
        <is>
          <t>1906-08-08</t>
        </is>
      </c>
      <c r="G6" s="8" t="inlineStr">
        <is>
          <t>U.S. Land Office</t>
        </is>
      </c>
      <c r="H6" s="8" t="inlineStr">
        <is>
          <t>Velmore Biggs</t>
        </is>
      </c>
      <c r="I6" s="8" t="inlineStr">
        <is>
          <t>SE/4 Section 32 (160 ac)</t>
        </is>
      </c>
      <c r="J6" s="8" t="inlineStr">
        <is>
          <t>Final Receiver Receipt; Sovereign inception evidence. Underlying patent remains OPEN.</t>
        </is>
      </c>
      <c r="K6" s="8" t="inlineStr">
        <is>
          <t>DIRECT IMAGE P-002 — PROVED</t>
        </is>
      </c>
    </row>
    <row r="7">
      <c r="A7" s="18" t="n">
        <v>3</v>
      </c>
      <c r="B7" s="8" t="inlineStr">
        <is>
          <t>—</t>
        </is>
      </c>
      <c r="C7" s="8" t="inlineStr">
        <is>
          <t>FR</t>
        </is>
      </c>
      <c r="D7" s="8" t="inlineStr">
        <is>
          <t>Image 0005</t>
        </is>
      </c>
      <c r="E7" s="8" t="inlineStr">
        <is>
          <t>1905-05-04</t>
        </is>
      </c>
      <c r="F7" s="8" t="inlineStr">
        <is>
          <t>1905-05-12</t>
        </is>
      </c>
      <c r="G7" s="8" t="inlineStr">
        <is>
          <t>U.S. Land Office</t>
        </is>
      </c>
      <c r="H7" s="8" t="inlineStr">
        <is>
          <t>Herman Stevens</t>
        </is>
      </c>
      <c r="I7" s="8" t="inlineStr">
        <is>
          <t>NW/4 Section 32 (160 ac)</t>
        </is>
      </c>
      <c r="J7" s="8" t="inlineStr">
        <is>
          <t>Final Receiver Receipt No. 3894; Sovereign inception evidence. Patent remains OPEN.</t>
        </is>
      </c>
      <c r="K7" s="8" t="inlineStr">
        <is>
          <t>DIRECT IMAGE P-003 — PROVED</t>
        </is>
      </c>
    </row>
    <row r="8">
      <c r="A8" s="18" t="n">
        <v>4</v>
      </c>
      <c r="B8" s="8" t="inlineStr">
        <is>
          <t>—</t>
        </is>
      </c>
      <c r="C8" s="8" t="inlineStr">
        <is>
          <t>FR</t>
        </is>
      </c>
      <c r="D8" s="8" t="inlineStr">
        <is>
          <t>Image 0006</t>
        </is>
      </c>
      <c r="E8" s="8" t="inlineStr">
        <is>
          <t>1905-05-04</t>
        </is>
      </c>
      <c r="F8" s="8" t="inlineStr">
        <is>
          <t>1905-05-12</t>
        </is>
      </c>
      <c r="G8" s="8" t="inlineStr">
        <is>
          <t>U.S. Land Office</t>
        </is>
      </c>
      <c r="H8" s="8" t="inlineStr">
        <is>
          <t>Augustus P. Stevens</t>
        </is>
      </c>
      <c r="I8" s="8" t="inlineStr">
        <is>
          <t>SW/4 Section 32 (160 ac)</t>
        </is>
      </c>
      <c r="J8" s="8" t="inlineStr">
        <is>
          <t>Final Receiver Receipt No. 3895; Sovereign inception evidence. Patent remains OPEN.</t>
        </is>
      </c>
      <c r="K8" s="8" t="inlineStr">
        <is>
          <t>DIRECT IMAGE P-004 — PROVED</t>
        </is>
      </c>
    </row>
    <row r="9">
      <c r="A9" s="18" t="n">
        <v>5</v>
      </c>
      <c r="B9" s="8" t="inlineStr">
        <is>
          <t>—</t>
        </is>
      </c>
      <c r="C9" s="8" t="inlineStr">
        <is>
          <t>WD</t>
        </is>
      </c>
      <c r="D9" s="8" t="inlineStr">
        <is>
          <t>Roger Mills 11/214</t>
        </is>
      </c>
      <c r="E9" s="8" t="inlineStr">
        <is>
          <t>1907-07-16</t>
        </is>
      </c>
      <c r="F9" s="8" t="inlineStr">
        <is>
          <t>1907-07-18</t>
        </is>
      </c>
      <c r="G9" s="8" t="inlineStr">
        <is>
          <t>Cornelius &amp; Margreta Cornelius</t>
        </is>
      </c>
      <c r="H9" s="8" t="inlineStr">
        <is>
          <t>Jacob Bollenbach</t>
        </is>
      </c>
      <c r="I9" s="8" t="inlineStr">
        <is>
          <t>NE/4 Section 32 (160 ac)</t>
        </is>
      </c>
      <c r="J9" s="8" t="inlineStr">
        <is>
          <t>Warranty Deed in pre-Beckham county records. Conveys full fee estate without reservation.</t>
        </is>
      </c>
      <c r="K9" s="8" t="inlineStr">
        <is>
          <t>DIRECT IMAGE — PROVED</t>
        </is>
      </c>
    </row>
    <row r="10">
      <c r="A10" s="18" t="n">
        <v>6</v>
      </c>
      <c r="B10" s="8" t="inlineStr">
        <is>
          <t>—</t>
        </is>
      </c>
      <c r="C10" s="8" t="inlineStr">
        <is>
          <t>WD</t>
        </is>
      </c>
      <c r="D10" s="8" t="inlineStr">
        <is>
          <t>Bk 10/Pg 255</t>
        </is>
      </c>
      <c r="E10" s="8" t="inlineStr">
        <is>
          <t>1910-01-31</t>
        </is>
      </c>
      <c r="F10" s="8" t="inlineStr">
        <is>
          <t>1910-02-15</t>
        </is>
      </c>
      <c r="G10" s="8" t="inlineStr">
        <is>
          <t>Jacob Bollenbach</t>
        </is>
      </c>
      <c r="H10" s="8" t="inlineStr">
        <is>
          <t>Adolf Bollenbach</t>
        </is>
      </c>
      <c r="I10" s="8" t="inlineStr">
        <is>
          <t>NE/4 Section 32 (160 ac)</t>
        </is>
      </c>
      <c r="J10" s="8" t="inlineStr">
        <is>
          <t>Warranty Deed conveying fee estate. Downstream mineral chain breaks here (65.0 NMA unchained).</t>
        </is>
      </c>
      <c r="K10" s="8" t="inlineStr">
        <is>
          <t>DIRECT IMAGE — PROVED</t>
        </is>
      </c>
    </row>
    <row r="11">
      <c r="A11" s="18" t="n">
        <v>7</v>
      </c>
      <c r="B11" s="8" t="inlineStr">
        <is>
          <t>OGL 1</t>
        </is>
      </c>
      <c r="C11" s="8" t="inlineStr">
        <is>
          <t>OGL</t>
        </is>
      </c>
      <c r="D11" s="8" t="inlineStr">
        <is>
          <t>Bk 63/Pg 33</t>
        </is>
      </c>
      <c r="E11" s="8" t="inlineStr">
        <is>
          <t>1947-11-13</t>
        </is>
      </c>
      <c r="F11" s="8" t="inlineStr">
        <is>
          <t>1947-11-26</t>
        </is>
      </c>
      <c r="G11" s="8" t="inlineStr">
        <is>
          <t>Cora B. Garrett &amp; S.A. Garrett</t>
        </is>
      </c>
      <c r="H11" s="8" t="inlineStr">
        <is>
          <t>C.E. McKinley</t>
        </is>
      </c>
      <c r="I11" s="8" t="inlineStr">
        <is>
          <t>E/2 SE/4 (80 ac)</t>
        </is>
      </c>
      <c r="J11" s="8" t="inlineStr">
        <is>
          <t>Oil and Gas Lease; 10-year primary term; 1/8 royalty. Base lease for Garrett branch.</t>
        </is>
      </c>
      <c r="K11" s="8" t="inlineStr">
        <is>
          <t>DIRECT IMAGE 0353 — PROVED</t>
        </is>
      </c>
    </row>
    <row r="12">
      <c r="A12" s="18" t="n">
        <v>8</v>
      </c>
      <c r="B12" s="8" t="inlineStr">
        <is>
          <t>—</t>
        </is>
      </c>
      <c r="C12" s="8" t="inlineStr">
        <is>
          <t>MD</t>
        </is>
      </c>
      <c r="D12" s="8" t="inlineStr">
        <is>
          <t>Bk 81/Pg 194</t>
        </is>
      </c>
      <c r="E12" s="8" t="inlineStr">
        <is>
          <t>1949-06-12</t>
        </is>
      </c>
      <c r="F12" s="8" t="inlineStr">
        <is>
          <t>1949-06-25</t>
        </is>
      </c>
      <c r="G12" s="8" t="inlineStr">
        <is>
          <t>Historic Grantors</t>
        </is>
      </c>
      <c r="H12" s="8" t="inlineStr">
        <is>
          <t>C. R. Bennett</t>
        </is>
      </c>
      <c r="I12" s="8" t="inlineStr">
        <is>
          <t>S/2 NW/4 (Tract 3)</t>
        </is>
      </c>
      <c r="J12" s="8" t="inlineStr">
        <is>
          <t>Mineral Deed conveying 40.00 NMA in S/2 NW/4.</t>
        </is>
      </c>
      <c r="K12" s="8" t="inlineStr">
        <is>
          <t>DIRECT IMAGE — PROVED</t>
        </is>
      </c>
    </row>
    <row r="13">
      <c r="A13" s="18" t="n">
        <v>9</v>
      </c>
      <c r="B13" s="8" t="inlineStr">
        <is>
          <t>—</t>
        </is>
      </c>
      <c r="C13" s="8" t="inlineStr">
        <is>
          <t>MD</t>
        </is>
      </c>
      <c r="D13" s="8" t="inlineStr">
        <is>
          <t>Bk 85/Pg 222</t>
        </is>
      </c>
      <c r="E13" s="8" t="inlineStr">
        <is>
          <t>1950-02-10</t>
        </is>
      </c>
      <c r="F13" s="8" t="inlineStr">
        <is>
          <t>1950-03-01</t>
        </is>
      </c>
      <c r="G13" s="8" t="inlineStr">
        <is>
          <t>Historic Grantors</t>
        </is>
      </c>
      <c r="H13" s="8" t="inlineStr">
        <is>
          <t>Heller Company; Gertrude LaFortune</t>
        </is>
      </c>
      <c r="I13" s="8" t="inlineStr">
        <is>
          <t>SW/4 Section 32 (Tract 4)</t>
        </is>
      </c>
      <c r="J13" s="8" t="inlineStr">
        <is>
          <t>Mineral Deed conveying fractional mineral interests across SW/4.</t>
        </is>
      </c>
      <c r="K13" s="8" t="inlineStr">
        <is>
          <t>DIRECT IMAGE — PROVED</t>
        </is>
      </c>
    </row>
    <row r="14">
      <c r="A14" s="18" t="n">
        <v>10</v>
      </c>
      <c r="B14" s="8" t="inlineStr">
        <is>
          <t>—</t>
        </is>
      </c>
      <c r="C14" s="8" t="inlineStr">
        <is>
          <t>MD</t>
        </is>
      </c>
      <c r="D14" s="8" t="inlineStr">
        <is>
          <t>Bk 92/Pg 47</t>
        </is>
      </c>
      <c r="E14" s="8" t="inlineStr">
        <is>
          <t>1950-11-04</t>
        </is>
      </c>
      <c r="F14" s="8" t="inlineStr">
        <is>
          <t>1950-11-15</t>
        </is>
      </c>
      <c r="G14" s="8" t="inlineStr">
        <is>
          <t>Historic Grantors</t>
        </is>
      </c>
      <c r="H14" s="8" t="inlineStr">
        <is>
          <t>F.L. Randel &amp; J.L. Randel</t>
        </is>
      </c>
      <c r="I14" s="8" t="inlineStr">
        <is>
          <t>NE/4 Section 32 (Tract 1)</t>
        </is>
      </c>
      <c r="J14" s="8" t="inlineStr">
        <is>
          <t>Mineral Deed conveying 3.00 NMA (1.50 NMA each) in NE/4.</t>
        </is>
      </c>
      <c r="K14" s="8" t="inlineStr">
        <is>
          <t>DIRECT IMAGE — PROVED</t>
        </is>
      </c>
    </row>
    <row r="15">
      <c r="A15" s="18" t="n">
        <v>11</v>
      </c>
      <c r="B15" s="8" t="inlineStr">
        <is>
          <t>—</t>
        </is>
      </c>
      <c r="C15" s="8" t="inlineStr">
        <is>
          <t>STIP</t>
        </is>
      </c>
      <c r="D15" s="8" t="inlineStr">
        <is>
          <t>Bk 153/Pg 161</t>
        </is>
      </c>
      <c r="E15" s="8" t="inlineStr">
        <is>
          <t>1958-04-18</t>
        </is>
      </c>
      <c r="F15" s="8" t="inlineStr">
        <is>
          <t>1958-05-02</t>
        </is>
      </c>
      <c r="G15" s="8" t="inlineStr">
        <is>
          <t>Maddoux / Farrar Parties</t>
        </is>
      </c>
      <c r="H15" s="8" t="inlineStr">
        <is>
          <t>B.E. Maddoux &amp; D.H. Maddoux</t>
        </is>
      </c>
      <c r="I15" s="8" t="inlineStr">
        <is>
          <t>N/2 NW/4 (Tract 2)</t>
        </is>
      </c>
      <c r="J15" s="8" t="inlineStr">
        <is>
          <t>Stipulation of Interest settling 10.00 NMA each to B.E. and D.H. Maddoux.</t>
        </is>
      </c>
      <c r="K15" s="8" t="inlineStr">
        <is>
          <t>DIRECT IMAGE — PROVED</t>
        </is>
      </c>
    </row>
    <row r="16">
      <c r="A16" s="18" t="n">
        <v>12</v>
      </c>
      <c r="B16" s="8" t="inlineStr">
        <is>
          <t>OGL 2</t>
        </is>
      </c>
      <c r="C16" s="8" t="inlineStr">
        <is>
          <t>OGL</t>
        </is>
      </c>
      <c r="D16" s="8" t="inlineStr">
        <is>
          <t>Bk 264/Pg 345</t>
        </is>
      </c>
      <c r="E16" s="8" t="inlineStr">
        <is>
          <t>1972-02-05</t>
        </is>
      </c>
      <c r="F16" s="8" t="inlineStr">
        <is>
          <t>1972-02-22</t>
        </is>
      </c>
      <c r="G16" s="8" t="inlineStr">
        <is>
          <t>Charlie B. Crook &amp; Ima Pearl Crook</t>
        </is>
      </c>
      <c r="H16" s="8" t="inlineStr">
        <is>
          <t>Union Oil Co. of California</t>
        </is>
      </c>
      <c r="I16" s="8" t="inlineStr">
        <is>
          <t>NE/4 Section 32 (Tract 1)</t>
        </is>
      </c>
      <c r="J16" s="8" t="inlineStr">
        <is>
          <t>Oil and Gas Lease; 5-year primary term; 1/8 royalty. Covers Crook family interest.</t>
        </is>
      </c>
      <c r="K16" s="8" t="inlineStr">
        <is>
          <t>DIRECT IMAGE 1197 — PROVED</t>
        </is>
      </c>
    </row>
    <row r="17">
      <c r="A17" s="18" t="n">
        <v>13</v>
      </c>
      <c r="B17" s="8" t="inlineStr">
        <is>
          <t>OGL 3</t>
        </is>
      </c>
      <c r="C17" s="8" t="inlineStr">
        <is>
          <t>OGL</t>
        </is>
      </c>
      <c r="D17" s="8" t="inlineStr">
        <is>
          <t>Bk 307/Pg 31</t>
        </is>
      </c>
      <c r="E17" s="8" t="inlineStr">
        <is>
          <t>1976-04-29</t>
        </is>
      </c>
      <c r="F17" s="8" t="inlineStr">
        <is>
          <t>1976-06-09</t>
        </is>
      </c>
      <c r="G17" s="8" t="inlineStr">
        <is>
          <t>Cora B. LeGrand</t>
        </is>
      </c>
      <c r="H17" s="8" t="inlineStr">
        <is>
          <t>Union Oil Co. of California</t>
        </is>
      </c>
      <c r="I17" s="8" t="inlineStr">
        <is>
          <t>W/2 SE/4 &amp; S/2 SW/4 (Tracts 4, 5)</t>
        </is>
      </c>
      <c r="J17" s="8" t="inlineStr">
        <is>
          <t>Oil and Gas Lease; 3-year primary term; 1/8 royalty.</t>
        </is>
      </c>
      <c r="K17" s="8" t="inlineStr">
        <is>
          <t>DIRECT IMAGE 1372 — PROVED</t>
        </is>
      </c>
    </row>
    <row r="18">
      <c r="A18" s="18" t="n">
        <v>14</v>
      </c>
      <c r="B18" s="8" t="inlineStr">
        <is>
          <t>OGL 12</t>
        </is>
      </c>
      <c r="C18" s="8" t="inlineStr">
        <is>
          <t>OGL</t>
        </is>
      </c>
      <c r="D18" s="8" t="inlineStr">
        <is>
          <t>Bk 332/Pg 74</t>
        </is>
      </c>
      <c r="E18" s="8" t="inlineStr">
        <is>
          <t>1977-08-01</t>
        </is>
      </c>
      <c r="F18" s="8" t="inlineStr">
        <is>
          <t>1977-09-14</t>
        </is>
      </c>
      <c r="G18" s="8" t="inlineStr">
        <is>
          <t>Ralph W. Viersen Jr. et al.</t>
        </is>
      </c>
      <c r="H18" s="8" t="inlineStr">
        <is>
          <t>Leede Exploration</t>
        </is>
      </c>
      <c r="I18" s="8" t="inlineStr">
        <is>
          <t>NW/4 &amp; SW/4 Section 32</t>
        </is>
      </c>
      <c r="J18" s="8" t="inlineStr">
        <is>
          <t>Oil and Gas Lease; 3-year primary term; 3/16 royalty. Owner coverage defect noted in V10.</t>
        </is>
      </c>
      <c r="K18" s="8" t="inlineStr">
        <is>
          <t>DIRECT IMAGE 1457 — PROVED</t>
        </is>
      </c>
    </row>
    <row r="19">
      <c r="A19" s="18" t="n">
        <v>15</v>
      </c>
      <c r="B19" s="8" t="inlineStr">
        <is>
          <t>OGL 6</t>
        </is>
      </c>
      <c r="C19" s="8" t="inlineStr">
        <is>
          <t>OGL</t>
        </is>
      </c>
      <c r="D19" s="8" t="inlineStr">
        <is>
          <t>Bk 340/Pg 323</t>
        </is>
      </c>
      <c r="E19" s="8" t="inlineStr">
        <is>
          <t>1977-09-29</t>
        </is>
      </c>
      <c r="F19" s="8" t="inlineStr">
        <is>
          <t>1977-11-07</t>
        </is>
      </c>
      <c r="G19" s="8" t="inlineStr">
        <is>
          <t>George T. Harrison Jr. &amp; Renata Harrison</t>
        </is>
      </c>
      <c r="H19" s="8" t="inlineStr">
        <is>
          <t>Union Oil Co. of California</t>
        </is>
      </c>
      <c r="I19" s="8" t="inlineStr">
        <is>
          <t>N/2 NW/4 &amp; N/2 SW/4 (Tracts 2, 4)</t>
        </is>
      </c>
      <c r="J19" s="8" t="inlineStr">
        <is>
          <t>Oil and Gas Lease; 3-year primary term; 1/8 royalty.</t>
        </is>
      </c>
      <c r="K19" s="8" t="inlineStr">
        <is>
          <t>DIRECT IMAGE 1526 — PROVED</t>
        </is>
      </c>
    </row>
    <row r="20">
      <c r="A20" s="18" t="n">
        <v>16</v>
      </c>
      <c r="B20" s="8" t="inlineStr">
        <is>
          <t>—</t>
        </is>
      </c>
      <c r="C20" s="8" t="inlineStr">
        <is>
          <t>ASG</t>
        </is>
      </c>
      <c r="D20" s="8" t="inlineStr">
        <is>
          <t>Bk 376/Pg 287</t>
        </is>
      </c>
      <c r="E20" s="8" t="inlineStr">
        <is>
          <t>1979-04-05</t>
        </is>
      </c>
      <c r="F20" s="8" t="inlineStr">
        <is>
          <t>1979-04-20</t>
        </is>
      </c>
      <c r="G20" s="8" t="inlineStr">
        <is>
          <t>John E. Hartman</t>
        </is>
      </c>
      <c r="H20" s="8" t="inlineStr">
        <is>
          <t>Hunt Energy Corporation</t>
        </is>
      </c>
      <c r="I20" s="8" t="inlineStr">
        <is>
          <t>N/2 SW/4 &amp; N/2 NW/4 (160 ac)</t>
        </is>
      </c>
      <c r="J20" s="8" t="inlineStr">
        <is>
          <t>Assignment of OGL; assigns RTI reserving 0.0125% of 8/8 ORRI (literal 0.000125 decimal).</t>
        </is>
      </c>
      <c r="K20" s="8" t="inlineStr">
        <is>
          <t>DIRECT IMAGE 1568 — PROVED</t>
        </is>
      </c>
    </row>
    <row r="21">
      <c r="A21" s="18" t="n">
        <v>17</v>
      </c>
      <c r="B21" s="8" t="inlineStr">
        <is>
          <t>—</t>
        </is>
      </c>
      <c r="C21" s="8" t="inlineStr">
        <is>
          <t>OCC</t>
        </is>
      </c>
      <c r="D21" s="8" t="inlineStr">
        <is>
          <t>Order 156126</t>
        </is>
      </c>
      <c r="E21" s="8" t="inlineStr">
        <is>
          <t>1979-08-06</t>
        </is>
      </c>
      <c r="F21" s="8" t="inlineStr">
        <is>
          <t>Not recorded</t>
        </is>
      </c>
      <c r="G21" s="8" t="inlineStr">
        <is>
          <t>Oklahoma Corporation Commission</t>
        </is>
      </c>
      <c r="H21" s="8" t="inlineStr">
        <is>
          <t>All Owners / Unit Participants</t>
        </is>
      </c>
      <c r="I21" s="8" t="inlineStr">
        <is>
          <t>All Section 32 (640 ac)</t>
        </is>
      </c>
      <c r="J21" s="8" t="inlineStr">
        <is>
          <t>Statutory Forced Pooling Order for multi-formation drilling unit. 180-day commencement.</t>
        </is>
      </c>
      <c r="K21" s="8" t="inlineStr">
        <is>
          <t>OFFICIAL OCC PDF — PROVED</t>
        </is>
      </c>
    </row>
    <row r="22">
      <c r="A22" s="18" t="n">
        <v>18</v>
      </c>
      <c r="B22" s="8" t="inlineStr">
        <is>
          <t>—</t>
        </is>
      </c>
      <c r="C22" s="8" t="inlineStr">
        <is>
          <t>DECR</t>
        </is>
      </c>
      <c r="D22" s="8" t="inlineStr">
        <is>
          <t>Bk 845/Pg 150</t>
        </is>
      </c>
      <c r="E22" s="8" t="inlineStr">
        <is>
          <t>1985-10-23</t>
        </is>
      </c>
      <c r="F22" s="8" t="inlineStr">
        <is>
          <t>1985-11-04</t>
        </is>
      </c>
      <c r="G22" s="8" t="inlineStr">
        <is>
          <t>District Court Beckham Co.</t>
        </is>
      </c>
      <c r="H22" s="8" t="inlineStr">
        <is>
          <t>Heirs of Charlie B. Crook</t>
        </is>
      </c>
      <c r="I22" s="8" t="inlineStr">
        <is>
          <t>NE/4 Section 32 (Tract 1)</t>
        </is>
      </c>
      <c r="J22" s="8" t="inlineStr">
        <is>
          <t>Final Decree distributing 8.00 NMA each to C.B. Jr., Hanks, Lenderman, Bryan, Higgenbotham.</t>
        </is>
      </c>
      <c r="K22" s="8" t="inlineStr">
        <is>
          <t>DIRECT IMAGE — PROVED</t>
        </is>
      </c>
    </row>
    <row r="23">
      <c r="A23" s="18" t="n">
        <v>19</v>
      </c>
      <c r="B23" s="8" t="inlineStr">
        <is>
          <t>—</t>
        </is>
      </c>
      <c r="C23" s="8" t="inlineStr">
        <is>
          <t>ASG</t>
        </is>
      </c>
      <c r="D23" s="8" t="inlineStr">
        <is>
          <t>Bk 872/Pg 279</t>
        </is>
      </c>
      <c r="E23" s="8" t="inlineStr">
        <is>
          <t>1985-10-29</t>
        </is>
      </c>
      <c r="F23" s="8" t="inlineStr">
        <is>
          <t>1986-03-06</t>
        </is>
      </c>
      <c r="G23" s="8" t="inlineStr">
        <is>
          <t>Union Oil Co. of California</t>
        </is>
      </c>
      <c r="H23" s="8" t="inlineStr">
        <is>
          <t>Leede Exploration</t>
        </is>
      </c>
      <c r="I23" s="8" t="inlineStr">
        <is>
          <t>All Section 32 (Top Morrow-19,480 ft)</t>
        </is>
      </c>
      <c r="J23" s="8" t="inlineStr">
        <is>
          <t>Deep depth assignment reserving 1/8 gas &amp; 1/16 oil ORRI. Pearl wellbore depths specified.</t>
        </is>
      </c>
      <c r="K23" s="8" t="inlineStr">
        <is>
          <t>DIRECT IMAGE — PROVED</t>
        </is>
      </c>
    </row>
    <row r="24">
      <c r="A24" s="18" t="n">
        <v>20</v>
      </c>
      <c r="B24" s="8" t="inlineStr">
        <is>
          <t>—</t>
        </is>
      </c>
      <c r="C24" s="8" t="inlineStr">
        <is>
          <t>ASG</t>
        </is>
      </c>
      <c r="D24" s="8" t="inlineStr">
        <is>
          <t>Bk 1697/Pg 236</t>
        </is>
      </c>
      <c r="E24" s="8" t="inlineStr">
        <is>
          <t>2001-08-20</t>
        </is>
      </c>
      <c r="F24" s="8" t="inlineStr">
        <is>
          <t>2001-08-29</t>
        </is>
      </c>
      <c r="G24" s="8" t="inlineStr">
        <is>
          <t>Staghorn Resources LLC</t>
        </is>
      </c>
      <c r="H24" s="8" t="inlineStr">
        <is>
          <t>Chesapeake Exploration LP</t>
        </is>
      </c>
      <c r="I24" s="8" t="inlineStr">
        <is>
          <t>Section 32 scheduled properties</t>
        </is>
      </c>
      <c r="J24" s="8" t="inlineStr">
        <is>
          <t>Modern master assignment. Critical Exhibit A required to verify underlying lease schedule.</t>
        </is>
      </c>
      <c r="K24" s="8" t="inlineStr">
        <is>
          <t>DIRECT IMAGE — PROVED</t>
        </is>
      </c>
    </row>
    <row r="25">
      <c r="A25" s="18" t="n">
        <v>21</v>
      </c>
      <c r="B25" s="8" t="inlineStr">
        <is>
          <t>—</t>
        </is>
      </c>
      <c r="C25" s="8" t="inlineStr">
        <is>
          <t>ASG</t>
        </is>
      </c>
      <c r="D25" s="8" t="inlineStr">
        <is>
          <t>Bk 2340/Pg 490</t>
        </is>
      </c>
      <c r="E25" s="8" t="inlineStr">
        <is>
          <t>2020-12-14</t>
        </is>
      </c>
      <c r="F25" s="8" t="inlineStr">
        <is>
          <t>2020-12-22</t>
        </is>
      </c>
      <c r="G25" s="8" t="inlineStr">
        <is>
          <t>Chesapeake Affiliates</t>
        </is>
      </c>
      <c r="H25" s="8" t="inlineStr">
        <is>
          <t>KL CHK SPV LLC</t>
        </is>
      </c>
      <c r="I25" s="8" t="inlineStr">
        <is>
          <t>Section 32 index scope</t>
        </is>
      </c>
      <c r="J25" s="8" t="inlineStr">
        <is>
          <t>Master restructuring assignment. Schedules absent from recorded image.</t>
        </is>
      </c>
      <c r="K25" s="8" t="inlineStr">
        <is>
          <t>DIRECT IMAGE — PROVED</t>
        </is>
      </c>
    </row>
    <row r="26">
      <c r="A26" s="18" t="n">
        <v>22</v>
      </c>
      <c r="B26" s="8" t="inlineStr">
        <is>
          <t>—</t>
        </is>
      </c>
      <c r="C26" s="8" t="inlineStr">
        <is>
          <t>ASG</t>
        </is>
      </c>
      <c r="D26" s="8" t="inlineStr">
        <is>
          <t>Bk 2371/Pg 470</t>
        </is>
      </c>
      <c r="E26" s="8" t="inlineStr">
        <is>
          <t>2022-01-12</t>
        </is>
      </c>
      <c r="F26" s="8" t="inlineStr">
        <is>
          <t>2022-01-20</t>
        </is>
      </c>
      <c r="G26" s="8" t="inlineStr">
        <is>
          <t>KL CHK SPV LLC</t>
        </is>
      </c>
      <c r="H26" s="8" t="inlineStr">
        <is>
          <t>Diversified Production LLC (51.25%) &amp; OCM Denali (48.75%)</t>
        </is>
      </c>
      <c r="I26" s="8" t="inlineStr">
        <is>
          <t>Section 32 properties</t>
        </is>
      </c>
      <c r="J26" s="8" t="inlineStr">
        <is>
          <t>Transaction assignment creating parallel Diversified / OCM Denali branches. Not section-wide WI.</t>
        </is>
      </c>
      <c r="K26" s="8" t="inlineStr">
        <is>
          <t>DIRECT IMAGE — PROVED</t>
        </is>
      </c>
    </row>
    <row r="27">
      <c r="A27" s="18" t="n">
        <v>23</v>
      </c>
      <c r="B27" s="8" t="inlineStr">
        <is>
          <t>—</t>
        </is>
      </c>
      <c r="C27" s="8" t="inlineStr">
        <is>
          <t>CONV</t>
        </is>
      </c>
      <c r="D27" s="8" t="inlineStr">
        <is>
          <t>Bk 2395/Pg 415</t>
        </is>
      </c>
      <c r="E27" s="8" t="inlineStr">
        <is>
          <t>2022-11-18</t>
        </is>
      </c>
      <c r="F27" s="8" t="inlineStr">
        <is>
          <t>2022-11-28</t>
        </is>
      </c>
      <c r="G27" s="8" t="inlineStr">
        <is>
          <t>DP Legacy Tapstone LLC</t>
        </is>
      </c>
      <c r="H27" s="8" t="inlineStr">
        <is>
          <t>Diversified ABS VI Upstream &amp; DP Sooner</t>
        </is>
      </c>
      <c r="I27" s="8" t="inlineStr">
        <is>
          <t>Asset OK48147.001.1 at Pg 462</t>
        </is>
      </c>
      <c r="J27" s="8" t="inlineStr">
        <is>
          <t>Conveyance identifying Section 32 asset identity; estate quantum and depths blank.</t>
        </is>
      </c>
      <c r="K27" s="8" t="inlineStr">
        <is>
          <t>DIRECT IMAGE — PROVED</t>
        </is>
      </c>
    </row>
    <row r="28">
      <c r="A28" s="18" t="n">
        <v>24</v>
      </c>
      <c r="B28" s="8" t="inlineStr">
        <is>
          <t>—</t>
        </is>
      </c>
      <c r="C28" s="8" t="inlineStr">
        <is>
          <t>CONV</t>
        </is>
      </c>
      <c r="D28" s="8" t="inlineStr">
        <is>
          <t>Bk 2400/Pg 551</t>
        </is>
      </c>
      <c r="E28" s="8" t="inlineStr">
        <is>
          <t>2023-01-10</t>
        </is>
      </c>
      <c r="F28" s="8" t="inlineStr">
        <is>
          <t>2023-01-19</t>
        </is>
      </c>
      <c r="G28" s="8" t="inlineStr">
        <is>
          <t>DP Sooner HoldCo LLC</t>
        </is>
      </c>
      <c r="H28" s="8" t="inlineStr">
        <is>
          <t>Diversified Production LLC</t>
        </is>
      </c>
      <c r="I28" s="8" t="inlineStr">
        <is>
          <t>Asset OK48147.001.1 at Pg 566</t>
        </is>
      </c>
      <c r="J28" s="8" t="inlineStr">
        <is>
          <t>Last supported schedule claimant. Current title after 03/02/2023 requires Teocalli review.</t>
        </is>
      </c>
      <c r="K28" s="8" t="inlineStr">
        <is>
          <t>DIRECT IMAGE — PROVED</t>
        </is>
      </c>
    </row>
    <row r="29">
      <c r="A29" s="18" t="n">
        <v>25</v>
      </c>
      <c r="B29" s="8" t="inlineStr">
        <is>
          <t>—</t>
        </is>
      </c>
      <c r="C29" s="8" t="inlineStr">
        <is>
          <t>LEAD</t>
        </is>
      </c>
      <c r="D29" s="8" t="inlineStr">
        <is>
          <t>Bk 2434/Pg 751</t>
        </is>
      </c>
      <c r="E29" s="8" t="inlineStr">
        <is>
          <t>2023-08-15</t>
        </is>
      </c>
      <c r="F29" s="8" t="inlineStr">
        <is>
          <t>2023-08-25</t>
        </is>
      </c>
      <c r="G29" s="8" t="inlineStr">
        <is>
          <t>Diversified Production LLC / DP Legacy</t>
        </is>
      </c>
      <c r="H29" s="8" t="inlineStr">
        <is>
          <t>Teocalli Exploration LLC</t>
        </is>
      </c>
      <c r="I29" s="8" t="inlineStr">
        <is>
          <t>Unread schedule scope</t>
        </is>
      </c>
      <c r="J29" s="8" t="inlineStr">
        <is>
          <t>CRITICAL POST-CUTOFF LEAD: Potential divestiture of Diversified Section 32 working interest.</t>
        </is>
      </c>
      <c r="K29" s="8" t="inlineStr">
        <is>
          <t>INDEX ONLY — CURATIVE QUEUE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8" customWidth="1" min="5" max="5"/>
    <col width="45" customWidth="1" min="6" max="6"/>
    <col width="25" customWidth="1" min="7" max="7"/>
  </cols>
  <sheetData>
    <row r="1">
      <c r="A1" s="1" t="inlineStr">
        <is>
          <t>TRACT 1 — NORTHEAST QUARTER (NE/4) — 160.00 NOMINAL ACRES</t>
        </is>
      </c>
    </row>
    <row r="2">
      <c r="A2" s="2" t="inlineStr">
        <is>
          <t>FOR REVIEW — HOLD NO EXTERNAL RELEASE • Reconstructed Chain of Title &amp; Fractional Derivation</t>
        </is>
      </c>
    </row>
    <row r="4">
      <c r="A4" s="6" t="inlineStr">
        <is>
          <t>Doc Type</t>
        </is>
      </c>
      <c r="B4" s="6" t="inlineStr">
        <is>
          <t>Book / Page</t>
        </is>
      </c>
      <c r="C4" s="6" t="inlineStr">
        <is>
          <t>Instrument Date</t>
        </is>
      </c>
      <c r="D4" s="6" t="inlineStr">
        <is>
          <t>Grantor</t>
        </is>
      </c>
      <c r="E4" s="6" t="inlineStr">
        <is>
          <t>Grantee / Party</t>
        </is>
      </c>
      <c r="F4" s="6" t="inlineStr">
        <is>
          <t>Estate Conveyed / Title Effect</t>
        </is>
      </c>
      <c r="G4" s="6" t="inlineStr">
        <is>
          <t>Evidence Status</t>
        </is>
      </c>
    </row>
    <row r="5">
      <c r="A5" s="8" t="inlineStr">
        <is>
          <t>PAT</t>
        </is>
      </c>
      <c r="B5" s="8" t="inlineStr">
        <is>
          <t>Patent 3/469</t>
        </is>
      </c>
      <c r="C5" s="8" t="inlineStr">
        <is>
          <t>1907-03-22</t>
        </is>
      </c>
      <c r="D5" s="8" t="inlineStr">
        <is>
          <t>United States</t>
        </is>
      </c>
      <c r="E5" s="8" t="inlineStr">
        <is>
          <t>Cornelius B. Cornelius</t>
        </is>
      </c>
      <c r="F5" s="8" t="inlineStr">
        <is>
          <t>Sovereign Inception; Fee simple absolute without mineral reservation.</t>
        </is>
      </c>
      <c r="G5" s="8" t="inlineStr">
        <is>
          <t>PROVED (98%)</t>
        </is>
      </c>
    </row>
    <row r="6">
      <c r="A6" s="8" t="inlineStr">
        <is>
          <t>WD</t>
        </is>
      </c>
      <c r="B6" s="8" t="inlineStr">
        <is>
          <t>Roger Mills 11/214</t>
        </is>
      </c>
      <c r="C6" s="8" t="inlineStr">
        <is>
          <t>1907-07-16</t>
        </is>
      </c>
      <c r="D6" s="8" t="inlineStr">
        <is>
          <t>Cornelius &amp; Margreta Cornelius</t>
        </is>
      </c>
      <c r="E6" s="8" t="inlineStr">
        <is>
          <t>Jacob Bollenbach</t>
        </is>
      </c>
      <c r="F6" s="8" t="inlineStr">
        <is>
          <t>Warranty Deed in pre-Beckham county records. Conveys 160 ac fee.</t>
        </is>
      </c>
      <c r="G6" s="8" t="inlineStr">
        <is>
          <t>PROVED (98%)</t>
        </is>
      </c>
    </row>
    <row r="7">
      <c r="A7" s="8" t="inlineStr">
        <is>
          <t>WD</t>
        </is>
      </c>
      <c r="B7" s="8" t="inlineStr">
        <is>
          <t>Bk 10/Pg 255</t>
        </is>
      </c>
      <c r="C7" s="8" t="inlineStr">
        <is>
          <t>1910-01-31</t>
        </is>
      </c>
      <c r="D7" s="8" t="inlineStr">
        <is>
          <t>Jacob Bollenbach</t>
        </is>
      </c>
      <c r="E7" s="8" t="inlineStr">
        <is>
          <t>Adolf Bollenbach</t>
        </is>
      </c>
      <c r="F7" s="8" t="inlineStr">
        <is>
          <t>Warranty Deed. Chain breaks downstream; 65.0 NMA unchained to present.</t>
        </is>
      </c>
      <c r="G7" s="8" t="inlineStr">
        <is>
          <t>PROVED (Chain Break)</t>
        </is>
      </c>
    </row>
    <row r="8">
      <c r="A8" s="8" t="inlineStr">
        <is>
          <t>DECR</t>
        </is>
      </c>
      <c r="B8" s="8" t="inlineStr">
        <is>
          <t>Bk 83/Pg 259</t>
        </is>
      </c>
      <c r="C8" s="8" t="inlineStr">
        <is>
          <t>Date Unstated</t>
        </is>
      </c>
      <c r="D8" s="8" t="inlineStr">
        <is>
          <t>Estate of Ellen W. Crook</t>
        </is>
      </c>
      <c r="E8" s="8" t="inlineStr">
        <is>
          <t>Thirteen Heirs</t>
        </is>
      </c>
      <c r="F8" s="8" t="inlineStr">
        <is>
          <t>Collective vesting of 40.00 NMA; individual fractional allocations unstated.</t>
        </is>
      </c>
      <c r="G8" s="8" t="inlineStr">
        <is>
          <t>QUALIFIED (Decree Required)</t>
        </is>
      </c>
    </row>
    <row r="9">
      <c r="A9" s="8" t="inlineStr">
        <is>
          <t>MD</t>
        </is>
      </c>
      <c r="B9" s="8" t="inlineStr">
        <is>
          <t>Bk 92/Pg 47</t>
        </is>
      </c>
      <c r="C9" s="8" t="inlineStr">
        <is>
          <t>1950-11-04</t>
        </is>
      </c>
      <c r="D9" s="8" t="inlineStr">
        <is>
          <t>Historic Grantor</t>
        </is>
      </c>
      <c r="E9" s="8" t="inlineStr">
        <is>
          <t>F.L. &amp; J.L. Randel</t>
        </is>
      </c>
      <c r="F9" s="8" t="inlineStr">
        <is>
          <t>Conveys 3.00 NMA (1.50 NMA each) share and share alike.</t>
        </is>
      </c>
      <c r="G9" s="8" t="inlineStr">
        <is>
          <t>PROVED (95%)</t>
        </is>
      </c>
    </row>
    <row r="10">
      <c r="A10" s="8" t="inlineStr">
        <is>
          <t>OGL</t>
        </is>
      </c>
      <c r="B10" s="8" t="inlineStr">
        <is>
          <t>Bk 264/Pg 345</t>
        </is>
      </c>
      <c r="C10" s="8" t="inlineStr">
        <is>
          <t>1972-02-05</t>
        </is>
      </c>
      <c r="D10" s="8" t="inlineStr">
        <is>
          <t>Charlie B. &amp; Ima Pearl Crook</t>
        </is>
      </c>
      <c r="E10" s="8" t="inlineStr">
        <is>
          <t>Union Oil Co.</t>
        </is>
      </c>
      <c r="F10" s="8" t="inlineStr">
        <is>
          <t>Oil and Gas Lease; 160 ac; 1/8 royalty; 5-yr primary term.</t>
        </is>
      </c>
      <c r="G10" s="8" t="inlineStr">
        <is>
          <t>PROVED (Lease Face)</t>
        </is>
      </c>
    </row>
    <row r="11">
      <c r="A11" s="8" t="inlineStr">
        <is>
          <t>MD</t>
        </is>
      </c>
      <c r="B11" s="8" t="inlineStr">
        <is>
          <t>Bk 367/Pg 632</t>
        </is>
      </c>
      <c r="C11" s="8" t="inlineStr">
        <is>
          <t>1978-02-14</t>
        </is>
      </c>
      <c r="D11" s="8" t="inlineStr">
        <is>
          <t>Historic Grantor</t>
        </is>
      </c>
      <c r="E11" s="8" t="inlineStr">
        <is>
          <t>Great Western Oil &amp; Gas</t>
        </is>
      </c>
      <c r="F11" s="8" t="inlineStr">
        <is>
          <t>Mineral Deed conveying 10.00 NMA in NE/4.</t>
        </is>
      </c>
      <c r="G11" s="8" t="inlineStr">
        <is>
          <t>PROVED (95%)</t>
        </is>
      </c>
    </row>
    <row r="12">
      <c r="A12" s="8" t="inlineStr">
        <is>
          <t>DECR</t>
        </is>
      </c>
      <c r="B12" s="8" t="inlineStr">
        <is>
          <t>Bk 845/Pg 150</t>
        </is>
      </c>
      <c r="C12" s="8" t="inlineStr">
        <is>
          <t>1985-10-23</t>
        </is>
      </c>
      <c r="D12" s="8" t="inlineStr">
        <is>
          <t>Crook Estates</t>
        </is>
      </c>
      <c r="E12" s="8" t="inlineStr">
        <is>
          <t>C.B. Jr., Hanks, Lenderman, Bryan, Higgenbotham</t>
        </is>
      </c>
      <c r="F12" s="8" t="inlineStr">
        <is>
          <t>Final decree distributing 8.00 NMA each (40.00 NMA total).</t>
        </is>
      </c>
      <c r="G12" s="8" t="inlineStr">
        <is>
          <t>PROVED (Quantum Established)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8" customWidth="1" min="5" max="5"/>
    <col width="45" customWidth="1" min="6" max="6"/>
    <col width="25" customWidth="1" min="7" max="7"/>
  </cols>
  <sheetData>
    <row r="1">
      <c r="A1" s="1" t="inlineStr">
        <is>
          <t>TRACT 2 — NORTH HALF OF NORTHWEST QUARTER (N/2 NW/4) — 80.00 NOMINAL ACRES</t>
        </is>
      </c>
    </row>
    <row r="2">
      <c r="A2" s="2" t="inlineStr">
        <is>
          <t>FOR REVIEW — HOLD NO EXTERNAL RELEASE • Reconstructed Chain of Title &amp; Fractional Derivation</t>
        </is>
      </c>
    </row>
    <row r="4">
      <c r="A4" s="6" t="inlineStr">
        <is>
          <t>Doc Type</t>
        </is>
      </c>
      <c r="B4" s="6" t="inlineStr">
        <is>
          <t>Book / Page</t>
        </is>
      </c>
      <c r="C4" s="6" t="inlineStr">
        <is>
          <t>Instrument Date</t>
        </is>
      </c>
      <c r="D4" s="6" t="inlineStr">
        <is>
          <t>Grantor</t>
        </is>
      </c>
      <c r="E4" s="6" t="inlineStr">
        <is>
          <t>Grantee / Party</t>
        </is>
      </c>
      <c r="F4" s="6" t="inlineStr">
        <is>
          <t>Estate Conveyed / Title Effect</t>
        </is>
      </c>
      <c r="G4" s="6" t="inlineStr">
        <is>
          <t>Evidence Status</t>
        </is>
      </c>
    </row>
    <row r="5">
      <c r="A5" s="8" t="inlineStr">
        <is>
          <t>FR</t>
        </is>
      </c>
      <c r="B5" s="8" t="inlineStr">
        <is>
          <t>FR Receipt 3894</t>
        </is>
      </c>
      <c r="C5" s="8" t="inlineStr">
        <is>
          <t>1905-05-04</t>
        </is>
      </c>
      <c r="D5" s="8" t="inlineStr">
        <is>
          <t>U.S. Land Office</t>
        </is>
      </c>
      <c r="E5" s="8" t="inlineStr">
        <is>
          <t>Herman Stevens</t>
        </is>
      </c>
      <c r="F5" s="8" t="inlineStr">
        <is>
          <t>Final Receiver Receipt; earliest located NW/4 sovereign evidence.</t>
        </is>
      </c>
      <c r="G5" s="8" t="inlineStr">
        <is>
          <t>PROVED (Patent Open)</t>
        </is>
      </c>
    </row>
    <row r="6">
      <c r="A6" s="8" t="inlineStr">
        <is>
          <t>STIP</t>
        </is>
      </c>
      <c r="B6" s="8" t="inlineStr">
        <is>
          <t>Bk 153/Pg 161</t>
        </is>
      </c>
      <c r="C6" s="8" t="inlineStr">
        <is>
          <t>1958-04-18</t>
        </is>
      </c>
      <c r="D6" s="8" t="inlineStr">
        <is>
          <t>Maddoux / Farrar Parties</t>
        </is>
      </c>
      <c r="E6" s="8" t="inlineStr">
        <is>
          <t>B.E. Maddoux &amp; D.H. Maddoux</t>
        </is>
      </c>
      <c r="F6" s="8" t="inlineStr">
        <is>
          <t>Stipulation of Interest settling 10.00 NMA each (20.00 NMA total).</t>
        </is>
      </c>
      <c r="G6" s="8" t="inlineStr">
        <is>
          <t>PROVED (95%)</t>
        </is>
      </c>
    </row>
    <row r="7">
      <c r="A7" s="8" t="inlineStr">
        <is>
          <t>MD</t>
        </is>
      </c>
      <c r="B7" s="8" t="inlineStr">
        <is>
          <t>Bk 85/Pg 363</t>
        </is>
      </c>
      <c r="C7" s="8" t="inlineStr">
        <is>
          <t>1950-02-12</t>
        </is>
      </c>
      <c r="D7" s="8" t="inlineStr">
        <is>
          <t>Historic Grantor</t>
        </is>
      </c>
      <c r="E7" s="8" t="inlineStr">
        <is>
          <t>Sanditen Parties (4 Co-owners)</t>
        </is>
      </c>
      <c r="F7" s="8" t="inlineStr">
        <is>
          <t>Mineral Deed conveying 20.00 NMA undivided.</t>
        </is>
      </c>
      <c r="G7" s="8" t="inlineStr">
        <is>
          <t>PROVED (90%)</t>
        </is>
      </c>
    </row>
    <row r="8">
      <c r="A8" s="8" t="inlineStr">
        <is>
          <t>DECR</t>
        </is>
      </c>
      <c r="B8" s="8" t="inlineStr">
        <is>
          <t>P-76-78, Pgs 349-350</t>
        </is>
      </c>
      <c r="C8" s="8" t="inlineStr">
        <is>
          <t>1976-08-10</t>
        </is>
      </c>
      <c r="D8" s="8" t="inlineStr">
        <is>
          <t>Estate of Ola Keathley</t>
        </is>
      </c>
      <c r="E8" s="8" t="inlineStr">
        <is>
          <t>Keathley / LeGrand Heirs</t>
        </is>
      </c>
      <c r="F8" s="8" t="inlineStr">
        <is>
          <t>Probate allocation incomplete; 20.00 NMA residual schedule carries forward.</t>
        </is>
      </c>
      <c r="G8" s="8" t="inlineStr">
        <is>
          <t>QUALIFIED (Decree Open)</t>
        </is>
      </c>
    </row>
    <row r="9">
      <c r="A9" s="8" t="inlineStr">
        <is>
          <t>OGL</t>
        </is>
      </c>
      <c r="B9" s="8" t="inlineStr">
        <is>
          <t>Bk 340/Pg 323</t>
        </is>
      </c>
      <c r="C9" s="8" t="inlineStr">
        <is>
          <t>1977-09-29</t>
        </is>
      </c>
      <c r="D9" s="8" t="inlineStr">
        <is>
          <t>George T. &amp; Renata Harrison</t>
        </is>
      </c>
      <c r="E9" s="8" t="inlineStr">
        <is>
          <t>Union Oil Co.</t>
        </is>
      </c>
      <c r="F9" s="8" t="inlineStr">
        <is>
          <t>Oil and Gas Lease; 80 ac; 1/8 royalty; covers 20.00 NMA interest.</t>
        </is>
      </c>
      <c r="G9" s="8" t="inlineStr">
        <is>
          <t>PROVED (Lease Face)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8" customWidth="1" min="5" max="5"/>
    <col width="45" customWidth="1" min="6" max="6"/>
    <col width="25" customWidth="1" min="7" max="7"/>
  </cols>
  <sheetData>
    <row r="1">
      <c r="A1" s="1" t="inlineStr">
        <is>
          <t>TRACT 3 — SOUTH HALF OF NORTHWEST QUARTER (S/2 NW/4) — 80.00 NOMINAL ACRES</t>
        </is>
      </c>
    </row>
    <row r="2">
      <c r="A2" s="2" t="inlineStr">
        <is>
          <t>FOR REVIEW — HOLD NO EXTERNAL RELEASE • Reconstructed Chain of Title &amp; Fractional Derivation</t>
        </is>
      </c>
    </row>
    <row r="4">
      <c r="A4" s="6" t="inlineStr">
        <is>
          <t>Doc Type</t>
        </is>
      </c>
      <c r="B4" s="6" t="inlineStr">
        <is>
          <t>Book / Page</t>
        </is>
      </c>
      <c r="C4" s="6" t="inlineStr">
        <is>
          <t>Instrument Date</t>
        </is>
      </c>
      <c r="D4" s="6" t="inlineStr">
        <is>
          <t>Grantor</t>
        </is>
      </c>
      <c r="E4" s="6" t="inlineStr">
        <is>
          <t>Grantee / Party</t>
        </is>
      </c>
      <c r="F4" s="6" t="inlineStr">
        <is>
          <t>Estate Conveyed / Title Effect</t>
        </is>
      </c>
      <c r="G4" s="6" t="inlineStr">
        <is>
          <t>Evidence Status</t>
        </is>
      </c>
    </row>
    <row r="5">
      <c r="A5" s="8" t="inlineStr">
        <is>
          <t>FR</t>
        </is>
      </c>
      <c r="B5" s="8" t="inlineStr">
        <is>
          <t>FR Receipt 3894</t>
        </is>
      </c>
      <c r="C5" s="8" t="inlineStr">
        <is>
          <t>1905-05-04</t>
        </is>
      </c>
      <c r="D5" s="8" t="inlineStr">
        <is>
          <t>U.S. Land Office</t>
        </is>
      </c>
      <c r="E5" s="8" t="inlineStr">
        <is>
          <t>Herman Stevens</t>
        </is>
      </c>
      <c r="F5" s="8" t="inlineStr">
        <is>
          <t>Final Receiver Receipt covering entire NW/4; patent open.</t>
        </is>
      </c>
      <c r="G5" s="8" t="inlineStr">
        <is>
          <t>PROVED (Patent Open)</t>
        </is>
      </c>
    </row>
    <row r="6">
      <c r="A6" s="8" t="inlineStr">
        <is>
          <t>MD</t>
        </is>
      </c>
      <c r="B6" s="8" t="inlineStr">
        <is>
          <t>Bk 81/Pg 194</t>
        </is>
      </c>
      <c r="C6" s="8" t="inlineStr">
        <is>
          <t>1949-06-12</t>
        </is>
      </c>
      <c r="D6" s="8" t="inlineStr">
        <is>
          <t>Historic Grantors</t>
        </is>
      </c>
      <c r="E6" s="8" t="inlineStr">
        <is>
          <t>C. R. Bennett</t>
        </is>
      </c>
      <c r="F6" s="8" t="inlineStr">
        <is>
          <t>Mineral Deed conveying 40.00 NMA in S/2 NW/4.</t>
        </is>
      </c>
      <c r="G6" s="8" t="inlineStr">
        <is>
          <t>PROVED (95%)</t>
        </is>
      </c>
    </row>
    <row r="7">
      <c r="A7" s="8" t="inlineStr">
        <is>
          <t>MD</t>
        </is>
      </c>
      <c r="B7" s="8" t="inlineStr">
        <is>
          <t>Bk 85/Pg 222</t>
        </is>
      </c>
      <c r="C7" s="8" t="inlineStr">
        <is>
          <t>1950-02-10</t>
        </is>
      </c>
      <c r="D7" s="8" t="inlineStr">
        <is>
          <t>Historic Grantors</t>
        </is>
      </c>
      <c r="E7" s="8" t="inlineStr">
        <is>
          <t>Heller Company</t>
        </is>
      </c>
      <c r="F7" s="8" t="inlineStr">
        <is>
          <t>Mineral Deed conveying 20.00 NMA in S/2 NW/4.</t>
        </is>
      </c>
      <c r="G7" s="8" t="inlineStr">
        <is>
          <t>PROVED (90%)</t>
        </is>
      </c>
    </row>
    <row r="8">
      <c r="A8" s="8" t="inlineStr">
        <is>
          <t>DECR</t>
        </is>
      </c>
      <c r="B8" s="8" t="inlineStr">
        <is>
          <t>Bk 262/Pg 490</t>
        </is>
      </c>
      <c r="C8" s="8" t="inlineStr">
        <is>
          <t>1971-11-15</t>
        </is>
      </c>
      <c r="D8" s="8" t="inlineStr">
        <is>
          <t>Estate of Folmar</t>
        </is>
      </c>
      <c r="E8" s="8" t="inlineStr">
        <is>
          <t>Bettye Folmar Norris</t>
        </is>
      </c>
      <c r="F8" s="8" t="inlineStr">
        <is>
          <t>Decree of Distribution vesting 20.00 NMA in S/2 NW/4.</t>
        </is>
      </c>
      <c r="G8" s="8" t="inlineStr">
        <is>
          <t>PROVED (90%)</t>
        </is>
      </c>
    </row>
    <row r="9">
      <c r="A9" s="8" t="inlineStr">
        <is>
          <t>OGL</t>
        </is>
      </c>
      <c r="B9" s="8" t="inlineStr">
        <is>
          <t>Bk 332/Pg 74</t>
        </is>
      </c>
      <c r="C9" s="8" t="inlineStr">
        <is>
          <t>1977-08-01</t>
        </is>
      </c>
      <c r="D9" s="8" t="inlineStr">
        <is>
          <t>Ralph W. Viersen Jr. et al.</t>
        </is>
      </c>
      <c r="E9" s="8" t="inlineStr">
        <is>
          <t>Leede Exploration</t>
        </is>
      </c>
      <c r="F9" s="8" t="inlineStr">
        <is>
          <t>OGL covering 320 ac across NW/4 &amp; SW/4. Owner coverage defect noted.</t>
        </is>
      </c>
      <c r="G9" s="8" t="inlineStr">
        <is>
          <t>QUALIFIED (Coverage Gap)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8" customWidth="1" min="5" max="5"/>
    <col width="45" customWidth="1" min="6" max="6"/>
    <col width="25" customWidth="1" min="7" max="7"/>
  </cols>
  <sheetData>
    <row r="1">
      <c r="A1" s="1" t="inlineStr">
        <is>
          <t>TRACT 4 — SOUTHWEST QUARTER (SW/4) — 160.00 NOMINAL ACRES</t>
        </is>
      </c>
    </row>
    <row r="2">
      <c r="A2" s="2" t="inlineStr">
        <is>
          <t>FOR REVIEW — HOLD NO EXTERNAL RELEASE • Reconstructed Chain of Title &amp; Fractional Derivation</t>
        </is>
      </c>
    </row>
    <row r="4">
      <c r="A4" s="6" t="inlineStr">
        <is>
          <t>Doc Type</t>
        </is>
      </c>
      <c r="B4" s="6" t="inlineStr">
        <is>
          <t>Book / Page</t>
        </is>
      </c>
      <c r="C4" s="6" t="inlineStr">
        <is>
          <t>Instrument Date</t>
        </is>
      </c>
      <c r="D4" s="6" t="inlineStr">
        <is>
          <t>Grantor</t>
        </is>
      </c>
      <c r="E4" s="6" t="inlineStr">
        <is>
          <t>Grantee / Party</t>
        </is>
      </c>
      <c r="F4" s="6" t="inlineStr">
        <is>
          <t>Estate Conveyed / Title Effect</t>
        </is>
      </c>
      <c r="G4" s="6" t="inlineStr">
        <is>
          <t>Evidence Status</t>
        </is>
      </c>
    </row>
    <row r="5">
      <c r="A5" s="8" t="inlineStr">
        <is>
          <t>FR</t>
        </is>
      </c>
      <c r="B5" s="8" t="inlineStr">
        <is>
          <t>FR Receipt 3895</t>
        </is>
      </c>
      <c r="C5" s="8" t="inlineStr">
        <is>
          <t>1905-05-04</t>
        </is>
      </c>
      <c r="D5" s="8" t="inlineStr">
        <is>
          <t>U.S. Land Office</t>
        </is>
      </c>
      <c r="E5" s="8" t="inlineStr">
        <is>
          <t>Augustus P. Stevens</t>
        </is>
      </c>
      <c r="F5" s="8" t="inlineStr">
        <is>
          <t>Final Receiver Receipt covering entire SW/4; patent open.</t>
        </is>
      </c>
      <c r="G5" s="8" t="inlineStr">
        <is>
          <t>PROVED (Patent Open)</t>
        </is>
      </c>
    </row>
    <row r="6">
      <c r="A6" s="8" t="inlineStr">
        <is>
          <t>MD</t>
        </is>
      </c>
      <c r="B6" s="8" t="inlineStr">
        <is>
          <t>Bk 85/Pg 222</t>
        </is>
      </c>
      <c r="C6" s="8" t="inlineStr">
        <is>
          <t>1950-02-10</t>
        </is>
      </c>
      <c r="D6" s="8" t="inlineStr">
        <is>
          <t>Historic Grantors</t>
        </is>
      </c>
      <c r="E6" s="8" t="inlineStr">
        <is>
          <t>Gertrude L. LaFortune</t>
        </is>
      </c>
      <c r="F6" s="8" t="inlineStr">
        <is>
          <t>Mineral Deed conveying 40.00 NMA in N/2 SW/4.</t>
        </is>
      </c>
      <c r="G6" s="8" t="inlineStr">
        <is>
          <t>PROVED (95%)</t>
        </is>
      </c>
    </row>
    <row r="7">
      <c r="A7" s="8" t="inlineStr">
        <is>
          <t>DECR</t>
        </is>
      </c>
      <c r="B7" s="8" t="inlineStr">
        <is>
          <t>Probate Record</t>
        </is>
      </c>
      <c r="C7" s="8" t="inlineStr">
        <is>
          <t>1968-05-20</t>
        </is>
      </c>
      <c r="D7" s="8" t="inlineStr">
        <is>
          <t>Estate of Seidenbach</t>
        </is>
      </c>
      <c r="E7" s="8" t="inlineStr">
        <is>
          <t>Carol S. Leach &amp; Cynthia S. Kruse</t>
        </is>
      </c>
      <c r="F7" s="8" t="inlineStr">
        <is>
          <t>Vesting 40.00 NMA (20.00 NMA each) in N/2 SW/4.</t>
        </is>
      </c>
      <c r="G7" s="8" t="inlineStr">
        <is>
          <t>PROVED (90%)</t>
        </is>
      </c>
    </row>
    <row r="8">
      <c r="A8" s="8" t="inlineStr">
        <is>
          <t>OGL</t>
        </is>
      </c>
      <c r="B8" s="8" t="inlineStr">
        <is>
          <t>Bk 307/Pg 31</t>
        </is>
      </c>
      <c r="C8" s="8" t="inlineStr">
        <is>
          <t>1976-04-29</t>
        </is>
      </c>
      <c r="D8" s="8" t="inlineStr">
        <is>
          <t>Cora B. LeGrand</t>
        </is>
      </c>
      <c r="E8" s="8" t="inlineStr">
        <is>
          <t>Union Oil Co.</t>
        </is>
      </c>
      <c r="F8" s="8" t="inlineStr">
        <is>
          <t>OGL covering S/2 SW/4 (80 ac) and W/2 SE/4 (80 ac). 1/8 royalty.</t>
        </is>
      </c>
      <c r="G8" s="8" t="inlineStr">
        <is>
          <t>PROVED (Lease Face)</t>
        </is>
      </c>
    </row>
    <row r="9">
      <c r="A9" s="8" t="inlineStr">
        <is>
          <t>OGL</t>
        </is>
      </c>
      <c r="B9" s="8" t="inlineStr">
        <is>
          <t>Bk 340/Pg 302</t>
        </is>
      </c>
      <c r="C9" s="8" t="inlineStr">
        <is>
          <t>1977-10-14</t>
        </is>
      </c>
      <c r="D9" s="8" t="inlineStr">
        <is>
          <t>Gertrude L. LaFortune</t>
        </is>
      </c>
      <c r="E9" s="8" t="inlineStr">
        <is>
          <t>Union Oil Co.</t>
        </is>
      </c>
      <c r="F9" s="8" t="inlineStr">
        <is>
          <t>OGL covering N/2 SW/4; 3/16 royalty; 3-year term.</t>
        </is>
      </c>
      <c r="G9" s="8" t="inlineStr">
        <is>
          <t>PROVED (Lease Face)</t>
        </is>
      </c>
    </row>
    <row r="10">
      <c r="A10" s="8" t="inlineStr">
        <is>
          <t>OGL</t>
        </is>
      </c>
      <c r="B10" s="8" t="inlineStr">
        <is>
          <t>Bk 342/Pg 564</t>
        </is>
      </c>
      <c r="C10" s="8" t="inlineStr">
        <is>
          <t>1977-09-29</t>
        </is>
      </c>
      <c r="D10" s="8" t="inlineStr">
        <is>
          <t>Carol Seidenbach Leach</t>
        </is>
      </c>
      <c r="E10" s="8" t="inlineStr">
        <is>
          <t>Union Oil Co.</t>
        </is>
      </c>
      <c r="F10" s="8" t="inlineStr">
        <is>
          <t>OGL covering N/2 SW/4; 3/16 royalty; 3-year term.</t>
        </is>
      </c>
      <c r="G10" s="8" t="inlineStr">
        <is>
          <t>PROVED (Lease Face)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8" customWidth="1" min="5" max="5"/>
    <col width="45" customWidth="1" min="6" max="6"/>
    <col width="25" customWidth="1" min="7" max="7"/>
  </cols>
  <sheetData>
    <row r="1">
      <c r="A1" s="1" t="inlineStr">
        <is>
          <t>TRACT 5 — SOUTHEAST QUARTER (SE/4) — 160.00 NOMINAL ACRES</t>
        </is>
      </c>
    </row>
    <row r="2">
      <c r="A2" s="2" t="inlineStr">
        <is>
          <t>FOR REVIEW — HOLD NO EXTERNAL RELEASE • Reconstructed Chain of Title &amp; Fractional Derivation</t>
        </is>
      </c>
    </row>
    <row r="4">
      <c r="A4" s="6" t="inlineStr">
        <is>
          <t>Doc Type</t>
        </is>
      </c>
      <c r="B4" s="6" t="inlineStr">
        <is>
          <t>Book / Page</t>
        </is>
      </c>
      <c r="C4" s="6" t="inlineStr">
        <is>
          <t>Instrument Date</t>
        </is>
      </c>
      <c r="D4" s="6" t="inlineStr">
        <is>
          <t>Grantor</t>
        </is>
      </c>
      <c r="E4" s="6" t="inlineStr">
        <is>
          <t>Grantee / Party</t>
        </is>
      </c>
      <c r="F4" s="6" t="inlineStr">
        <is>
          <t>Estate Conveyed / Title Effect</t>
        </is>
      </c>
      <c r="G4" s="6" t="inlineStr">
        <is>
          <t>Evidence Status</t>
        </is>
      </c>
    </row>
    <row r="5">
      <c r="A5" s="8" t="inlineStr">
        <is>
          <t>FR</t>
        </is>
      </c>
      <c r="B5" s="8" t="inlineStr">
        <is>
          <t>Image 0004</t>
        </is>
      </c>
      <c r="C5" s="8" t="inlineStr">
        <is>
          <t>1906-06-28</t>
        </is>
      </c>
      <c r="D5" s="8" t="inlineStr">
        <is>
          <t>U.S. Land Office</t>
        </is>
      </c>
      <c r="E5" s="8" t="inlineStr">
        <is>
          <t>Velmore Biggs</t>
        </is>
      </c>
      <c r="F5" s="8" t="inlineStr">
        <is>
          <t>Final Receiver Receipt for SE/4. Biggs patent remains OPEN.</t>
        </is>
      </c>
      <c r="G5" s="8" t="inlineStr">
        <is>
          <t>PROVED (Patent Open)</t>
        </is>
      </c>
    </row>
    <row r="6">
      <c r="A6" s="8" t="inlineStr">
        <is>
          <t>OGL</t>
        </is>
      </c>
      <c r="B6" s="8" t="inlineStr">
        <is>
          <t>Bk 63/Pg 33</t>
        </is>
      </c>
      <c r="C6" s="8" t="inlineStr">
        <is>
          <t>1947-11-13</t>
        </is>
      </c>
      <c r="D6" s="8" t="inlineStr">
        <is>
          <t>Cora B. Garrett &amp; S.A. Garrett</t>
        </is>
      </c>
      <c r="E6" s="8" t="inlineStr">
        <is>
          <t>C.E. McKinley</t>
        </is>
      </c>
      <c r="F6" s="8" t="inlineStr">
        <is>
          <t>Oil and Gas Lease; E/2 SE/4 (80 ac); 10-year term; 1/8 royalty.</t>
        </is>
      </c>
      <c r="G6" s="8" t="inlineStr">
        <is>
          <t>PROVED (Base Lease)</t>
        </is>
      </c>
    </row>
    <row r="7">
      <c r="A7" s="8" t="inlineStr">
        <is>
          <t>ASG</t>
        </is>
      </c>
      <c r="B7" s="8" t="inlineStr">
        <is>
          <t>Bk 244/Pg 432</t>
        </is>
      </c>
      <c r="C7" s="8" t="inlineStr">
        <is>
          <t>1969-11-25</t>
        </is>
      </c>
      <c r="D7" s="8" t="inlineStr">
        <is>
          <t>Humble Oil &amp; Refining</t>
        </is>
      </c>
      <c r="E7" s="8" t="inlineStr">
        <is>
          <t>Union Oil Co.</t>
        </is>
      </c>
      <c r="F7" s="8" t="inlineStr">
        <is>
          <t>Assignment of Garrett 63/33 leasehold branch.</t>
        </is>
      </c>
      <c r="G7" s="8" t="inlineStr">
        <is>
          <t>PROVED (95%)</t>
        </is>
      </c>
    </row>
    <row r="8">
      <c r="A8" s="8" t="inlineStr">
        <is>
          <t>OGL</t>
        </is>
      </c>
      <c r="B8" s="8" t="inlineStr">
        <is>
          <t>Bk 307/Pg 31</t>
        </is>
      </c>
      <c r="C8" s="8" t="inlineStr">
        <is>
          <t>1976-04-29</t>
        </is>
      </c>
      <c r="D8" s="8" t="inlineStr">
        <is>
          <t>Cora B. LeGrand</t>
        </is>
      </c>
      <c r="E8" s="8" t="inlineStr">
        <is>
          <t>Union Oil Co.</t>
        </is>
      </c>
      <c r="F8" s="8" t="inlineStr">
        <is>
          <t>Oil and Gas Lease; W/2 SE/4 (80 ac); 3-year term; 1/8 royalty.</t>
        </is>
      </c>
      <c r="G8" s="8" t="inlineStr">
        <is>
          <t>PROVED (Base Lease)</t>
        </is>
      </c>
    </row>
    <row r="9">
      <c r="A9" s="8" t="inlineStr">
        <is>
          <t>WB ASG</t>
        </is>
      </c>
      <c r="B9" s="8" t="inlineStr">
        <is>
          <t>Bk 845/Pg 47</t>
        </is>
      </c>
      <c r="C9" s="8" t="inlineStr">
        <is>
          <t>1985-07-29</t>
        </is>
      </c>
      <c r="D9" s="8" t="inlineStr">
        <is>
          <t>Cities Service</t>
        </is>
      </c>
      <c r="E9" s="8" t="inlineStr">
        <is>
          <t>Leede Exploration</t>
        </is>
      </c>
      <c r="F9" s="8" t="inlineStr">
        <is>
          <t>Pearl 1-32 wellbore assignment (11,100-19,480 ft); 1/8 ORRI reserved.</t>
        </is>
      </c>
      <c r="G9" s="8" t="inlineStr">
        <is>
          <t>PROVED (Depth Limited)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5" customWidth="1" min="4" max="4"/>
    <col width="28" customWidth="1" min="5" max="5"/>
    <col width="24" customWidth="1" min="6" max="6"/>
    <col width="30" customWidth="1" min="7" max="7"/>
    <col width="28" customWidth="1" min="8" max="8"/>
    <col width="35" customWidth="1" min="9" max="9"/>
  </cols>
  <sheetData>
    <row r="1">
      <c r="A1" s="1" t="inlineStr">
        <is>
          <t>WI 2 — HISTORIC DEPTH, WELLBORE, &amp; PARALLEL LEASEHOLD BURDENS</t>
        </is>
      </c>
    </row>
    <row r="2">
      <c r="A2" s="2" t="inlineStr">
        <is>
          <t>FOR REVIEW — HOLD NO EXTERNAL RELEASE • Historic Burdens Carried Read-Only; Current Survival Unproved</t>
        </is>
      </c>
    </row>
    <row r="4">
      <c r="A4" s="14" t="inlineStr">
        <is>
          <t>Seq</t>
        </is>
      </c>
      <c r="B4" s="14" t="inlineStr">
        <is>
          <t>Instrument Type</t>
        </is>
      </c>
      <c r="C4" s="14" t="inlineStr">
        <is>
          <t>Book / Page</t>
        </is>
      </c>
      <c r="D4" s="14" t="inlineStr">
        <is>
          <t>Grantor</t>
        </is>
      </c>
      <c r="E4" s="14" t="inlineStr">
        <is>
          <t>Grantee / Burden Owner</t>
        </is>
      </c>
      <c r="F4" s="14" t="inlineStr">
        <is>
          <t>Historic Quantum / Burden</t>
        </is>
      </c>
      <c r="G4" s="14" t="inlineStr">
        <is>
          <t>Depth / Formation Scope</t>
        </is>
      </c>
      <c r="H4" s="14" t="inlineStr">
        <is>
          <t>Current Treatment &amp; Status</t>
        </is>
      </c>
      <c r="I4" s="14" t="inlineStr">
        <is>
          <t>Open Curative Requirement</t>
        </is>
      </c>
    </row>
    <row r="5">
      <c r="A5" s="18" t="n">
        <v>1</v>
      </c>
      <c r="B5" s="8" t="inlineStr">
        <is>
          <t>Crook Correction ASG</t>
        </is>
      </c>
      <c r="C5" s="8" t="inlineStr">
        <is>
          <t>Bk 502/Pg 267</t>
        </is>
      </c>
      <c r="D5" s="8" t="inlineStr">
        <is>
          <t>Union Oil Co.</t>
        </is>
      </c>
      <c r="E5" s="8" t="inlineStr">
        <is>
          <t>Leede Exploration / Union ORRI</t>
        </is>
      </c>
      <c r="F5" s="8" t="inlineStr">
        <is>
          <t>7/64 gas &amp; 1/16 oil ORRI</t>
        </is>
      </c>
      <c r="G5" s="8" t="inlineStr">
        <is>
          <t>Crook wellbore (16,210-20,451 ft)</t>
        </is>
      </c>
      <c r="H5" s="8" t="inlineStr">
        <is>
          <t>Historic Only; Survival Open</t>
        </is>
      </c>
      <c r="I5" s="8" t="inlineStr">
        <is>
          <t>Verify payout, reversion, and releases</t>
        </is>
      </c>
    </row>
    <row r="6">
      <c r="A6" s="18" t="n">
        <v>2</v>
      </c>
      <c r="B6" s="8" t="inlineStr">
        <is>
          <t>Crook Participant ASG</t>
        </is>
      </c>
      <c r="C6" s="8" t="inlineStr">
        <is>
          <t>Bk 509/Pg 220</t>
        </is>
      </c>
      <c r="D6" s="8" t="inlineStr">
        <is>
          <t>Leede Exploration</t>
        </is>
      </c>
      <c r="E6" s="8" t="inlineStr">
        <is>
          <t>Mesa 64%, Petrofina 25%, ENI 5%, etc.</t>
        </is>
      </c>
      <c r="F6" s="8" t="inlineStr">
        <is>
          <t>100% of assigned interest (Not 8/8)</t>
        </is>
      </c>
      <c r="G6" s="8" t="inlineStr">
        <is>
          <t>Crook wellbore</t>
        </is>
      </c>
      <c r="H6" s="8" t="inlineStr">
        <is>
          <t>Historic Allocation Only</t>
        </is>
      </c>
      <c r="I6" s="8" t="inlineStr">
        <is>
          <t>Prove assignor baseline and successors</t>
        </is>
      </c>
    </row>
    <row r="7">
      <c r="A7" s="18" t="n">
        <v>3</v>
      </c>
      <c r="B7" s="8" t="inlineStr">
        <is>
          <t>Pearl Borehole ASG</t>
        </is>
      </c>
      <c r="C7" s="8" t="inlineStr">
        <is>
          <t>Bk 845/Pg 47</t>
        </is>
      </c>
      <c r="D7" s="8" t="inlineStr">
        <is>
          <t>Cities Service</t>
        </is>
      </c>
      <c r="E7" s="8" t="inlineStr">
        <is>
          <t>Leede Exploration / 1/8 ORRI</t>
        </is>
      </c>
      <c r="F7" s="8" t="inlineStr">
        <is>
          <t>Assigned interest unquantified</t>
        </is>
      </c>
      <c r="G7" s="8" t="inlineStr">
        <is>
          <t>11,100-19,480 ft</t>
        </is>
      </c>
      <c r="H7" s="8" t="inlineStr">
        <is>
          <t>Historic Only; Status Open</t>
        </is>
      </c>
      <c r="I7" s="8" t="inlineStr">
        <is>
          <t>Read unrecorded agreements and releases</t>
        </is>
      </c>
    </row>
    <row r="8">
      <c r="A8" s="18" t="n">
        <v>4</v>
      </c>
      <c r="B8" s="8" t="inlineStr">
        <is>
          <t>Deep Scheduled ASG</t>
        </is>
      </c>
      <c r="C8" s="8" t="inlineStr">
        <is>
          <t>Bk 872/Pg 279</t>
        </is>
      </c>
      <c r="D8" s="8" t="inlineStr">
        <is>
          <t>Union Oil Co.</t>
        </is>
      </c>
      <c r="E8" s="8" t="inlineStr">
        <is>
          <t>Leede Exploration / Union ORRIs</t>
        </is>
      </c>
      <c r="F8" s="8" t="inlineStr">
        <is>
          <t>1/8 gas &amp; 1/16 oil ORRIs</t>
        </is>
      </c>
      <c r="G8" s="8" t="inlineStr">
        <is>
          <t>Top Morrow to 19,480 ft; Pearl wellbore</t>
        </is>
      </c>
      <c r="H8" s="8" t="inlineStr">
        <is>
          <t>Historic Only; Bridge Open</t>
        </is>
      </c>
      <c r="I8" s="8" t="inlineStr">
        <is>
          <t>Acquire complete 1984 operating agreement</t>
        </is>
      </c>
    </row>
    <row r="9">
      <c r="A9" s="18" t="n">
        <v>5</v>
      </c>
      <c r="B9" s="8" t="inlineStr">
        <is>
          <t>Below-Hunton ASG</t>
        </is>
      </c>
      <c r="C9" s="8" t="inlineStr">
        <is>
          <t>Bk 1014/Pg 75</t>
        </is>
      </c>
      <c r="D9" s="8" t="inlineStr">
        <is>
          <t>Consolidation of Leede Trusts</t>
        </is>
      </c>
      <c r="E9" s="8" t="inlineStr">
        <is>
          <t>Leede Exploration</t>
        </is>
      </c>
      <c r="F9" s="8" t="inlineStr">
        <is>
          <t>Unquantified</t>
        </is>
      </c>
      <c r="G9" s="8" t="inlineStr">
        <is>
          <t>N/2 below top of Hunton formation</t>
        </is>
      </c>
      <c r="H9" s="8" t="inlineStr">
        <is>
          <t>Nemo-Dat Defect Disclosed</t>
        </is>
      </c>
      <c r="I9" s="8" t="inlineStr">
        <is>
          <t>Prove assignor source title in N/2</t>
        </is>
      </c>
    </row>
    <row r="10">
      <c r="A10" s="18" t="n">
        <v>6</v>
      </c>
      <c r="B10" s="8" t="inlineStr">
        <is>
          <t>Linn Wellbore Carve</t>
        </is>
      </c>
      <c r="C10" s="8" t="inlineStr">
        <is>
          <t>Bk 2183/174; 2185/639</t>
        </is>
      </c>
      <c r="D10" s="8" t="inlineStr">
        <is>
          <t>Chesapeake Exploration</t>
        </is>
      </c>
      <c r="E10" s="8" t="inlineStr">
        <is>
          <t>Linn Operating / Linn Energy Holdings</t>
        </is>
      </c>
      <c r="F10" s="8" t="inlineStr">
        <is>
          <t>Unquantified</t>
        </is>
      </c>
      <c r="G10" s="8" t="inlineStr">
        <is>
          <t>Carlson 7H wellbore carveout</t>
        </is>
      </c>
      <c r="H10" s="8" t="inlineStr">
        <is>
          <t>Separate Branch — Do Not Blend</t>
        </is>
      </c>
      <c r="I10" s="8" t="inlineStr">
        <is>
          <t>Read complete exhibits and legal schedules</t>
        </is>
      </c>
    </row>
    <row r="11">
      <c r="A11" s="18" t="n">
        <v>7</v>
      </c>
      <c r="B11" s="8" t="inlineStr">
        <is>
          <t>FourPoint / MNR ABS</t>
        </is>
      </c>
      <c r="C11" s="8" t="inlineStr">
        <is>
          <t>Bk 2185/639; 2415/328</t>
        </is>
      </c>
      <c r="D11" s="8" t="inlineStr">
        <is>
          <t>Chesapeake / Unbridled</t>
        </is>
      </c>
      <c r="E11" s="8" t="inlineStr">
        <is>
          <t>FourPoint / MNR ABS</t>
        </is>
      </c>
      <c r="F11" s="8" t="inlineStr">
        <is>
          <t>Unquantified</t>
        </is>
      </c>
      <c r="G11" s="8" t="inlineStr">
        <is>
          <t>Wellbore &amp; depth exclusions open</t>
        </is>
      </c>
      <c r="H11" s="8" t="inlineStr">
        <is>
          <t>Parallel Portfolio Branch</t>
        </is>
      </c>
      <c r="I11" s="8" t="inlineStr">
        <is>
          <t>Reconcile Teocalli carve and schedules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2" customWidth="1" min="4" max="4"/>
    <col width="24" customWidth="1" min="5" max="5"/>
    <col width="25" customWidth="1" min="6" max="6"/>
    <col width="30" customWidth="1" min="7" max="7"/>
    <col width="35" customWidth="1" min="8" max="8"/>
  </cols>
  <sheetData>
    <row r="1">
      <c r="A1" s="1" t="inlineStr">
        <is>
          <t>WI 1 — PRINCIPAL KL CHK / TAPSTONE / DIVERSIFIED WORKING INTEREST CHAIN</t>
        </is>
      </c>
    </row>
    <row r="2">
      <c r="A2" s="2" t="inlineStr">
        <is>
          <t>FOR REVIEW — HOLD NO EXTERNAL RELEASE • Scheduled Claimant Path Only; Exact Current Section 32 WI/NRI/ORRI NOT DETERMINED</t>
        </is>
      </c>
    </row>
    <row r="4">
      <c r="A4" s="14" t="inlineStr">
        <is>
          <t>Step</t>
        </is>
      </c>
      <c r="B4" s="14" t="inlineStr">
        <is>
          <t>Book / Page</t>
        </is>
      </c>
      <c r="C4" s="14" t="inlineStr">
        <is>
          <t>Grantor</t>
        </is>
      </c>
      <c r="D4" s="14" t="inlineStr">
        <is>
          <t>Grantee</t>
        </is>
      </c>
      <c r="E4" s="14" t="inlineStr">
        <is>
          <t>Transaction Branch / %</t>
        </is>
      </c>
      <c r="F4" s="14" t="inlineStr">
        <is>
          <t>Depth / Legal Scope</t>
        </is>
      </c>
      <c r="G4" s="14" t="inlineStr">
        <is>
          <t>Adjudicated Conclusion</t>
        </is>
      </c>
      <c r="H4" s="14" t="inlineStr">
        <is>
          <t>Critical Evidence &amp; Gaps</t>
        </is>
      </c>
    </row>
    <row r="5">
      <c r="A5" s="18" t="n">
        <v>1</v>
      </c>
      <c r="B5" s="8" t="inlineStr">
        <is>
          <t>Bk 1697/Pg 236</t>
        </is>
      </c>
      <c r="C5" s="8" t="inlineStr">
        <is>
          <t>Staghorn Resources LLC</t>
        </is>
      </c>
      <c r="D5" s="8" t="inlineStr">
        <is>
          <t>Chesapeake Exploration LP</t>
        </is>
      </c>
      <c r="E5" s="8" t="inlineStr">
        <is>
          <t>Unquantified</t>
        </is>
      </c>
      <c r="F5" s="8" t="inlineStr">
        <is>
          <t>Section 32 per Exhibit A</t>
        </is>
      </c>
      <c r="G5" s="8" t="inlineStr">
        <is>
          <t>Scheduled Predecessor Lead</t>
        </is>
      </c>
      <c r="H5" s="8" t="inlineStr">
        <is>
          <t>Full Exhibit A required to identify base leases</t>
        </is>
      </c>
    </row>
    <row r="6">
      <c r="A6" s="18" t="n">
        <v>2</v>
      </c>
      <c r="B6" s="8" t="inlineStr">
        <is>
          <t>Bk 2340/Pg 403</t>
        </is>
      </c>
      <c r="C6" s="8" t="inlineStr">
        <is>
          <t>Chesapeake Affiliates</t>
        </is>
      </c>
      <c r="D6" s="8" t="inlineStr">
        <is>
          <t>Tapstone Energy LLC</t>
        </is>
      </c>
      <c r="E6" s="8" t="inlineStr">
        <is>
          <t>Tapstone Branch</t>
        </is>
      </c>
      <c r="F6" s="8" t="inlineStr">
        <is>
          <t>Schedules control</t>
        </is>
      </c>
      <c r="G6" s="8" t="inlineStr">
        <is>
          <t>Parallel Tapstone Branch</t>
        </is>
      </c>
      <c r="H6" s="8" t="inlineStr">
        <is>
          <t>Missing Tapstone asset schedule / bridge</t>
        </is>
      </c>
    </row>
    <row r="7">
      <c r="A7" s="18" t="n">
        <v>3</v>
      </c>
      <c r="B7" s="8" t="inlineStr">
        <is>
          <t>Bk 2340/Pg 490</t>
        </is>
      </c>
      <c r="C7" s="8" t="inlineStr">
        <is>
          <t>Chesapeake Affiliates</t>
        </is>
      </c>
      <c r="D7" s="8" t="inlineStr">
        <is>
          <t>KL CHK SPV LLC</t>
        </is>
      </c>
      <c r="E7" s="8" t="inlineStr">
        <is>
          <t>Unquantified</t>
        </is>
      </c>
      <c r="F7" s="8" t="inlineStr">
        <is>
          <t>All Section 32 index scope</t>
        </is>
      </c>
      <c r="G7" s="8" t="inlineStr">
        <is>
          <t>Principal Restructuring Predecessor</t>
        </is>
      </c>
      <c r="H7" s="8" t="inlineStr">
        <is>
          <t>Underlying property exhibits absent</t>
        </is>
      </c>
    </row>
    <row r="8">
      <c r="A8" s="18" t="n">
        <v>4</v>
      </c>
      <c r="B8" s="8" t="inlineStr">
        <is>
          <t>Bk 2371/Pg 470</t>
        </is>
      </c>
      <c r="C8" s="8" t="inlineStr">
        <is>
          <t>KL CHK SPV LLC</t>
        </is>
      </c>
      <c r="D8" s="8" t="inlineStr">
        <is>
          <t>Diversified Production (51.25%) &amp; OCM Denali (48.75%)</t>
        </is>
      </c>
      <c r="E8" s="8" t="inlineStr">
        <is>
          <t>51.25% / 48.75% Branches</t>
        </is>
      </c>
      <c r="F8" s="8" t="inlineStr">
        <is>
          <t>Exhibits control</t>
        </is>
      </c>
      <c r="G8" s="8" t="inlineStr">
        <is>
          <t>Transaction Branch Split (Keep Separate)</t>
        </is>
      </c>
      <c r="H8" s="8" t="inlineStr">
        <is>
          <t>Do not report 51.25% as section-wide WI</t>
        </is>
      </c>
    </row>
    <row r="9">
      <c r="A9" s="18" t="n">
        <v>5</v>
      </c>
      <c r="B9" s="8" t="inlineStr">
        <is>
          <t>Bk 2389/Pg 500</t>
        </is>
      </c>
      <c r="C9" s="8" t="inlineStr">
        <is>
          <t>Diversified / DP Merger Parties</t>
        </is>
      </c>
      <c r="D9" s="8" t="inlineStr">
        <is>
          <t>DP Legacy Tapstone LLC</t>
        </is>
      </c>
      <c r="E9" s="8" t="inlineStr">
        <is>
          <t>Corporate Merger</t>
        </is>
      </c>
      <c r="F9" s="8" t="inlineStr">
        <is>
          <t>Corporate succession</t>
        </is>
      </c>
      <c r="G9" s="8" t="inlineStr">
        <is>
          <t>Merger Path Established</t>
        </is>
      </c>
      <c r="H9" s="8" t="inlineStr">
        <is>
          <t>Merger certificate &amp; asset lists absent</t>
        </is>
      </c>
    </row>
    <row r="10">
      <c r="A10" s="18" t="n">
        <v>6</v>
      </c>
      <c r="B10" s="8" t="inlineStr">
        <is>
          <t>Bk 2395/Pg 415</t>
        </is>
      </c>
      <c r="C10" s="8" t="inlineStr">
        <is>
          <t>DP Legacy Tapstone LLC</t>
        </is>
      </c>
      <c r="D10" s="8" t="inlineStr">
        <is>
          <t>Diversified ABS VI Upstream &amp; DP Sooner</t>
        </is>
      </c>
      <c r="E10" s="8" t="inlineStr">
        <is>
          <t>Unquantified</t>
        </is>
      </c>
      <c r="F10" s="8" t="inlineStr">
        <is>
          <t>Asset OK48147.001.1 (Pg 462)</t>
        </is>
      </c>
      <c r="G10" s="8" t="inlineStr">
        <is>
          <t>Asset Identity Supported</t>
        </is>
      </c>
      <c r="H10" s="8" t="inlineStr">
        <is>
          <t>Estate, quantum, and depth blank on schedule</t>
        </is>
      </c>
    </row>
    <row r="11">
      <c r="A11" s="18" t="n">
        <v>7</v>
      </c>
      <c r="B11" s="8" t="inlineStr">
        <is>
          <t>Bk 2400/Pg 551</t>
        </is>
      </c>
      <c r="C11" s="8" t="inlineStr">
        <is>
          <t>DP Sooner HoldCo LLC</t>
        </is>
      </c>
      <c r="D11" s="8" t="inlineStr">
        <is>
          <t>Diversified Production LLC</t>
        </is>
      </c>
      <c r="E11" s="8" t="inlineStr">
        <is>
          <t>Unquantified</t>
        </is>
      </c>
      <c r="F11" s="8" t="inlineStr">
        <is>
          <t>Asset OK48147.001.1 (Pg 566)</t>
        </is>
      </c>
      <c r="G11" s="8" t="inlineStr">
        <is>
          <t>Last Supported Schedule Claimant</t>
        </is>
      </c>
      <c r="H11" s="8" t="inlineStr">
        <is>
          <t>Not confirmed current; post-cutoff filings govern</t>
        </is>
      </c>
    </row>
    <row r="12">
      <c r="A12" s="18" t="n">
        <v>8</v>
      </c>
      <c r="B12" s="8" t="inlineStr">
        <is>
          <t>Bk 2434/Pg 751</t>
        </is>
      </c>
      <c r="C12" s="8" t="inlineStr">
        <is>
          <t>Diversified Production LLC / DP Legacy</t>
        </is>
      </c>
      <c r="D12" s="8" t="inlineStr">
        <is>
          <t>Teocalli Exploration LLC</t>
        </is>
      </c>
      <c r="E12" s="8" t="inlineStr">
        <is>
          <t>Unknown</t>
        </is>
      </c>
      <c r="F12" s="8" t="inlineStr">
        <is>
          <t>Post-cutoff index lead</t>
        </is>
      </c>
      <c r="G12" s="8" t="inlineStr">
        <is>
          <t>Potential Divestiture Out</t>
        </is>
      </c>
      <c r="H12" s="8" t="inlineStr">
        <is>
          <t>CRITICAL P0: Read complete instrument &amp; schedule</t>
        </is>
      </c>
    </row>
    <row r="13">
      <c r="A13" s="18" t="n">
        <v>9</v>
      </c>
      <c r="B13" s="8" t="inlineStr">
        <is>
          <t>Bk 2451/4; 2476/121</t>
        </is>
      </c>
      <c r="C13" s="8" t="inlineStr">
        <is>
          <t>Diversified / DP Entities</t>
        </is>
      </c>
      <c r="D13" s="8" t="inlineStr">
        <is>
          <t>Public / Affiliates</t>
        </is>
      </c>
      <c r="E13" s="8" t="inlineStr">
        <is>
          <t>Unknown</t>
        </is>
      </c>
      <c r="F13" s="8" t="inlineStr">
        <is>
          <t>Post-cutoff index leads</t>
        </is>
      </c>
      <c r="G13" s="8" t="inlineStr">
        <is>
          <t>Later Contextual Filings</t>
        </is>
      </c>
      <c r="H13" s="8" t="inlineStr">
        <is>
          <t>Examine complete modern filings</t>
        </is>
      </c>
    </row>
    <row r="16">
      <c r="A16" s="20" t="inlineStr">
        <is>
          <t>WORKING INTEREST COMPONENT</t>
        </is>
      </c>
      <c r="B16" s="20" t="inlineStr">
        <is>
          <t>RECORDED / PROPOSED VALUE</t>
        </is>
      </c>
      <c r="C16" s="20" t="inlineStr">
        <is>
          <t>LEGAL &amp; TITLE CLASSIFICATION</t>
        </is>
      </c>
      <c r="D16" s="20" t="inlineStr">
        <is>
          <t>SUPPORTING CITATION</t>
        </is>
      </c>
      <c r="E16" s="20" t="inlineStr">
        <is>
          <t>EXAMINER LIMITATION &amp; GOVERNING RULE</t>
        </is>
      </c>
    </row>
    <row r="17">
      <c r="A17" s="8" t="inlineStr">
        <is>
          <t>Diversified Transaction Branch</t>
        </is>
      </c>
      <c r="B17" s="8" t="inlineStr">
        <is>
          <t>51.25%</t>
        </is>
      </c>
      <c r="C17" s="8" t="inlineStr">
        <is>
          <t>Historical Transaction Branch</t>
        </is>
      </c>
      <c r="D17" s="8" t="inlineStr">
        <is>
          <t>Bk 2371/Pg 470</t>
        </is>
      </c>
      <c r="E17" s="8" t="inlineStr">
        <is>
          <t>Branch allocation only; cannot be applied section-wide without proof of 8/8 baseline.</t>
        </is>
      </c>
    </row>
    <row r="18">
      <c r="A18" s="8" t="inlineStr">
        <is>
          <t>OCM Denali Parallel Branch</t>
        </is>
      </c>
      <c r="B18" s="8" t="inlineStr">
        <is>
          <t>48.75%</t>
        </is>
      </c>
      <c r="C18" s="8" t="inlineStr">
        <is>
          <t>Separate Claimant Branch</t>
        </is>
      </c>
      <c r="D18" s="8" t="inlineStr">
        <is>
          <t>Bk 2371/Pg 470</t>
        </is>
      </c>
      <c r="E18" s="8" t="inlineStr">
        <is>
          <t>Must remain strictly separate; not owned by Diversified Production LLC.</t>
        </is>
      </c>
    </row>
    <row r="19">
      <c r="A19" s="8" t="inlineStr">
        <is>
          <t>Predecessor Arithmetic Product</t>
        </is>
      </c>
      <c r="B19" s="8" t="inlineStr">
        <is>
          <t>15.000875%</t>
        </is>
      </c>
      <c r="C19" s="8" t="inlineStr">
        <is>
          <t>REPORTED_UNVERIFIED Lead</t>
        </is>
      </c>
      <c r="D19" s="8" t="inlineStr">
        <is>
          <t>V7 WI Lead (29.27% × 51.25%)</t>
        </is>
      </c>
      <c r="E19" s="8" t="inlineStr">
        <is>
          <t>Mathematical product only; lacks unclouded 8/8 title baseline. NOT PRESENT WI.</t>
        </is>
      </c>
    </row>
    <row r="20">
      <c r="A20" s="8" t="inlineStr">
        <is>
          <t>Current Gross Working Interest (WI)</t>
        </is>
      </c>
      <c r="B20" s="11" t="inlineStr">
        <is>
          <t>NOT DETERMINED</t>
        </is>
      </c>
      <c r="C20" s="8" t="inlineStr">
        <is>
          <t>UNPROVED / OPEN</t>
        </is>
      </c>
      <c r="D20" s="8" t="inlineStr">
        <is>
          <t>Bk 2400/566 &amp; Bk 2434/751</t>
        </is>
      </c>
      <c r="E20" s="8" t="inlineStr">
        <is>
          <t>Blank quantum on schedule + unread Teocalli divestiture lead preclude decimal total.</t>
        </is>
      </c>
    </row>
    <row r="21">
      <c r="A21" s="8" t="inlineStr">
        <is>
          <t>Current Net Revenue Interest (NRI)</t>
        </is>
      </c>
      <c r="B21" s="11" t="inlineStr">
        <is>
          <t>NOT DETERMINED</t>
        </is>
      </c>
      <c r="C21" s="8" t="inlineStr">
        <is>
          <t>UNPROVED / OPEN</t>
        </is>
      </c>
      <c r="D21" s="8" t="inlineStr">
        <is>
          <t>Master Burden Register</t>
        </is>
      </c>
      <c r="E21" s="8" t="inlineStr">
        <is>
          <t>Burden survival (Union/Leede ORRIs, JOA burdens) remains unproved.</t>
        </is>
      </c>
    </row>
    <row r="22">
      <c r="A22" s="8" t="inlineStr">
        <is>
          <t>Current Overriding Royalty (ORRI)</t>
        </is>
      </c>
      <c r="B22" s="11" t="inlineStr">
        <is>
          <t>NOT DETERMINED</t>
        </is>
      </c>
      <c r="C22" s="8" t="inlineStr">
        <is>
          <t>UNPROVED / OPEN</t>
        </is>
      </c>
      <c r="D22" s="8" t="inlineStr">
        <is>
          <t>Bk 502/267; 872/279</t>
        </is>
      </c>
      <c r="E22" s="8" t="inlineStr">
        <is>
          <t>Historical ORRIs carried for audit; modern payout/reversion unproved.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5" customWidth="1" min="4" max="4"/>
    <col width="26" customWidth="1" min="5" max="5"/>
    <col width="28" customWidth="1" min="6" max="6"/>
    <col width="14" customWidth="1" min="7" max="7"/>
    <col width="22" customWidth="1" min="8" max="8"/>
    <col width="28" customWidth="1" min="9" max="9"/>
  </cols>
  <sheetData>
    <row r="1">
      <c r="A1" s="1" t="inlineStr">
        <is>
          <t>WELLS — SECTION 32-11N-25W (REGULATORY CONTEXT; NOT LEASE-SPECIFIC HBP PROOF)</t>
        </is>
      </c>
    </row>
    <row r="2">
      <c r="A2" s="2" t="inlineStr">
        <is>
          <t>FOR REVIEW — HOLD NO EXTERNAL RELEASE • Regulatory Well Presence Does Not Prove Section-Wide or Depth-Wide HBP</t>
        </is>
      </c>
    </row>
    <row r="4">
      <c r="A4" s="14" t="inlineStr">
        <is>
          <t>Well #</t>
        </is>
      </c>
      <c r="B4" s="14" t="inlineStr">
        <is>
          <t>API #</t>
        </is>
      </c>
      <c r="C4" s="14" t="inlineStr">
        <is>
          <t>Current Listed Operator</t>
        </is>
      </c>
      <c r="D4" s="14" t="inlineStr">
        <is>
          <t>Well Name</t>
        </is>
      </c>
      <c r="E4" s="14" t="inlineStr">
        <is>
          <t>Formation</t>
        </is>
      </c>
      <c r="F4" s="14" t="inlineStr">
        <is>
          <t>Surface Location</t>
        </is>
      </c>
      <c r="G4" s="14" t="inlineStr">
        <is>
          <t>Spud Date</t>
        </is>
      </c>
      <c r="H4" s="14" t="inlineStr">
        <is>
          <t>Perforated Interval</t>
        </is>
      </c>
      <c r="I4" s="14" t="inlineStr">
        <is>
          <t>Status / Regulatory Context</t>
        </is>
      </c>
    </row>
    <row r="5">
      <c r="A5" s="18" t="n">
        <v>1</v>
      </c>
      <c r="B5" s="18" t="inlineStr">
        <is>
          <t>35-009-00075</t>
        </is>
      </c>
      <c r="C5" s="8" t="inlineStr">
        <is>
          <t>BP America Production Co.</t>
        </is>
      </c>
      <c r="D5" s="8" t="inlineStr">
        <is>
          <t>Cora Garrett C-310</t>
        </is>
      </c>
      <c r="E5" s="8" t="inlineStr">
        <is>
          <t>Granite Wash</t>
        </is>
      </c>
      <c r="F5" s="8" t="inlineStr">
        <is>
          <t>Sec 32-11N-25W (E/2 SE/4)</t>
        </is>
      </c>
      <c r="G5" s="18" t="inlineStr">
        <is>
          <t>1950-08-12</t>
        </is>
      </c>
      <c r="H5" s="8" t="inlineStr">
        <is>
          <t>Historical Intervals</t>
        </is>
      </c>
      <c r="I5" s="8" t="inlineStr">
        <is>
          <t>Plugged / Historic Well</t>
        </is>
      </c>
    </row>
    <row r="6">
      <c r="A6" s="18" t="n">
        <v>2</v>
      </c>
      <c r="B6" s="18" t="inlineStr">
        <is>
          <t>35-009-20312</t>
        </is>
      </c>
      <c r="C6" s="8" t="inlineStr">
        <is>
          <t>Complete Oil &amp; Gas Services LLC</t>
        </is>
      </c>
      <c r="D6" s="8" t="inlineStr">
        <is>
          <t>Crook 1-32</t>
        </is>
      </c>
      <c r="E6" s="8" t="inlineStr">
        <is>
          <t>Granite Wash Lower</t>
        </is>
      </c>
      <c r="F6" s="8" t="inlineStr">
        <is>
          <t>Sec 32-11N-25W (NE/4)</t>
        </is>
      </c>
      <c r="G6" s="18" t="inlineStr">
        <is>
          <t>1980-01-26</t>
        </is>
      </c>
      <c r="H6" s="8" t="inlineStr">
        <is>
          <t>13,348-13,595 ft</t>
        </is>
      </c>
      <c r="I6" s="8" t="inlineStr">
        <is>
          <t>Active / Producing Context</t>
        </is>
      </c>
    </row>
    <row r="7">
      <c r="A7" s="18" t="n">
        <v>3</v>
      </c>
      <c r="B7" s="18" t="inlineStr">
        <is>
          <t>35-009-20605</t>
        </is>
      </c>
      <c r="C7" s="8" t="inlineStr">
        <is>
          <t>SM Energy Company</t>
        </is>
      </c>
      <c r="D7" s="8" t="inlineStr">
        <is>
          <t>Pearl 1-32</t>
        </is>
      </c>
      <c r="E7" s="8" t="inlineStr">
        <is>
          <t>Morrow-Springer</t>
        </is>
      </c>
      <c r="F7" s="8" t="inlineStr">
        <is>
          <t>Sec 32-11N-25W (SE/4)</t>
        </is>
      </c>
      <c r="G7" s="18" t="inlineStr">
        <is>
          <t>1981-04-10</t>
        </is>
      </c>
      <c r="H7" s="8" t="inlineStr">
        <is>
          <t>15,200-15,450 ft</t>
        </is>
      </c>
      <c r="I7" s="8" t="inlineStr">
        <is>
          <t>Historic Deep Wellbore</t>
        </is>
      </c>
    </row>
    <row r="8">
      <c r="A8" s="18" t="n">
        <v>4</v>
      </c>
      <c r="B8" s="18" t="inlineStr">
        <is>
          <t>35-009-20738</t>
        </is>
      </c>
      <c r="C8" s="8" t="inlineStr">
        <is>
          <t>Leede Oil &amp; Gas Inc.</t>
        </is>
      </c>
      <c r="D8" s="8" t="inlineStr">
        <is>
          <t>Legrand 1-32</t>
        </is>
      </c>
      <c r="E8" s="8" t="inlineStr">
        <is>
          <t>Upper Granite Wash</t>
        </is>
      </c>
      <c r="F8" s="8" t="inlineStr">
        <is>
          <t>Sec 32-11N-25W (NW/4)</t>
        </is>
      </c>
      <c r="G8" s="18" t="inlineStr">
        <is>
          <t>1982-03-15</t>
        </is>
      </c>
      <c r="H8" s="8" t="inlineStr">
        <is>
          <t>12,100-12,400 ft</t>
        </is>
      </c>
      <c r="I8" s="8" t="inlineStr">
        <is>
          <t>Historic Wellbore</t>
        </is>
      </c>
    </row>
    <row r="9">
      <c r="A9" s="18" t="n">
        <v>5</v>
      </c>
      <c r="B9" s="18" t="inlineStr">
        <is>
          <t>35-009-21072</t>
        </is>
      </c>
      <c r="C9" s="8" t="inlineStr">
        <is>
          <t>BCE-Mach II LLC</t>
        </is>
      </c>
      <c r="D9" s="8" t="inlineStr">
        <is>
          <t>JGL 1-32</t>
        </is>
      </c>
      <c r="E9" s="8" t="inlineStr">
        <is>
          <t>Granite Wash</t>
        </is>
      </c>
      <c r="F9" s="8" t="inlineStr">
        <is>
          <t>Sec 32-11N-25W (NW/4)</t>
        </is>
      </c>
      <c r="G9" s="18" t="inlineStr">
        <is>
          <t>1985-09-22</t>
        </is>
      </c>
      <c r="H9" s="8" t="inlineStr">
        <is>
          <t>12,450-12,700 ft</t>
        </is>
      </c>
      <c r="I9" s="8" t="inlineStr">
        <is>
          <t>Active Operator Context</t>
        </is>
      </c>
    </row>
    <row r="10">
      <c r="A10" s="18" t="n">
        <v>6</v>
      </c>
      <c r="B10" s="18" t="inlineStr">
        <is>
          <t>35-009-21085</t>
        </is>
      </c>
      <c r="C10" s="8" t="inlineStr">
        <is>
          <t>BCE-Mach II LLC</t>
        </is>
      </c>
      <c r="D10" s="8" t="inlineStr">
        <is>
          <t>Hanks Crook 1-32</t>
        </is>
      </c>
      <c r="E10" s="8" t="inlineStr">
        <is>
          <t>Granite Wash</t>
        </is>
      </c>
      <c r="F10" s="8" t="inlineStr">
        <is>
          <t>Sec 32-11N-25W (NE/4)</t>
        </is>
      </c>
      <c r="G10" s="18" t="inlineStr">
        <is>
          <t>1986-02-18</t>
        </is>
      </c>
      <c r="H10" s="8" t="inlineStr">
        <is>
          <t>12,600-12,850 ft</t>
        </is>
      </c>
      <c r="I10" s="8" t="inlineStr">
        <is>
          <t>Active Operator Context</t>
        </is>
      </c>
    </row>
    <row r="11">
      <c r="A11" s="18" t="n">
        <v>7</v>
      </c>
      <c r="B11" s="18" t="inlineStr">
        <is>
          <t>35-009-21166</t>
        </is>
      </c>
      <c r="C11" s="8" t="inlineStr">
        <is>
          <t>Vastar Resources Inc.</t>
        </is>
      </c>
      <c r="D11" s="8" t="inlineStr">
        <is>
          <t>Crook-Legrand 1-32</t>
        </is>
      </c>
      <c r="E11" s="8" t="inlineStr">
        <is>
          <t>Atoka</t>
        </is>
      </c>
      <c r="F11" s="8" t="inlineStr">
        <is>
          <t>Sec 32-11N-25W (SW/4)</t>
        </is>
      </c>
      <c r="G11" s="18" t="inlineStr">
        <is>
          <t>1988-06-30</t>
        </is>
      </c>
      <c r="H11" s="8" t="inlineStr">
        <is>
          <t>14,100-14,350 ft</t>
        </is>
      </c>
      <c r="I11" s="8" t="inlineStr">
        <is>
          <t>Historic Operator Context</t>
        </is>
      </c>
    </row>
    <row r="12">
      <c r="A12" s="18" t="n">
        <v>8</v>
      </c>
      <c r="B12" s="18" t="inlineStr">
        <is>
          <t>35-009-21236</t>
        </is>
      </c>
      <c r="C12" s="8" t="inlineStr">
        <is>
          <t>BCE-Mach II LLC</t>
        </is>
      </c>
      <c r="D12" s="8" t="inlineStr">
        <is>
          <t>Legrand 1-32 (Re-entry)</t>
        </is>
      </c>
      <c r="E12" s="8" t="inlineStr">
        <is>
          <t>Granite Wash</t>
        </is>
      </c>
      <c r="F12" s="8" t="inlineStr">
        <is>
          <t>Sec 32-11N-25W (NW/4)</t>
        </is>
      </c>
      <c r="G12" s="18" t="inlineStr">
        <is>
          <t>1991-11-12</t>
        </is>
      </c>
      <c r="H12" s="8" t="inlineStr">
        <is>
          <t>12,250-12,500 ft</t>
        </is>
      </c>
      <c r="I12" s="8" t="inlineStr">
        <is>
          <t>Active Operator Context</t>
        </is>
      </c>
    </row>
    <row r="13">
      <c r="A13" s="18" t="n">
        <v>9</v>
      </c>
      <c r="B13" s="18" t="inlineStr">
        <is>
          <t>35-009-21245</t>
        </is>
      </c>
      <c r="C13" s="8" t="inlineStr">
        <is>
          <t>BP America Production Co.</t>
        </is>
      </c>
      <c r="D13" s="8" t="inlineStr">
        <is>
          <t>Katie 1-32</t>
        </is>
      </c>
      <c r="E13" s="8" t="inlineStr">
        <is>
          <t>Granite Wash</t>
        </is>
      </c>
      <c r="F13" s="8" t="inlineStr">
        <is>
          <t>Sec 32-11N-25W (NE/4)</t>
        </is>
      </c>
      <c r="G13" s="18" t="inlineStr">
        <is>
          <t>1992-04-05</t>
        </is>
      </c>
      <c r="H13" s="8" t="inlineStr">
        <is>
          <t>12,300-12,550 ft</t>
        </is>
      </c>
      <c r="I13" s="8" t="inlineStr">
        <is>
          <t>Active Operator Context</t>
        </is>
      </c>
    </row>
    <row r="14">
      <c r="A14" s="18" t="n">
        <v>10</v>
      </c>
      <c r="B14" s="18" t="inlineStr">
        <is>
          <t>35-009-21258</t>
        </is>
      </c>
      <c r="C14" s="8" t="inlineStr">
        <is>
          <t>BCE-Mach II LLC</t>
        </is>
      </c>
      <c r="D14" s="8" t="inlineStr">
        <is>
          <t>Legrand 2-32</t>
        </is>
      </c>
      <c r="E14" s="8" t="inlineStr">
        <is>
          <t>Granite Wash</t>
        </is>
      </c>
      <c r="F14" s="8" t="inlineStr">
        <is>
          <t>Sec 32-11N-25W (NW/4)</t>
        </is>
      </c>
      <c r="G14" s="18" t="inlineStr">
        <is>
          <t>1993-08-19</t>
        </is>
      </c>
      <c r="H14" s="8" t="inlineStr">
        <is>
          <t>12,400-12,650 ft</t>
        </is>
      </c>
      <c r="I14" s="8" t="inlineStr">
        <is>
          <t>Active Operator Context</t>
        </is>
      </c>
    </row>
    <row r="15">
      <c r="A15" s="18" t="n">
        <v>11</v>
      </c>
      <c r="B15" s="18" t="inlineStr">
        <is>
          <t>35-009-21391</t>
        </is>
      </c>
      <c r="C15" s="8" t="inlineStr">
        <is>
          <t>BCE-Mach II LLC</t>
        </is>
      </c>
      <c r="D15" s="8" t="inlineStr">
        <is>
          <t>Twin 1-32</t>
        </is>
      </c>
      <c r="E15" s="8" t="inlineStr">
        <is>
          <t>Granite Wash Low</t>
        </is>
      </c>
      <c r="F15" s="8" t="inlineStr">
        <is>
          <t>Sec 32-11N-25W (NE/4)</t>
        </is>
      </c>
      <c r="G15" s="18" t="inlineStr">
        <is>
          <t>2004-07-15</t>
        </is>
      </c>
      <c r="H15" s="8" t="inlineStr">
        <is>
          <t>12,548-12,604 ft</t>
        </is>
      </c>
      <c r="I15" s="8" t="inlineStr">
        <is>
          <t>Active / Producing Context</t>
        </is>
      </c>
    </row>
    <row r="16">
      <c r="A16" s="18" t="n">
        <v>12</v>
      </c>
      <c r="B16" s="18" t="inlineStr">
        <is>
          <t>35-009-21893</t>
        </is>
      </c>
      <c r="C16" s="8" t="inlineStr">
        <is>
          <t>Latigo Petroleum, LLC</t>
        </is>
      </c>
      <c r="D16" s="8" t="inlineStr">
        <is>
          <t>Carlson 32-11-25 12H</t>
        </is>
      </c>
      <c r="E16" s="8" t="inlineStr">
        <is>
          <t>Granite Wash Upper (Missourian)</t>
        </is>
      </c>
      <c r="F16" s="8" t="inlineStr">
        <is>
          <t>Sec 32-11N-25W (All Sec PUN)</t>
        </is>
      </c>
      <c r="G16" s="18" t="inlineStr">
        <is>
          <t>2014-05-10</t>
        </is>
      </c>
      <c r="H16" s="8" t="inlineStr">
        <is>
          <t>Horizontal Lateral</t>
        </is>
      </c>
      <c r="I16" s="8" t="inlineStr">
        <is>
          <t>Horizontal Unit Context</t>
        </is>
      </c>
    </row>
    <row r="17">
      <c r="A17" s="18" t="n">
        <v>13</v>
      </c>
      <c r="B17" s="18" t="inlineStr">
        <is>
          <t>35-009-21923</t>
        </is>
      </c>
      <c r="C17" s="8" t="inlineStr">
        <is>
          <t>Latigo Petroleum, LLC</t>
        </is>
      </c>
      <c r="D17" s="8" t="inlineStr">
        <is>
          <t>Carlson 32-11-25 7H</t>
        </is>
      </c>
      <c r="E17" s="8" t="inlineStr">
        <is>
          <t>Missourian</t>
        </is>
      </c>
      <c r="F17" s="8" t="inlineStr">
        <is>
          <t>Sec 32-11N-25W (All Sec PUN)</t>
        </is>
      </c>
      <c r="G17" s="18" t="inlineStr">
        <is>
          <t>2014-09-18</t>
        </is>
      </c>
      <c r="H17" s="8" t="inlineStr">
        <is>
          <t>Horizontal Lateral</t>
        </is>
      </c>
      <c r="I17" s="8" t="inlineStr">
        <is>
          <t>Wellbore Carveout (Linn/FourPoint)</t>
        </is>
      </c>
    </row>
    <row r="18">
      <c r="A18" s="18" t="n">
        <v>14</v>
      </c>
      <c r="B18" s="18" t="inlineStr">
        <is>
          <t>35-009-21933</t>
        </is>
      </c>
      <c r="C18" s="8" t="inlineStr">
        <is>
          <t>Latigo Petroleum, LLC</t>
        </is>
      </c>
      <c r="D18" s="8" t="inlineStr">
        <is>
          <t>Carlson 32-11-25 10H</t>
        </is>
      </c>
      <c r="E18" s="8" t="inlineStr">
        <is>
          <t>Missourian</t>
        </is>
      </c>
      <c r="F18" s="8" t="inlineStr">
        <is>
          <t>Sec 32-11N-25W (All Sec PUN)</t>
        </is>
      </c>
      <c r="G18" s="18" t="inlineStr">
        <is>
          <t>2015-01-22</t>
        </is>
      </c>
      <c r="H18" s="8" t="inlineStr">
        <is>
          <t>Horizontal Lateral</t>
        </is>
      </c>
      <c r="I18" s="8" t="inlineStr">
        <is>
          <t>Horizontal Unit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2026-08-30T03:21:53Z</dcterms:created>
  <dcterms:modified xsi:type="dcterms:W3CDTF">2026-08-30T03:21:53Z</dcterms:modified>
</cp:coreProperties>
</file>