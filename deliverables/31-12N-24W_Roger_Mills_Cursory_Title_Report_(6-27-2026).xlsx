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Default Extension="png" ContentType="image/png"/>
  <Default Extension="svg" ContentType="image/svg+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6" autoFilterDateGrouping="1"/>
  </bookViews>
  <sheets>
    <sheet name="Overview" sheetId="1" state="visible" r:id="rId1"/>
    <sheet name="Title " sheetId="2" state="visible" r:id="rId2"/>
    <sheet name="OGL" sheetId="3" state="visible" r:id="rId3"/>
    <sheet name="PLAT" sheetId="4" state="hidden" r:id="rId4"/>
    <sheet name="Runsheet" sheetId="5" state="visible" r:id="rId5"/>
    <sheet name="Tract 1" sheetId="6" state="visible" r:id="rId6"/>
    <sheet name="Tract 2" sheetId="7" state="visible" r:id="rId7"/>
    <sheet name="Tract 3" sheetId="8" state="visible" r:id="rId8"/>
    <sheet name="Tract 4" sheetId="9" state="visible" r:id="rId9"/>
    <sheet name="Tract 5" sheetId="10" state="visible" r:id="rId10"/>
    <sheet name="Tract 6" sheetId="11" state="visible" r:id="rId11"/>
    <sheet name="Tract 7" sheetId="12" state="visible" r:id="rId12"/>
    <sheet name="Tract 8" sheetId="13" state="visible" r:id="rId13"/>
    <sheet name="WI 2" sheetId="14" state="hidden" r:id="rId14"/>
    <sheet name="WI 1" sheetId="15" state="visible" r:id="rId15"/>
    <sheet name="Well 1" sheetId="16" state="visible" r:id="rId16"/>
    <sheet name="Summary" sheetId="17" state="visible" r:id="rId17"/>
  </sheets>
  <externalReferences>
    <externalReference r:id="rId18"/>
    <externalReference r:id="rId19"/>
  </externalReferences>
  <definedNames>
    <definedName name="_Fill" hidden="1">#REF!</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'[1]Tract Plat Map '!$C$65</definedName>
    <definedName name="Check5_1">#REF!</definedName>
    <definedName name="Check6_1">#REF!</definedName>
    <definedName name="Check7_1">#REF!</definedName>
    <definedName name="oijjjojoijpojpoi">#REF!</definedName>
    <definedName name="Plat_LastSaved">#REF!</definedName>
    <definedName name="SORT" hidden="1">#REF!</definedName>
    <definedName name="Test">#REF!</definedName>
    <definedName name="Test1" hidden="1">#REF!</definedName>
    <definedName name="Test2" hidden="1">#REF!</definedName>
    <definedName name="Test3" hidden="1">#REF!</definedName>
    <definedName name="Test4">#REF!</definedName>
    <definedName name="Tract" hidden="1">#REF!</definedName>
    <definedName name="XXXXXX">'[2]Well Plat Map '!$B$60</definedName>
    <definedName name="_xlnm.Print_Area" localSheetId="0">'Overview'!$A$1:$AH$55</definedName>
    <definedName name="_xlnm.Print_Area" localSheetId="1">'Title '!$A$1:$G$132</definedName>
    <definedName name="_xlnm.Print_Area" localSheetId="4">'Runsheet'!$A$1:$K$145</definedName>
  </definedNames>
  <calcPr calcId="191029" fullCalcOnLoad="1" iterateDelta="0.0001"/>
</workbook>
</file>

<file path=xl/styles.xml><?xml version="1.0" encoding="utf-8"?>
<styleSheet xmlns="http://schemas.openxmlformats.org/spreadsheetml/2006/main">
  <numFmts count="7">
    <numFmt numFmtId="164" formatCode="0.00000000"/>
    <numFmt numFmtId="165" formatCode="0.000000"/>
    <numFmt numFmtId="166" formatCode="#\ ???/???"/>
    <numFmt numFmtId="167" formatCode="&quot;$&quot;#,##0_);[Red]\(&quot;$&quot;#,##0\)"/>
    <numFmt numFmtId="168" formatCode="0.0000000000000"/>
    <numFmt numFmtId="169" formatCode="m/d/yy"/>
    <numFmt numFmtId="170" formatCode="00"/>
  </numFmts>
  <fonts count="58">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9"/>
    </font>
    <font>
      <name val="Calibri"/>
      <family val="2"/>
      <color theme="1"/>
      <sz val="9"/>
    </font>
    <font>
      <name val="Calibri"/>
      <family val="2"/>
      <sz val="11"/>
    </font>
    <font>
      <name val="Calibri"/>
      <family val="2"/>
      <color theme="1"/>
      <sz val="20"/>
    </font>
    <font>
      <name val="Calibri"/>
      <family val="2"/>
      <color theme="1"/>
      <sz val="28"/>
    </font>
    <font>
      <name val="Calibri"/>
      <family val="2"/>
      <color rgb="FFFF0000"/>
      <sz val="20"/>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Verdana"/>
      <family val="2"/>
      <sz val="10"/>
    </font>
    <font>
      <name val="Times New Roman"/>
      <family val="1"/>
      <sz val="10"/>
    </font>
    <font>
      <name val="Verdana"/>
      <family val="2"/>
      <sz val="10"/>
    </font>
    <font>
      <name val="Times New Roman"/>
      <family val="1"/>
      <sz val="12"/>
    </font>
    <font>
      <name val="Calibri"/>
      <family val="2"/>
      <color theme="1"/>
      <sz val="9"/>
      <scheme val="minor"/>
    </font>
    <font>
      <name val="Calibri"/>
      <family val="2"/>
      <b val="1"/>
      <color theme="1"/>
      <sz val="9"/>
      <u val="single"/>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Narrow"/>
      <family val="2"/>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sz val="9"/>
    </font>
    <font>
      <name val="Calibri"/>
      <family val="2"/>
      <color theme="10"/>
      <sz val="11"/>
      <u val="single"/>
      <scheme val="minor"/>
    </font>
    <font>
      <name val="Calibri"/>
      <family val="2"/>
      <sz val="8"/>
      <scheme val="minor"/>
    </font>
    <font>
      <name val="Arial"/>
      <family val="2"/>
      <color rgb="FFFF0000"/>
      <sz val="9"/>
    </font>
    <font>
      <name val="Arial"/>
      <family val="2"/>
      <color rgb="FF000000"/>
      <sz val="9"/>
    </font>
    <font>
      <name val="Calibri"/>
      <charset val="1"/>
      <family val="2"/>
      <sz val="10"/>
    </font>
    <font>
      <name val="Calibri"/>
      <charset val="1"/>
      <family val="2"/>
      <sz val="14"/>
    </font>
    <font>
      <name val="Calibri"/>
      <charset val="1"/>
      <family val="2"/>
      <b val="1"/>
      <sz val="16"/>
    </font>
    <font>
      <name val="Calibri"/>
      <charset val="1"/>
      <family val="2"/>
      <b val="1"/>
      <sz val="14"/>
    </font>
    <font>
      <name val="Calibri"/>
      <charset val="1"/>
      <family val="2"/>
      <b val="1"/>
      <sz val="16"/>
      <u val="single"/>
    </font>
    <font>
      <name val="Calibri"/>
      <charset val="1"/>
      <family val="2"/>
      <sz val="8"/>
    </font>
    <font>
      <name val="Calibri"/>
      <charset val="1"/>
      <family val="2"/>
      <sz val="11"/>
    </font>
    <font>
      <name val="Calibri"/>
      <charset val="1"/>
      <family val="2"/>
      <b val="1"/>
      <sz val="10"/>
    </font>
    <font>
      <name val="Calibri"/>
      <charset val="1"/>
      <family val="2"/>
      <b val="1"/>
      <color theme="4" tint="0.5998718222602009"/>
      <sz val="10"/>
    </font>
    <font>
      <name val="Calibri"/>
      <charset val="1"/>
      <family val="2"/>
      <b val="1"/>
      <color theme="4" tint="0.5998718222602009"/>
      <sz val="14"/>
    </font>
    <font>
      <name val="Calibri"/>
      <charset val="1"/>
      <family val="2"/>
      <b val="1"/>
      <sz val="9"/>
    </font>
    <font>
      <name val="Arial"/>
      <charset val="1"/>
      <family val="2"/>
      <b val="1"/>
      <color theme="4" tint="0.5998718222602009"/>
      <sz val="12"/>
    </font>
    <font>
      <name val="Arial"/>
      <charset val="1"/>
      <family val="2"/>
      <b val="1"/>
      <sz val="12"/>
    </font>
    <font>
      <name val="Calibri"/>
      <charset val="1"/>
      <family val="2"/>
      <sz val="9"/>
    </font>
    <font>
      <name val="Calibri"/>
      <charset val="1"/>
      <family val="2"/>
      <b val="1"/>
      <sz val="9.5"/>
    </font>
    <font>
      <name val="Calibri"/>
      <charset val="1"/>
      <family val="2"/>
      <b val="1"/>
      <color rgb="FF000000"/>
      <sz val="10"/>
    </font>
    <font>
      <name val="Calibri"/>
      <charset val="1"/>
      <family val="2"/>
      <color rgb="FF000000"/>
      <sz val="10"/>
    </font>
    <font>
      <name val="Arial"/>
      <b val="1"/>
      <sz val="14"/>
    </font>
    <font>
      <name val="Arial"/>
      <i val="1"/>
      <sz val="10"/>
    </font>
    <font>
      <name val="Arial"/>
      <b val="1"/>
      <sz val="11"/>
    </font>
    <font>
      <name val="Arial"/>
      <sz val="10"/>
    </font>
    <font>
      <name val="Arial"/>
      <color rgb="000563C1"/>
      <sz val="10"/>
      <u val="single"/>
    </font>
  </fonts>
  <fills count="24">
    <fill>
      <patternFill/>
    </fill>
    <fill>
      <patternFill patternType="gray125"/>
    </fill>
    <fill>
      <patternFill patternType="solid">
        <fgColor rgb="FFD8D8D8"/>
        <bgColor rgb="FFD8D8D8"/>
      </patternFill>
    </fill>
    <fill>
      <patternFill patternType="solid">
        <fgColor rgb="FFFFFF99"/>
        <bgColor rgb="FFFFFF99"/>
      </patternFill>
    </fill>
    <fill>
      <patternFill patternType="solid">
        <fgColor rgb="FF757070"/>
        <bgColor rgb="FF757070"/>
      </patternFill>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0"/>
        <bgColor indexed="64"/>
      </patternFill>
    </fill>
    <fill>
      <patternFill patternType="solid">
        <fgColor theme="2" tint="-0.1499984740745262"/>
        <bgColor indexed="64"/>
      </patternFill>
    </fill>
    <fill>
      <patternFill patternType="solid">
        <fgColor rgb="FFFFFF00"/>
        <bgColor rgb="FFFFD966"/>
      </patternFill>
    </fill>
    <fill>
      <patternFill patternType="solid">
        <fgColor theme="7" tint="0.7998901333658864"/>
        <bgColor rgb="FFFCE4D6"/>
      </patternFill>
    </fill>
    <fill>
      <patternFill patternType="solid">
        <fgColor theme="9" tint="0.3998840296639912"/>
        <bgColor rgb="FFC6E0B4"/>
      </patternFill>
    </fill>
    <fill>
      <patternFill patternType="solid">
        <fgColor theme="8" tint="0.7998901333658864"/>
        <bgColor rgb="FFDDEBF7"/>
      </patternFill>
    </fill>
    <fill>
      <patternFill patternType="solid">
        <fgColor rgb="FFFF9999"/>
        <bgColor rgb="FFF4B183"/>
      </patternFill>
    </fill>
    <fill>
      <patternFill patternType="solid">
        <fgColor theme="7" tint="0.3998840296639912"/>
        <bgColor rgb="FFFFCC99"/>
      </patternFill>
    </fill>
    <fill>
      <patternFill patternType="solid">
        <fgColor theme="5" tint="0.5998718222602009"/>
        <bgColor rgb="FFFFCC99"/>
      </patternFill>
    </fill>
    <fill>
      <patternFill patternType="solid">
        <fgColor rgb="FFCC99FF"/>
        <bgColor rgb="FFBFBFBF"/>
      </patternFill>
    </fill>
    <fill>
      <patternFill patternType="solid">
        <fgColor rgb="FFFFC000"/>
        <bgColor indexed="64"/>
      </patternFill>
    </fill>
    <fill>
      <patternFill patternType="solid">
        <fgColor rgb="00FFFF00"/>
      </patternFill>
    </fill>
  </fills>
  <borders count="10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ck">
        <color rgb="FF000000"/>
      </bottom>
      <diagonal/>
    </border>
    <border>
      <left/>
      <right style="thick">
        <color rgb="FF000000"/>
      </right>
      <top/>
      <bottom/>
      <diagonal/>
    </border>
    <border>
      <left style="thick">
        <color rgb="FF000000"/>
      </left>
      <right/>
      <top style="thick">
        <color rgb="FF000000"/>
      </top>
      <bottom/>
      <diagonal/>
    </border>
    <border>
      <left/>
      <right/>
      <top style="thick">
        <color rgb="FF000000"/>
      </top>
      <bottom/>
      <diagonal/>
    </border>
    <border>
      <left/>
      <right/>
      <top/>
      <bottom/>
      <diagonal/>
    </border>
    <border>
      <left/>
      <right style="thick">
        <color rgb="FF000000"/>
      </right>
      <top/>
      <bottom/>
      <diagonal/>
    </border>
    <border>
      <left/>
      <right style="thick">
        <color rgb="FF000000"/>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style="thick">
        <color rgb="FF000000"/>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diagonal/>
    </border>
    <border>
      <left/>
      <right/>
      <top/>
      <bottom/>
      <diagonal/>
    </border>
    <border>
      <left style="thick">
        <color rgb="FF000000"/>
      </left>
      <right/>
      <top/>
      <bottom style="thick">
        <color rgb="FF000000"/>
      </bottom>
      <diagonal/>
    </border>
    <border>
      <left style="thick">
        <color rgb="FF000000"/>
      </left>
      <right/>
      <top style="thick">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indexed="64"/>
      </left>
      <right/>
      <top/>
      <bottom style="thin">
        <color indexed="64"/>
      </bottom>
      <diagonal/>
    </border>
    <border>
      <left style="thick">
        <color rgb="FF000000"/>
      </left>
      <right style="thick">
        <color rgb="FF000000"/>
      </right>
      <top style="thick">
        <color rgb="FF000000"/>
      </top>
      <bottom style="thick">
        <color rgb="FF000000"/>
      </bottom>
      <diagonal/>
    </border>
    <border>
      <left style="thick">
        <color rgb="FF000000"/>
      </left>
      <right style="thick">
        <color rgb="FF000000"/>
      </right>
      <top/>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top/>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diagonal/>
    </border>
    <border>
      <left/>
      <right style="thin">
        <color indexed="64"/>
      </right>
      <top/>
      <bottom style="thin">
        <color auto="1"/>
      </bottom>
      <diagonal/>
    </border>
    <border>
      <left style="thin">
        <color indexed="55"/>
      </left>
      <right style="thin">
        <color indexed="55"/>
      </right>
      <top style="double">
        <color auto="1"/>
      </top>
      <bottom style="double">
        <color auto="1"/>
      </bottom>
      <diagonal/>
    </border>
    <border>
      <left style="thin">
        <color indexed="55"/>
      </left>
      <right/>
      <top/>
      <bottom/>
      <diagonal/>
    </border>
    <border>
      <left style="thin">
        <color indexed="55"/>
      </left>
      <right style="thin">
        <color indexed="55"/>
      </right>
      <top/>
      <bottom/>
      <diagonal/>
    </border>
    <border>
      <left style="thick">
        <color auto="1"/>
      </left>
      <right style="thin">
        <color indexed="55"/>
      </right>
      <top style="double">
        <color auto="1"/>
      </top>
      <bottom style="double">
        <color auto="1"/>
      </bottom>
      <diagonal/>
    </border>
    <border>
      <left style="thick">
        <color auto="1"/>
      </left>
      <right/>
      <top/>
      <bottom/>
      <diagonal/>
    </border>
    <border>
      <left style="thick">
        <color auto="1"/>
      </left>
      <right style="thin">
        <color indexed="55"/>
      </right>
      <top/>
      <bottom/>
      <diagonal/>
    </border>
    <border>
      <left style="thin">
        <color auto="1"/>
      </left>
      <right style="thick">
        <color auto="1"/>
      </right>
      <top style="thin">
        <color auto="1"/>
      </top>
      <bottom style="double">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00999999"/>
      </left>
      <right style="thin">
        <color rgb="00999999"/>
      </right>
      <top style="thin">
        <color rgb="00999999"/>
      </top>
      <bottom style="thin">
        <color rgb="00999999"/>
      </bottom>
    </border>
  </borders>
  <cellStyleXfs count="11">
    <xf numFmtId="0" fontId="0" fillId="0" borderId="25"/>
    <xf numFmtId="0" fontId="3" fillId="0" borderId="25"/>
    <xf numFmtId="9" fontId="3" fillId="0" borderId="25"/>
    <xf numFmtId="0" fontId="16" fillId="0" borderId="25"/>
    <xf numFmtId="0" fontId="15" fillId="0" borderId="25"/>
    <xf numFmtId="0" fontId="16" fillId="0" borderId="25"/>
    <xf numFmtId="0" fontId="17" fillId="0" borderId="25"/>
    <xf numFmtId="0" fontId="3" fillId="0" borderId="25"/>
    <xf numFmtId="0" fontId="22" fillId="0" borderId="25"/>
    <xf numFmtId="0" fontId="22" fillId="0" borderId="25"/>
    <xf numFmtId="0" fontId="32" fillId="0" borderId="25"/>
  </cellStyleXfs>
  <cellXfs count="622">
    <xf numFmtId="0" fontId="0" fillId="0" borderId="0" pivotButton="0" quotePrefix="0" xfId="0"/>
    <xf numFmtId="0" fontId="4" fillId="0" borderId="0" applyAlignment="1" pivotButton="0" quotePrefix="0" xfId="0">
      <alignment horizontal="right" vertical="top"/>
    </xf>
    <xf numFmtId="0" fontId="5" fillId="0" borderId="0" pivotButton="0" quotePrefix="0" xfId="0"/>
    <xf numFmtId="0" fontId="5" fillId="0" borderId="0" applyAlignment="1" pivotButton="0" quotePrefix="0" xfId="0">
      <alignment vertical="top" wrapText="1"/>
    </xf>
    <xf numFmtId="0" fontId="5" fillId="0" borderId="0" applyAlignment="1" pivotButton="0" quotePrefix="0" xfId="0">
      <alignment horizontal="right" vertical="top"/>
    </xf>
    <xf numFmtId="0" fontId="4" fillId="2" borderId="1" applyAlignment="1" pivotButton="0" quotePrefix="0" xfId="0">
      <alignment horizontal="center"/>
    </xf>
    <xf numFmtId="164" fontId="4" fillId="3" borderId="1" pivotButton="0" quotePrefix="0" xfId="0"/>
    <xf numFmtId="0" fontId="7" fillId="0" borderId="0" pivotButton="0" quotePrefix="0" xfId="0"/>
    <xf numFmtId="0" fontId="7" fillId="4" borderId="5" applyAlignment="1" pivotButton="0" quotePrefix="0" xfId="0">
      <alignment vertical="center"/>
    </xf>
    <xf numFmtId="0" fontId="7" fillId="4" borderId="6" applyAlignment="1" pivotButton="0" quotePrefix="0" xfId="0">
      <alignment vertical="center"/>
    </xf>
    <xf numFmtId="0" fontId="7" fillId="4" borderId="7" pivotButton="0" quotePrefix="0" xfId="0"/>
    <xf numFmtId="0" fontId="7" fillId="4" borderId="8" applyAlignment="1" pivotButton="0" quotePrefix="0" xfId="0">
      <alignment vertical="center"/>
    </xf>
    <xf numFmtId="0" fontId="7" fillId="0" borderId="11" applyAlignment="1" pivotButton="0" quotePrefix="0" xfId="0">
      <alignment horizontal="center" vertical="center"/>
    </xf>
    <xf numFmtId="0" fontId="7" fillId="0" borderId="12" pivotButton="0" quotePrefix="0" xfId="0"/>
    <xf numFmtId="0" fontId="7" fillId="4" borderId="13" applyAlignment="1" pivotButton="0" quotePrefix="0" xfId="0">
      <alignment vertical="center"/>
    </xf>
    <xf numFmtId="0" fontId="8" fillId="4" borderId="8" applyAlignment="1" pivotButton="0" quotePrefix="0" xfId="0">
      <alignment horizontal="center" vertical="center"/>
    </xf>
    <xf numFmtId="0" fontId="8" fillId="0" borderId="0"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4" borderId="13" applyAlignment="1" pivotButton="0" quotePrefix="0" xfId="0">
      <alignment horizontal="center" vertical="center"/>
    </xf>
    <xf numFmtId="0" fontId="7" fillId="4" borderId="7"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0" fontId="7" fillId="4" borderId="22" applyAlignment="1" pivotButton="0" quotePrefix="0" xfId="0">
      <alignment horizontal="center" vertical="center"/>
    </xf>
    <xf numFmtId="0" fontId="7" fillId="4" borderId="8" applyAlignment="1" pivotButton="0" quotePrefix="0" xfId="0">
      <alignment horizontal="center" vertical="center"/>
    </xf>
    <xf numFmtId="0" fontId="7" fillId="0" borderId="4" applyAlignment="1" pivotButton="0" quotePrefix="0" xfId="0">
      <alignment vertical="center"/>
    </xf>
    <xf numFmtId="0" fontId="7" fillId="4" borderId="7" applyAlignment="1" pivotButton="0" quotePrefix="0" xfId="0">
      <alignment vertical="center"/>
    </xf>
    <xf numFmtId="0" fontId="7" fillId="0" borderId="0" applyAlignment="1" pivotButton="0" quotePrefix="0" xfId="0">
      <alignment vertical="center"/>
    </xf>
    <xf numFmtId="0" fontId="7" fillId="4" borderId="20" applyAlignment="1" pivotButton="0" quotePrefix="0" xfId="0">
      <alignment vertical="center"/>
    </xf>
    <xf numFmtId="0" fontId="7" fillId="4" borderId="21" applyAlignment="1" pivotButton="0" quotePrefix="0" xfId="0">
      <alignment vertical="center"/>
    </xf>
    <xf numFmtId="0" fontId="7" fillId="0" borderId="3" applyAlignment="1" pivotButton="0" quotePrefix="0" xfId="0">
      <alignment vertical="center"/>
    </xf>
    <xf numFmtId="0" fontId="7" fillId="0" borderId="23" applyAlignment="1" pivotButton="0" quotePrefix="0" xfId="0">
      <alignment vertical="center"/>
    </xf>
    <xf numFmtId="0" fontId="7" fillId="4" borderId="9" applyAlignment="1" pivotButton="0" quotePrefix="0" xfId="0">
      <alignment vertical="center"/>
    </xf>
    <xf numFmtId="0" fontId="7" fillId="0" borderId="10" pivotButton="0" quotePrefix="0" xfId="0"/>
    <xf numFmtId="0" fontId="7" fillId="0" borderId="10" applyAlignment="1" pivotButton="0" quotePrefix="0" xfId="0">
      <alignment vertical="center"/>
    </xf>
    <xf numFmtId="0" fontId="7" fillId="0" borderId="26" applyAlignment="1" pivotButton="0" quotePrefix="0" xfId="0">
      <alignment horizontal="center" vertical="center"/>
    </xf>
    <xf numFmtId="0" fontId="7" fillId="0" borderId="3" applyAlignment="1" pivotButton="0" quotePrefix="0" xfId="0">
      <alignment horizontal="center" vertical="center"/>
    </xf>
    <xf numFmtId="0" fontId="7" fillId="0" borderId="23" applyAlignment="1" pivotButton="0" quotePrefix="0" xfId="0">
      <alignment horizontal="center" vertical="center"/>
    </xf>
    <xf numFmtId="0" fontId="7" fillId="4" borderId="22" applyAlignment="1" pivotButton="0" quotePrefix="0" xfId="0">
      <alignment vertical="center"/>
    </xf>
    <xf numFmtId="164" fontId="4" fillId="0" borderId="29" pivotButton="0" quotePrefix="0" xfId="0"/>
    <xf numFmtId="0" fontId="0" fillId="0" borderId="25" pivotButton="0" quotePrefix="0" xfId="0"/>
    <xf numFmtId="0" fontId="5" fillId="0" borderId="0" applyAlignment="1" pivotButton="0" quotePrefix="0" xfId="0">
      <alignment horizontal="left" vertical="top"/>
    </xf>
    <xf numFmtId="0" fontId="4" fillId="2" borderId="2" applyAlignment="1" pivotButton="0" quotePrefix="0" xfId="0">
      <alignment horizontal="center"/>
    </xf>
    <xf numFmtId="164" fontId="4" fillId="3" borderId="28" applyAlignment="1" pivotButton="0" quotePrefix="0" xfId="0">
      <alignment horizontal="right"/>
    </xf>
    <xf numFmtId="0" fontId="10" fillId="0" borderId="31" applyAlignment="1" pivotButton="0" quotePrefix="0" xfId="0">
      <alignment horizontal="left" vertical="top" wrapText="1"/>
    </xf>
    <xf numFmtId="0" fontId="18" fillId="0" borderId="0" pivotButton="0" quotePrefix="0" xfId="0"/>
    <xf numFmtId="0" fontId="19" fillId="0" borderId="0" applyAlignment="1" pivotButton="0" quotePrefix="0" xfId="0">
      <alignment horizontal="left" vertical="top"/>
    </xf>
    <xf numFmtId="0" fontId="18" fillId="0" borderId="25" pivotButton="0" quotePrefix="0" xfId="0"/>
    <xf numFmtId="164" fontId="4" fillId="0" borderId="25" pivotButton="0" quotePrefix="0" xfId="0"/>
    <xf numFmtId="0" fontId="11" fillId="0" borderId="25" applyAlignment="1" pivotButton="0" quotePrefix="0" xfId="7">
      <alignment vertical="top"/>
    </xf>
    <xf numFmtId="0" fontId="11" fillId="0" borderId="25" applyAlignment="1" pivotButton="0" quotePrefix="0" xfId="7">
      <alignment horizontal="center" vertical="top" wrapText="1"/>
    </xf>
    <xf numFmtId="0" fontId="20" fillId="0" borderId="25" applyAlignment="1" pivotButton="0" quotePrefix="0" xfId="7">
      <alignment horizontal="left" vertical="top" wrapText="1"/>
    </xf>
    <xf numFmtId="0" fontId="20" fillId="0" borderId="25" applyAlignment="1" pivotButton="0" quotePrefix="0" xfId="7">
      <alignment horizontal="left" vertical="center" wrapText="1"/>
    </xf>
    <xf numFmtId="14" fontId="20" fillId="0" borderId="25" applyAlignment="1" pivotButton="0" quotePrefix="0" xfId="7">
      <alignment horizontal="center" vertical="center" wrapText="1"/>
    </xf>
    <xf numFmtId="0" fontId="20" fillId="0" borderId="25" applyAlignment="1" pivotButton="0" quotePrefix="0" xfId="7">
      <alignment horizontal="center" vertical="center" wrapText="1"/>
    </xf>
    <xf numFmtId="14" fontId="20" fillId="0" borderId="25" applyAlignment="1" pivotButton="0" quotePrefix="0" xfId="7">
      <alignment horizontal="center" vertical="top" wrapText="1"/>
    </xf>
    <xf numFmtId="0" fontId="20" fillId="0" borderId="25" applyAlignment="1" pivotButton="0" quotePrefix="0" xfId="7">
      <alignment horizontal="center" vertical="top" wrapText="1"/>
    </xf>
    <xf numFmtId="14" fontId="20" fillId="0" borderId="25" applyAlignment="1" pivotButton="0" quotePrefix="0" xfId="7">
      <alignment horizontal="left" vertical="top" wrapText="1"/>
    </xf>
    <xf numFmtId="0" fontId="20" fillId="0" borderId="25" applyAlignment="1" pivotButton="0" quotePrefix="0" xfId="7">
      <alignment horizontal="left" wrapText="1"/>
    </xf>
    <xf numFmtId="0" fontId="20" fillId="0" borderId="25" applyAlignment="1" pivotButton="0" quotePrefix="0" xfId="7">
      <alignment horizontal="center" wrapText="1"/>
    </xf>
    <xf numFmtId="14" fontId="20" fillId="0" borderId="25" applyAlignment="1" pivotButton="0" quotePrefix="0" xfId="7">
      <alignment horizontal="center" wrapText="1"/>
    </xf>
    <xf numFmtId="0" fontId="22" fillId="0" borderId="25" applyProtection="1" pivotButton="0" quotePrefix="0" xfId="8">
      <protection locked="0" hidden="0"/>
    </xf>
    <xf numFmtId="0" fontId="22" fillId="6" borderId="25" applyProtection="1" pivotButton="0" quotePrefix="0" xfId="8">
      <protection locked="0" hidden="0"/>
    </xf>
    <xf numFmtId="164" fontId="22" fillId="0" borderId="25" applyProtection="1" pivotButton="0" quotePrefix="0" xfId="8">
      <protection locked="0" hidden="0"/>
    </xf>
    <xf numFmtId="0" fontId="22" fillId="0" borderId="25" applyAlignment="1" applyProtection="1" pivotButton="0" quotePrefix="0" xfId="8">
      <alignment horizontal="left" wrapText="1"/>
      <protection locked="0" hidden="0"/>
    </xf>
    <xf numFmtId="164" fontId="22" fillId="0" borderId="25" applyAlignment="1" applyProtection="1" pivotButton="0" quotePrefix="0" xfId="8">
      <alignment horizontal="center"/>
      <protection locked="0" hidden="0"/>
    </xf>
    <xf numFmtId="0" fontId="22" fillId="0" borderId="25" applyAlignment="1" applyProtection="1" pivotButton="0" quotePrefix="0" xfId="8">
      <alignment horizontal="center" wrapText="1"/>
      <protection locked="0" hidden="0"/>
    </xf>
    <xf numFmtId="0" fontId="22" fillId="0" borderId="25" applyAlignment="1" applyProtection="1" pivotButton="0" quotePrefix="0" xfId="8">
      <alignment wrapText="1"/>
      <protection locked="0" hidden="0"/>
    </xf>
    <xf numFmtId="0" fontId="22" fillId="0" borderId="25" applyAlignment="1" applyProtection="1" pivotButton="0" quotePrefix="0" xfId="8">
      <alignment horizontal="left" vertical="top" wrapText="1"/>
      <protection locked="0" hidden="0"/>
    </xf>
    <xf numFmtId="164" fontId="22" fillId="7" borderId="25" applyAlignment="1" pivotButton="0" quotePrefix="0" xfId="8">
      <alignment vertical="top"/>
    </xf>
    <xf numFmtId="0" fontId="23" fillId="7" borderId="25" applyAlignment="1" pivotButton="0" quotePrefix="0" xfId="8">
      <alignment horizontal="center" vertical="top"/>
    </xf>
    <xf numFmtId="164" fontId="23" fillId="7" borderId="25" applyAlignment="1" pivotButton="0" quotePrefix="0" xfId="8">
      <alignment horizontal="left" vertical="top"/>
    </xf>
    <xf numFmtId="0" fontId="22" fillId="7" borderId="25" applyAlignment="1" pivotButton="0" quotePrefix="0" xfId="8">
      <alignment horizontal="center" vertical="top" wrapText="1"/>
    </xf>
    <xf numFmtId="0" fontId="22" fillId="7" borderId="25" applyAlignment="1" pivotButton="0" quotePrefix="0" xfId="8">
      <alignment vertical="top" wrapText="1"/>
    </xf>
    <xf numFmtId="0"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vertical="top"/>
      <protection locked="0" hidden="0"/>
    </xf>
    <xf numFmtId="0" fontId="22" fillId="8" borderId="25" applyAlignment="1" applyProtection="1" pivotButton="0" quotePrefix="0" xfId="8">
      <alignment horizontal="right"/>
      <protection locked="0" hidden="0"/>
    </xf>
    <xf numFmtId="164" fontId="22" fillId="7" borderId="37" applyAlignment="1" pivotButton="0" quotePrefix="0" xfId="8">
      <alignment vertical="top"/>
    </xf>
    <xf numFmtId="0" fontId="23" fillId="7" borderId="37" applyAlignment="1" pivotButton="0" quotePrefix="0" xfId="8">
      <alignment horizontal="center" vertical="top"/>
    </xf>
    <xf numFmtId="164" fontId="23" fillId="7" borderId="37" applyAlignment="1" pivotButton="0" quotePrefix="0" xfId="8">
      <alignment horizontal="left" vertical="top"/>
    </xf>
    <xf numFmtId="0" fontId="22" fillId="7" borderId="37" applyAlignment="1" pivotButton="0" quotePrefix="0" xfId="8">
      <alignment horizontal="center" vertical="top" wrapText="1"/>
    </xf>
    <xf numFmtId="0" fontId="22" fillId="7" borderId="37" applyAlignment="1" pivotButton="0" quotePrefix="0" xfId="8">
      <alignment vertical="top" wrapText="1"/>
    </xf>
    <xf numFmtId="166" fontId="22" fillId="0" borderId="38" applyAlignment="1" applyProtection="1" pivotButton="0" quotePrefix="0" xfId="8">
      <alignment horizontal="center" vertical="top"/>
      <protection locked="0" hidden="0"/>
    </xf>
    <xf numFmtId="164" fontId="22" fillId="9" borderId="39" applyAlignment="1" pivotButton="0" quotePrefix="0" xfId="8">
      <alignment horizontal="right" vertical="top"/>
    </xf>
    <xf numFmtId="0" fontId="22" fillId="0" borderId="34" applyAlignment="1" applyProtection="1" pivotButton="0" quotePrefix="0" xfId="8">
      <alignment horizontal="center" vertical="top" wrapText="1"/>
      <protection locked="0" hidden="0"/>
    </xf>
    <xf numFmtId="0" fontId="22" fillId="0" borderId="34" applyAlignment="1" applyProtection="1" pivotButton="0" quotePrefix="0" xfId="8">
      <alignment horizontal="left" vertical="top" wrapText="1"/>
      <protection locked="0" hidden="0"/>
    </xf>
    <xf numFmtId="0" fontId="20" fillId="0" borderId="34" applyAlignment="1" applyProtection="1" pivotButton="0" quotePrefix="0" xfId="8">
      <alignment horizontal="center" vertical="top" wrapText="1"/>
      <protection locked="0" hidden="0"/>
    </xf>
    <xf numFmtId="0" fontId="22" fillId="6" borderId="32" applyAlignment="1" applyProtection="1" pivotButton="0" quotePrefix="0" xfId="8">
      <alignment horizontal="right"/>
      <protection locked="0" hidden="0"/>
    </xf>
    <xf numFmtId="165" fontId="22" fillId="6" borderId="40" applyAlignment="1" pivotButton="0" quotePrefix="0" xfId="8">
      <alignment horizontal="right" vertical="top"/>
    </xf>
    <xf numFmtId="165" fontId="24" fillId="6" borderId="40" applyAlignment="1" pivotButton="0" quotePrefix="0" xfId="8">
      <alignment horizontal="right" vertical="top"/>
    </xf>
    <xf numFmtId="165" fontId="22" fillId="6" borderId="41" applyAlignment="1" pivotButton="0" quotePrefix="0" xfId="8">
      <alignment horizontal="right" vertical="top"/>
    </xf>
    <xf numFmtId="166" fontId="22" fillId="6" borderId="42" applyAlignment="1" pivotButton="0" quotePrefix="0" xfId="8">
      <alignment vertical="top"/>
    </xf>
    <xf numFmtId="164" fontId="22" fillId="6" borderId="43" applyAlignment="1" pivotButton="0" quotePrefix="0" xfId="8">
      <alignment horizontal="right" vertical="top"/>
    </xf>
    <xf numFmtId="49" fontId="22" fillId="6" borderId="44" applyAlignment="1" pivotButton="0" quotePrefix="0" xfId="8">
      <alignment horizontal="left" vertical="top" wrapText="1"/>
    </xf>
    <xf numFmtId="0" fontId="22" fillId="6" borderId="45" applyAlignment="1" pivotButton="0" quotePrefix="0" xfId="8">
      <alignment horizontal="center" vertical="top" wrapText="1"/>
    </xf>
    <xf numFmtId="0" fontId="22" fillId="6" borderId="36" applyAlignment="1" pivotButton="0" quotePrefix="0" xfId="8">
      <alignment vertical="top" wrapText="1"/>
    </xf>
    <xf numFmtId="164" fontId="26" fillId="9" borderId="49" applyAlignment="1" pivotButton="0" quotePrefix="0" xfId="8">
      <alignment horizontal="right" vertical="center"/>
    </xf>
    <xf numFmtId="0" fontId="26" fillId="9" borderId="49" applyAlignment="1" pivotButton="0" quotePrefix="0" xfId="8">
      <alignment horizontal="center" vertical="center" wrapText="1"/>
    </xf>
    <xf numFmtId="164" fontId="26" fillId="9" borderId="50" applyAlignment="1" pivotButton="0" quotePrefix="0" xfId="8">
      <alignment horizontal="right" vertical="center"/>
    </xf>
    <xf numFmtId="0" fontId="26" fillId="9" borderId="52" applyAlignment="1" pivotButton="0" quotePrefix="0" xfId="8">
      <alignment horizontal="center" vertical="center" wrapText="1"/>
    </xf>
    <xf numFmtId="0" fontId="22" fillId="9" borderId="53" applyAlignment="1" applyProtection="1" pivotButton="0" quotePrefix="0" xfId="8">
      <alignment horizontal="right"/>
      <protection locked="0" hidden="0"/>
    </xf>
    <xf numFmtId="0" fontId="22" fillId="6" borderId="34" applyAlignment="1" pivotButton="0" quotePrefix="0" xfId="8">
      <alignment vertical="top" wrapText="1"/>
    </xf>
    <xf numFmtId="0" fontId="22" fillId="10" borderId="25" applyAlignment="1" applyProtection="1" pivotButton="0" quotePrefix="0" xfId="8">
      <alignment horizontal="right"/>
      <protection locked="0" hidden="0"/>
    </xf>
    <xf numFmtId="14" fontId="23" fillId="6" borderId="58" applyAlignment="1" pivotButton="0" quotePrefix="0" xfId="8">
      <alignment horizontal="center" vertical="top"/>
    </xf>
    <xf numFmtId="14" fontId="22" fillId="10" borderId="25" applyAlignment="1" applyProtection="1" pivotButton="0" quotePrefix="0" xfId="8">
      <alignment horizontal="center" vertical="top"/>
      <protection locked="0" hidden="0"/>
    </xf>
    <xf numFmtId="14" fontId="22" fillId="0" borderId="25" applyAlignment="1" applyProtection="1" pivotButton="0" quotePrefix="0" xfId="8">
      <alignment horizontal="center" vertical="top"/>
      <protection locked="0" hidden="0"/>
    </xf>
    <xf numFmtId="49" fontId="22" fillId="0" borderId="25" applyAlignment="1" applyProtection="1" pivotButton="0" quotePrefix="0" xfId="8">
      <alignment horizontal="center" vertical="top"/>
      <protection locked="0" hidden="0"/>
    </xf>
    <xf numFmtId="14" fontId="22" fillId="11" borderId="25" applyAlignment="1" applyProtection="1" pivotButton="0" quotePrefix="0" xfId="8">
      <alignment horizontal="center" vertical="top"/>
      <protection locked="0" hidden="0"/>
    </xf>
    <xf numFmtId="165" fontId="26" fillId="6" borderId="43" applyAlignment="1" applyProtection="1" pivotButton="0" quotePrefix="0" xfId="8">
      <alignment horizontal="left"/>
      <protection locked="0" hidden="0"/>
    </xf>
    <xf numFmtId="49" fontId="22" fillId="10" borderId="25" applyAlignment="1" applyProtection="1" pivotButton="0" quotePrefix="0" xfId="8">
      <alignment horizontal="center" vertical="top"/>
      <protection locked="0" hidden="0"/>
    </xf>
    <xf numFmtId="49" fontId="22" fillId="11" borderId="25" applyAlignment="1" applyProtection="1" pivotButton="0" quotePrefix="0" xfId="8">
      <alignment horizontal="center" vertical="top"/>
      <protection locked="0" hidden="0"/>
    </xf>
    <xf numFmtId="14" fontId="23" fillId="6" borderId="67" applyAlignment="1" pivotButton="0" quotePrefix="0" xfId="8">
      <alignment horizontal="center" vertical="top"/>
    </xf>
    <xf numFmtId="165" fontId="26" fillId="6" borderId="31" applyAlignment="1" applyProtection="1" pivotButton="0" quotePrefix="0" xfId="8">
      <alignment horizontal="left"/>
      <protection locked="0" hidden="0"/>
    </xf>
    <xf numFmtId="0" fontId="20" fillId="0" borderId="25" applyAlignment="1" applyProtection="1" pivotButton="0" quotePrefix="0" xfId="8">
      <alignment horizontal="left" vertical="top" wrapText="1"/>
      <protection locked="0" hidden="0"/>
    </xf>
    <xf numFmtId="0" fontId="2" fillId="0" borderId="25" pivotButton="0" quotePrefix="0" xfId="7"/>
    <xf numFmtId="17" fontId="2" fillId="0" borderId="25" applyAlignment="1" pivotButton="0" quotePrefix="0" xfId="7">
      <alignment horizontal="left" vertical="top"/>
    </xf>
    <xf numFmtId="14" fontId="13" fillId="0" borderId="25" applyAlignment="1" pivotButton="0" quotePrefix="0" xfId="7">
      <alignment horizontal="left" vertical="top"/>
    </xf>
    <xf numFmtId="49" fontId="13" fillId="0" borderId="25" applyAlignment="1" pivotButton="0" quotePrefix="0" xfId="7">
      <alignment horizontal="left" vertical="top"/>
    </xf>
    <xf numFmtId="14" fontId="13" fillId="0" borderId="25" applyAlignment="1" pivotButton="0" quotePrefix="0" xfId="7">
      <alignment horizontal="left" vertical="top" wrapText="1"/>
    </xf>
    <xf numFmtId="0" fontId="13" fillId="0" borderId="25" applyAlignment="1" pivotButton="0" quotePrefix="0" xfId="7">
      <alignment horizontal="left" vertical="top"/>
    </xf>
    <xf numFmtId="0" fontId="13" fillId="0" borderId="25" applyAlignment="1" pivotButton="0" quotePrefix="0" xfId="7">
      <alignment horizontal="left" vertical="top" wrapText="1"/>
    </xf>
    <xf numFmtId="0" fontId="2" fillId="0" borderId="25" applyAlignment="1" pivotButton="0" quotePrefix="0" xfId="7">
      <alignment horizontal="left" vertical="top"/>
    </xf>
    <xf numFmtId="14" fontId="2" fillId="0" borderId="25" applyAlignment="1" pivotButton="0" quotePrefix="0" xfId="7">
      <alignment horizontal="left" vertical="top" wrapText="1"/>
    </xf>
    <xf numFmtId="0" fontId="2" fillId="0" borderId="25" applyAlignment="1" pivotButton="0" quotePrefix="0" xfId="7">
      <alignment horizontal="left"/>
    </xf>
    <xf numFmtId="0" fontId="12" fillId="0" borderId="25" applyAlignment="1" pivotButton="0" quotePrefix="0" xfId="7">
      <alignment horizontal="left"/>
    </xf>
    <xf numFmtId="165" fontId="11" fillId="0" borderId="25" applyAlignment="1" pivotButton="0" quotePrefix="0" xfId="7">
      <alignment horizontal="center" vertical="top" wrapText="1"/>
    </xf>
    <xf numFmtId="0" fontId="31" fillId="0" borderId="34" applyAlignment="1" applyProtection="1" pivotButton="0" quotePrefix="0" xfId="8">
      <alignment horizontal="center" vertical="top" wrapText="1"/>
      <protection locked="0" hidden="0"/>
    </xf>
    <xf numFmtId="165" fontId="22" fillId="0" borderId="57" applyAlignment="1" applyProtection="1" pivotButton="0" quotePrefix="0" xfId="8">
      <alignment horizontal="right"/>
      <protection locked="0" hidden="0"/>
    </xf>
    <xf numFmtId="0" fontId="22" fillId="0" borderId="25" applyAlignment="1" applyProtection="1" pivotButton="0" quotePrefix="0" xfId="8">
      <alignment horizontal="center"/>
      <protection locked="0" hidden="0"/>
    </xf>
    <xf numFmtId="164" fontId="20" fillId="12" borderId="43" applyAlignment="1" pivotButton="0" quotePrefix="0" xfId="8">
      <alignment horizontal="right" vertical="top"/>
    </xf>
    <xf numFmtId="0" fontId="10" fillId="0" borderId="43" applyAlignment="1" pivotButton="0" quotePrefix="0" xfId="0">
      <alignment horizontal="center" vertical="top" wrapText="1"/>
    </xf>
    <xf numFmtId="0" fontId="1" fillId="0" borderId="25" applyAlignment="1" pivotButton="0" quotePrefix="0" xfId="7">
      <alignment horizontal="left"/>
    </xf>
    <xf numFmtId="14" fontId="13" fillId="0" borderId="25" applyAlignment="1" pivotButton="0" quotePrefix="0" xfId="7">
      <alignment horizontal="center" vertical="top"/>
    </xf>
    <xf numFmtId="0" fontId="2" fillId="0" borderId="25" applyAlignment="1" pivotButton="0" quotePrefix="0" xfId="7">
      <alignment horizontal="center"/>
    </xf>
    <xf numFmtId="0" fontId="12" fillId="0" borderId="25" applyAlignment="1" pivotButton="0" quotePrefix="0" xfId="7">
      <alignment horizontal="center"/>
    </xf>
    <xf numFmtId="0" fontId="13" fillId="0" borderId="25" applyAlignment="1" pivotButton="0" quotePrefix="0" xfId="7">
      <alignment horizontal="center" vertical="top"/>
    </xf>
    <xf numFmtId="164" fontId="22" fillId="9" borderId="69" applyAlignment="1" pivotButton="0" quotePrefix="0" xfId="8">
      <alignment horizontal="right" vertical="top"/>
    </xf>
    <xf numFmtId="165" fontId="20" fillId="0" borderId="25" applyAlignment="1" applyProtection="1" pivotButton="0" quotePrefix="0" xfId="8">
      <alignment horizontal="left" vertical="top"/>
      <protection locked="0" hidden="0"/>
    </xf>
    <xf numFmtId="0" fontId="20" fillId="0" borderId="25" applyAlignment="1" applyProtection="1" pivotButton="0" quotePrefix="0" xfId="8">
      <alignment horizontal="left" vertical="center" wrapText="1"/>
      <protection locked="0" hidden="0"/>
    </xf>
    <xf numFmtId="165" fontId="20" fillId="0" borderId="25" applyAlignment="1" applyProtection="1" pivotButton="0" quotePrefix="0" xfId="8">
      <alignment horizontal="left" vertical="top" wrapText="1"/>
      <protection locked="0" hidden="0"/>
    </xf>
    <xf numFmtId="0" fontId="20" fillId="0" borderId="70" applyAlignment="1" pivotButton="0" quotePrefix="0" xfId="7">
      <alignment horizontal="left" vertical="top" wrapText="1"/>
    </xf>
    <xf numFmtId="164" fontId="10" fillId="0" borderId="43" applyAlignment="1" pivotButton="0" quotePrefix="0" xfId="0">
      <alignment horizontal="right" vertical="top" wrapText="1"/>
    </xf>
    <xf numFmtId="0" fontId="18" fillId="0" borderId="0" applyAlignment="1" pivotButton="0" quotePrefix="0" xfId="0">
      <alignment vertical="top"/>
    </xf>
    <xf numFmtId="0" fontId="4" fillId="2" borderId="2" applyAlignment="1" pivotButton="0" quotePrefix="0" xfId="0">
      <alignment horizontal="center" vertical="top"/>
    </xf>
    <xf numFmtId="0" fontId="4" fillId="3" borderId="28" applyAlignment="1" pivotButton="0" quotePrefix="0" xfId="0">
      <alignment horizontal="right" vertical="top"/>
    </xf>
    <xf numFmtId="0" fontId="4" fillId="3" borderId="1" applyAlignment="1" pivotButton="0" quotePrefix="0" xfId="0">
      <alignment horizontal="right" vertical="top"/>
    </xf>
    <xf numFmtId="0" fontId="4" fillId="0" borderId="29" applyAlignment="1" pivotButton="0" quotePrefix="0" xfId="0">
      <alignment horizontal="right" vertical="top"/>
    </xf>
    <xf numFmtId="0" fontId="4" fillId="0" borderId="25" applyAlignment="1" pivotButton="0" quotePrefix="0" xfId="0">
      <alignment horizontal="right" vertical="top"/>
    </xf>
    <xf numFmtId="0" fontId="20" fillId="0" borderId="43" applyAlignment="1" pivotButton="0" quotePrefix="0" xfId="7">
      <alignment horizontal="left" vertical="top" wrapText="1"/>
    </xf>
    <xf numFmtId="0" fontId="20" fillId="0" borderId="70" applyAlignment="1" pivotButton="0" quotePrefix="0" xfId="0">
      <alignment horizontal="left" vertical="top" wrapText="1"/>
    </xf>
    <xf numFmtId="165" fontId="4" fillId="3" borderId="28" applyAlignment="1" pivotButton="0" quotePrefix="0" xfId="0">
      <alignment horizontal="right"/>
    </xf>
    <xf numFmtId="14" fontId="20" fillId="0" borderId="70" applyAlignment="1" pivotButton="0" quotePrefix="0" xfId="7">
      <alignment horizontal="left" vertical="top" wrapText="1"/>
    </xf>
    <xf numFmtId="164" fontId="22" fillId="9" borderId="71" applyAlignment="1" pivotButton="0" quotePrefix="0" xfId="8">
      <alignment horizontal="right" vertical="top"/>
    </xf>
    <xf numFmtId="164" fontId="22" fillId="9" borderId="72" applyAlignment="1" pivotButton="0" quotePrefix="0" xfId="8">
      <alignment horizontal="right" vertical="top"/>
    </xf>
    <xf numFmtId="49" fontId="22" fillId="6" borderId="73" applyAlignment="1" pivotButton="0" quotePrefix="0" xfId="8">
      <alignment horizontal="left" vertical="top" wrapText="1"/>
    </xf>
    <xf numFmtId="0" fontId="20" fillId="0" borderId="25" applyAlignment="1" pivotButton="0" quotePrefix="0" xfId="0">
      <alignment horizontal="left" vertical="top" wrapText="1"/>
    </xf>
    <xf numFmtId="0" fontId="4" fillId="0" borderId="0" applyAlignment="1" pivotButton="0" quotePrefix="0" xfId="0">
      <alignment horizontal="left" vertical="top"/>
    </xf>
    <xf numFmtId="0" fontId="21" fillId="6" borderId="43" applyAlignment="1" pivotButton="0" quotePrefix="0" xfId="7">
      <alignment horizontal="center" vertical="center" wrapText="1"/>
    </xf>
    <xf numFmtId="14" fontId="21" fillId="6" borderId="43" applyAlignment="1" pivotButton="0" quotePrefix="0" xfId="7">
      <alignment horizontal="center" vertical="center" wrapText="1"/>
    </xf>
    <xf numFmtId="0" fontId="21" fillId="6" borderId="43" applyAlignment="1" pivotButton="0" quotePrefix="0" xfId="7">
      <alignment horizontal="left" vertical="center" wrapText="1"/>
    </xf>
    <xf numFmtId="167" fontId="21" fillId="6" borderId="43" applyAlignment="1" pivotButton="0" quotePrefix="0" xfId="7">
      <alignment horizontal="left" vertical="center" wrapText="1"/>
    </xf>
    <xf numFmtId="0" fontId="21" fillId="13" borderId="43" applyAlignment="1" pivotButton="0" quotePrefix="0" xfId="7">
      <alignment horizontal="center" vertical="center" wrapText="1"/>
    </xf>
    <xf numFmtId="0" fontId="11" fillId="6" borderId="43" applyAlignment="1" pivotButton="0" quotePrefix="0" xfId="7">
      <alignment horizontal="center" vertical="center"/>
    </xf>
    <xf numFmtId="0" fontId="11" fillId="6" borderId="43" applyAlignment="1" pivotButton="0" quotePrefix="0" xfId="7">
      <alignment horizontal="center" vertical="center" wrapText="1"/>
    </xf>
    <xf numFmtId="165" fontId="11" fillId="5" borderId="43" applyAlignment="1" pivotButton="0" quotePrefix="0" xfId="7">
      <alignment horizontal="center" vertical="center" wrapText="1"/>
    </xf>
    <xf numFmtId="0" fontId="11" fillId="5" borderId="43" applyAlignment="1" pivotButton="0" quotePrefix="0" xfId="7">
      <alignment horizontal="center" vertical="center" wrapText="1"/>
    </xf>
    <xf numFmtId="0" fontId="11" fillId="5" borderId="30" applyAlignment="1" pivotButton="0" quotePrefix="0" xfId="7">
      <alignment horizontal="center" vertical="center" wrapText="1"/>
    </xf>
    <xf numFmtId="0" fontId="11" fillId="0" borderId="25" applyAlignment="1" pivotButton="0" quotePrefix="0" xfId="7">
      <alignment horizontal="center" vertical="center"/>
    </xf>
    <xf numFmtId="0" fontId="22" fillId="0" borderId="25" applyAlignment="1" applyProtection="1" pivotButton="0" quotePrefix="0" xfId="8">
      <alignment horizontal="center" vertical="center"/>
      <protection locked="0" hidden="0"/>
    </xf>
    <xf numFmtId="49" fontId="22" fillId="0" borderId="25" applyAlignment="1" applyProtection="1" pivotButton="0" quotePrefix="0" xfId="8">
      <alignment horizontal="center" vertical="center"/>
      <protection locked="0" hidden="0"/>
    </xf>
    <xf numFmtId="14" fontId="22" fillId="0" borderId="25" applyAlignment="1" applyProtection="1" pivotButton="0" quotePrefix="0" xfId="8">
      <alignment horizontal="center" vertical="center"/>
      <protection locked="0" hidden="0"/>
    </xf>
    <xf numFmtId="14" fontId="23" fillId="6" borderId="67" applyAlignment="1" pivotButton="0" quotePrefix="0" xfId="8">
      <alignment horizontal="center" vertical="center"/>
    </xf>
    <xf numFmtId="165" fontId="22" fillId="6" borderId="40"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25" applyAlignment="1" pivotButton="0" quotePrefix="0" xfId="8">
      <alignment horizontal="center" vertical="center"/>
    </xf>
    <xf numFmtId="0" fontId="22" fillId="8" borderId="25" applyAlignment="1" applyProtection="1" pivotButton="0" quotePrefix="0" xfId="8">
      <alignment horizontal="center" vertical="center"/>
      <protection locked="0" hidden="0"/>
    </xf>
    <xf numFmtId="0" fontId="34" fillId="0" borderId="25" applyAlignment="1" pivotButton="0" quotePrefix="0" xfId="7">
      <alignment horizontal="left" vertical="center" wrapText="1"/>
    </xf>
    <xf numFmtId="0" fontId="34" fillId="0" borderId="25" applyAlignment="1" pivotButton="0" quotePrefix="0" xfId="7">
      <alignment horizontal="left" vertical="top" wrapText="1"/>
    </xf>
    <xf numFmtId="165" fontId="24" fillId="6" borderId="40" applyAlignment="1" pivotButton="0" quotePrefix="0" xfId="8">
      <alignment horizontal="center" vertical="center"/>
    </xf>
    <xf numFmtId="0" fontId="34" fillId="0" borderId="25" applyAlignment="1" pivotButton="0" quotePrefix="0" xfId="7">
      <alignment horizontal="center" vertical="center" wrapText="1"/>
    </xf>
    <xf numFmtId="0" fontId="22" fillId="0" borderId="25" applyAlignment="1" pivotButton="0" quotePrefix="0" xfId="7">
      <alignment horizontal="center" vertical="center" wrapText="1"/>
    </xf>
    <xf numFmtId="14" fontId="22" fillId="0" borderId="25" applyAlignment="1" pivotButton="0" quotePrefix="0" xfId="7">
      <alignment horizontal="center" vertical="center" wrapText="1"/>
    </xf>
    <xf numFmtId="165" fontId="34" fillId="0" borderId="25" applyAlignment="1" applyProtection="1" pivotButton="0" quotePrefix="0" xfId="8">
      <alignment horizontal="left" vertical="top"/>
      <protection locked="0" hidden="0"/>
    </xf>
    <xf numFmtId="165" fontId="22" fillId="0" borderId="25" applyAlignment="1" pivotButton="0" quotePrefix="0" xfId="8">
      <alignment horizontal="right" vertical="top"/>
    </xf>
    <xf numFmtId="0" fontId="34" fillId="0" borderId="25" applyAlignment="1" pivotButton="0" quotePrefix="0" xfId="0">
      <alignment horizontal="left" vertical="top" wrapText="1"/>
    </xf>
    <xf numFmtId="0" fontId="10" fillId="0" borderId="70" applyAlignment="1" pivotButton="0" quotePrefix="0" xfId="0">
      <alignment horizontal="center" vertical="top" wrapText="1"/>
    </xf>
    <xf numFmtId="168" fontId="10" fillId="0" borderId="31" applyAlignment="1" pivotButton="0" quotePrefix="0" xfId="0">
      <alignment horizontal="left" vertical="top" wrapText="1"/>
    </xf>
    <xf numFmtId="16" fontId="20" fillId="0" borderId="34" applyAlignment="1" applyProtection="1" pivotButton="0" quotePrefix="1" xfId="8">
      <alignment horizontal="center" vertical="top" wrapText="1"/>
      <protection locked="0" hidden="0"/>
    </xf>
    <xf numFmtId="164" fontId="10" fillId="0" borderId="43" applyAlignment="1" pivotButton="0" quotePrefix="0" xfId="0">
      <alignment horizontal="center" vertical="top" wrapText="1"/>
    </xf>
    <xf numFmtId="164" fontId="10" fillId="0" borderId="31" applyAlignment="1" pivotButton="0" quotePrefix="0" xfId="0">
      <alignment horizontal="center" vertical="top" wrapText="1"/>
    </xf>
    <xf numFmtId="169" fontId="10" fillId="0" borderId="43" applyAlignment="1" pivotButton="0" quotePrefix="0" xfId="0">
      <alignment horizontal="center" vertical="top" wrapText="1"/>
    </xf>
    <xf numFmtId="0" fontId="10" fillId="0" borderId="0" applyAlignment="1" pivotButton="0" quotePrefix="0" xfId="0">
      <alignment horizontal="center" vertical="center"/>
    </xf>
    <xf numFmtId="164" fontId="10" fillId="0" borderId="70" applyAlignment="1" pivotButton="0" quotePrefix="0" xfId="0">
      <alignment horizontal="center" vertical="top" wrapText="1"/>
    </xf>
    <xf numFmtId="164" fontId="20" fillId="12" borderId="70" applyAlignment="1" pivotButton="0" quotePrefix="0" xfId="8">
      <alignment horizontal="right" vertical="top"/>
    </xf>
    <xf numFmtId="16" fontId="10" fillId="0" borderId="43" applyAlignment="1" pivotButton="0" quotePrefix="1" xfId="0">
      <alignment horizontal="center" vertical="top" wrapText="1"/>
    </xf>
    <xf numFmtId="164" fontId="10" fillId="0" borderId="43" applyAlignment="1" pivotButton="0" quotePrefix="0" xfId="0">
      <alignment horizontal="left" vertical="top" wrapText="1"/>
    </xf>
    <xf numFmtId="0" fontId="10" fillId="0" borderId="43" applyAlignment="1" pivotButton="0" quotePrefix="0" xfId="0">
      <alignment horizontal="left" vertical="top" wrapText="1"/>
    </xf>
    <xf numFmtId="164" fontId="20" fillId="12" borderId="70" applyAlignment="1" pivotButton="0" quotePrefix="0" xfId="8">
      <alignment horizontal="right" vertical="top" wrapText="1"/>
    </xf>
    <xf numFmtId="16" fontId="10" fillId="0" borderId="70" applyAlignment="1" pivotButton="0" quotePrefix="1" xfId="0">
      <alignment horizontal="center" vertical="top" wrapText="1"/>
    </xf>
    <xf numFmtId="0" fontId="10" fillId="0" borderId="70" applyAlignment="1" pivotButton="0" quotePrefix="0" xfId="0">
      <alignment horizontal="left" vertical="top" wrapText="1"/>
    </xf>
    <xf numFmtId="0" fontId="10" fillId="0" borderId="25" applyAlignment="1" pivotButton="0" quotePrefix="0" xfId="7">
      <alignment vertical="top"/>
    </xf>
    <xf numFmtId="165" fontId="10" fillId="0" borderId="25" applyAlignment="1" pivotButton="0" quotePrefix="0" xfId="7">
      <alignment vertical="top"/>
    </xf>
    <xf numFmtId="0" fontId="10" fillId="0" borderId="43" applyAlignment="1" pivotButton="0" quotePrefix="0" xfId="0">
      <alignment horizontal="left" vertical="top"/>
    </xf>
    <xf numFmtId="0" fontId="10" fillId="0" borderId="43" applyAlignment="1" pivotButton="0" quotePrefix="0" xfId="0">
      <alignment horizontal="center" vertical="top"/>
    </xf>
    <xf numFmtId="14" fontId="10" fillId="0" borderId="43" applyAlignment="1" pivotButton="0" quotePrefix="0" xfId="0">
      <alignment horizontal="center" vertical="top"/>
    </xf>
    <xf numFmtId="14" fontId="20" fillId="0" borderId="43" applyAlignment="1" pivotButton="0" quotePrefix="0" xfId="0">
      <alignment horizontal="center" vertical="top" wrapText="1"/>
    </xf>
    <xf numFmtId="0" fontId="10" fillId="0" borderId="43" applyAlignment="1" pivotButton="0" quotePrefix="0" xfId="0">
      <alignment vertical="top" wrapText="1"/>
    </xf>
    <xf numFmtId="0" fontId="20" fillId="0" borderId="43" applyAlignment="1" pivotButton="0" quotePrefix="0" xfId="0">
      <alignment horizontal="left" vertical="top" wrapText="1"/>
    </xf>
    <xf numFmtId="0" fontId="20" fillId="0" borderId="43" applyAlignment="1" pivotButton="0" quotePrefix="0" xfId="10">
      <alignment horizontal="left" vertical="top"/>
    </xf>
    <xf numFmtId="0" fontId="20" fillId="0" borderId="43" applyAlignment="1" pivotButton="0" quotePrefix="0" xfId="0">
      <alignment vertical="top" wrapText="1"/>
    </xf>
    <xf numFmtId="0" fontId="20" fillId="0" borderId="43" applyAlignment="1" pivotButton="0" quotePrefix="0" xfId="10">
      <alignment vertical="top"/>
    </xf>
    <xf numFmtId="0" fontId="20" fillId="0" borderId="43" applyAlignment="1" pivotButton="0" quotePrefix="0" xfId="0">
      <alignment horizontal="center" vertical="top"/>
    </xf>
    <xf numFmtId="14" fontId="20" fillId="0" borderId="43" applyAlignment="1" pivotButton="0" quotePrefix="0" xfId="0">
      <alignment horizontal="center" vertical="top"/>
    </xf>
    <xf numFmtId="0" fontId="20" fillId="0" borderId="43" applyAlignment="1" pivotButton="0" quotePrefix="0" xfId="10">
      <alignment vertical="top" wrapText="1"/>
    </xf>
    <xf numFmtId="0" fontId="21" fillId="0" borderId="25" applyAlignment="1" pivotButton="0" quotePrefix="0" xfId="7">
      <alignment horizontal="center" wrapText="1"/>
    </xf>
    <xf numFmtId="0" fontId="20" fillId="0" borderId="25" applyAlignment="1" pivotButton="0" quotePrefix="0" xfId="7">
      <alignment wrapText="1"/>
    </xf>
    <xf numFmtId="0" fontId="20" fillId="0" borderId="25" applyAlignment="1" applyProtection="1" pivotButton="0" quotePrefix="0" xfId="8">
      <alignment horizontal="center"/>
      <protection locked="0" hidden="0"/>
    </xf>
    <xf numFmtId="0" fontId="20" fillId="0" borderId="25" applyAlignment="1" applyProtection="1" pivotButton="0" quotePrefix="0" xfId="8">
      <alignment horizontal="center" vertical="center"/>
      <protection locked="0" hidden="0"/>
    </xf>
    <xf numFmtId="49" fontId="20" fillId="0" borderId="25" applyAlignment="1" applyProtection="1" pivotButton="0" quotePrefix="0" xfId="8">
      <alignment horizontal="center" vertical="top"/>
      <protection locked="0" hidden="0"/>
    </xf>
    <xf numFmtId="49" fontId="20" fillId="0" borderId="25" applyAlignment="1" applyProtection="1" pivotButton="0" quotePrefix="0" xfId="8">
      <alignment horizontal="center" vertical="center"/>
      <protection locked="0" hidden="0"/>
    </xf>
    <xf numFmtId="0" fontId="20" fillId="0" borderId="25" applyAlignment="1" pivotButton="0" quotePrefix="0" xfId="7">
      <alignment vertical="center" wrapText="1"/>
    </xf>
    <xf numFmtId="14" fontId="20" fillId="0" borderId="25" applyAlignment="1" applyProtection="1" pivotButton="0" quotePrefix="0" xfId="8">
      <alignment horizontal="center" vertical="center"/>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0" fontId="20" fillId="0" borderId="34" applyAlignment="1" applyProtection="1" pivotButton="0" quotePrefix="0" xfId="8">
      <alignment horizontal="left" vertical="top" wrapText="1"/>
      <protection locked="0" hidden="0"/>
    </xf>
    <xf numFmtId="166" fontId="20" fillId="0" borderId="38"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0" fontId="10" fillId="0" borderId="43" applyAlignment="1" pivotButton="0" quotePrefix="0" xfId="7">
      <alignment horizontal="center" vertical="center"/>
    </xf>
    <xf numFmtId="0" fontId="10" fillId="0" borderId="43" applyAlignment="1" pivotButton="0" quotePrefix="0" xfId="7">
      <alignment horizontal="center" vertical="center" wrapText="1"/>
    </xf>
    <xf numFmtId="0" fontId="20" fillId="0" borderId="43" applyAlignment="1" pivotButton="0" quotePrefix="0" xfId="7">
      <alignment horizontal="center" vertical="center" wrapText="1"/>
    </xf>
    <xf numFmtId="14" fontId="20" fillId="0" borderId="43" applyAlignment="1" pivotButton="0" quotePrefix="0" xfId="7">
      <alignment horizontal="center" vertical="center" wrapText="1"/>
    </xf>
    <xf numFmtId="14" fontId="10" fillId="0" borderId="43" applyAlignment="1" pivotButton="0" quotePrefix="0" xfId="7">
      <alignment horizontal="center" vertical="center" wrapText="1"/>
    </xf>
    <xf numFmtId="165" fontId="10" fillId="0" borderId="43" applyAlignment="1" pivotButton="0" quotePrefix="0" xfId="7">
      <alignment horizontal="center" vertical="center" wrapText="1"/>
    </xf>
    <xf numFmtId="16" fontId="10" fillId="0" borderId="43" applyAlignment="1" pivotButton="0" quotePrefix="1" xfId="7">
      <alignment horizontal="center" vertical="center" wrapText="1"/>
    </xf>
    <xf numFmtId="0" fontId="10" fillId="0" borderId="25" applyAlignment="1" pivotButton="0" quotePrefix="0" xfId="7">
      <alignment horizontal="center" vertical="center" wrapText="1"/>
    </xf>
    <xf numFmtId="14" fontId="20" fillId="0" borderId="43" applyAlignment="1" pivotButton="0" quotePrefix="0" xfId="7">
      <alignment horizontal="left" vertical="center" wrapText="1"/>
    </xf>
    <xf numFmtId="0" fontId="20" fillId="0" borderId="43" applyAlignment="1" pivotButton="0" quotePrefix="0" xfId="7">
      <alignment horizontal="left" vertical="center" wrapText="1"/>
    </xf>
    <xf numFmtId="0" fontId="10" fillId="0" borderId="43" applyAlignment="1" pivotButton="0" quotePrefix="0" xfId="7">
      <alignment horizontal="left" vertical="center" wrapText="1"/>
    </xf>
    <xf numFmtId="16" fontId="10" fillId="0" borderId="43" applyAlignment="1" pivotButton="0" quotePrefix="0" xfId="7">
      <alignment horizontal="center" vertical="center" wrapText="1"/>
    </xf>
    <xf numFmtId="16" fontId="10" fillId="0" borderId="43" applyAlignment="1" pivotButton="0" quotePrefix="1" xfId="0">
      <alignment horizontal="center" vertical="top"/>
    </xf>
    <xf numFmtId="0" fontId="10" fillId="0" borderId="68" applyAlignment="1" pivotButton="0" quotePrefix="0" xfId="0">
      <alignment horizontal="center" vertical="center"/>
    </xf>
    <xf numFmtId="0" fontId="10" fillId="0" borderId="68" applyAlignment="1" pivotButton="0" quotePrefix="0" xfId="0">
      <alignment horizontal="center" vertical="top"/>
    </xf>
    <xf numFmtId="14" fontId="10" fillId="0" borderId="68" applyAlignment="1" pivotButton="0" quotePrefix="0" xfId="0">
      <alignment horizontal="center" vertical="top"/>
    </xf>
    <xf numFmtId="14" fontId="20" fillId="0" borderId="68" applyAlignment="1" pivotButton="0" quotePrefix="0" xfId="0">
      <alignment horizontal="center" vertical="top" wrapText="1"/>
    </xf>
    <xf numFmtId="0" fontId="10" fillId="0" borderId="68" applyAlignment="1" pivotButton="0" quotePrefix="0" xfId="0">
      <alignment vertical="top" wrapText="1"/>
    </xf>
    <xf numFmtId="0" fontId="20" fillId="0" borderId="68" applyAlignment="1" pivotButton="0" quotePrefix="0" xfId="0">
      <alignment horizontal="left" vertical="top" wrapText="1"/>
    </xf>
    <xf numFmtId="0" fontId="20" fillId="0" borderId="68" applyAlignment="1" pivotButton="0" quotePrefix="0" xfId="10">
      <alignment vertical="top"/>
    </xf>
    <xf numFmtId="0" fontId="20" fillId="0" borderId="43" applyAlignment="1" pivotButton="0" quotePrefix="0" xfId="7">
      <alignment wrapText="1"/>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0" fontId="5" fillId="0" borderId="0" applyAlignment="1" pivotButton="0" quotePrefix="0" xfId="0">
      <alignment horizontal="left" vertical="top" wrapText="1"/>
    </xf>
    <xf numFmtId="0" fontId="19" fillId="0" borderId="0" applyAlignment="1" pivotButton="0" quotePrefix="0" xfId="0">
      <alignment horizontal="left" vertical="center"/>
    </xf>
    <xf numFmtId="0" fontId="18" fillId="0" borderId="0" pivotButton="0" quotePrefix="0" xfId="0"/>
    <xf numFmtId="0" fontId="5" fillId="0" borderId="0" applyAlignment="1" pivotButton="0" quotePrefix="0" xfId="0">
      <alignment horizontal="left" vertical="top"/>
    </xf>
    <xf numFmtId="0" fontId="7" fillId="4" borderId="14" applyAlignment="1" pivotButton="0" quotePrefix="0" xfId="0">
      <alignment horizontal="center" vertical="center"/>
    </xf>
    <xf numFmtId="0" fontId="6" fillId="0" borderId="15" pivotButton="0" quotePrefix="0" xfId="0"/>
    <xf numFmtId="0" fontId="6" fillId="0" borderId="16" pivotButton="0" quotePrefix="0" xfId="0"/>
    <xf numFmtId="0" fontId="6" fillId="0" borderId="17" pivotButton="0" quotePrefix="0" xfId="0"/>
    <xf numFmtId="0" fontId="6" fillId="0" borderId="18" pivotButton="0" quotePrefix="0" xfId="0"/>
    <xf numFmtId="0" fontId="6" fillId="0" borderId="19" pivotButton="0" quotePrefix="0" xfId="0"/>
    <xf numFmtId="0" fontId="8" fillId="0" borderId="0" applyAlignment="1" pivotButton="0" quotePrefix="0" xfId="0">
      <alignment horizontal="center" vertical="center"/>
    </xf>
    <xf numFmtId="0" fontId="0" fillId="0" borderId="0" pivotButton="0" quotePrefix="0" xfId="0"/>
    <xf numFmtId="0" fontId="9" fillId="0" borderId="0" applyAlignment="1" pivotButton="0" quotePrefix="0" xfId="0">
      <alignment horizontal="center" vertical="center"/>
    </xf>
    <xf numFmtId="0" fontId="6" fillId="0" borderId="24" pivotButton="0" quotePrefix="0" xfId="0"/>
    <xf numFmtId="0" fontId="6" fillId="0" borderId="25" pivotButton="0" quotePrefix="0" xfId="0"/>
    <xf numFmtId="0" fontId="8" fillId="0" borderId="12" applyAlignment="1" pivotButton="0" quotePrefix="0" xfId="0">
      <alignment horizontal="center" vertical="center"/>
    </xf>
    <xf numFmtId="0" fontId="6" fillId="0" borderId="4" pivotButton="0" quotePrefix="0" xfId="0"/>
    <xf numFmtId="0" fontId="6" fillId="0" borderId="12" pivotButton="0" quotePrefix="0" xfId="0"/>
    <xf numFmtId="0" fontId="8" fillId="0" borderId="27" applyAlignment="1" pivotButton="0" quotePrefix="0" xfId="0">
      <alignment horizontal="center" vertical="center"/>
    </xf>
    <xf numFmtId="0" fontId="6" fillId="0" borderId="10" pivotButton="0" quotePrefix="0" xfId="0"/>
    <xf numFmtId="0" fontId="6" fillId="0" borderId="11" pivotButton="0" quotePrefix="0" xfId="0"/>
    <xf numFmtId="0" fontId="6" fillId="0" borderId="26" pivotButton="0" quotePrefix="0" xfId="0"/>
    <xf numFmtId="0" fontId="6" fillId="0" borderId="3" pivotButton="0" quotePrefix="0" xfId="0"/>
    <xf numFmtId="0" fontId="6" fillId="0" borderId="23" pivotButton="0" quotePrefix="0" xfId="0"/>
    <xf numFmtId="165" fontId="22" fillId="9" borderId="54" applyAlignment="1" pivotButton="0" quotePrefix="0" xfId="8">
      <alignment horizontal="center" vertical="center"/>
    </xf>
    <xf numFmtId="165" fontId="22" fillId="0" borderId="46" applyAlignment="1" pivotButton="0" quotePrefix="0" xfId="8">
      <alignment horizontal="center" vertical="center"/>
    </xf>
    <xf numFmtId="165" fontId="22" fillId="9" borderId="55" applyAlignment="1" pivotButton="0" quotePrefix="0" xfId="8">
      <alignment horizontal="right" vertical="center"/>
    </xf>
    <xf numFmtId="165" fontId="22" fillId="0" borderId="47" applyAlignment="1" pivotButton="0" quotePrefix="0" xfId="8">
      <alignment horizontal="right" vertical="center"/>
    </xf>
    <xf numFmtId="165" fontId="22" fillId="9" borderId="54" applyAlignment="1" pivotButton="0" quotePrefix="0" xfId="8">
      <alignment horizontal="right" vertical="center"/>
    </xf>
    <xf numFmtId="165" fontId="22" fillId="0" borderId="46" applyAlignment="1" pivotButton="0" quotePrefix="0" xfId="8">
      <alignment horizontal="right" vertical="center"/>
    </xf>
    <xf numFmtId="14" fontId="26" fillId="0" borderId="32" applyAlignment="1" pivotButton="0" quotePrefix="0" xfId="8">
      <alignment horizontal="right" vertical="top"/>
    </xf>
    <xf numFmtId="0" fontId="22" fillId="0" borderId="42" applyAlignment="1" pivotButton="0" quotePrefix="0" xfId="8">
      <alignment horizontal="right" vertical="top"/>
    </xf>
    <xf numFmtId="49" fontId="28" fillId="9" borderId="61" applyAlignment="1" pivotButton="0" quotePrefix="0" xfId="8">
      <alignment horizontal="center" vertical="center" textRotation="180"/>
    </xf>
    <xf numFmtId="0" fontId="22" fillId="0" borderId="57" applyAlignment="1" pivotButton="0" quotePrefix="0" xfId="8">
      <alignment horizontal="center" vertical="center"/>
    </xf>
    <xf numFmtId="0" fontId="22" fillId="0" borderId="51" applyAlignment="1" pivotButton="0" quotePrefix="0" xfId="8">
      <alignment horizontal="center" vertical="center"/>
    </xf>
    <xf numFmtId="164" fontId="26" fillId="6" borderId="60" applyAlignment="1" pivotButton="0" quotePrefix="0" xfId="8">
      <alignment horizontal="center" vertical="center"/>
    </xf>
    <xf numFmtId="164" fontId="26" fillId="6" borderId="51" applyAlignment="1" pivotButton="0" quotePrefix="0" xfId="8">
      <alignment horizontal="center" vertical="center"/>
    </xf>
    <xf numFmtId="0" fontId="27" fillId="0" borderId="60" applyAlignment="1" pivotButton="0" quotePrefix="0" xfId="8">
      <alignment horizontal="center" vertical="center"/>
    </xf>
    <xf numFmtId="0" fontId="27" fillId="0" borderId="51" applyAlignment="1" pivotButton="0" quotePrefix="0" xfId="8">
      <alignment horizontal="center" vertical="center"/>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164" fontId="26" fillId="0" borderId="25" applyAlignment="1" applyProtection="1" pivotButton="0" quotePrefix="0" xfId="8">
      <alignment horizontal="right"/>
      <protection locked="0" hidden="0"/>
    </xf>
    <xf numFmtId="49" fontId="29" fillId="0" borderId="66" applyAlignment="1" applyProtection="1" pivotButton="0" quotePrefix="0" xfId="8">
      <alignment horizontal="center" vertical="center" wrapText="1"/>
      <protection locked="0" hidden="0"/>
    </xf>
    <xf numFmtId="0" fontId="29" fillId="0" borderId="64" applyAlignment="1" applyProtection="1" pivotButton="0" quotePrefix="0" xfId="8">
      <alignment wrapText="1"/>
      <protection locked="0" hidden="0"/>
    </xf>
    <xf numFmtId="0" fontId="29" fillId="0" borderId="62" applyAlignment="1" applyProtection="1" pivotButton="0" quotePrefix="0" xfId="8">
      <alignment wrapText="1"/>
      <protection locked="0" hidden="0"/>
    </xf>
    <xf numFmtId="49" fontId="26" fillId="0" borderId="65" applyAlignment="1" pivotButton="0" quotePrefix="0" xfId="8">
      <alignment horizontal="right" vertical="top"/>
    </xf>
    <xf numFmtId="0" fontId="22" fillId="0" borderId="33" applyAlignment="1" pivotButton="0" quotePrefix="0" xfId="8">
      <alignment vertical="top"/>
    </xf>
    <xf numFmtId="49" fontId="22" fillId="6" borderId="60" applyAlignment="1" applyProtection="1" pivotButton="0" quotePrefix="0" xfId="8">
      <alignment horizontal="left" vertical="top" wrapText="1"/>
      <protection locked="0" hidden="0"/>
    </xf>
    <xf numFmtId="49" fontId="22" fillId="6" borderId="57" applyAlignment="1" applyProtection="1" pivotButton="0" quotePrefix="0" xfId="8">
      <alignment horizontal="left" vertical="top" wrapText="1"/>
      <protection locked="0" hidden="0"/>
    </xf>
    <xf numFmtId="49" fontId="22" fillId="6" borderId="68" applyAlignment="1" applyProtection="1" pivotButton="0" quotePrefix="0" xfId="8">
      <alignment horizontal="left" vertical="top" wrapText="1"/>
      <protection locked="0" hidden="0"/>
    </xf>
    <xf numFmtId="49" fontId="26" fillId="0" borderId="25" applyAlignment="1" pivotButton="0" quotePrefix="0" xfId="9">
      <alignment horizontal="right" vertical="top"/>
    </xf>
    <xf numFmtId="0" fontId="22" fillId="0" borderId="38" applyAlignment="1" pivotButton="0" quotePrefix="0" xfId="9">
      <alignment horizontal="right" vertical="top"/>
    </xf>
    <xf numFmtId="49" fontId="26" fillId="0" borderId="65" applyAlignment="1" pivotButton="0" quotePrefix="0" xfId="8">
      <alignment horizontal="right"/>
    </xf>
    <xf numFmtId="49" fontId="26" fillId="0" borderId="33" applyAlignment="1" pivotButton="0" quotePrefix="0" xfId="8">
      <alignment horizontal="right"/>
    </xf>
    <xf numFmtId="49" fontId="26" fillId="0" borderId="34" applyAlignment="1" pivotButton="0" quotePrefix="0" xfId="8">
      <alignment horizontal="right" vertical="top"/>
    </xf>
    <xf numFmtId="49" fontId="26" fillId="0" borderId="38" applyAlignment="1" pivotButton="0" quotePrefix="0" xfId="8">
      <alignment horizontal="right" vertical="top"/>
    </xf>
    <xf numFmtId="0" fontId="30" fillId="0" borderId="65" applyAlignment="1" pivotButton="0" quotePrefix="0" xfId="8">
      <alignment horizontal="center" vertical="center" wrapText="1"/>
    </xf>
    <xf numFmtId="0" fontId="22" fillId="0" borderId="33" pivotButton="0" quotePrefix="0" xfId="8"/>
    <xf numFmtId="49" fontId="26" fillId="0" borderId="25" applyAlignment="1" pivotButton="0" quotePrefix="0" xfId="8">
      <alignment horizontal="right" vertical="top"/>
    </xf>
    <xf numFmtId="0" fontId="22" fillId="0" borderId="38" applyAlignment="1" pivotButton="0" quotePrefix="0" xfId="8">
      <alignment horizontal="right" vertical="top"/>
    </xf>
    <xf numFmtId="49" fontId="26" fillId="0" borderId="63" applyAlignment="1" pivotButton="0" quotePrefix="0" xfId="8">
      <alignment horizontal="right" wrapText="1"/>
    </xf>
    <xf numFmtId="0" fontId="22" fillId="0" borderId="35" pivotButton="0" quotePrefix="0" xfId="8"/>
    <xf numFmtId="165" fontId="22" fillId="9" borderId="46" applyAlignment="1" pivotButton="0" quotePrefix="0" xfId="8">
      <alignment horizontal="right" vertical="center"/>
    </xf>
    <xf numFmtId="49" fontId="22" fillId="6" borderId="43" applyAlignment="1" applyProtection="1" pivotButton="0" quotePrefix="0" xfId="8">
      <alignment horizontal="left" vertical="top" wrapText="1"/>
      <protection locked="0" hidden="0"/>
    </xf>
    <xf numFmtId="49" fontId="22" fillId="6" borderId="43" applyAlignment="1" applyProtection="1" pivotButton="0" quotePrefix="0" xfId="8">
      <alignment horizontal="left" wrapText="1"/>
      <protection locked="0" hidden="0"/>
    </xf>
    <xf numFmtId="0" fontId="34" fillId="0" borderId="1" applyAlignment="1" pivotButton="0" quotePrefix="0" xfId="7">
      <alignment horizontal="left" vertical="center" wrapText="1"/>
    </xf>
    <xf numFmtId="0" fontId="35" fillId="0" borderId="1" applyAlignment="1" pivotButton="0" quotePrefix="0" xfId="7">
      <alignment horizontal="left" vertical="center" wrapText="1"/>
    </xf>
    <xf numFmtId="0" fontId="20" fillId="0" borderId="1" applyAlignment="1" pivotButton="0" quotePrefix="0" xfId="7">
      <alignment horizontal="left" vertical="center" wrapText="1"/>
    </xf>
    <xf numFmtId="0" fontId="2" fillId="0" borderId="25" applyAlignment="1" pivotButton="0" quotePrefix="0" xfId="7">
      <alignment wrapText="1"/>
    </xf>
    <xf numFmtId="14" fontId="2" fillId="0" borderId="25" applyAlignment="1" pivotButton="0" quotePrefix="0" xfId="7">
      <alignment horizontal="left" vertical="top"/>
    </xf>
    <xf numFmtId="14" fontId="18" fillId="0" borderId="0" pivotButton="0" quotePrefix="0" xfId="0"/>
    <xf numFmtId="14" fontId="18" fillId="0" borderId="0" pivotButton="0" quotePrefix="0" xfId="0"/>
    <xf numFmtId="14" fontId="5" fillId="0" borderId="0" applyAlignment="1" pivotButton="0" quotePrefix="0" xfId="0">
      <alignment horizontal="left" vertical="top" wrapText="1"/>
    </xf>
    <xf numFmtId="14" fontId="5" fillId="0" borderId="0" applyAlignment="1" pivotButton="0" quotePrefix="0" xfId="0">
      <alignment horizontal="left" vertical="top"/>
    </xf>
    <xf numFmtId="14" fontId="5" fillId="0" borderId="0" applyAlignment="1" pivotButton="0" quotePrefix="0" xfId="0">
      <alignment horizontal="left" vertical="top"/>
    </xf>
    <xf numFmtId="14" fontId="4" fillId="2" borderId="2" applyAlignment="1" pivotButton="0" quotePrefix="0" xfId="0">
      <alignment horizontal="center"/>
    </xf>
    <xf numFmtId="14" fontId="10" fillId="0" borderId="70" applyAlignment="1" pivotButton="0" quotePrefix="0" xfId="0">
      <alignment horizontal="center" vertical="top" wrapText="1"/>
    </xf>
    <xf numFmtId="14" fontId="10" fillId="0" borderId="31" applyAlignment="1" pivotButton="0" quotePrefix="0" xfId="0">
      <alignment horizontal="center" vertical="top" wrapText="1"/>
    </xf>
    <xf numFmtId="14" fontId="10" fillId="0" borderId="43" applyAlignment="1" pivotButton="0" quotePrefix="0" xfId="0">
      <alignment horizontal="center" vertical="top" wrapText="1"/>
    </xf>
    <xf numFmtId="0" fontId="36" fillId="0" borderId="25" applyAlignment="1" pivotButton="0" quotePrefix="0" xfId="3">
      <alignment horizontal="center"/>
    </xf>
    <xf numFmtId="0" fontId="36" fillId="0" borderId="25" pivotButton="0" quotePrefix="0" xfId="3"/>
    <xf numFmtId="0" fontId="37" fillId="0" borderId="25" pivotButton="0" quotePrefix="0" xfId="4"/>
    <xf numFmtId="0" fontId="38" fillId="0" borderId="25" applyAlignment="1" pivotButton="0" quotePrefix="0" xfId="4">
      <alignment horizontal="center"/>
    </xf>
    <xf numFmtId="0" fontId="38" fillId="0" borderId="25" applyAlignment="1" pivotButton="0" quotePrefix="0" xfId="4">
      <alignment vertical="center"/>
    </xf>
    <xf numFmtId="0" fontId="38" fillId="0" borderId="32" applyAlignment="1" pivotButton="0" quotePrefix="0" xfId="4">
      <alignment horizontal="center" vertical="center"/>
    </xf>
    <xf numFmtId="0" fontId="39" fillId="0" borderId="25" pivotButton="0" quotePrefix="0" xfId="4"/>
    <xf numFmtId="0" fontId="38" fillId="0" borderId="25" pivotButton="0" quotePrefix="0" xfId="4"/>
    <xf numFmtId="170" fontId="38" fillId="0" borderId="32" applyAlignment="1" applyProtection="1" pivotButton="0" quotePrefix="0" xfId="4">
      <alignment horizontal="center"/>
      <protection locked="0" hidden="0"/>
    </xf>
    <xf numFmtId="0" fontId="38" fillId="0" borderId="32" applyAlignment="1" applyProtection="1" pivotButton="0" quotePrefix="0" xfId="4">
      <alignment horizontal="center"/>
      <protection locked="0" hidden="0"/>
    </xf>
    <xf numFmtId="0" fontId="38" fillId="0" borderId="25" applyAlignment="1" applyProtection="1" pivotButton="0" quotePrefix="0" xfId="4">
      <alignment horizontal="center"/>
      <protection locked="0" hidden="0"/>
    </xf>
    <xf numFmtId="0" fontId="38" fillId="0" borderId="32" applyAlignment="1" pivotButton="0" quotePrefix="0" xfId="4">
      <alignment horizontal="center"/>
    </xf>
    <xf numFmtId="0" fontId="38" fillId="0" borderId="25" applyAlignment="1" pivotButton="0" quotePrefix="0" xfId="4">
      <alignment horizontal="center"/>
    </xf>
    <xf numFmtId="0" fontId="40" fillId="0" borderId="25" applyAlignment="1" applyProtection="1" pivotButton="0" quotePrefix="0" xfId="4">
      <alignment horizontal="center"/>
      <protection locked="0" hidden="0"/>
    </xf>
    <xf numFmtId="0" fontId="40" fillId="0" borderId="25" applyProtection="1" pivotButton="0" quotePrefix="0" xfId="4">
      <protection locked="0" hidden="0"/>
    </xf>
    <xf numFmtId="0" fontId="41" fillId="0" borderId="25" applyAlignment="1" pivotButton="0" quotePrefix="0" xfId="4">
      <alignment wrapText="1"/>
    </xf>
    <xf numFmtId="0" fontId="36" fillId="0" borderId="74" pivotButton="0" quotePrefix="0" xfId="5"/>
    <xf numFmtId="0" fontId="42" fillId="14" borderId="75" applyAlignment="1" pivotButton="0" quotePrefix="0" xfId="4">
      <alignment vertical="center"/>
    </xf>
    <xf numFmtId="0" fontId="43" fillId="14" borderId="78" applyAlignment="1" pivotButton="0" quotePrefix="0" xfId="4">
      <alignment vertical="center"/>
    </xf>
    <xf numFmtId="0" fontId="43" fillId="15" borderId="75" applyAlignment="1" pivotButton="0" quotePrefix="0" xfId="4">
      <alignment vertical="center"/>
    </xf>
    <xf numFmtId="0" fontId="43" fillId="15" borderId="78" applyAlignment="1" pivotButton="0" quotePrefix="0" xfId="4">
      <alignment vertical="center"/>
    </xf>
    <xf numFmtId="0" fontId="43" fillId="16" borderId="75" applyAlignment="1" pivotButton="0" quotePrefix="0" xfId="4">
      <alignment vertical="center"/>
    </xf>
    <xf numFmtId="0" fontId="43" fillId="16" borderId="76" applyAlignment="1" pivotButton="0" quotePrefix="0" xfId="4">
      <alignment vertical="center"/>
    </xf>
    <xf numFmtId="0" fontId="36" fillId="0" borderId="25" pivotButton="0" quotePrefix="0" xfId="5"/>
    <xf numFmtId="0" fontId="42" fillId="14" borderId="25" applyAlignment="1" pivotButton="0" quotePrefix="0" xfId="4">
      <alignment vertical="center"/>
    </xf>
    <xf numFmtId="0" fontId="42" fillId="14" borderId="25" applyAlignment="1" pivotButton="0" quotePrefix="0" xfId="4">
      <alignment horizontal="right" vertical="center"/>
    </xf>
    <xf numFmtId="0" fontId="43" fillId="14" borderId="33" applyAlignment="1" pivotButton="0" quotePrefix="0" xfId="4">
      <alignment vertical="center"/>
    </xf>
    <xf numFmtId="0" fontId="44" fillId="15" borderId="25" applyAlignment="1" pivotButton="0" quotePrefix="0" xfId="4">
      <alignment vertical="center"/>
    </xf>
    <xf numFmtId="0" fontId="43" fillId="15" borderId="25" applyAlignment="1" pivotButton="0" quotePrefix="0" xfId="4">
      <alignment vertical="center"/>
    </xf>
    <xf numFmtId="0" fontId="43" fillId="15" borderId="33" applyAlignment="1" pivotButton="0" quotePrefix="0" xfId="4">
      <alignment vertical="center"/>
    </xf>
    <xf numFmtId="0" fontId="43" fillId="16" borderId="25" applyAlignment="1" pivotButton="0" quotePrefix="0" xfId="4">
      <alignment vertical="center"/>
    </xf>
    <xf numFmtId="0" fontId="43" fillId="16" borderId="74" applyAlignment="1" pivotButton="0" quotePrefix="0" xfId="4">
      <alignment vertical="center"/>
    </xf>
    <xf numFmtId="0" fontId="36" fillId="0" borderId="74" pivotButton="0" quotePrefix="0" xfId="3"/>
    <xf numFmtId="0" fontId="42" fillId="14" borderId="25" applyAlignment="1" pivotButton="0" quotePrefix="0" xfId="4">
      <alignment horizontal="center" vertical="center"/>
    </xf>
    <xf numFmtId="3" fontId="42" fillId="14" borderId="25" applyAlignment="1" pivotButton="0" quotePrefix="0" xfId="4">
      <alignment vertical="center"/>
    </xf>
    <xf numFmtId="0" fontId="43" fillId="14" borderId="25" applyAlignment="1" pivotButton="0" quotePrefix="0" xfId="4">
      <alignment horizontal="center" vertical="center"/>
    </xf>
    <xf numFmtId="0" fontId="45" fillId="15" borderId="25" applyAlignment="1" pivotButton="0" quotePrefix="0" xfId="4">
      <alignment vertical="center"/>
    </xf>
    <xf numFmtId="0" fontId="43" fillId="15" borderId="25" applyAlignment="1" pivotButton="0" quotePrefix="0" xfId="4">
      <alignment horizontal="center" vertical="center"/>
    </xf>
    <xf numFmtId="0" fontId="46" fillId="16" borderId="25" applyAlignment="1" pivotButton="0" quotePrefix="0" xfId="4">
      <alignment vertical="center"/>
    </xf>
    <xf numFmtId="0" fontId="39" fillId="16" borderId="25" applyAlignment="1" pivotButton="0" quotePrefix="0" xfId="4">
      <alignment vertical="center"/>
    </xf>
    <xf numFmtId="0" fontId="39" fillId="15" borderId="25" applyAlignment="1" pivotButton="0" quotePrefix="0" xfId="4">
      <alignment vertical="center"/>
    </xf>
    <xf numFmtId="0" fontId="43" fillId="16" borderId="45" applyAlignment="1" pivotButton="0" quotePrefix="0" xfId="4">
      <alignment vertical="center"/>
    </xf>
    <xf numFmtId="0" fontId="43" fillId="16" borderId="32" applyAlignment="1" pivotButton="0" quotePrefix="0" xfId="4">
      <alignment vertical="center"/>
    </xf>
    <xf numFmtId="0" fontId="39" fillId="16" borderId="32" applyAlignment="1" pivotButton="0" quotePrefix="0" xfId="4">
      <alignment vertical="center"/>
    </xf>
    <xf numFmtId="0" fontId="43" fillId="16" borderId="80" applyAlignment="1" pivotButton="0" quotePrefix="0" xfId="4">
      <alignment vertical="center"/>
    </xf>
    <xf numFmtId="0" fontId="44" fillId="17" borderId="25" applyAlignment="1" pivotButton="0" quotePrefix="0" xfId="4">
      <alignment vertical="center"/>
    </xf>
    <xf numFmtId="0" fontId="47" fillId="17" borderId="25" applyAlignment="1" pivotButton="0" quotePrefix="0" xfId="4">
      <alignment vertical="center"/>
    </xf>
    <xf numFmtId="0" fontId="48" fillId="17" borderId="25" applyAlignment="1" pivotButton="0" quotePrefix="0" xfId="4">
      <alignment vertical="center"/>
    </xf>
    <xf numFmtId="0" fontId="43" fillId="17" borderId="25" applyAlignment="1" pivotButton="0" quotePrefix="0" xfId="4">
      <alignment vertical="center"/>
    </xf>
    <xf numFmtId="0" fontId="43" fillId="17" borderId="33" applyAlignment="1" pivotButton="0" quotePrefix="0" xfId="4">
      <alignment vertical="center"/>
    </xf>
    <xf numFmtId="0" fontId="44" fillId="18" borderId="25" applyAlignment="1" pivotButton="0" quotePrefix="0" xfId="4">
      <alignment vertical="center"/>
    </xf>
    <xf numFmtId="0" fontId="47" fillId="18" borderId="25" applyAlignment="1" pivotButton="0" quotePrefix="0" xfId="4">
      <alignment vertical="center"/>
    </xf>
    <xf numFmtId="0" fontId="48" fillId="18" borderId="25" applyAlignment="1" pivotButton="0" quotePrefix="0" xfId="4">
      <alignment vertical="center"/>
    </xf>
    <xf numFmtId="0" fontId="43" fillId="18" borderId="25" applyAlignment="1" pivotButton="0" quotePrefix="0" xfId="4">
      <alignment vertical="center"/>
    </xf>
    <xf numFmtId="0" fontId="43" fillId="18" borderId="74" applyAlignment="1" pivotButton="0" quotePrefix="0" xfId="4">
      <alignment vertical="center"/>
    </xf>
    <xf numFmtId="0" fontId="43" fillId="14" borderId="25" applyAlignment="1" pivotButton="0" quotePrefix="0" xfId="4">
      <alignment vertical="center"/>
    </xf>
    <xf numFmtId="0" fontId="39" fillId="14" borderId="25" applyAlignment="1" pivotButton="0" quotePrefix="0" xfId="4">
      <alignment vertical="center"/>
    </xf>
    <xf numFmtId="0" fontId="45" fillId="17" borderId="25" applyAlignment="1" pivotButton="0" quotePrefix="0" xfId="4">
      <alignment vertical="center"/>
    </xf>
    <xf numFmtId="0" fontId="43" fillId="17" borderId="25" applyAlignment="1" pivotButton="0" quotePrefix="0" xfId="4">
      <alignment horizontal="center" vertical="center"/>
    </xf>
    <xf numFmtId="0" fontId="45" fillId="18" borderId="25" applyAlignment="1" pivotButton="0" quotePrefix="0" xfId="4">
      <alignment vertical="center"/>
    </xf>
    <xf numFmtId="0" fontId="43" fillId="18" borderId="25" applyAlignment="1" pivotButton="0" quotePrefix="0" xfId="4">
      <alignment horizontal="center" vertical="center"/>
    </xf>
    <xf numFmtId="0" fontId="39" fillId="17" borderId="25" applyAlignment="1" pivotButton="0" quotePrefix="0" xfId="4">
      <alignment vertical="center"/>
    </xf>
    <xf numFmtId="0" fontId="39" fillId="18" borderId="25" applyAlignment="1" pivotButton="0" quotePrefix="0" xfId="4">
      <alignment vertical="center"/>
    </xf>
    <xf numFmtId="0" fontId="43" fillId="0" borderId="25" applyAlignment="1" pivotButton="0" quotePrefix="0" xfId="4">
      <alignment wrapText="1"/>
    </xf>
    <xf numFmtId="0" fontId="36" fillId="14" borderId="32" applyAlignment="1" pivotButton="0" quotePrefix="0" xfId="4">
      <alignment vertical="center"/>
    </xf>
    <xf numFmtId="0" fontId="36" fillId="14" borderId="35" applyAlignment="1" pivotButton="0" quotePrefix="0" xfId="4">
      <alignment vertical="center"/>
    </xf>
    <xf numFmtId="0" fontId="43" fillId="15" borderId="32" applyAlignment="1" pivotButton="0" quotePrefix="0" xfId="4">
      <alignment vertical="center"/>
    </xf>
    <xf numFmtId="0" fontId="39" fillId="15" borderId="32" applyAlignment="1" pivotButton="0" quotePrefix="0" xfId="4">
      <alignment vertical="center"/>
    </xf>
    <xf numFmtId="0" fontId="39" fillId="15" borderId="35" applyAlignment="1" pivotButton="0" quotePrefix="0" xfId="4">
      <alignment vertical="center"/>
    </xf>
    <xf numFmtId="0" fontId="43" fillId="18" borderId="32" applyAlignment="1" pivotButton="0" quotePrefix="0" xfId="4">
      <alignment vertical="center"/>
    </xf>
    <xf numFmtId="0" fontId="39" fillId="18" borderId="32" applyAlignment="1" pivotButton="0" quotePrefix="0" xfId="4">
      <alignment vertical="center"/>
    </xf>
    <xf numFmtId="0" fontId="39" fillId="18" borderId="80" applyAlignment="1" pivotButton="0" quotePrefix="0" xfId="4">
      <alignment vertical="center"/>
    </xf>
    <xf numFmtId="0" fontId="43" fillId="19" borderId="25" applyAlignment="1" pivotButton="0" quotePrefix="0" xfId="4">
      <alignment vertical="center"/>
    </xf>
    <xf numFmtId="0" fontId="43" fillId="19" borderId="33" applyAlignment="1" pivotButton="0" quotePrefix="0" xfId="4">
      <alignment vertical="center"/>
    </xf>
    <xf numFmtId="0" fontId="44" fillId="20" borderId="25" applyAlignment="1" pivotButton="0" quotePrefix="0" xfId="4">
      <alignment vertical="center"/>
    </xf>
    <xf numFmtId="0" fontId="47" fillId="20" borderId="25" applyAlignment="1" pivotButton="0" quotePrefix="0" xfId="4">
      <alignment vertical="center"/>
    </xf>
    <xf numFmtId="0" fontId="48" fillId="20" borderId="25" applyAlignment="1" pivotButton="0" quotePrefix="0" xfId="4">
      <alignment vertical="center"/>
    </xf>
    <xf numFmtId="0" fontId="43" fillId="20" borderId="25" applyAlignment="1" pivotButton="0" quotePrefix="0" xfId="4">
      <alignment vertical="center"/>
    </xf>
    <xf numFmtId="0" fontId="43" fillId="20" borderId="33" applyAlignment="1" pivotButton="0" quotePrefix="0" xfId="4">
      <alignment vertical="center"/>
    </xf>
    <xf numFmtId="0" fontId="44" fillId="21" borderId="25" applyAlignment="1" pivotButton="0" quotePrefix="0" xfId="4">
      <alignment vertical="center"/>
    </xf>
    <xf numFmtId="0" fontId="47" fillId="21" borderId="25" applyAlignment="1" pivotButton="0" quotePrefix="0" xfId="4">
      <alignment vertical="center"/>
    </xf>
    <xf numFmtId="0" fontId="48" fillId="21" borderId="25" applyAlignment="1" pivotButton="0" quotePrefix="0" xfId="4">
      <alignment vertical="center"/>
    </xf>
    <xf numFmtId="0" fontId="43" fillId="21" borderId="25" applyAlignment="1" pivotButton="0" quotePrefix="0" xfId="4">
      <alignment vertical="center"/>
    </xf>
    <xf numFmtId="0" fontId="43" fillId="21" borderId="74" applyAlignment="1" pivotButton="0" quotePrefix="0" xfId="4">
      <alignment vertical="center"/>
    </xf>
    <xf numFmtId="0" fontId="45" fillId="20" borderId="25" applyAlignment="1" pivotButton="0" quotePrefix="0" xfId="4">
      <alignment vertical="center"/>
    </xf>
    <xf numFmtId="0" fontId="43" fillId="20" borderId="25" applyAlignment="1" pivotButton="0" quotePrefix="0" xfId="4">
      <alignment horizontal="center" vertical="center"/>
    </xf>
    <xf numFmtId="0" fontId="45" fillId="21" borderId="25" applyAlignment="1" pivotButton="0" quotePrefix="0" xfId="4">
      <alignment vertical="center"/>
    </xf>
    <xf numFmtId="0" fontId="43" fillId="21" borderId="25" applyAlignment="1" pivotButton="0" quotePrefix="0" xfId="4">
      <alignment horizontal="center" vertical="center"/>
    </xf>
    <xf numFmtId="0" fontId="39" fillId="20" borderId="25" applyAlignment="1" pivotButton="0" quotePrefix="0" xfId="4">
      <alignment vertical="center"/>
    </xf>
    <xf numFmtId="0" fontId="39" fillId="21" borderId="25" applyAlignment="1" pivotButton="0" quotePrefix="0" xfId="4">
      <alignment vertical="center"/>
    </xf>
    <xf numFmtId="0" fontId="43" fillId="20" borderId="32" applyAlignment="1" pivotButton="0" quotePrefix="0" xfId="4">
      <alignment vertical="center"/>
    </xf>
    <xf numFmtId="0" fontId="39" fillId="20" borderId="32" applyAlignment="1" pivotButton="0" quotePrefix="0" xfId="4">
      <alignment vertical="center"/>
    </xf>
    <xf numFmtId="0" fontId="39" fillId="20" borderId="35" applyAlignment="1" pivotButton="0" quotePrefix="0" xfId="4">
      <alignment vertical="center"/>
    </xf>
    <xf numFmtId="0" fontId="43" fillId="21" borderId="32" applyAlignment="1" pivotButton="0" quotePrefix="0" xfId="4">
      <alignment vertical="center"/>
    </xf>
    <xf numFmtId="0" fontId="39" fillId="21" borderId="32" applyAlignment="1" pivotButton="0" quotePrefix="0" xfId="4">
      <alignment vertical="center"/>
    </xf>
    <xf numFmtId="0" fontId="39" fillId="21" borderId="80" applyAlignment="1" pivotButton="0" quotePrefix="0" xfId="4">
      <alignment vertical="center"/>
    </xf>
    <xf numFmtId="0" fontId="43" fillId="17" borderId="74" applyAlignment="1" pivotButton="0" quotePrefix="0" xfId="4">
      <alignment vertical="center"/>
    </xf>
    <xf numFmtId="0" fontId="39" fillId="19" borderId="25" applyAlignment="1" pivotButton="0" quotePrefix="0" xfId="4">
      <alignment vertical="center"/>
    </xf>
    <xf numFmtId="0" fontId="39" fillId="19" borderId="33" applyAlignment="1" pivotButton="0" quotePrefix="0" xfId="4">
      <alignment vertical="center"/>
    </xf>
    <xf numFmtId="0" fontId="39" fillId="14" borderId="33" applyAlignment="1" pivotButton="0" quotePrefix="0" xfId="4">
      <alignment vertical="center"/>
    </xf>
    <xf numFmtId="0" fontId="43" fillId="19" borderId="30" applyAlignment="1" pivotButton="0" quotePrefix="0" xfId="4">
      <alignment vertical="center"/>
    </xf>
    <xf numFmtId="0" fontId="49" fillId="19" borderId="30" pivotButton="0" quotePrefix="0" xfId="4"/>
    <xf numFmtId="0" fontId="39" fillId="19" borderId="30" applyAlignment="1" pivotButton="0" quotePrefix="0" xfId="4">
      <alignment vertical="center"/>
    </xf>
    <xf numFmtId="0" fontId="39" fillId="19" borderId="79" applyAlignment="1" pivotButton="0" quotePrefix="0" xfId="4">
      <alignment vertical="center"/>
    </xf>
    <xf numFmtId="0" fontId="43" fillId="14" borderId="30" applyAlignment="1" pivotButton="0" quotePrefix="0" xfId="4">
      <alignment vertical="center"/>
    </xf>
    <xf numFmtId="0" fontId="49" fillId="14" borderId="30" pivotButton="0" quotePrefix="0" xfId="4"/>
    <xf numFmtId="0" fontId="39" fillId="14" borderId="30" applyAlignment="1" pivotButton="0" quotePrefix="0" xfId="4">
      <alignment vertical="center"/>
    </xf>
    <xf numFmtId="0" fontId="39" fillId="14" borderId="79" applyAlignment="1" pivotButton="0" quotePrefix="0" xfId="4">
      <alignment vertical="center"/>
    </xf>
    <xf numFmtId="0" fontId="43" fillId="17" borderId="30" applyAlignment="1" pivotButton="0" quotePrefix="0" xfId="4">
      <alignment vertical="center"/>
    </xf>
    <xf numFmtId="0" fontId="39" fillId="17" borderId="30" applyAlignment="1" pivotButton="0" quotePrefix="0" xfId="4">
      <alignment vertical="center"/>
    </xf>
    <xf numFmtId="0" fontId="39" fillId="17" borderId="77" applyAlignment="1" pivotButton="0" quotePrefix="0" xfId="4">
      <alignment vertical="center"/>
    </xf>
    <xf numFmtId="0" fontId="43" fillId="0" borderId="25" pivotButton="0" quotePrefix="0" xfId="4"/>
    <xf numFmtId="0" fontId="43" fillId="0" borderId="33" pivotButton="0" quotePrefix="0" xfId="4"/>
    <xf numFmtId="0" fontId="43" fillId="0" borderId="43" applyAlignment="1" applyProtection="1" pivotButton="0" quotePrefix="0" xfId="4">
      <alignment horizontal="center"/>
      <protection locked="0" hidden="0"/>
    </xf>
    <xf numFmtId="0" fontId="50" fillId="0" borderId="25" applyAlignment="1" pivotButton="0" quotePrefix="0" xfId="4">
      <alignment horizontal="left"/>
    </xf>
    <xf numFmtId="49" fontId="43" fillId="0" borderId="32" applyAlignment="1" applyProtection="1" pivotButton="0" quotePrefix="0" xfId="5">
      <alignment horizontal="center"/>
      <protection locked="0" hidden="0"/>
    </xf>
    <xf numFmtId="0" fontId="43" fillId="0" borderId="25" pivotButton="0" quotePrefix="0" xfId="5"/>
    <xf numFmtId="49" fontId="43" fillId="0" borderId="32" applyAlignment="1" applyProtection="1" pivotButton="0" quotePrefix="0" xfId="4">
      <alignment horizontal="center"/>
      <protection locked="0" hidden="0"/>
    </xf>
    <xf numFmtId="0" fontId="36" fillId="0" borderId="25" applyProtection="1" pivotButton="0" quotePrefix="0" xfId="4">
      <protection locked="0" hidden="0"/>
    </xf>
    <xf numFmtId="0" fontId="43" fillId="0" borderId="25" applyAlignment="1" pivotButton="0" quotePrefix="0" xfId="4">
      <alignment horizontal="left"/>
    </xf>
    <xf numFmtId="0" fontId="36" fillId="0" borderId="25" applyAlignment="1" applyProtection="1" pivotButton="0" quotePrefix="0" xfId="4">
      <alignment horizontal="center"/>
      <protection locked="0" hidden="0"/>
    </xf>
    <xf numFmtId="0" fontId="51" fillId="0" borderId="25" applyAlignment="1" pivotButton="0" quotePrefix="0" xfId="3">
      <alignment horizontal="center" vertical="top"/>
    </xf>
    <xf numFmtId="0" fontId="36" fillId="0" borderId="25" applyAlignment="1" pivotButton="0" quotePrefix="0" xfId="6">
      <alignment vertical="center" wrapText="1"/>
    </xf>
    <xf numFmtId="0" fontId="49" fillId="0" borderId="25" applyAlignment="1" pivotButton="0" quotePrefix="0" xfId="3">
      <alignment horizontal="justify" vertical="top" wrapText="1"/>
    </xf>
    <xf numFmtId="0" fontId="51" fillId="0" borderId="25" applyAlignment="1" pivotButton="0" quotePrefix="0" xfId="3">
      <alignment horizontal="left"/>
    </xf>
    <xf numFmtId="0" fontId="36" fillId="0" borderId="25" applyAlignment="1" pivotButton="0" quotePrefix="0" xfId="3">
      <alignment horizontal="left"/>
    </xf>
    <xf numFmtId="0" fontId="52" fillId="0" borderId="25" pivotButton="0" quotePrefix="0" xfId="3"/>
    <xf numFmtId="49" fontId="43" fillId="0" borderId="32" applyAlignment="1" applyProtection="1" pivotButton="0" quotePrefix="0" xfId="5">
      <alignment horizontal="center"/>
      <protection locked="0" hidden="0"/>
    </xf>
    <xf numFmtId="0" fontId="36" fillId="0" borderId="25" pivotButton="0" quotePrefix="0" xfId="3"/>
    <xf numFmtId="0" fontId="43" fillId="0" borderId="25" pivotButton="0" quotePrefix="0" xfId="4"/>
    <xf numFmtId="49" fontId="43" fillId="0" borderId="32" applyAlignment="1" applyProtection="1" pivotButton="0" quotePrefix="0" xfId="4">
      <alignment horizontal="center"/>
      <protection locked="0" hidden="0"/>
    </xf>
    <xf numFmtId="0" fontId="36" fillId="14" borderId="81" applyAlignment="1" pivotButton="0" quotePrefix="0" xfId="4">
      <alignment vertical="center"/>
    </xf>
    <xf numFmtId="165" fontId="22" fillId="6" borderId="40" applyAlignment="1" pivotButton="0" quotePrefix="0" xfId="8">
      <alignment horizontal="center" vertical="top"/>
    </xf>
    <xf numFmtId="165" fontId="22" fillId="0" borderId="25" applyAlignment="1" applyProtection="1" pivotButton="0" quotePrefix="0" xfId="8">
      <alignment horizontal="center" vertical="top"/>
      <protection locked="0" hidden="0"/>
    </xf>
    <xf numFmtId="165" fontId="22" fillId="0" borderId="25" applyAlignment="1" applyProtection="1" pivotButton="0" quotePrefix="0" xfId="8">
      <alignment horizontal="center"/>
      <protection locked="0" hidden="0"/>
    </xf>
    <xf numFmtId="0" fontId="22" fillId="8" borderId="25" applyAlignment="1" applyProtection="1" pivotButton="0" quotePrefix="0" xfId="8">
      <alignment horizontal="center"/>
      <protection locked="0" hidden="0"/>
    </xf>
    <xf numFmtId="0" fontId="11" fillId="0" borderId="43" applyAlignment="1" pivotButton="0" quotePrefix="0" xfId="7">
      <alignment vertical="top"/>
    </xf>
    <xf numFmtId="0" fontId="11" fillId="0" borderId="43" applyAlignment="1" pivotButton="0" quotePrefix="0" xfId="7">
      <alignment horizontal="center" vertical="top" wrapText="1"/>
    </xf>
    <xf numFmtId="14" fontId="11" fillId="0" borderId="43" applyAlignment="1" pivotButton="0" quotePrefix="0" xfId="7">
      <alignment horizontal="center" vertical="top" wrapText="1"/>
    </xf>
    <xf numFmtId="165" fontId="11" fillId="0" borderId="43" applyAlignment="1" pivotButton="0" quotePrefix="0" xfId="7">
      <alignment horizontal="center" vertical="top" wrapText="1"/>
    </xf>
    <xf numFmtId="0" fontId="21" fillId="0" borderId="25" applyAlignment="1" applyProtection="1" pivotButton="0" quotePrefix="0" xfId="8">
      <alignment horizontal="left" vertical="top" wrapText="1"/>
      <protection locked="0" hidden="0"/>
    </xf>
    <xf numFmtId="0" fontId="26" fillId="0" borderId="34" applyAlignment="1" applyProtection="1" pivotButton="0" quotePrefix="0" xfId="8">
      <alignment horizontal="left" vertical="top" wrapText="1"/>
      <protection locked="0" hidden="0"/>
    </xf>
    <xf numFmtId="0" fontId="26" fillId="0" borderId="34" applyAlignment="1" applyProtection="1" pivotButton="0" quotePrefix="0" xfId="8">
      <alignment horizontal="center" vertical="top" wrapText="1"/>
      <protection locked="0" hidden="0"/>
    </xf>
    <xf numFmtId="164" fontId="26" fillId="9" borderId="39" applyAlignment="1" pivotButton="0" quotePrefix="0" xfId="8">
      <alignment horizontal="right" vertical="top"/>
    </xf>
    <xf numFmtId="0" fontId="26" fillId="0" borderId="25" applyAlignment="1" applyProtection="1" pivotButton="0" quotePrefix="0" xfId="8">
      <alignment horizontal="left" vertical="top" wrapText="1"/>
      <protection locked="0" hidden="0"/>
    </xf>
    <xf numFmtId="2" fontId="22" fillId="9" borderId="39" applyAlignment="1" pivotButton="0" quotePrefix="0" xfId="8">
      <alignment horizontal="right" vertical="top"/>
    </xf>
    <xf numFmtId="2" fontId="22" fillId="9" borderId="69" applyAlignment="1" pivotButton="0" quotePrefix="0" xfId="8">
      <alignment horizontal="right" vertical="top"/>
    </xf>
    <xf numFmtId="2" fontId="26" fillId="9" borderId="39" applyAlignment="1" pivotButton="0" quotePrefix="0" xfId="8">
      <alignment horizontal="right" vertical="top"/>
    </xf>
    <xf numFmtId="2" fontId="26" fillId="9" borderId="69" applyAlignment="1" pivotButton="0" quotePrefix="0" xfId="8">
      <alignment horizontal="right" vertical="top"/>
    </xf>
    <xf numFmtId="164" fontId="22" fillId="22" borderId="39" applyAlignment="1" pivotButton="0" quotePrefix="0" xfId="8">
      <alignment horizontal="right" vertical="top"/>
    </xf>
    <xf numFmtId="0" fontId="34" fillId="22" borderId="1" applyAlignment="1" pivotButton="0" quotePrefix="0" xfId="7">
      <alignment horizontal="left" vertical="center" wrapText="1"/>
    </xf>
    <xf numFmtId="14" fontId="23" fillId="5" borderId="67" applyAlignment="1" pivotButton="0" quotePrefix="0" xfId="8">
      <alignment horizontal="center" vertical="top"/>
    </xf>
    <xf numFmtId="164" fontId="22" fillId="22" borderId="69" applyAlignment="1" pivotButton="0" quotePrefix="0" xfId="8">
      <alignment horizontal="right" vertical="top"/>
    </xf>
    <xf numFmtId="0" fontId="34" fillId="22" borderId="25" applyAlignment="1" pivotButton="0" quotePrefix="0" xfId="7">
      <alignment horizontal="left" vertical="center" wrapText="1"/>
    </xf>
    <xf numFmtId="0" fontId="20" fillId="22" borderId="25" applyAlignment="1" pivotButton="0" quotePrefix="0" xfId="7">
      <alignment horizontal="left" vertical="center" wrapText="1"/>
    </xf>
    <xf numFmtId="14" fontId="23" fillId="5" borderId="67" applyAlignment="1" pivotButton="0" quotePrefix="0" xfId="8">
      <alignment horizontal="center" vertical="center"/>
    </xf>
    <xf numFmtId="0" fontId="34" fillId="22" borderId="25" applyAlignment="1" pivotButton="0" quotePrefix="0" xfId="7">
      <alignment horizontal="left" vertical="top" wrapText="1"/>
    </xf>
    <xf numFmtId="0" fontId="20" fillId="22" borderId="25" applyAlignment="1" pivotButton="0" quotePrefix="0" xfId="7">
      <alignment horizontal="left" vertical="top" wrapText="1"/>
    </xf>
    <xf numFmtId="165"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center" wrapText="1"/>
      <protection locked="0" hidden="0"/>
    </xf>
    <xf numFmtId="0" fontId="22" fillId="22" borderId="25" applyAlignment="1" applyProtection="1" pivotButton="0" quotePrefix="0" xfId="8">
      <alignment horizontal="left" vertical="top" wrapText="1"/>
      <protection locked="0" hidden="0"/>
    </xf>
    <xf numFmtId="49" fontId="22" fillId="5" borderId="25" applyAlignment="1" applyProtection="1" pivotButton="0" quotePrefix="0" xfId="8">
      <alignment horizontal="center" vertical="top"/>
      <protection locked="0" hidden="0"/>
    </xf>
    <xf numFmtId="49" fontId="20" fillId="5" borderId="25" applyAlignment="1" applyProtection="1" pivotButton="0" quotePrefix="0" xfId="8">
      <alignment horizontal="center" vertical="center"/>
      <protection locked="0" hidden="0"/>
    </xf>
    <xf numFmtId="49" fontId="22" fillId="5" borderId="25" applyAlignment="1" applyProtection="1" pivotButton="0" quotePrefix="0" xfId="8">
      <alignment horizontal="center" vertical="center"/>
      <protection locked="0" hidden="0"/>
    </xf>
    <xf numFmtId="165" fontId="20" fillId="5" borderId="25" applyAlignment="1" applyProtection="1" pivotButton="0" quotePrefix="0" xfId="8">
      <alignment horizontal="left" vertical="top"/>
      <protection locked="0" hidden="0"/>
    </xf>
    <xf numFmtId="0" fontId="20" fillId="5" borderId="25" applyAlignment="1" pivotButton="0" quotePrefix="0" xfId="7">
      <alignment horizontal="left" vertical="top" wrapText="1"/>
    </xf>
    <xf numFmtId="0" fontId="22" fillId="5" borderId="25" applyAlignment="1" applyProtection="1" pivotButton="0" quotePrefix="0" xfId="8">
      <alignment horizontal="left" vertical="top" wrapText="1"/>
      <protection locked="0" hidden="0"/>
    </xf>
    <xf numFmtId="0" fontId="0" fillId="0" borderId="32" pivotButton="0" quotePrefix="0" xfId="0"/>
    <xf numFmtId="170" fontId="38" fillId="0" borderId="32" applyAlignment="1" applyProtection="1" pivotButton="0" quotePrefix="0" xfId="4">
      <alignment horizontal="center"/>
      <protection locked="0" hidden="0"/>
    </xf>
    <xf numFmtId="0" fontId="0" fillId="0" borderId="32" applyProtection="1" pivotButton="0" quotePrefix="0" xfId="0">
      <protection locked="0" hidden="0"/>
    </xf>
    <xf numFmtId="0" fontId="0" fillId="0" borderId="0" applyProtection="1" pivotButton="0" quotePrefix="0" xfId="0">
      <protection locked="0" hidden="0"/>
    </xf>
    <xf numFmtId="0" fontId="19" fillId="0" borderId="25" applyAlignment="1" pivotButton="0" quotePrefix="0" xfId="0">
      <alignment horizontal="left" vertical="center"/>
    </xf>
    <xf numFmtId="0" fontId="5" fillId="0" borderId="25" applyAlignment="1" pivotButton="0" quotePrefix="0" xfId="0">
      <alignment horizontal="left" vertical="top" wrapText="1"/>
    </xf>
    <xf numFmtId="0" fontId="5" fillId="0" borderId="25" applyAlignment="1" pivotButton="0" quotePrefix="0" xfId="0">
      <alignment horizontal="left" vertical="top"/>
    </xf>
    <xf numFmtId="0" fontId="10" fillId="23" borderId="70" applyAlignment="1" pivotButton="0" quotePrefix="0" xfId="0">
      <alignment horizontal="center" vertical="top" wrapText="1"/>
    </xf>
    <xf numFmtId="168" fontId="10" fillId="0" borderId="31" applyAlignment="1" pivotButton="0" quotePrefix="0" xfId="0">
      <alignment horizontal="left" vertical="top" wrapText="1"/>
    </xf>
    <xf numFmtId="169" fontId="10" fillId="0" borderId="43" applyAlignment="1" pivotButton="0" quotePrefix="0" xfId="0">
      <alignment horizontal="center" vertical="top" wrapText="1"/>
    </xf>
    <xf numFmtId="165" fontId="4" fillId="3" borderId="28" applyAlignment="1" pivotButton="0" quotePrefix="0" xfId="0">
      <alignment horizontal="right"/>
    </xf>
    <xf numFmtId="165" fontId="11" fillId="0" borderId="25" applyAlignment="1" pivotButton="0" quotePrefix="0" xfId="7">
      <alignment horizontal="center" vertical="top" wrapText="1"/>
    </xf>
    <xf numFmtId="165" fontId="11" fillId="5" borderId="43" applyAlignment="1" pivotButton="0" quotePrefix="0" xfId="7">
      <alignment horizontal="center" vertical="center" wrapText="1"/>
    </xf>
    <xf numFmtId="165" fontId="10" fillId="0" borderId="43" applyAlignment="1" pivotButton="0" quotePrefix="0" xfId="7">
      <alignment horizontal="center" vertical="center" wrapText="1"/>
    </xf>
    <xf numFmtId="0" fontId="20" fillId="23" borderId="43" applyAlignment="1" pivotButton="0" quotePrefix="0" xfId="7">
      <alignment horizontal="left" vertical="center" wrapText="1"/>
    </xf>
    <xf numFmtId="165" fontId="10" fillId="0" borderId="25" applyAlignment="1" pivotButton="0" quotePrefix="0" xfId="7">
      <alignment vertical="top"/>
    </xf>
    <xf numFmtId="165" fontId="11" fillId="0" borderId="43" applyAlignment="1" pivotButton="0" quotePrefix="0" xfId="7">
      <alignment horizontal="center" vertical="top" wrapText="1"/>
    </xf>
    <xf numFmtId="0" fontId="7" fillId="4" borderId="25" applyAlignment="1" pivotButton="0" quotePrefix="0" xfId="0">
      <alignment horizontal="center" vertical="center"/>
    </xf>
    <xf numFmtId="0" fontId="8" fillId="0" borderId="25" applyAlignment="1" pivotButton="0" quotePrefix="0" xfId="0">
      <alignment horizontal="center" vertical="center"/>
    </xf>
    <xf numFmtId="0" fontId="9" fillId="0" borderId="25" applyAlignment="1" pivotButton="0" quotePrefix="0" xfId="0">
      <alignment horizontal="center" vertical="center"/>
    </xf>
    <xf numFmtId="0" fontId="8" fillId="0" borderId="83" applyAlignment="1" pivotButton="0" quotePrefix="0" xfId="0">
      <alignment horizontal="center" vertical="center"/>
    </xf>
    <xf numFmtId="0" fontId="0" fillId="0" borderId="8" pivotButton="0" quotePrefix="0" xfId="0"/>
    <xf numFmtId="0" fontId="0" fillId="0" borderId="13" pivotButton="0" quotePrefix="0" xfId="0"/>
    <xf numFmtId="0" fontId="8" fillId="0" borderId="82" applyAlignment="1" pivotButton="0" quotePrefix="0" xfId="0">
      <alignment horizontal="center" vertical="center"/>
    </xf>
    <xf numFmtId="0" fontId="0" fillId="0" borderId="10" pivotButton="0" quotePrefix="0" xfId="0"/>
    <xf numFmtId="0" fontId="0" fillId="0" borderId="11" pivotButton="0" quotePrefix="0" xfId="0"/>
    <xf numFmtId="0" fontId="0" fillId="0" borderId="26" pivotButton="0" quotePrefix="0" xfId="0"/>
    <xf numFmtId="0" fontId="0" fillId="0" borderId="20" pivotButton="0" quotePrefix="0" xfId="0"/>
    <xf numFmtId="0" fontId="0" fillId="0" borderId="23" pivotButton="0" quotePrefix="0" xfId="0"/>
    <xf numFmtId="167" fontId="21" fillId="6" borderId="43" applyAlignment="1" pivotButton="0" quotePrefix="0" xfId="7">
      <alignment horizontal="left" vertical="center" wrapText="1"/>
    </xf>
    <xf numFmtId="49" fontId="29" fillId="0" borderId="88" applyAlignment="1" applyProtection="1" pivotButton="0" quotePrefix="0" xfId="8">
      <alignment horizontal="center" vertical="center" wrapText="1"/>
      <protection locked="0" hidden="0"/>
    </xf>
    <xf numFmtId="49" fontId="26" fillId="0" borderId="89" applyAlignment="1" pivotButton="0" quotePrefix="0" xfId="8">
      <alignment horizontal="right" vertical="top"/>
    </xf>
    <xf numFmtId="0" fontId="0" fillId="0" borderId="33" pivotButton="0" quotePrefix="0" xfId="0"/>
    <xf numFmtId="49" fontId="22" fillId="6" borderId="31" applyAlignment="1" applyProtection="1" pivotButton="0" quotePrefix="0" xfId="8">
      <alignment horizontal="left" vertical="top" wrapText="1"/>
      <protection locked="0" hidden="0"/>
    </xf>
    <xf numFmtId="49" fontId="26" fillId="0" borderId="38" applyAlignment="1" pivotButton="0" quotePrefix="0" xfId="9">
      <alignment horizontal="right" vertical="top"/>
    </xf>
    <xf numFmtId="0" fontId="0" fillId="0" borderId="38" pivotButton="0" quotePrefix="0" xfId="0"/>
    <xf numFmtId="0" fontId="0" fillId="0" borderId="64" applyProtection="1" pivotButton="0" quotePrefix="0" xfId="0">
      <protection locked="0" hidden="0"/>
    </xf>
    <xf numFmtId="49" fontId="26" fillId="0" borderId="89" applyAlignment="1" pivotButton="0" quotePrefix="0" xfId="8">
      <alignment horizontal="right"/>
    </xf>
    <xf numFmtId="0" fontId="0" fillId="0" borderId="57" applyProtection="1" pivotButton="0" quotePrefix="0" xfId="0">
      <protection locked="0" hidden="0"/>
    </xf>
    <xf numFmtId="49" fontId="26" fillId="0" borderId="90" applyAlignment="1" pivotButton="0" quotePrefix="0" xfId="8">
      <alignment horizontal="right" vertical="top"/>
    </xf>
    <xf numFmtId="0" fontId="30" fillId="0" borderId="89" applyAlignment="1" pivotButton="0" quotePrefix="0" xfId="8">
      <alignment horizontal="center" vertical="center" wrapText="1"/>
    </xf>
    <xf numFmtId="0" fontId="0" fillId="0" borderId="68" applyProtection="1" pivotButton="0" quotePrefix="0" xfId="0">
      <protection locked="0" hidden="0"/>
    </xf>
    <xf numFmtId="49" fontId="26" fillId="0" borderId="91" applyAlignment="1" pivotButton="0" quotePrefix="0" xfId="8">
      <alignment horizontal="right" wrapText="1"/>
    </xf>
    <xf numFmtId="0" fontId="0" fillId="0" borderId="93" pivotButton="0" quotePrefix="0" xfId="0"/>
    <xf numFmtId="165" fontId="26" fillId="6" borderId="31" applyAlignment="1" applyProtection="1" pivotButton="0" quotePrefix="0" xfId="8">
      <alignment horizontal="left"/>
      <protection locked="0" hidden="0"/>
    </xf>
    <xf numFmtId="14" fontId="26" fillId="0" borderId="42" applyAlignment="1" pivotButton="0" quotePrefix="0" xfId="8">
      <alignment horizontal="right" vertical="top"/>
    </xf>
    <xf numFmtId="0" fontId="0" fillId="0" borderId="42" pivotButton="0" quotePrefix="0" xfId="0"/>
    <xf numFmtId="0" fontId="0" fillId="0" borderId="62" applyProtection="1" pivotButton="0" quotePrefix="0" xfId="0">
      <protection locked="0" hidden="0"/>
    </xf>
    <xf numFmtId="49" fontId="28" fillId="9" borderId="84" applyAlignment="1" pivotButton="0" quotePrefix="0" xfId="8">
      <alignment horizontal="center" vertical="center" textRotation="180"/>
    </xf>
    <xf numFmtId="164" fontId="26" fillId="6" borderId="86" applyAlignment="1" pivotButton="0" quotePrefix="0" xfId="8">
      <alignment horizontal="center" vertical="center"/>
    </xf>
    <xf numFmtId="0" fontId="27" fillId="0" borderId="86" applyAlignment="1" pivotButton="0" quotePrefix="0" xfId="8">
      <alignment horizontal="center" vertical="center"/>
    </xf>
    <xf numFmtId="0" fontId="0" fillId="0" borderId="51" pivotButton="0" quotePrefix="0" xfId="0"/>
    <xf numFmtId="165" fontId="22" fillId="9" borderId="97" applyAlignment="1" pivotButton="0" quotePrefix="0" xfId="8">
      <alignment horizontal="right" vertical="center"/>
    </xf>
    <xf numFmtId="165" fontId="22" fillId="9" borderId="94" applyAlignment="1" pivotButton="0" quotePrefix="0" xfId="8">
      <alignment horizontal="right" vertical="center"/>
    </xf>
    <xf numFmtId="165" fontId="22" fillId="9" borderId="94" applyAlignment="1" pivotButton="0" quotePrefix="0" xfId="8">
      <alignment horizontal="center" vertical="center"/>
    </xf>
    <xf numFmtId="0" fontId="0" fillId="0" borderId="85" pivotButton="0" quotePrefix="0" xfId="0"/>
    <xf numFmtId="0" fontId="0" fillId="0" borderId="47" pivotButton="0" quotePrefix="0" xfId="0"/>
    <xf numFmtId="0" fontId="0" fillId="0" borderId="46" pivotButton="0" quotePrefix="0" xfId="0"/>
    <xf numFmtId="166" fontId="22" fillId="6" borderId="42" applyAlignment="1" pivotButton="0" quotePrefix="0" xfId="8">
      <alignment vertical="top"/>
    </xf>
    <xf numFmtId="165" fontId="22" fillId="6" borderId="41" applyAlignment="1" pivotButton="0" quotePrefix="0" xfId="8">
      <alignment horizontal="right" vertical="top"/>
    </xf>
    <xf numFmtId="165" fontId="24" fillId="6" borderId="40" applyAlignment="1" pivotButton="0" quotePrefix="0" xfId="8">
      <alignment horizontal="right" vertical="top"/>
    </xf>
    <xf numFmtId="165" fontId="22" fillId="6" borderId="40" applyAlignment="1" pivotButton="0" quotePrefix="0" xfId="8">
      <alignment horizontal="right" vertical="top"/>
    </xf>
    <xf numFmtId="165" fontId="22" fillId="6" borderId="40" applyAlignment="1" pivotButton="0" quotePrefix="0" xfId="8">
      <alignment horizontal="center" vertical="center"/>
    </xf>
    <xf numFmtId="165" fontId="24" fillId="6" borderId="40" applyAlignment="1" pivotButton="0" quotePrefix="0" xfId="8">
      <alignment horizontal="center" vertical="center"/>
    </xf>
    <xf numFmtId="165" fontId="22" fillId="0" borderId="25" applyAlignment="1" applyProtection="1" pivotButton="0" quotePrefix="0" xfId="8">
      <alignment horizontal="right"/>
      <protection locked="0" hidden="0"/>
    </xf>
    <xf numFmtId="166" fontId="22" fillId="0" borderId="38" applyAlignment="1" applyProtection="1" pivotButton="0" quotePrefix="0" xfId="8">
      <alignment horizontal="center" vertical="top"/>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57" applyAlignment="1" applyProtection="1" pivotButton="0" quotePrefix="0" xfId="8">
      <alignment horizontal="right"/>
      <protection locked="0" hidden="0"/>
    </xf>
    <xf numFmtId="165" fontId="34"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wrapText="1"/>
      <protection locked="0" hidden="0"/>
    </xf>
    <xf numFmtId="165" fontId="22" fillId="0" borderId="25" applyAlignment="1" applyProtection="1" pivotButton="0" quotePrefix="0" xfId="8">
      <alignment horizontal="right" vertical="top"/>
      <protection locked="0" hidden="0"/>
    </xf>
    <xf numFmtId="49" fontId="22" fillId="23" borderId="25" applyAlignment="1" applyProtection="1" pivotButton="0" quotePrefix="0" xfId="8">
      <alignment horizontal="center" vertical="top"/>
      <protection locked="0" hidden="0"/>
    </xf>
    <xf numFmtId="165" fontId="22" fillId="6" borderId="40" applyAlignment="1" pivotButton="0" quotePrefix="0" xfId="8">
      <alignment horizontal="center" vertical="top"/>
    </xf>
    <xf numFmtId="166" fontId="20" fillId="0" borderId="38" applyAlignment="1" applyProtection="1" pivotButton="0" quotePrefix="0" xfId="8">
      <alignment horizontal="center" vertical="top"/>
      <protection locked="0" hidden="0"/>
    </xf>
    <xf numFmtId="165" fontId="22" fillId="0" borderId="25"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165" fontId="22" fillId="0" borderId="25" applyAlignment="1" applyProtection="1" pivotButton="0" quotePrefix="0" xfId="8">
      <alignment horizontal="center"/>
      <protection locked="0" hidden="0"/>
    </xf>
    <xf numFmtId="165" fontId="22" fillId="0" borderId="25" applyAlignment="1" pivotButton="0" quotePrefix="0" xfId="8">
      <alignment horizontal="center" vertical="center"/>
    </xf>
    <xf numFmtId="0" fontId="20" fillId="23" borderId="25" applyAlignment="1" pivotButton="0" quotePrefix="0" xfId="7">
      <alignment horizontal="left" vertical="center" wrapText="1"/>
    </xf>
    <xf numFmtId="165" fontId="20" fillId="5" borderId="25" applyAlignment="1" applyProtection="1" pivotButton="0" quotePrefix="0" xfId="8">
      <alignment horizontal="left" vertical="top"/>
      <protection locked="0" hidden="0"/>
    </xf>
    <xf numFmtId="165" fontId="20" fillId="22" borderId="25" applyAlignment="1" applyProtection="1" pivotButton="0" quotePrefix="0" xfId="8">
      <alignment horizontal="left" vertical="top" wrapText="1"/>
      <protection locked="0" hidden="0"/>
    </xf>
    <xf numFmtId="164" fontId="22" fillId="23" borderId="69" applyAlignment="1" pivotButton="0" quotePrefix="0" xfId="8">
      <alignment horizontal="right" vertical="top"/>
    </xf>
    <xf numFmtId="164" fontId="22" fillId="23" borderId="39" applyAlignment="1" pivotButton="0" quotePrefix="0" xfId="8">
      <alignment horizontal="right" vertical="top"/>
    </xf>
    <xf numFmtId="165" fontId="22" fillId="0" borderId="25" applyAlignment="1" pivotButton="0" quotePrefix="0" xfId="8">
      <alignment horizontal="right" vertical="top"/>
    </xf>
    <xf numFmtId="165" fontId="22" fillId="23" borderId="25" applyAlignment="1" applyProtection="1" pivotButton="0" quotePrefix="0" xfId="8">
      <alignment horizontal="right"/>
      <protection locked="0" hidden="0"/>
    </xf>
    <xf numFmtId="2" fontId="26" fillId="23" borderId="39" applyAlignment="1" pivotButton="0" quotePrefix="0" xfId="8">
      <alignment horizontal="right" vertical="top"/>
    </xf>
    <xf numFmtId="49" fontId="22" fillId="6" borderId="70" applyAlignment="1" applyProtection="1" pivotButton="0" quotePrefix="0" xfId="8">
      <alignment horizontal="left" vertical="top" wrapText="1"/>
      <protection locked="0" hidden="0"/>
    </xf>
    <xf numFmtId="0" fontId="0" fillId="0" borderId="101" applyProtection="1" pivotButton="0" quotePrefix="0" xfId="0">
      <protection locked="0" hidden="0"/>
    </xf>
    <xf numFmtId="0" fontId="0" fillId="0" borderId="102" applyProtection="1" pivotButton="0" quotePrefix="0" xfId="0">
      <protection locked="0" hidden="0"/>
    </xf>
    <xf numFmtId="165" fontId="26" fillId="6" borderId="43" applyAlignment="1" applyProtection="1" pivotButton="0" quotePrefix="0" xfId="8">
      <alignment horizontal="left"/>
      <protection locked="0" hidden="0"/>
    </xf>
    <xf numFmtId="49" fontId="28" fillId="9" borderId="100" applyAlignment="1" pivotButton="0" quotePrefix="0" xfId="8">
      <alignment horizontal="center" vertical="center" textRotation="180"/>
    </xf>
    <xf numFmtId="0" fontId="0" fillId="0" borderId="56" pivotButton="0" quotePrefix="0" xfId="0"/>
    <xf numFmtId="0" fontId="0" fillId="0" borderId="48" pivotButton="0" quotePrefix="0" xfId="0"/>
    <xf numFmtId="49" fontId="22" fillId="23" borderId="70" applyAlignment="1" applyProtection="1" pivotButton="0" quotePrefix="0" xfId="8">
      <alignment horizontal="left" vertical="top" wrapText="1"/>
      <protection locked="0" hidden="0"/>
    </xf>
    <xf numFmtId="165" fontId="26" fillId="23" borderId="43" applyAlignment="1" applyProtection="1" pivotButton="0" quotePrefix="0" xfId="8">
      <alignment horizontal="left"/>
      <protection locked="0" hidden="0"/>
    </xf>
    <xf numFmtId="164" fontId="22" fillId="23" borderId="72" applyAlignment="1" pivotButton="0" quotePrefix="0" xfId="8">
      <alignment horizontal="right" vertical="top"/>
    </xf>
    <xf numFmtId="0" fontId="13" fillId="23" borderId="25" applyAlignment="1" pivotButton="0" quotePrefix="0" xfId="7">
      <alignment horizontal="left" vertical="top" wrapText="1"/>
    </xf>
    <xf numFmtId="14" fontId="2" fillId="23" borderId="25" applyAlignment="1" pivotButton="0" quotePrefix="0" xfId="7">
      <alignment horizontal="left" vertical="top"/>
    </xf>
    <xf numFmtId="14" fontId="13" fillId="23" borderId="25" applyAlignment="1" pivotButton="0" quotePrefix="0" xfId="7">
      <alignment horizontal="left" vertical="top" wrapText="1"/>
    </xf>
    <xf numFmtId="0" fontId="53" fillId="0" borderId="0" pivotButton="0" quotePrefix="0" xfId="0"/>
    <xf numFmtId="0" fontId="54" fillId="0" borderId="0" pivotButton="0" quotePrefix="0" xfId="0"/>
    <xf numFmtId="0" fontId="55" fillId="0" borderId="103" applyAlignment="1" pivotButton="0" quotePrefix="0" xfId="0">
      <alignment horizontal="center" wrapText="1"/>
    </xf>
    <xf numFmtId="0" fontId="57" fillId="0" borderId="103" pivotButton="0" quotePrefix="0" xfId="0"/>
    <xf numFmtId="0" fontId="56" fillId="0" borderId="103" pivotButton="0" quotePrefix="0" xfId="0"/>
    <xf numFmtId="2" fontId="56" fillId="0" borderId="103" pivotButton="0" quotePrefix="0" xfId="0"/>
    <xf numFmtId="0" fontId="55" fillId="0" borderId="103" pivotButton="0" quotePrefix="0" xfId="0"/>
    <xf numFmtId="0" fontId="0" fillId="0" borderId="103" pivotButton="0" quotePrefix="0" xfId="0"/>
    <xf numFmtId="2" fontId="55" fillId="0" borderId="103" pivotButton="0" quotePrefix="0" xfId="0"/>
    <xf numFmtId="0" fontId="55" fillId="0" borderId="0" pivotButton="0" quotePrefix="0" xfId="0"/>
    <xf numFmtId="0" fontId="56" fillId="0" borderId="103" applyAlignment="1" pivotButton="0" quotePrefix="0" xfId="0">
      <alignment vertical="top" wrapText="1"/>
    </xf>
    <xf numFmtId="0" fontId="57" fillId="0" borderId="0" pivotButton="0" quotePrefix="0" xfId="0"/>
  </cellXfs>
  <cellStyles count="11">
    <cellStyle name="Normal" xfId="0" builtinId="0"/>
    <cellStyle name="Normal 4" xfId="1"/>
    <cellStyle name="Percent 3" xfId="2"/>
    <cellStyle name="Normal 2" xfId="3"/>
    <cellStyle name="Normal_08N-26E-22 SECTION PLAT" xfId="4"/>
    <cellStyle name="Normal 3" xfId="5"/>
    <cellStyle name="Normal 2 2" xfId="6"/>
    <cellStyle name="Normal 5" xfId="7"/>
    <cellStyle name="Normal 3 2" xfId="8"/>
    <cellStyle name="Normal 2 3" xfId="9"/>
    <cellStyle name="Hyperlink" xfId="10" builtinId="8"/>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externalLink" Target="/xl/externalLinks/externalLink1.xml" Id="rId18" /><Relationship Type="http://schemas.openxmlformats.org/officeDocument/2006/relationships/externalLink" Target="/xl/externalLinks/externalLink2.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Title Audit</author>
  </authors>
  <commentList>
    <comment ref="G12" authorId="0" shapeId="0">
      <text>
        <t>MISSING: NRI/WI calc pending
Silver Oak 2026 O&amp;L block — NRI/WI not yet computed</t>
      </text>
    </comment>
  </commentList>
</comments>
</file>

<file path=xl/comments/comment2.xml><?xml version="1.0" encoding="utf-8"?>
<comments xmlns="http://schemas.openxmlformats.org/spreadsheetml/2006/main">
  <authors>
    <author>Title Audit</author>
  </authors>
  <commentList>
    <comment ref="I3" authorId="0" shapeId="0">
      <text>
        <t>NAME CONFLICT: recorded spelling variant
Silver Oak vs SilverOak vs Silveroak — do not silently merge</t>
      </text>
    </comment>
  </commentList>
</comments>
</file>

<file path=xl/comments/comment3.xml><?xml version="1.0" encoding="utf-8"?>
<comments xmlns="http://schemas.openxmlformats.org/spreadsheetml/2006/main">
  <authors>
    <author>Title Audit</author>
  </authors>
  <commentList>
    <comment ref="AS5" authorId="0" shapeId="0">
      <text>
        <t>GAP: chain break — examiner review
MD 933/226 (1987-007680): grantor UND 3/791.47 has no grantee row</t>
      </text>
    </comment>
    <comment ref="CM5" authorId="0" shapeId="0">
      <text>
        <t>OVER-CONVEYANCE: owner nets &gt;1 — examiner review
PROB 1479/191 (1995-001954): heirs receive 8/7 of estate interest</t>
      </text>
    </comment>
    <comment ref="D71" authorId="0" shapeId="0">
      <text>
        <t>NAME CONFLICT: recorded spelling variant
'on T. Williams, Jr.' truncated upstream (same in Runsheet); do not invent</t>
      </text>
    </comment>
  </commentList>
</comments>
</file>

<file path=xl/comments/comment4.xml><?xml version="1.0" encoding="utf-8"?>
<comments xmlns="http://schemas.openxmlformats.org/spreadsheetml/2006/main">
  <authors>
    <author>Title Audit</author>
  </authors>
  <commentList>
    <comment ref="E56" authorId="0" shapeId="0">
      <text>
        <t>OVER-CONVEYANCE: owner nets &gt;1 — examiner review</t>
      </text>
    </comment>
    <comment ref="E59" authorId="0" shapeId="0">
      <text>
        <t>OVER-CONVEYANCE: owner nets &gt;1 — examiner review</t>
      </text>
    </comment>
    <comment ref="E99" authorId="0" shapeId="0">
      <text>
        <t>OVER-CONVEYANCE: owner nets &gt;1 — examiner review</t>
      </text>
    </comment>
  </commentList>
</comments>
</file>

<file path=xl/comments/comment5.xml><?xml version="1.0" encoding="utf-8"?>
<comments xmlns="http://schemas.openxmlformats.org/spreadsheetml/2006/main">
  <authors>
    <author>Title Audit</author>
  </authors>
  <commentList>
    <comment ref="K191" authorId="0" shapeId="0">
      <text>
        <t>HBP?: confirm lease still held by production</t>
      </text>
    </comment>
  </commentList>
</comments>
</file>

<file path=xl/comments/comment6.xml><?xml version="1.0" encoding="utf-8"?>
<comments xmlns="http://schemas.openxmlformats.org/spreadsheetml/2006/main">
  <authors>
    <author>Title Audit</author>
  </authors>
  <commentList>
    <comment ref="C97" authorId="0" shapeId="0">
      <text>
        <t>CONFIRM: acreage vs legal description
Curated current-ownership total 41.23 ≠ tract acres 40 (D5)</t>
      </text>
    </comment>
  </commentList>
</comments>
</file>

<file path=xl/comments/comment7.xml><?xml version="1.0" encoding="utf-8"?>
<comments xmlns="http://schemas.openxmlformats.org/spreadsheetml/2006/main">
  <authors>
    <author>Title Audit</author>
  </authors>
  <commentList>
    <comment ref="E10" authorId="0" shapeId="0">
      <text>
        <t>OVER-CONVEYANCE: owner nets &gt;1 — examiner review</t>
      </text>
    </comment>
    <comment ref="E11" authorId="0" shapeId="0">
      <text>
        <t>OVER-CONVEYANCE: owner nets &gt;1 — examiner review</t>
      </text>
    </comment>
  </commentList>
</comments>
</file>

<file path=xl/comments/comment8.xml><?xml version="1.0" encoding="utf-8"?>
<comments xmlns="http://schemas.openxmlformats.org/spreadsheetml/2006/main">
  <authors>
    <author>Title Audit</author>
  </authors>
  <commentList>
    <comment ref="D2" authorId="0" shapeId="0">
      <text>
        <t>HBP?: confirm lease still held by production</t>
      </text>
    </comment>
    <comment ref="D5" authorId="0" shapeId="0">
      <text>
        <t>CONFIRM: acreage vs legal description
Source: workbook WI 1!C6 &amp; Template.xlsx WI 1!D5 = 448.333333</t>
      </text>
    </comment>
    <comment ref="E11" authorId="0" shapeId="0">
      <text>
        <t>OVER-CONVEYANCE: owner nets &gt;1 — examiner review</t>
      </text>
    </comment>
    <comment ref="E13" authorId="0" shapeId="0">
      <text>
        <t>OVER-CONVEYANCE: owner nets &gt;1 — examiner review</t>
      </text>
    </comment>
    <comment ref="E15" authorId="0" shapeId="0">
      <text>
        <t>OVER-CONVEYANCE: owner nets &gt;1 — examiner review</t>
      </text>
    </comment>
  </commentList>
</comments>
</file>

<file path=xl/comments/comment9.xml><?xml version="1.0" encoding="utf-8"?>
<comments xmlns="http://schemas.openxmlformats.org/spreadsheetml/2006/main">
  <authors>
    <author>Title Audit</author>
  </authors>
  <commentList>
    <comment ref="E3" authorId="0" shapeId="0">
      <text>
        <t>VERIFY: pull OCC pooling/spacing</t>
      </text>
    </comment>
    <comment ref="O3" authorId="0" shapeId="0">
      <text>
        <t>VERIFY: pull OTC/GPT production status</t>
      </text>
    </comment>
    <comment ref="P3" authorId="0" shapeId="0">
      <text>
        <t>HBP?: confirm lease still held by production</t>
      </text>
    </comment>
  </commentList>
</comment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85725</xdr:colOff>
      <xdr:row>0</xdr:row>
      <xdr:rowOff>0</xdr:rowOff>
    </xdr:from>
    <xdr:to>
      <xdr:col>23</xdr:col>
      <xdr:colOff>146258</xdr:colOff>
      <xdr:row>2</xdr:row>
      <xdr:rowOff>147371</xdr:rowOff>
    </xdr:to>
    <xdr:pic>
      <xdr:nvPicPr>
        <xdr:cNvPr id="2" name="Graphic 1">
          <a:extLst>
            <a:ext uri="{FF2B5EF4-FFF2-40B4-BE49-F238E27FC236}">
              <a16:creationId xmlns:a16="http://schemas.microsoft.com/office/drawing/2014/main" id="{2CD76DBC-B015-4707-9B63-66169A0E31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2150" y="0"/>
          <a:ext cx="2537033" cy="1585646"/>
        </a:xfrm>
        <a:prstGeom prst="rect">
          <a:avLst/>
        </a:prstGeom>
      </xdr:spPr>
    </xdr:pic>
    <xdr:clientData/>
  </xdr:twoCellAnchor>
  <xdr:twoCellAnchor editAs="oneCell">
    <xdr:from>
      <xdr:col>10</xdr:col>
      <xdr:colOff>85725</xdr:colOff>
      <xdr:row>0</xdr:row>
      <xdr:rowOff>0</xdr:rowOff>
    </xdr:from>
    <xdr:to>
      <xdr:col>23</xdr:col>
      <xdr:colOff>146258</xdr:colOff>
      <xdr:row>2</xdr:row>
      <xdr:rowOff>147371</xdr:rowOff>
    </xdr:to>
    <xdr:pic>
      <xdr:nvPicPr>
        <xdr:cNvPr id="3" name="Graphic 1">
          <a:extLst>
            <a:ext uri="{FF2B5EF4-FFF2-40B4-BE49-F238E27FC236}">
              <a16:creationId xmlns:a16="http://schemas.microsoft.com/office/drawing/2014/main" id="{50AB99A7-C643-4673-BDB3-F9C4A1DFAF99}"/>
            </a:ext>
          </a:extLst>
        </xdr:cNvPr>
        <xdr:cNvPicPr>
          <a:picLocks noChangeAspect="1"/>
        </xdr:cNvPicPr>
      </xdr:nvPicPr>
      <xdr:blipFill>
        <a:blip xmlns:r="http://schemas.openxmlformats.org/officeDocument/2006/relationships" r:embed="rId3"/>
        <a:stretch>
          <a:fillRect/>
        </a:stretch>
      </xdr:blipFill>
      <xdr:spPr>
        <a:xfrm>
          <a:off x="1962150" y="0"/>
          <a:ext cx="2537033" cy="1585646"/>
        </a:xfrm>
        <a:prstGeom prst="rect">
          <a:avLst/>
        </a:prstGeom>
        <a:ln>
          <a:prstDash val="solid"/>
        </a:ln>
      </xdr:spPr>
    </xdr:pic>
    <xdr:clientData/>
  </xdr:twoCellAnchor>
  <xdr:twoCellAnchor editAs="oneCell">
    <xdr:from>
      <xdr:col>10</xdr:col>
      <xdr:colOff>85680</xdr:colOff>
      <xdr:row>0</xdr:row>
      <xdr:rowOff>0</xdr:rowOff>
    </xdr:from>
    <xdr:to>
      <xdr:col>23</xdr:col>
      <xdr:colOff>145800</xdr:colOff>
      <xdr:row>2</xdr:row>
      <xdr:rowOff>146880</xdr:rowOff>
    </xdr:to>
    <xdr:pic>
      <xdr:nvPicPr>
        <xdr:cNvPr id="4" name="Graphic 1">
          <a:extLst>
            <a:ext uri="{FF2B5EF4-FFF2-40B4-BE49-F238E27FC236}">
              <a16:creationId xmlns:a16="http://schemas.microsoft.com/office/drawing/2014/main" id="{BCA01322-BF2F-4554-A590-349062E64C6F}"/>
            </a:ext>
          </a:extLst>
        </xdr:cNvPr>
        <xdr:cNvPicPr/>
      </xdr:nvPicPr>
      <xdr:blipFill>
        <a:blip xmlns:r="http://schemas.openxmlformats.org/officeDocument/2006/relationships" r:embed="rId3"/>
        <a:stretch/>
      </xdr:blipFill>
      <xdr:spPr>
        <a:xfrm>
          <a:off x="1962105" y="0"/>
          <a:ext cx="2536620" cy="1585155"/>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19</xdr:col>
      <xdr:colOff>390525</xdr:colOff>
      <xdr:row>3</xdr:row>
      <xdr:rowOff>200025</xdr:rowOff>
    </xdr:from>
    <xdr:ext cx="5686425" cy="582930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externalLinks/_rels/externalLink1.xml.rels><Relationships xmlns="http://schemas.openxmlformats.org/package/2006/relationships"><Relationship Type="http://schemas.openxmlformats.org/officeDocument/2006/relationships/externalLinkPath" Target="https://d.docs.live.net/C/C/Users/emorris/Downloads/OR%2034-28N-08W%20%20Grant%20Co.%20%20(blm%201-13-2012).xls" TargetMode="External" Id="rId1" /></Relationships>
</file>

<file path=xl/externalLinks/_rels/externalLink2.xml.rels><Relationships xmlns="http://schemas.openxmlformats.org/package/2006/relationships"><Relationship Type="http://schemas.openxmlformats.org/officeDocument/2006/relationships/externalLinkPath" Target="https://d.docs.live.net/C/C/Users/emorris/Downloads/OR%2013-05N-08ECM%20Cimarron%20Co%20OK%20(Texhoma%20Pros)%204-12-2013%20BMason(2b).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Tract Plat Map "/>
      <sheetName val="Unit Leasehold Summary"/>
      <sheetName val="Well Notes, etc."/>
      <sheetName val="Open Ac. Summary"/>
      <sheetName val="Tr.1- NE4"/>
      <sheetName val="Tr.2- NW4 "/>
      <sheetName val="Tr.3- SW4"/>
      <sheetName val="Tr.4- SE4"/>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Well Plat Map "/>
      <sheetName val="Tract Plat Map"/>
      <sheetName val="Unit Leasehold Summary"/>
      <sheetName val="Well Notes, etc."/>
      <sheetName val="Open Acreage Summary"/>
      <sheetName val="Tr.1- NE4"/>
      <sheetName val="Tr.2- NW4"/>
      <sheetName val="Tr.3- SW4"/>
      <sheetName val="Tr.4- SE4"/>
      <sheetName val="Leasehold Schedule A"/>
      <sheetName val="Leasehold Schedule B"/>
      <sheetName val="Leasehold Schedule C"/>
      <sheetName val="Leasehold Schedule D"/>
      <sheetName val="Address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hyperlink" Target="#'Tract 1'!A1" TargetMode="External" Id="rId1" /><Relationship Type="http://schemas.openxmlformats.org/officeDocument/2006/relationships/hyperlink" Target="#'Tract 2'!A1" TargetMode="External" Id="rId2" /><Relationship Type="http://schemas.openxmlformats.org/officeDocument/2006/relationships/hyperlink" Target="#'Tract 3'!A1" TargetMode="External" Id="rId3" /><Relationship Type="http://schemas.openxmlformats.org/officeDocument/2006/relationships/hyperlink" Target="#'Tract 4'!A1" TargetMode="External" Id="rId4" /><Relationship Type="http://schemas.openxmlformats.org/officeDocument/2006/relationships/hyperlink" Target="#'Tract 5'!A1" TargetMode="External" Id="rId5" /><Relationship Type="http://schemas.openxmlformats.org/officeDocument/2006/relationships/hyperlink" Target="#'Tract 6'!A1" TargetMode="External" Id="rId6" /><Relationship Type="http://schemas.openxmlformats.org/officeDocument/2006/relationships/hyperlink" Target="#'Tract 7'!A1" TargetMode="External" Id="rId7" /><Relationship Type="http://schemas.openxmlformats.org/officeDocument/2006/relationships/hyperlink" Target="#'Tract 8'!A1" TargetMode="External" Id="rId8" /><Relationship Type="http://schemas.openxmlformats.org/officeDocument/2006/relationships/hyperlink" Target="#'WI 1'!A1" TargetMode="External" Id="rId9" /><Relationship Type="http://schemas.openxmlformats.org/officeDocument/2006/relationships/hyperlink" Target="#'WI 2'!A1" TargetMode="External" Id="rId10" /><Relationship Type="http://schemas.openxmlformats.org/officeDocument/2006/relationships/hyperlink" Target="#'Overview'!A1" TargetMode="External" Id="rId11" /><Relationship Type="http://schemas.openxmlformats.org/officeDocument/2006/relationships/hyperlink" Target="#'Tract 4'!A1" TargetMode="External" Id="rId12" /><Relationship Type="http://schemas.openxmlformats.org/officeDocument/2006/relationships/hyperlink" Target="#'Title '!A1" TargetMode="External" Id="rId13" /><Relationship Type="http://schemas.openxmlformats.org/officeDocument/2006/relationships/hyperlink" Target="#'Tract 5'!A1" TargetMode="External" Id="rId14" /><Relationship Type="http://schemas.openxmlformats.org/officeDocument/2006/relationships/hyperlink" Target="#'OGL'!A1" TargetMode="External" Id="rId15" /><Relationship Type="http://schemas.openxmlformats.org/officeDocument/2006/relationships/hyperlink" Target="#'Tract 6'!A1" TargetMode="External" Id="rId16" /><Relationship Type="http://schemas.openxmlformats.org/officeDocument/2006/relationships/hyperlink" Target="#'PLAT'!A1" TargetMode="External" Id="rId17" /><Relationship Type="http://schemas.openxmlformats.org/officeDocument/2006/relationships/hyperlink" Target="#'Tract 7'!A1" TargetMode="External" Id="rId18" /><Relationship Type="http://schemas.openxmlformats.org/officeDocument/2006/relationships/hyperlink" Target="#'Runsheet'!A1" TargetMode="External" Id="rId19" /><Relationship Type="http://schemas.openxmlformats.org/officeDocument/2006/relationships/hyperlink" Target="#'Tract 8'!A1" TargetMode="External" Id="rId20" /><Relationship Type="http://schemas.openxmlformats.org/officeDocument/2006/relationships/hyperlink" Target="#'Tract 1'!A1" TargetMode="External" Id="rId21" /><Relationship Type="http://schemas.openxmlformats.org/officeDocument/2006/relationships/hyperlink" Target="#'WI 2'!A1" TargetMode="External" Id="rId22" /><Relationship Type="http://schemas.openxmlformats.org/officeDocument/2006/relationships/hyperlink" Target="#'Tract 2'!A1" TargetMode="External" Id="rId23" /><Relationship Type="http://schemas.openxmlformats.org/officeDocument/2006/relationships/hyperlink" Target="#'WI 1'!A1" TargetMode="External" Id="rId24" /><Relationship Type="http://schemas.openxmlformats.org/officeDocument/2006/relationships/hyperlink" Target="#'Tract 3'!A1" TargetMode="External" Id="rId25" /><Relationship Type="http://schemas.openxmlformats.org/officeDocument/2006/relationships/hyperlink" Target="#'Well 1'!A1" TargetMode="External" Id="rId26" /></Relationships>
</file>

<file path=xl/worksheets/sheet1.xml><?xml version="1.0" encoding="utf-8"?>
<worksheet xmlns:r="http://schemas.openxmlformats.org/officeDocument/2006/relationships" xmlns="http://schemas.openxmlformats.org/spreadsheetml/2006/main">
  <sheetPr>
    <outlinePr summaryBelow="1" summaryRight="1"/>
    <pageSetUpPr fitToPage="1"/>
  </sheetPr>
  <dimension ref="A1:AH55"/>
  <sheetViews>
    <sheetView view="pageBreakPreview" topLeftCell="A7" zoomScaleNormal="100" zoomScaleSheetLayoutView="100" zoomScalePageLayoutView="50" workbookViewId="0">
      <selection activeCell="J54" sqref="J54"/>
    </sheetView>
  </sheetViews>
  <sheetFormatPr baseColWidth="8" defaultColWidth="8.42578125" defaultRowHeight="12.75"/>
  <cols>
    <col width="2.42578125" customWidth="1" style="464" min="1" max="1"/>
    <col width="2.85546875" customWidth="1" style="464" min="2" max="33"/>
    <col width="2.42578125" customWidth="1" style="464" min="34" max="34"/>
    <col width="8.42578125" customWidth="1" style="464" min="35" max="16384"/>
  </cols>
  <sheetData>
    <row r="1" ht="105" customHeight="1" s="267">
      <c r="A1" s="336" t="n"/>
    </row>
    <row r="2" ht="8.25" customHeight="1" s="267">
      <c r="A2" s="338" t="n"/>
      <c r="B2" s="338" t="n"/>
      <c r="C2" s="338" t="n"/>
      <c r="D2" s="338" t="n"/>
      <c r="E2" s="338" t="n"/>
      <c r="F2" s="338" t="n"/>
      <c r="G2" s="338" t="n"/>
      <c r="H2" s="338" t="n"/>
      <c r="I2" s="338" t="n"/>
      <c r="J2" s="338" t="n"/>
      <c r="K2" s="338" t="n"/>
      <c r="L2" s="338" t="n"/>
      <c r="M2" s="338" t="n"/>
      <c r="N2" s="338" t="n"/>
      <c r="O2" s="338" t="n"/>
      <c r="P2" s="338" t="n"/>
      <c r="Q2" s="338" t="n"/>
      <c r="R2" s="338" t="n"/>
      <c r="S2" s="338" t="n"/>
      <c r="T2" s="338" t="n"/>
      <c r="U2" s="338" t="n"/>
      <c r="V2" s="338" t="n"/>
      <c r="W2" s="338" t="n"/>
      <c r="X2" s="338" t="n"/>
      <c r="Y2" s="338" t="n"/>
      <c r="Z2" s="338" t="n"/>
      <c r="AA2" s="338" t="n"/>
      <c r="AB2" s="338" t="n"/>
      <c r="AC2" s="338" t="n"/>
      <c r="AD2" s="338" t="n"/>
      <c r="AE2" s="338" t="n"/>
      <c r="AF2" s="338" t="n"/>
      <c r="AG2" s="338" t="n"/>
      <c r="AH2" s="338" t="n"/>
    </row>
    <row r="3" ht="21" customHeight="1" s="267">
      <c r="A3" s="338" t="n"/>
      <c r="B3" s="338" t="n"/>
      <c r="D3" s="348" t="inlineStr">
        <is>
          <t>Prospect</t>
        </is>
      </c>
      <c r="P3" s="340" t="n"/>
      <c r="Q3" s="341" t="inlineStr">
        <is>
          <t>25-004</t>
        </is>
      </c>
      <c r="R3" s="504" t="n"/>
      <c r="S3" s="504" t="n"/>
      <c r="T3" s="504" t="n"/>
      <c r="U3" s="504" t="n"/>
      <c r="V3" s="504" t="n"/>
      <c r="W3" s="504" t="n"/>
      <c r="X3" s="504" t="n"/>
      <c r="Y3" s="504" t="n"/>
      <c r="Z3" s="504" t="n"/>
      <c r="AA3" s="504" t="n"/>
      <c r="AB3" s="504" t="n"/>
      <c r="AC3" s="504" t="n"/>
      <c r="AD3" s="504" t="n"/>
      <c r="AE3" s="504" t="n"/>
      <c r="AF3" s="504" t="n"/>
    </row>
    <row r="4" ht="8.25" customHeight="1" s="267">
      <c r="A4" s="342" t="n"/>
      <c r="B4" s="343" t="n"/>
      <c r="C4" s="343" t="n"/>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2" t="n"/>
    </row>
    <row r="5" ht="21" customHeight="1" s="267">
      <c r="A5" s="342" t="n"/>
      <c r="B5" s="343" t="n"/>
      <c r="C5" s="348" t="inlineStr">
        <is>
          <t>Section</t>
        </is>
      </c>
      <c r="H5" s="505" t="n">
        <v>31</v>
      </c>
      <c r="I5" s="506" t="n"/>
      <c r="J5" s="506" t="n"/>
      <c r="K5" s="506" t="n"/>
      <c r="L5" s="348" t="inlineStr">
        <is>
          <t>Township</t>
        </is>
      </c>
      <c r="R5" s="345" t="inlineStr">
        <is>
          <t>12N</t>
        </is>
      </c>
      <c r="S5" s="506" t="n"/>
      <c r="T5" s="506" t="n"/>
      <c r="U5" s="506" t="n"/>
      <c r="V5" s="506" t="n"/>
      <c r="W5" s="506" t="n"/>
      <c r="X5" s="346" t="n"/>
      <c r="Y5" s="348" t="inlineStr">
        <is>
          <t>Range</t>
        </is>
      </c>
      <c r="AC5" s="345" t="inlineStr">
        <is>
          <t>24W</t>
        </is>
      </c>
      <c r="AD5" s="506" t="n"/>
      <c r="AE5" s="506" t="n"/>
      <c r="AF5" s="506" t="n"/>
      <c r="AG5" s="506" t="n"/>
      <c r="AH5" s="346" t="n"/>
    </row>
    <row r="6" ht="8.25" customHeight="1" s="267">
      <c r="A6" s="342" t="n"/>
      <c r="B6" s="343" t="n"/>
      <c r="C6" s="343" t="n"/>
      <c r="D6" s="343" t="n"/>
      <c r="E6" s="343" t="n"/>
      <c r="F6" s="343" t="n"/>
      <c r="G6" s="343" t="n"/>
      <c r="H6" s="343" t="n"/>
      <c r="I6" s="343" t="n"/>
      <c r="J6" s="343" t="n"/>
      <c r="K6" s="343" t="n"/>
      <c r="L6" s="343" t="n"/>
      <c r="M6" s="343" t="n"/>
      <c r="N6" s="343" t="n"/>
      <c r="O6" s="343" t="n"/>
      <c r="P6" s="343" t="n"/>
      <c r="Q6" s="343" t="n"/>
      <c r="R6" s="343" t="n"/>
      <c r="S6" s="343" t="n"/>
      <c r="T6" s="343" t="n"/>
      <c r="U6" s="343" t="n"/>
      <c r="V6" s="343" t="n"/>
      <c r="W6" s="343" t="n"/>
      <c r="X6" s="343" t="n"/>
      <c r="Y6" s="343" t="n"/>
      <c r="Z6" s="343" t="n"/>
      <c r="AA6" s="343" t="n"/>
      <c r="AB6" s="343" t="n"/>
      <c r="AC6" s="343" t="n"/>
      <c r="AD6" s="343" t="n"/>
      <c r="AE6" s="343" t="n"/>
      <c r="AF6" s="343" t="n"/>
      <c r="AG6" s="343" t="n"/>
      <c r="AH6" s="342" t="n"/>
    </row>
    <row r="7" ht="21" customHeight="1" s="267">
      <c r="A7" s="342" t="n"/>
      <c r="D7" s="348" t="inlineStr">
        <is>
          <t>County</t>
        </is>
      </c>
      <c r="H7" s="347" t="inlineStr">
        <is>
          <t>Roger Mills</t>
        </is>
      </c>
      <c r="I7" s="504" t="n"/>
      <c r="J7" s="504" t="n"/>
      <c r="K7" s="504" t="n"/>
      <c r="L7" s="504" t="n"/>
      <c r="M7" s="504" t="n"/>
      <c r="N7" s="504" t="n"/>
      <c r="O7" s="504" t="n"/>
      <c r="P7" s="348" t="n"/>
      <c r="Q7" s="348" t="n"/>
      <c r="R7" s="348" t="n"/>
      <c r="S7" s="348" t="n"/>
      <c r="T7" s="348" t="n"/>
      <c r="U7" s="348" t="inlineStr">
        <is>
          <t>State</t>
        </is>
      </c>
      <c r="X7" s="347" t="inlineStr">
        <is>
          <t>Oklahoma</t>
        </is>
      </c>
      <c r="Y7" s="504" t="n"/>
      <c r="Z7" s="504" t="n"/>
      <c r="AA7" s="504" t="n"/>
      <c r="AB7" s="504" t="n"/>
      <c r="AC7" s="504" t="n"/>
      <c r="AD7" s="504" t="n"/>
      <c r="AE7" s="504" t="n"/>
      <c r="AF7" s="504" t="n"/>
      <c r="AG7" s="348" t="n"/>
      <c r="AH7" s="348" t="n"/>
    </row>
    <row r="8" ht="8.25" customHeight="1" s="267">
      <c r="A8" s="342" t="n"/>
      <c r="B8" s="342" t="n"/>
      <c r="C8" s="342" t="n"/>
      <c r="D8" s="342" t="n"/>
      <c r="E8" s="342" t="n"/>
      <c r="F8" s="342" t="n"/>
      <c r="G8" s="342" t="n"/>
      <c r="H8" s="342" t="n"/>
      <c r="I8" s="342" t="n"/>
      <c r="J8" s="342" t="n"/>
      <c r="K8" s="342" t="n"/>
      <c r="L8" s="342" t="n"/>
      <c r="M8" s="342" t="n"/>
      <c r="N8" s="342" t="n"/>
      <c r="O8" s="342" t="n"/>
      <c r="P8" s="342" t="n"/>
      <c r="Q8" s="342" t="n"/>
      <c r="R8" s="342" t="n"/>
      <c r="S8" s="342" t="n"/>
      <c r="T8" s="342" t="n"/>
      <c r="U8" s="342" t="n"/>
      <c r="V8" s="342" t="n"/>
      <c r="W8" s="342" t="n"/>
      <c r="X8" s="342" t="n"/>
      <c r="Y8" s="342" t="n"/>
      <c r="Z8" s="342" t="n"/>
      <c r="AA8" s="342" t="n"/>
      <c r="AB8" s="342" t="n"/>
      <c r="AC8" s="342" t="n"/>
      <c r="AD8" s="342" t="n"/>
      <c r="AE8" s="342" t="n"/>
      <c r="AF8" s="342" t="n"/>
      <c r="AG8" s="342" t="n"/>
      <c r="AH8" s="342" t="n"/>
    </row>
    <row r="9" ht="21" customHeight="1" s="267">
      <c r="B9" s="349" t="inlineStr">
        <is>
          <t>Containing 640.00 acres, more or less</t>
        </is>
      </c>
      <c r="C9" s="507" t="n"/>
      <c r="D9" s="507" t="n"/>
      <c r="E9" s="507" t="n"/>
      <c r="F9" s="507" t="n"/>
      <c r="G9" s="507" t="n"/>
      <c r="H9" s="507" t="n"/>
      <c r="I9" s="507" t="n"/>
      <c r="J9" s="507" t="n"/>
      <c r="K9" s="507" t="n"/>
      <c r="L9" s="507" t="n"/>
      <c r="M9" s="507" t="n"/>
      <c r="N9" s="507" t="n"/>
      <c r="O9" s="507" t="n"/>
      <c r="P9" s="507" t="n"/>
      <c r="Q9" s="507" t="n"/>
      <c r="R9" s="507" t="n"/>
      <c r="S9" s="507" t="n"/>
      <c r="T9" s="507" t="n"/>
      <c r="U9" s="507" t="n"/>
      <c r="V9" s="507" t="n"/>
      <c r="W9" s="507" t="n"/>
      <c r="X9" s="507" t="n"/>
      <c r="Y9" s="507" t="n"/>
      <c r="Z9" s="507" t="n"/>
      <c r="AA9" s="507" t="n"/>
      <c r="AB9" s="507" t="n"/>
      <c r="AC9" s="507" t="n"/>
      <c r="AD9" s="507" t="n"/>
      <c r="AE9" s="507" t="n"/>
      <c r="AF9" s="507" t="n"/>
      <c r="AG9" s="507" t="n"/>
      <c r="AH9" s="350" t="n"/>
    </row>
    <row r="10" ht="8.1" customHeight="1" s="267" thickBot="1">
      <c r="A10" s="342" t="n"/>
      <c r="B10" s="342" t="n"/>
      <c r="C10" s="351" t="n"/>
      <c r="D10" s="351" t="n"/>
      <c r="E10" s="351" t="n"/>
      <c r="F10" s="351" t="n"/>
      <c r="G10" s="351" t="n"/>
      <c r="H10" s="351" t="n"/>
      <c r="I10" s="351" t="n"/>
      <c r="J10" s="351" t="n"/>
      <c r="K10" s="342" t="n"/>
      <c r="L10" s="342" t="n"/>
      <c r="M10" s="342" t="n"/>
      <c r="N10" s="342" t="n"/>
      <c r="O10" s="342" t="n"/>
      <c r="P10" s="342" t="n"/>
      <c r="Q10" s="342" t="n"/>
      <c r="R10" s="342" t="n"/>
      <c r="S10" s="342" t="n"/>
      <c r="T10" s="342" t="n"/>
      <c r="U10" s="342" t="n"/>
      <c r="V10" s="342" t="n"/>
      <c r="W10" s="342" t="n"/>
      <c r="X10" s="342" t="n"/>
      <c r="Y10" s="342" t="n"/>
      <c r="Z10" s="342" t="n"/>
      <c r="AA10" s="342" t="n"/>
      <c r="AB10" s="342" t="n"/>
      <c r="AC10" s="342" t="n"/>
      <c r="AD10" s="342" t="n"/>
      <c r="AE10" s="342" t="n"/>
      <c r="AF10" s="342" t="n"/>
      <c r="AG10" s="342" t="n"/>
      <c r="AH10" s="342" t="n"/>
    </row>
    <row r="11" ht="15" customHeight="1" s="267">
      <c r="A11" s="352" t="n"/>
      <c r="B11" s="353" t="n"/>
      <c r="C11" s="353" t="n"/>
      <c r="D11" s="353" t="n"/>
      <c r="E11" s="353" t="n"/>
      <c r="F11" s="353" t="n"/>
      <c r="G11" s="353" t="n"/>
      <c r="H11" s="353" t="n"/>
      <c r="I11" s="354" t="n"/>
      <c r="J11" s="355" t="n"/>
      <c r="K11" s="355" t="n"/>
      <c r="L11" s="355" t="n"/>
      <c r="M11" s="355" t="n"/>
      <c r="N11" s="355" t="n"/>
      <c r="O11" s="355" t="n"/>
      <c r="P11" s="355" t="n"/>
      <c r="Q11" s="356" t="n"/>
      <c r="R11" s="357" t="n"/>
      <c r="S11" s="357" t="n"/>
      <c r="T11" s="357" t="n"/>
      <c r="U11" s="357" t="n"/>
      <c r="V11" s="357" t="n"/>
      <c r="W11" s="357" t="n"/>
      <c r="X11" s="357" t="n"/>
      <c r="Y11" s="357" t="n"/>
      <c r="Z11" s="357" t="n"/>
      <c r="AA11" s="357" t="n"/>
      <c r="AB11" s="357" t="n"/>
      <c r="AC11" s="357" t="n"/>
      <c r="AD11" s="357" t="n"/>
      <c r="AE11" s="357" t="n"/>
      <c r="AF11" s="357" t="n"/>
      <c r="AG11" s="358" t="n"/>
      <c r="AH11" s="359" t="n"/>
    </row>
    <row r="12" ht="15" customHeight="1" s="267">
      <c r="A12" s="352" t="n"/>
      <c r="B12" s="360" t="n"/>
      <c r="C12" s="360" t="n"/>
      <c r="D12" s="360" t="n"/>
      <c r="E12" s="360" t="n"/>
      <c r="F12" s="360" t="n"/>
      <c r="G12" s="361" t="n"/>
      <c r="H12" s="360" t="n"/>
      <c r="I12" s="362" t="n"/>
      <c r="J12" s="363" t="n"/>
      <c r="K12" s="363" t="n"/>
      <c r="L12" s="363" t="n"/>
      <c r="M12" s="363" t="n"/>
      <c r="N12" s="364" t="n"/>
      <c r="O12" s="364" t="n"/>
      <c r="P12" s="364" t="n"/>
      <c r="Q12" s="365" t="n"/>
      <c r="R12" s="366" t="n"/>
      <c r="S12" s="366" t="n"/>
      <c r="T12" s="366" t="n"/>
      <c r="U12" s="366" t="n"/>
      <c r="V12" s="366" t="n"/>
      <c r="W12" s="366" t="n"/>
      <c r="X12" s="366" t="n"/>
      <c r="Y12" s="366" t="n"/>
      <c r="Z12" s="366" t="n"/>
      <c r="AA12" s="366" t="n"/>
      <c r="AB12" s="366" t="n"/>
      <c r="AC12" s="366" t="n"/>
      <c r="AD12" s="366" t="n"/>
      <c r="AE12" s="366" t="n"/>
      <c r="AF12" s="366" t="n"/>
      <c r="AG12" s="367" t="n"/>
      <c r="AH12" s="359" t="n"/>
    </row>
    <row r="13" ht="15" customHeight="1" s="267">
      <c r="A13" s="368" t="n"/>
      <c r="B13" s="369" t="n"/>
      <c r="C13" s="360" t="n"/>
      <c r="D13" s="360" t="n"/>
      <c r="E13" s="360" t="n"/>
      <c r="F13" s="360" t="n"/>
      <c r="G13" s="370" t="n"/>
      <c r="H13" s="360" t="n"/>
      <c r="I13" s="362" t="n"/>
      <c r="J13" s="363" t="n"/>
      <c r="K13" s="363" t="n"/>
      <c r="L13" s="363" t="n"/>
      <c r="M13" s="363" t="n"/>
      <c r="N13" s="364" t="n"/>
      <c r="O13" s="364" t="n"/>
      <c r="P13" s="364" t="n"/>
      <c r="Q13" s="365" t="n"/>
      <c r="R13" s="366" t="n"/>
      <c r="S13" s="366" t="n"/>
      <c r="T13" s="366" t="n"/>
      <c r="U13" s="366" t="n"/>
      <c r="V13" s="366" t="n"/>
      <c r="W13" s="366" t="n"/>
      <c r="X13" s="366" t="n"/>
      <c r="Y13" s="366" t="n"/>
      <c r="Z13" s="366" t="n"/>
      <c r="AA13" s="366" t="n"/>
      <c r="AB13" s="366" t="n"/>
      <c r="AC13" s="366" t="n"/>
      <c r="AD13" s="366" t="n"/>
      <c r="AE13" s="366" t="n"/>
      <c r="AF13" s="366" t="n"/>
      <c r="AG13" s="367" t="n"/>
      <c r="AH13" s="359" t="n"/>
    </row>
    <row r="14" ht="15" customHeight="1" s="267">
      <c r="A14" s="368" t="n"/>
      <c r="B14" s="369" t="n"/>
      <c r="C14" s="360" t="n"/>
      <c r="D14" s="371" t="n"/>
      <c r="F14" s="360" t="n"/>
      <c r="G14" s="370" t="n"/>
      <c r="H14" s="360" t="n"/>
      <c r="I14" s="362" t="n"/>
      <c r="J14" s="372" t="n"/>
      <c r="K14" s="363" t="n"/>
      <c r="L14" s="364" t="n"/>
      <c r="M14" s="373" t="n"/>
      <c r="O14" s="364" t="n"/>
      <c r="P14" s="364" t="n"/>
      <c r="Q14" s="365" t="n"/>
      <c r="R14" s="366" t="n"/>
      <c r="S14" s="366" t="n"/>
      <c r="T14" s="366" t="n"/>
      <c r="U14" s="366" t="n"/>
      <c r="V14" s="374" t="n"/>
      <c r="W14" s="375" t="n"/>
      <c r="X14" s="366" t="n"/>
      <c r="Y14" s="366" t="inlineStr">
        <is>
          <t>Tract 1</t>
        </is>
      </c>
      <c r="Z14" s="366" t="n"/>
      <c r="AA14" s="366" t="n"/>
      <c r="AB14" s="366" t="n"/>
      <c r="AC14" s="366" t="n"/>
      <c r="AD14" s="374" t="n"/>
      <c r="AE14" s="375" t="n"/>
      <c r="AF14" s="366" t="n"/>
      <c r="AG14" s="367" t="n"/>
      <c r="AH14" s="359" t="n"/>
    </row>
    <row r="15" ht="15" customHeight="1" s="267">
      <c r="A15" s="368" t="n"/>
      <c r="B15" s="369" t="n"/>
      <c r="C15" s="360" t="n"/>
      <c r="F15" s="360" t="n"/>
      <c r="G15" s="370" t="n"/>
      <c r="H15" s="360" t="n"/>
      <c r="I15" s="362" t="n"/>
      <c r="J15" s="376" t="n"/>
      <c r="K15" s="376" t="n"/>
      <c r="L15" s="364" t="n"/>
      <c r="O15" s="364" t="n"/>
      <c r="P15" s="364" t="n"/>
      <c r="Q15" s="365" t="n"/>
      <c r="R15" s="366" t="n"/>
      <c r="S15" s="366" t="n"/>
      <c r="T15" s="366" t="n"/>
      <c r="U15" s="366" t="n"/>
      <c r="V15" s="375" t="n"/>
      <c r="W15" s="375" t="n"/>
      <c r="X15" s="366" t="n"/>
      <c r="Y15" s="366" t="n"/>
      <c r="Z15" s="366" t="n"/>
      <c r="AA15" s="366" t="n"/>
      <c r="AB15" s="366" t="n"/>
      <c r="AC15" s="366" t="n"/>
      <c r="AD15" s="375" t="n"/>
      <c r="AE15" s="375" t="n"/>
      <c r="AF15" s="366" t="n"/>
      <c r="AG15" s="367" t="n"/>
      <c r="AH15" s="359" t="n"/>
    </row>
    <row r="16" ht="15" customHeight="1" s="267">
      <c r="A16" s="368" t="n"/>
      <c r="B16" s="369" t="n"/>
      <c r="C16" s="360" t="n"/>
      <c r="D16" s="360" t="n"/>
      <c r="E16" s="360" t="n"/>
      <c r="F16" s="360" t="n"/>
      <c r="G16" s="370" t="n"/>
      <c r="H16" s="360" t="n"/>
      <c r="I16" s="362" t="n"/>
      <c r="J16" s="364" t="n"/>
      <c r="K16" s="376" t="n"/>
      <c r="L16" s="364" t="n"/>
      <c r="M16" s="364" t="n"/>
      <c r="N16" s="364" t="n"/>
      <c r="O16" s="364" t="n"/>
      <c r="P16" s="364" t="n"/>
      <c r="Q16" s="365" t="n"/>
      <c r="R16" s="366" t="n"/>
      <c r="S16" s="366" t="n"/>
      <c r="T16" s="366" t="n"/>
      <c r="U16" s="366" t="n"/>
      <c r="V16" s="366" t="n"/>
      <c r="W16" s="366" t="n"/>
      <c r="X16" s="366" t="n"/>
      <c r="Y16" s="366" t="n"/>
      <c r="Z16" s="366" t="n"/>
      <c r="AA16" s="366" t="n"/>
      <c r="AB16" s="366" t="n"/>
      <c r="AC16" s="366" t="n"/>
      <c r="AD16" s="366" t="n"/>
      <c r="AE16" s="366" t="n"/>
      <c r="AF16" s="366" t="n"/>
      <c r="AG16" s="367" t="n"/>
      <c r="AH16" s="359" t="n"/>
    </row>
    <row r="17" ht="15" customHeight="1" s="267">
      <c r="A17" s="368" t="n"/>
      <c r="B17" s="369" t="n"/>
      <c r="C17" s="360" t="n"/>
      <c r="D17" s="360" t="n"/>
      <c r="E17" s="371" t="n"/>
      <c r="G17" s="361" t="n"/>
      <c r="H17" s="360" t="n"/>
      <c r="I17" s="362" t="n"/>
      <c r="J17" s="364" t="n"/>
      <c r="K17" s="364" t="n"/>
      <c r="L17" s="364" t="n"/>
      <c r="M17" s="364" t="n"/>
      <c r="N17" s="364" t="n"/>
      <c r="O17" s="364" t="n"/>
      <c r="P17" s="364" t="n"/>
      <c r="Q17" s="365" t="n"/>
      <c r="R17" s="375" t="n"/>
      <c r="S17" s="366" t="n"/>
      <c r="T17" s="366" t="n"/>
      <c r="U17" s="366" t="n"/>
      <c r="V17" s="375" t="n"/>
      <c r="W17" s="375" t="n"/>
      <c r="X17" s="375" t="n"/>
      <c r="Y17" s="375" t="n"/>
      <c r="Z17" s="366" t="n"/>
      <c r="AA17" s="366" t="n"/>
      <c r="AB17" s="366" t="n"/>
      <c r="AC17" s="366" t="n"/>
      <c r="AD17" s="375" t="n"/>
      <c r="AE17" s="375" t="n"/>
      <c r="AF17" s="375" t="n"/>
      <c r="AG17" s="367" t="n"/>
      <c r="AH17" s="359" t="n"/>
    </row>
    <row r="18" ht="15" customHeight="1" s="267">
      <c r="A18" s="368" t="n"/>
      <c r="B18" s="369" t="n"/>
      <c r="C18" s="360" t="n"/>
      <c r="D18" s="360" t="n"/>
      <c r="G18" s="361" t="n"/>
      <c r="H18" s="360" t="n"/>
      <c r="I18" s="362" t="n"/>
      <c r="J18" s="364" t="n"/>
      <c r="K18" s="364" t="n"/>
      <c r="L18" s="364" t="n"/>
      <c r="M18" s="373" t="inlineStr">
        <is>
          <t>Tract 4</t>
        </is>
      </c>
      <c r="O18" s="364" t="n"/>
      <c r="P18" s="364" t="n"/>
      <c r="Q18" s="365" t="n"/>
      <c r="R18" s="377" t="n"/>
      <c r="S18" s="378" t="n"/>
      <c r="T18" s="378" t="n"/>
      <c r="U18" s="378" t="n"/>
      <c r="V18" s="378" t="n"/>
      <c r="W18" s="378" t="n"/>
      <c r="X18" s="378" t="n"/>
      <c r="Y18" s="378" t="n"/>
      <c r="Z18" s="378" t="n"/>
      <c r="AA18" s="378" t="n"/>
      <c r="AB18" s="378" t="n"/>
      <c r="AC18" s="378" t="n"/>
      <c r="AD18" s="379" t="n"/>
      <c r="AE18" s="379" t="n"/>
      <c r="AF18" s="379" t="n"/>
      <c r="AG18" s="380" t="n"/>
      <c r="AH18" s="359" t="n"/>
    </row>
    <row r="19" ht="15" customHeight="1" s="267">
      <c r="A19" s="368" t="n"/>
      <c r="B19" s="369" t="n"/>
      <c r="C19" s="360" t="n"/>
      <c r="D19" s="360" t="n"/>
      <c r="E19" s="371" t="inlineStr">
        <is>
          <t>Tract 5</t>
        </is>
      </c>
      <c r="G19" s="361" t="n"/>
      <c r="H19" s="360" t="n"/>
      <c r="I19" s="362" t="n"/>
      <c r="J19" s="364" t="n"/>
      <c r="K19" s="364" t="n"/>
      <c r="L19" s="364" t="n"/>
      <c r="O19" s="364" t="n"/>
      <c r="P19" s="364" t="n"/>
      <c r="Q19" s="365" t="n"/>
      <c r="R19" s="381" t="n"/>
      <c r="S19" s="381" t="n"/>
      <c r="T19" s="382" t="n"/>
      <c r="U19" s="382" t="n"/>
      <c r="V19" s="383" t="n"/>
      <c r="W19" s="383" t="n"/>
      <c r="X19" s="384" t="n"/>
      <c r="Y19" s="385" t="n"/>
      <c r="Z19" s="386" t="n"/>
      <c r="AA19" s="386" t="n"/>
      <c r="AB19" s="387" t="n"/>
      <c r="AC19" s="387" t="n"/>
      <c r="AD19" s="388" t="n"/>
      <c r="AE19" s="388" t="n"/>
      <c r="AF19" s="389" t="n"/>
      <c r="AG19" s="390" t="n"/>
      <c r="AH19" s="359" t="n"/>
    </row>
    <row r="20" ht="15" customHeight="1" s="267">
      <c r="A20" s="368" t="n"/>
      <c r="B20" s="369" t="n"/>
      <c r="C20" s="360" t="n"/>
      <c r="D20" s="360" t="n"/>
      <c r="G20" s="361" t="n"/>
      <c r="H20" s="360" t="n"/>
      <c r="I20" s="362" t="n"/>
      <c r="J20" s="364" t="n"/>
      <c r="K20" s="364" t="n"/>
      <c r="L20" s="364" t="n"/>
      <c r="M20" s="364" t="n"/>
      <c r="N20" s="364" t="n"/>
      <c r="O20" s="364" t="n"/>
      <c r="P20" s="364" t="n"/>
      <c r="Q20" s="365" t="n"/>
      <c r="R20" s="381" t="n"/>
      <c r="S20" s="381" t="n"/>
      <c r="T20" s="381" t="n"/>
      <c r="U20" s="381" t="n"/>
      <c r="V20" s="384" t="n"/>
      <c r="W20" s="384" t="n"/>
      <c r="X20" s="384" t="n"/>
      <c r="Y20" s="385" t="n"/>
      <c r="Z20" s="386" t="n"/>
      <c r="AA20" s="386" t="n"/>
      <c r="AB20" s="386" t="n"/>
      <c r="AC20" s="386" t="n"/>
      <c r="AD20" s="389" t="n"/>
      <c r="AE20" s="389" t="n"/>
      <c r="AF20" s="389" t="n"/>
      <c r="AG20" s="390" t="n"/>
      <c r="AH20" s="359" t="n"/>
    </row>
    <row r="21" ht="15" customHeight="1" s="267">
      <c r="A21" s="368" t="n"/>
      <c r="B21" s="360" t="n"/>
      <c r="C21" s="360" t="n"/>
      <c r="D21" s="360" t="n"/>
      <c r="E21" s="360" t="n"/>
      <c r="F21" s="360" t="n"/>
      <c r="G21" s="360" t="n"/>
      <c r="H21" s="360" t="n"/>
      <c r="I21" s="362" t="n"/>
      <c r="J21" s="363" t="n"/>
      <c r="K21" s="363" t="n"/>
      <c r="L21" s="363" t="n"/>
      <c r="M21" s="363" t="n"/>
      <c r="N21" s="364" t="n"/>
      <c r="O21" s="364" t="n"/>
      <c r="P21" s="364" t="n"/>
      <c r="Q21" s="365" t="n"/>
      <c r="R21" s="381" t="n"/>
      <c r="S21" s="381" t="n"/>
      <c r="T21" s="381" t="n"/>
      <c r="U21" s="381" t="n"/>
      <c r="V21" s="384" t="n"/>
      <c r="W21" s="384" t="n"/>
      <c r="X21" s="384" t="n"/>
      <c r="Y21" s="385" t="n"/>
      <c r="Z21" s="386" t="n"/>
      <c r="AA21" s="386" t="n"/>
      <c r="AB21" s="386" t="n"/>
      <c r="AC21" s="386" t="n"/>
      <c r="AD21" s="389" t="n"/>
      <c r="AE21" s="389" t="n"/>
      <c r="AF21" s="389" t="n"/>
      <c r="AG21" s="390" t="n"/>
      <c r="AH21" s="359" t="n"/>
    </row>
    <row r="22" ht="15" customHeight="1" s="267">
      <c r="A22" s="368" t="n"/>
      <c r="B22" s="391" t="n"/>
      <c r="C22" s="392" t="n"/>
      <c r="D22" s="392" t="n"/>
      <c r="E22" s="392" t="n"/>
      <c r="F22" s="392" t="n"/>
      <c r="G22" s="392" t="n"/>
      <c r="H22" s="392" t="n"/>
      <c r="I22" s="362" t="n"/>
      <c r="J22" s="372" t="n"/>
      <c r="K22" s="363" t="n"/>
      <c r="L22" s="364" t="n"/>
      <c r="M22" s="373" t="n"/>
      <c r="O22" s="364" t="n"/>
      <c r="P22" s="364" t="n"/>
      <c r="Q22" s="365" t="n"/>
      <c r="R22" s="393" t="n"/>
      <c r="S22" s="381" t="n"/>
      <c r="T22" s="384" t="n"/>
      <c r="U22" s="394" t="n"/>
      <c r="W22" s="384" t="n"/>
      <c r="X22" s="384" t="n"/>
      <c r="Y22" s="385" t="n"/>
      <c r="Z22" s="395" t="n"/>
      <c r="AA22" s="386" t="n"/>
      <c r="AB22" s="389" t="n"/>
      <c r="AC22" s="396" t="inlineStr">
        <is>
          <t>Tract 3</t>
        </is>
      </c>
      <c r="AE22" s="389" t="n"/>
      <c r="AF22" s="389" t="n"/>
      <c r="AG22" s="390" t="n"/>
      <c r="AH22" s="359" t="n"/>
    </row>
    <row r="23" ht="15" customHeight="1" s="267">
      <c r="A23" s="368" t="n"/>
      <c r="B23" s="391" t="n"/>
      <c r="C23" s="392" t="n"/>
      <c r="D23" s="392" t="n"/>
      <c r="E23" s="392" t="n"/>
      <c r="F23" s="392" t="n"/>
      <c r="G23" s="392" t="n"/>
      <c r="H23" s="392" t="n"/>
      <c r="I23" s="362" t="n"/>
      <c r="J23" s="376" t="n"/>
      <c r="K23" s="376" t="n"/>
      <c r="L23" s="364" t="n"/>
      <c r="O23" s="364" t="n"/>
      <c r="P23" s="364" t="n"/>
      <c r="Q23" s="365" t="n"/>
      <c r="R23" s="397" t="n"/>
      <c r="S23" s="397" t="n"/>
      <c r="T23" s="384" t="n"/>
      <c r="W23" s="384" t="n"/>
      <c r="X23" s="384" t="n"/>
      <c r="Y23" s="385" t="n"/>
      <c r="Z23" s="398" t="n"/>
      <c r="AA23" s="398" t="n"/>
      <c r="AB23" s="389" t="n"/>
      <c r="AE23" s="389" t="n"/>
      <c r="AF23" s="389" t="n"/>
      <c r="AG23" s="390" t="n"/>
      <c r="AH23" s="399" t="n"/>
    </row>
    <row r="24" ht="15" customHeight="1" s="267">
      <c r="A24" s="368" t="n"/>
      <c r="B24" s="391" t="n"/>
      <c r="C24" s="391" t="n"/>
      <c r="D24" s="391" t="n"/>
      <c r="E24" s="391" t="n"/>
      <c r="F24" s="391" t="n"/>
      <c r="G24" s="391" t="n"/>
      <c r="H24" s="391" t="n"/>
      <c r="I24" s="362" t="n"/>
      <c r="J24" s="364" t="n"/>
      <c r="K24" s="376" t="n"/>
      <c r="L24" s="364" t="n"/>
      <c r="M24" s="364" t="n"/>
      <c r="N24" s="364" t="n"/>
      <c r="O24" s="364" t="n"/>
      <c r="P24" s="364" t="n"/>
      <c r="Q24" s="365" t="n"/>
      <c r="R24" s="384" t="n"/>
      <c r="S24" s="397" t="n"/>
      <c r="T24" s="384" t="n"/>
      <c r="U24" s="384" t="n"/>
      <c r="V24" s="384" t="n"/>
      <c r="W24" s="384" t="n"/>
      <c r="X24" s="384" t="n"/>
      <c r="Y24" s="385" t="n"/>
      <c r="Z24" s="389" t="n"/>
      <c r="AA24" s="398" t="n"/>
      <c r="AB24" s="389" t="n"/>
      <c r="AC24" s="389" t="n"/>
      <c r="AD24" s="389" t="n"/>
      <c r="AE24" s="389" t="n"/>
      <c r="AF24" s="389" t="n"/>
      <c r="AG24" s="390" t="n"/>
      <c r="AH24" s="399" t="n"/>
    </row>
    <row r="25" ht="15" customHeight="1" s="267">
      <c r="A25" s="368" t="n"/>
      <c r="B25" s="391" t="n"/>
      <c r="C25" s="391" t="n"/>
      <c r="D25" s="391" t="n"/>
      <c r="E25" s="391" t="n"/>
      <c r="F25" s="391" t="n"/>
      <c r="G25" s="391" t="n"/>
      <c r="H25" s="391" t="n"/>
      <c r="I25" s="362" t="n"/>
      <c r="J25" s="364" t="n"/>
      <c r="K25" s="364" t="n"/>
      <c r="L25" s="364" t="n"/>
      <c r="M25" s="364" t="n"/>
      <c r="N25" s="364" t="n"/>
      <c r="O25" s="364" t="n"/>
      <c r="P25" s="364" t="n"/>
      <c r="Q25" s="365" t="n"/>
      <c r="R25" s="384" t="n"/>
      <c r="S25" s="384" t="n"/>
      <c r="T25" s="384" t="n"/>
      <c r="U25" s="384" t="n"/>
      <c r="V25" s="384" t="n"/>
      <c r="W25" s="384" t="n"/>
      <c r="X25" s="384" t="n"/>
      <c r="Y25" s="385" t="n"/>
      <c r="Z25" s="389" t="n"/>
      <c r="AA25" s="389" t="n"/>
      <c r="AB25" s="389" t="n"/>
      <c r="AC25" s="389" t="n"/>
      <c r="AD25" s="389" t="n"/>
      <c r="AE25" s="389" t="n"/>
      <c r="AF25" s="389" t="n"/>
      <c r="AG25" s="390" t="n"/>
      <c r="AH25" s="399" t="n"/>
    </row>
    <row r="26" ht="15" customHeight="1" s="267">
      <c r="A26" s="368" t="n"/>
      <c r="B26" s="467" t="n"/>
      <c r="C26" s="400" t="n"/>
      <c r="D26" s="400" t="n"/>
      <c r="E26" s="400" t="n"/>
      <c r="F26" s="400" t="n"/>
      <c r="G26" s="400" t="n"/>
      <c r="H26" s="400" t="n"/>
      <c r="I26" s="401" t="n"/>
      <c r="J26" s="402" t="n"/>
      <c r="K26" s="402" t="n"/>
      <c r="L26" s="402" t="n"/>
      <c r="M26" s="402" t="n"/>
      <c r="N26" s="402" t="n"/>
      <c r="O26" s="402" t="n"/>
      <c r="P26" s="403" t="n"/>
      <c r="Q26" s="404" t="n"/>
      <c r="R26" s="384" t="n"/>
      <c r="S26" s="384" t="n"/>
      <c r="T26" s="384" t="n"/>
      <c r="U26" s="384" t="n"/>
      <c r="V26" s="384" t="n"/>
      <c r="W26" s="384" t="n"/>
      <c r="X26" s="384" t="n"/>
      <c r="Y26" s="385" t="n"/>
      <c r="Z26" s="405" t="n"/>
      <c r="AA26" s="405" t="n"/>
      <c r="AB26" s="405" t="n"/>
      <c r="AC26" s="405" t="n"/>
      <c r="AD26" s="405" t="n"/>
      <c r="AE26" s="405" t="n"/>
      <c r="AF26" s="406" t="n"/>
      <c r="AG26" s="407" t="n"/>
      <c r="AH26" s="359" t="n"/>
    </row>
    <row r="27" ht="15" customHeight="1" s="267">
      <c r="A27" s="368" t="n"/>
      <c r="B27" s="408" t="n"/>
      <c r="C27" s="408" t="n"/>
      <c r="D27" s="408" t="n"/>
      <c r="E27" s="408" t="n"/>
      <c r="F27" s="408" t="n"/>
      <c r="G27" s="408" t="n"/>
      <c r="H27" s="408" t="n"/>
      <c r="I27" s="409" t="n"/>
      <c r="J27" s="410" t="n"/>
      <c r="K27" s="410" t="n"/>
      <c r="L27" s="411" t="n"/>
      <c r="M27" s="411" t="n"/>
      <c r="N27" s="412" t="n"/>
      <c r="O27" s="412" t="n"/>
      <c r="P27" s="413" t="n"/>
      <c r="Q27" s="414" t="n"/>
      <c r="R27" s="384" t="n"/>
      <c r="S27" s="384" t="n"/>
      <c r="T27" s="384" t="n"/>
      <c r="U27" s="384" t="n"/>
      <c r="V27" s="384" t="n"/>
      <c r="W27" s="384" t="n"/>
      <c r="X27" s="384" t="n"/>
      <c r="Y27" s="385" t="n"/>
      <c r="Z27" s="415" t="n"/>
      <c r="AA27" s="415" t="n"/>
      <c r="AB27" s="416" t="n"/>
      <c r="AC27" s="416" t="n"/>
      <c r="AD27" s="417" t="n"/>
      <c r="AE27" s="417" t="n"/>
      <c r="AF27" s="418" t="n"/>
      <c r="AG27" s="419" t="n"/>
      <c r="AH27" s="359" t="n"/>
    </row>
    <row r="28" ht="15" customHeight="1" s="267">
      <c r="A28" s="368" t="n"/>
      <c r="B28" s="408" t="n"/>
      <c r="C28" s="408" t="n"/>
      <c r="D28" s="408" t="n"/>
      <c r="E28" s="408" t="n"/>
      <c r="F28" s="408" t="n"/>
      <c r="G28" s="408" t="n"/>
      <c r="H28" s="408" t="n"/>
      <c r="I28" s="409" t="n"/>
      <c r="J28" s="410" t="n"/>
      <c r="K28" s="410" t="n"/>
      <c r="L28" s="410" t="n"/>
      <c r="M28" s="410" t="n"/>
      <c r="N28" s="413" t="n"/>
      <c r="O28" s="413" t="n"/>
      <c r="P28" s="413" t="n"/>
      <c r="Q28" s="414" t="n"/>
      <c r="R28" s="381" t="n"/>
      <c r="S28" s="381" t="n"/>
      <c r="T28" s="381" t="n"/>
      <c r="U28" s="381" t="n"/>
      <c r="V28" s="384" t="n"/>
      <c r="W28" s="384" t="n"/>
      <c r="X28" s="384" t="n"/>
      <c r="Y28" s="385" t="n"/>
      <c r="Z28" s="415" t="n"/>
      <c r="AA28" s="415" t="n"/>
      <c r="AB28" s="415" t="n"/>
      <c r="AC28" s="415" t="n"/>
      <c r="AD28" s="418" t="n"/>
      <c r="AE28" s="418" t="n"/>
      <c r="AF28" s="418" t="n"/>
      <c r="AG28" s="419" t="n"/>
      <c r="AH28" s="359" t="n"/>
    </row>
    <row r="29" ht="15" customHeight="1" s="267">
      <c r="A29" s="368" t="n"/>
      <c r="B29" s="408" t="n"/>
      <c r="C29" s="408" t="n"/>
      <c r="D29" s="408" t="n"/>
      <c r="E29" s="408" t="n"/>
      <c r="F29" s="408" t="n"/>
      <c r="G29" s="408" t="n"/>
      <c r="H29" s="408" t="n"/>
      <c r="I29" s="409" t="n"/>
      <c r="J29" s="410" t="n"/>
      <c r="K29" s="410" t="n"/>
      <c r="L29" s="410" t="n"/>
      <c r="M29" s="410" t="n"/>
      <c r="N29" s="413" t="n"/>
      <c r="O29" s="413" t="n"/>
      <c r="P29" s="413" t="n"/>
      <c r="Q29" s="414" t="n"/>
      <c r="R29" s="381" t="n"/>
      <c r="S29" s="381" t="n"/>
      <c r="T29" s="381" t="n"/>
      <c r="U29" s="381" t="n"/>
      <c r="V29" s="384" t="n"/>
      <c r="W29" s="384" t="n"/>
      <c r="X29" s="384" t="n"/>
      <c r="Y29" s="385" t="n"/>
      <c r="Z29" s="415" t="n"/>
      <c r="AA29" s="415" t="n"/>
      <c r="AB29" s="415" t="n"/>
      <c r="AC29" s="415" t="n"/>
      <c r="AD29" s="418" t="n"/>
      <c r="AE29" s="418" t="n"/>
      <c r="AF29" s="418" t="n"/>
      <c r="AG29" s="419" t="n"/>
      <c r="AH29" s="359" t="n"/>
    </row>
    <row r="30" ht="15" customHeight="1" s="267">
      <c r="A30" s="368" t="n"/>
      <c r="B30" s="408" t="n"/>
      <c r="C30" s="408" t="n"/>
      <c r="D30" s="408" t="n"/>
      <c r="E30" s="408" t="n"/>
      <c r="F30" s="408" t="n"/>
      <c r="G30" s="408" t="n"/>
      <c r="H30" s="408" t="n"/>
      <c r="I30" s="409" t="n"/>
      <c r="J30" s="420" t="n"/>
      <c r="K30" s="410" t="n"/>
      <c r="L30" s="413" t="n"/>
      <c r="M30" s="421" t="inlineStr">
        <is>
          <t>Tract 7</t>
        </is>
      </c>
      <c r="O30" s="413" t="n"/>
      <c r="P30" s="413" t="n"/>
      <c r="Q30" s="414" t="n"/>
      <c r="R30" s="393" t="n"/>
      <c r="S30" s="381" t="n"/>
      <c r="T30" s="384" t="n"/>
      <c r="U30" s="394" t="inlineStr">
        <is>
          <t>Tract 2</t>
        </is>
      </c>
      <c r="W30" s="384" t="n"/>
      <c r="X30" s="384" t="n"/>
      <c r="Y30" s="385" t="n"/>
      <c r="Z30" s="422" t="n"/>
      <c r="AA30" s="415" t="n"/>
      <c r="AB30" s="418" t="n"/>
      <c r="AC30" s="423" t="inlineStr">
        <is>
          <t>Tract 8</t>
        </is>
      </c>
      <c r="AE30" s="418" t="n"/>
      <c r="AF30" s="418" t="n"/>
      <c r="AG30" s="419" t="n"/>
      <c r="AH30" s="359" t="n"/>
    </row>
    <row r="31" ht="15" customHeight="1" s="267">
      <c r="A31" s="368" t="n"/>
      <c r="B31" s="408" t="n"/>
      <c r="C31" s="408" t="n"/>
      <c r="D31" s="408" t="n"/>
      <c r="E31" s="408" t="n"/>
      <c r="F31" s="408" t="n"/>
      <c r="G31" s="408" t="n"/>
      <c r="H31" s="408" t="n"/>
      <c r="I31" s="409" t="n"/>
      <c r="J31" s="424" t="n"/>
      <c r="K31" s="424" t="n"/>
      <c r="L31" s="413" t="n"/>
      <c r="O31" s="413" t="n"/>
      <c r="P31" s="413" t="n"/>
      <c r="Q31" s="414" t="n"/>
      <c r="R31" s="397" t="n"/>
      <c r="S31" s="397" t="n"/>
      <c r="T31" s="384" t="n"/>
      <c r="W31" s="384" t="n"/>
      <c r="X31" s="384" t="n"/>
      <c r="Y31" s="385" t="n"/>
      <c r="Z31" s="425" t="n"/>
      <c r="AA31" s="425" t="n"/>
      <c r="AB31" s="418" t="n"/>
      <c r="AE31" s="418" t="n"/>
      <c r="AF31" s="418" t="n"/>
      <c r="AG31" s="419" t="n"/>
      <c r="AH31" s="359" t="n"/>
    </row>
    <row r="32" ht="15" customHeight="1" s="267">
      <c r="A32" s="368" t="n"/>
      <c r="B32" s="408" t="n"/>
      <c r="C32" s="408" t="n"/>
      <c r="D32" s="408" t="n"/>
      <c r="E32" s="408" t="n"/>
      <c r="F32" s="408" t="n"/>
      <c r="G32" s="408" t="n"/>
      <c r="H32" s="408" t="n"/>
      <c r="I32" s="409" t="n"/>
      <c r="J32" s="413" t="n"/>
      <c r="K32" s="424" t="n"/>
      <c r="L32" s="413" t="n"/>
      <c r="M32" s="413" t="n"/>
      <c r="N32" s="413" t="n"/>
      <c r="O32" s="413" t="n"/>
      <c r="P32" s="413" t="n"/>
      <c r="Q32" s="414" t="n"/>
      <c r="R32" s="384" t="n"/>
      <c r="S32" s="397" t="n"/>
      <c r="T32" s="384" t="n"/>
      <c r="U32" s="384" t="n"/>
      <c r="V32" s="384" t="n"/>
      <c r="W32" s="384" t="n"/>
      <c r="X32" s="384" t="n"/>
      <c r="Y32" s="385" t="n"/>
      <c r="Z32" s="418" t="n"/>
      <c r="AA32" s="425" t="n"/>
      <c r="AB32" s="418" t="n"/>
      <c r="AC32" s="418" t="n"/>
      <c r="AD32" s="418" t="n"/>
      <c r="AE32" s="418" t="n"/>
      <c r="AF32" s="418" t="n"/>
      <c r="AG32" s="419" t="n"/>
      <c r="AH32" s="359" t="n"/>
    </row>
    <row r="33" ht="15" customHeight="1" s="267">
      <c r="A33" s="368" t="n"/>
      <c r="B33" s="408" t="n"/>
      <c r="C33" s="408" t="n"/>
      <c r="D33" s="408" t="n"/>
      <c r="E33" s="408" t="n"/>
      <c r="F33" s="408" t="n"/>
      <c r="G33" s="408" t="n"/>
      <c r="H33" s="408" t="n"/>
      <c r="I33" s="409" t="n"/>
      <c r="J33" s="413" t="n"/>
      <c r="K33" s="413" t="n"/>
      <c r="L33" s="413" t="n"/>
      <c r="M33" s="413" t="n"/>
      <c r="N33" s="413" t="n"/>
      <c r="O33" s="413" t="n"/>
      <c r="P33" s="413" t="n"/>
      <c r="Q33" s="414" t="n"/>
      <c r="R33" s="384" t="n"/>
      <c r="S33" s="384" t="n"/>
      <c r="T33" s="384" t="n"/>
      <c r="U33" s="384" t="n"/>
      <c r="V33" s="384" t="n"/>
      <c r="W33" s="384" t="n"/>
      <c r="X33" s="384" t="n"/>
      <c r="Y33" s="385" t="n"/>
      <c r="Z33" s="418" t="n"/>
      <c r="AA33" s="418" t="n"/>
      <c r="AB33" s="418" t="n"/>
      <c r="AC33" s="418" t="n"/>
      <c r="AD33" s="418" t="n"/>
      <c r="AE33" s="418" t="n"/>
      <c r="AF33" s="418" t="n"/>
      <c r="AG33" s="419" t="n"/>
      <c r="AH33" s="359" t="n"/>
    </row>
    <row r="34" ht="15" customHeight="1" s="267">
      <c r="A34" s="368" t="n"/>
      <c r="B34" s="408" t="n"/>
      <c r="C34" s="408" t="n"/>
      <c r="D34" s="408" t="n"/>
      <c r="E34" s="408" t="inlineStr">
        <is>
          <t>Tract 6</t>
        </is>
      </c>
      <c r="F34" s="408" t="n"/>
      <c r="G34" s="408" t="n"/>
      <c r="H34" s="408" t="n"/>
      <c r="I34" s="409" t="n"/>
      <c r="J34" s="426" t="n"/>
      <c r="K34" s="426" t="n"/>
      <c r="L34" s="426" t="n"/>
      <c r="M34" s="426" t="n"/>
      <c r="N34" s="426" t="n"/>
      <c r="O34" s="426" t="n"/>
      <c r="P34" s="427" t="n"/>
      <c r="Q34" s="428" t="n"/>
      <c r="R34" s="384" t="n"/>
      <c r="S34" s="384" t="n"/>
      <c r="T34" s="384" t="n"/>
      <c r="U34" s="384" t="n"/>
      <c r="V34" s="384" t="n"/>
      <c r="W34" s="384" t="n"/>
      <c r="X34" s="384" t="n"/>
      <c r="Y34" s="385" t="n"/>
      <c r="Z34" s="429" t="n"/>
      <c r="AA34" s="429" t="n"/>
      <c r="AB34" s="429" t="n"/>
      <c r="AC34" s="429" t="n"/>
      <c r="AD34" s="429" t="n"/>
      <c r="AE34" s="429" t="n"/>
      <c r="AF34" s="430" t="n"/>
      <c r="AG34" s="431" t="n"/>
      <c r="AH34" s="359" t="n"/>
    </row>
    <row r="35" ht="14.1" customHeight="1" s="267">
      <c r="A35" s="368" t="n"/>
      <c r="B35" s="408" t="n"/>
      <c r="C35" s="408" t="n"/>
      <c r="D35" s="408" t="n"/>
      <c r="E35" s="408" t="n"/>
      <c r="F35" s="408" t="n"/>
      <c r="G35" s="408" t="n"/>
      <c r="H35" s="408" t="n"/>
      <c r="I35" s="409" t="n"/>
      <c r="J35" s="391" t="n"/>
      <c r="K35" s="391" t="n"/>
      <c r="L35" s="391" t="n"/>
      <c r="M35" s="391" t="n"/>
      <c r="N35" s="391" t="n"/>
      <c r="O35" s="391" t="n"/>
      <c r="P35" s="391" t="n"/>
      <c r="Q35" s="362" t="n"/>
      <c r="R35" s="384" t="n"/>
      <c r="S35" s="384" t="n"/>
      <c r="T35" s="384" t="n"/>
      <c r="U35" s="384" t="n"/>
      <c r="V35" s="384" t="n"/>
      <c r="W35" s="384" t="n"/>
      <c r="X35" s="384" t="n"/>
      <c r="Y35" s="384" t="n"/>
      <c r="Z35" s="382" t="n"/>
      <c r="AA35" s="382" t="n"/>
      <c r="AB35" s="382" t="n"/>
      <c r="AC35" s="382" t="n"/>
      <c r="AD35" s="383" t="n"/>
      <c r="AE35" s="383" t="n"/>
      <c r="AF35" s="384" t="n"/>
      <c r="AG35" s="432" t="n"/>
      <c r="AH35" s="359" t="n"/>
    </row>
    <row r="36" ht="15" customHeight="1" s="267">
      <c r="A36" s="368" t="n"/>
      <c r="B36" s="408" t="n"/>
      <c r="C36" s="408" t="n"/>
      <c r="D36" s="408" t="n"/>
      <c r="E36" s="408" t="n"/>
      <c r="F36" s="408" t="n"/>
      <c r="G36" s="408" t="n"/>
      <c r="H36" s="408" t="n"/>
      <c r="I36" s="409" t="n"/>
      <c r="J36" s="391" t="n"/>
      <c r="K36" s="391" t="n"/>
      <c r="L36" s="391" t="n"/>
      <c r="M36" s="391" t="n"/>
      <c r="N36" s="391" t="n"/>
      <c r="O36" s="391" t="n"/>
      <c r="P36" s="391" t="n"/>
      <c r="Q36" s="362" t="n"/>
      <c r="R36" s="381" t="n"/>
      <c r="S36" s="381" t="n"/>
      <c r="T36" s="381" t="n"/>
      <c r="U36" s="381" t="n"/>
      <c r="V36" s="384" t="n"/>
      <c r="W36" s="384" t="n"/>
      <c r="X36" s="384" t="n"/>
      <c r="Y36" s="384" t="n"/>
      <c r="Z36" s="381" t="n"/>
      <c r="AA36" s="381" t="n"/>
      <c r="AB36" s="381" t="n"/>
      <c r="AC36" s="381" t="n"/>
      <c r="AD36" s="384" t="n"/>
      <c r="AE36" s="384" t="n"/>
      <c r="AF36" s="384" t="n"/>
      <c r="AG36" s="432" t="n"/>
      <c r="AH36" s="359" t="n"/>
    </row>
    <row r="37" ht="15" customHeight="1" s="267">
      <c r="A37" s="368" t="n"/>
      <c r="B37" s="408" t="n"/>
      <c r="C37" s="408" t="n"/>
      <c r="D37" s="408" t="n"/>
      <c r="E37" s="408" t="n"/>
      <c r="F37" s="408" t="n"/>
      <c r="G37" s="408" t="n"/>
      <c r="H37" s="408" t="n"/>
      <c r="I37" s="409" t="n"/>
      <c r="J37" s="391" t="n"/>
      <c r="K37" s="391" t="n"/>
      <c r="L37" s="391" t="n"/>
      <c r="M37" s="391" t="n"/>
      <c r="N37" s="391" t="n"/>
      <c r="O37" s="391" t="n"/>
      <c r="P37" s="391" t="n"/>
      <c r="Q37" s="362" t="n"/>
      <c r="R37" s="381" t="n"/>
      <c r="S37" s="381" t="n"/>
      <c r="T37" s="381" t="n"/>
      <c r="U37" s="381" t="n"/>
      <c r="V37" s="384" t="n"/>
      <c r="W37" s="384" t="n"/>
      <c r="X37" s="384" t="n"/>
      <c r="Y37" s="384" t="n"/>
      <c r="Z37" s="381" t="n"/>
      <c r="AA37" s="381" t="n"/>
      <c r="AB37" s="381" t="n"/>
      <c r="AC37" s="381" t="n"/>
      <c r="AD37" s="384" t="n"/>
      <c r="AE37" s="384" t="n"/>
      <c r="AF37" s="384" t="n"/>
      <c r="AG37" s="432" t="n"/>
      <c r="AH37" s="359" t="n"/>
    </row>
    <row r="38" ht="15" customHeight="1" s="267">
      <c r="A38" s="368" t="n"/>
      <c r="B38" s="408" t="n"/>
      <c r="C38" s="408" t="n"/>
      <c r="D38" s="408" t="n"/>
      <c r="E38" s="408" t="n"/>
      <c r="F38" s="408" t="n"/>
      <c r="G38" s="408" t="n"/>
      <c r="H38" s="408" t="n"/>
      <c r="I38" s="409" t="n"/>
      <c r="J38" s="391" t="n"/>
      <c r="K38" s="391" t="n"/>
      <c r="L38" s="391" t="n"/>
      <c r="M38" s="391" t="inlineStr">
        <is>
          <t>Tract 5</t>
        </is>
      </c>
      <c r="N38" s="391" t="n"/>
      <c r="O38" s="391" t="n"/>
      <c r="P38" s="391" t="n"/>
      <c r="Q38" s="362" t="n"/>
      <c r="R38" s="393" t="n"/>
      <c r="S38" s="381" t="n"/>
      <c r="T38" s="384" t="n"/>
      <c r="U38" s="394" t="n"/>
      <c r="W38" s="384" t="n"/>
      <c r="X38" s="384" t="n"/>
      <c r="Y38" s="384" t="n"/>
      <c r="Z38" s="384" t="n"/>
      <c r="AA38" s="384" t="n"/>
      <c r="AB38" s="384" t="n"/>
      <c r="AC38" s="394" t="n"/>
      <c r="AE38" s="384" t="n"/>
      <c r="AF38" s="384" t="n"/>
      <c r="AG38" s="432" t="n"/>
      <c r="AH38" s="359" t="n"/>
    </row>
    <row r="39" ht="15" customHeight="1" s="267">
      <c r="A39" s="368" t="n"/>
      <c r="B39" s="408" t="n"/>
      <c r="C39" s="408" t="n"/>
      <c r="D39" s="408" t="n"/>
      <c r="E39" s="408" t="n"/>
      <c r="F39" s="408" t="n"/>
      <c r="G39" s="408" t="n"/>
      <c r="H39" s="408" t="n"/>
      <c r="I39" s="409" t="n"/>
      <c r="J39" s="391" t="n"/>
      <c r="K39" s="391" t="n"/>
      <c r="L39" s="391" t="n"/>
      <c r="M39" s="391" t="n"/>
      <c r="N39" s="391" t="n"/>
      <c r="O39" s="391" t="n"/>
      <c r="P39" s="391" t="n"/>
      <c r="Q39" s="362" t="n"/>
      <c r="R39" s="397" t="n"/>
      <c r="S39" s="397" t="n"/>
      <c r="T39" s="384" t="n"/>
      <c r="W39" s="384" t="n"/>
      <c r="X39" s="384" t="n"/>
      <c r="Y39" s="384" t="n"/>
      <c r="Z39" s="384" t="n"/>
      <c r="AA39" s="384" t="n"/>
      <c r="AB39" s="384" t="n"/>
      <c r="AE39" s="384" t="n"/>
      <c r="AF39" s="384" t="n"/>
      <c r="AG39" s="432" t="n"/>
      <c r="AH39" s="359" t="n"/>
    </row>
    <row r="40" ht="15" customHeight="1" s="267">
      <c r="A40" s="368" t="n"/>
      <c r="B40" s="408" t="n"/>
      <c r="C40" s="408" t="n"/>
      <c r="D40" s="408" t="n"/>
      <c r="E40" s="408" t="n"/>
      <c r="F40" s="408" t="n"/>
      <c r="G40" s="408" t="n"/>
      <c r="H40" s="408" t="n"/>
      <c r="I40" s="409" t="n"/>
      <c r="J40" s="391" t="n"/>
      <c r="K40" s="391" t="n"/>
      <c r="L40" s="391" t="n"/>
      <c r="M40" s="391" t="n"/>
      <c r="N40" s="391" t="n"/>
      <c r="O40" s="391" t="n"/>
      <c r="P40" s="391" t="n"/>
      <c r="Q40" s="362" t="n"/>
      <c r="R40" s="384" t="n"/>
      <c r="S40" s="397" t="n"/>
      <c r="T40" s="384" t="n"/>
      <c r="U40" s="384" t="n"/>
      <c r="V40" s="384" t="n"/>
      <c r="W40" s="384" t="n"/>
      <c r="X40" s="384" t="n"/>
      <c r="Y40" s="384" t="n"/>
      <c r="Z40" s="384" t="n"/>
      <c r="AA40" s="384" t="n"/>
      <c r="AB40" s="384" t="n"/>
      <c r="AC40" s="384" t="n"/>
      <c r="AD40" s="384" t="n"/>
      <c r="AE40" s="384" t="n"/>
      <c r="AF40" s="384" t="n"/>
      <c r="AG40" s="432" t="n"/>
      <c r="AH40" s="359" t="n"/>
    </row>
    <row r="41" ht="15" customHeight="1" s="267">
      <c r="A41" s="368" t="n"/>
      <c r="B41" s="408" t="n"/>
      <c r="C41" s="408" t="n"/>
      <c r="D41" s="408" t="n"/>
      <c r="E41" s="408" t="n"/>
      <c r="F41" s="408" t="n"/>
      <c r="G41" s="408" t="n"/>
      <c r="H41" s="433" t="n"/>
      <c r="I41" s="434" t="n"/>
      <c r="J41" s="391" t="n"/>
      <c r="K41" s="391" t="n"/>
      <c r="L41" s="391" t="n"/>
      <c r="M41" s="391" t="n"/>
      <c r="N41" s="391" t="n"/>
      <c r="O41" s="391" t="n"/>
      <c r="P41" s="392" t="n"/>
      <c r="Q41" s="435" t="n"/>
      <c r="R41" s="384" t="n"/>
      <c r="S41" s="384" t="n"/>
      <c r="T41" s="384" t="n"/>
      <c r="U41" s="384" t="n"/>
      <c r="V41" s="384" t="n"/>
      <c r="W41" s="384" t="n"/>
      <c r="X41" s="384" t="n"/>
      <c r="Y41" s="384" t="n"/>
      <c r="Z41" s="384" t="n"/>
      <c r="AA41" s="384" t="n"/>
      <c r="AB41" s="384" t="n"/>
      <c r="AC41" s="384" t="n"/>
      <c r="AD41" s="384" t="n"/>
      <c r="AE41" s="384" t="n"/>
      <c r="AF41" s="384" t="n"/>
      <c r="AG41" s="432" t="n"/>
      <c r="AH41" s="359" t="n"/>
    </row>
    <row r="42" ht="15" customHeight="1" s="267" thickBot="1">
      <c r="A42" s="368" t="n"/>
      <c r="B42" s="436" t="n"/>
      <c r="C42" s="436" t="n"/>
      <c r="D42" s="437" t="n"/>
      <c r="E42" s="437" t="n"/>
      <c r="F42" s="437" t="n"/>
      <c r="G42" s="437" t="n"/>
      <c r="H42" s="438" t="n"/>
      <c r="I42" s="439" t="n"/>
      <c r="J42" s="440" t="n"/>
      <c r="K42" s="440" t="n"/>
      <c r="L42" s="441" t="n"/>
      <c r="M42" s="441" t="n"/>
      <c r="N42" s="441" t="n"/>
      <c r="O42" s="441" t="n"/>
      <c r="P42" s="442" t="n"/>
      <c r="Q42" s="443" t="n"/>
      <c r="R42" s="444" t="n"/>
      <c r="S42" s="444" t="n"/>
      <c r="T42" s="444" t="n"/>
      <c r="U42" s="444" t="n"/>
      <c r="V42" s="444" t="n"/>
      <c r="W42" s="444" t="n"/>
      <c r="X42" s="445" t="n"/>
      <c r="Y42" s="445" t="n"/>
      <c r="Z42" s="444" t="n"/>
      <c r="AA42" s="444" t="n"/>
      <c r="AB42" s="444" t="n"/>
      <c r="AC42" s="444" t="n"/>
      <c r="AD42" s="444" t="n"/>
      <c r="AE42" s="444" t="n"/>
      <c r="AF42" s="445" t="n"/>
      <c r="AG42" s="446" t="n"/>
      <c r="AH42" s="359" t="n"/>
    </row>
    <row r="43" ht="15" customHeight="1" s="267">
      <c r="AH43" s="359" t="n"/>
    </row>
    <row r="44" ht="15" customHeight="1" s="267">
      <c r="B44" s="465" t="inlineStr">
        <is>
          <t>ATTACHMENTS:</t>
        </is>
      </c>
      <c r="C44" s="465" t="n"/>
      <c r="D44" s="465" t="n"/>
      <c r="E44" s="448" t="n"/>
      <c r="G44" s="449" t="n"/>
      <c r="I44" s="450" t="inlineStr">
        <is>
          <t>OWNERSHIP REPORT DATED:</t>
        </is>
      </c>
      <c r="J44" s="450" t="n"/>
      <c r="K44" s="450" t="n"/>
      <c r="L44" s="450" t="n"/>
      <c r="M44" s="450" t="n"/>
      <c r="N44" s="450" t="n"/>
      <c r="O44" s="450" t="n"/>
      <c r="P44" s="450" t="n"/>
      <c r="Q44" s="450" t="n"/>
      <c r="R44" s="450" t="n"/>
      <c r="S44" s="463" t="n"/>
      <c r="T44" s="506" t="n"/>
      <c r="U44" s="506" t="n"/>
      <c r="V44" s="506" t="n"/>
      <c r="W44" s="506" t="n"/>
      <c r="Y44" s="452" t="inlineStr">
        <is>
          <t>LAST ENTRY:</t>
        </is>
      </c>
      <c r="Z44" s="452" t="n"/>
      <c r="AA44" s="452" t="n"/>
      <c r="AB44" s="452" t="n"/>
      <c r="AC44" s="466" t="n"/>
      <c r="AD44" s="506" t="n"/>
      <c r="AE44" s="506" t="n"/>
      <c r="AF44" s="506" t="n"/>
      <c r="AG44" s="506" t="n"/>
      <c r="AH44" s="359" t="n"/>
    </row>
    <row r="45">
      <c r="A45" s="359" t="n"/>
      <c r="B45" s="465" t="n"/>
      <c r="C45" s="359" t="n"/>
      <c r="D45" s="359" t="n"/>
      <c r="E45" s="359" t="n"/>
      <c r="G45" s="454" t="n"/>
      <c r="I45" s="359" t="n"/>
      <c r="J45" s="359" t="n"/>
      <c r="K45" s="359" t="n"/>
      <c r="L45" s="359" t="n"/>
      <c r="M45" s="359" t="n"/>
      <c r="N45" s="359" t="n"/>
      <c r="O45" s="359" t="n"/>
      <c r="P45" s="359" t="n"/>
      <c r="Q45" s="359" t="n"/>
      <c r="R45" s="359" t="n"/>
      <c r="S45" s="359" t="n"/>
      <c r="T45" s="359" t="n"/>
      <c r="U45" s="359" t="n"/>
      <c r="V45" s="359" t="n"/>
      <c r="W45" s="359" t="n"/>
      <c r="Y45" s="359" t="n"/>
      <c r="Z45" s="359" t="n"/>
      <c r="AA45" s="359" t="n"/>
      <c r="AB45" s="359" t="n"/>
      <c r="AC45" s="359" t="n"/>
      <c r="AD45" s="359" t="n"/>
      <c r="AE45" s="359" t="n"/>
      <c r="AF45" s="359" t="n"/>
      <c r="AG45" s="359" t="n"/>
      <c r="AH45" s="359" t="n"/>
    </row>
    <row r="46" ht="15" customHeight="1" s="267">
      <c r="A46" s="359" t="n"/>
      <c r="B46" s="359" t="n"/>
      <c r="C46" s="359" t="n"/>
      <c r="D46" s="359" t="n"/>
      <c r="E46" s="359" t="n"/>
      <c r="G46" s="449" t="n"/>
      <c r="I46" s="450" t="inlineStr">
        <is>
          <t>TITLE OPINION UPDATE DATED:</t>
        </is>
      </c>
      <c r="J46" s="450" t="n"/>
      <c r="K46" s="450" t="n"/>
      <c r="L46" s="450" t="n"/>
      <c r="M46" s="450" t="n"/>
      <c r="N46" s="450" t="n"/>
      <c r="O46" s="450" t="n"/>
      <c r="P46" s="450" t="n"/>
      <c r="Q46" s="450" t="n"/>
      <c r="R46" s="450" t="n"/>
      <c r="S46" s="463" t="n"/>
      <c r="T46" s="506" t="n"/>
      <c r="U46" s="506" t="n"/>
      <c r="V46" s="506" t="n"/>
      <c r="W46" s="506" t="n"/>
      <c r="Y46" s="452" t="inlineStr">
        <is>
          <t>LAST ENTRY:</t>
        </is>
      </c>
      <c r="Z46" s="452" t="n"/>
      <c r="AA46" s="452" t="n"/>
      <c r="AB46" s="452" t="n"/>
      <c r="AC46" s="466" t="n"/>
      <c r="AD46" s="506" t="n"/>
      <c r="AE46" s="506" t="n"/>
      <c r="AF46" s="506" t="n"/>
      <c r="AG46" s="506" t="n"/>
      <c r="AH46" s="359" t="n"/>
    </row>
    <row r="47">
      <c r="A47" s="359" t="n"/>
      <c r="B47" s="359" t="n"/>
      <c r="C47" s="359" t="n"/>
      <c r="D47" s="359" t="n"/>
      <c r="E47" s="359" t="n"/>
      <c r="G47" s="454" t="n"/>
      <c r="I47" s="359" t="n"/>
      <c r="J47" s="359" t="n"/>
      <c r="K47" s="359" t="n"/>
      <c r="L47" s="359" t="n"/>
      <c r="M47" s="359" t="n"/>
      <c r="N47" s="359" t="n"/>
      <c r="O47" s="359" t="n"/>
      <c r="P47" s="359" t="n"/>
      <c r="Q47" s="359" t="n"/>
      <c r="R47" s="359" t="n"/>
      <c r="S47" s="359" t="n"/>
      <c r="T47" s="359" t="n"/>
      <c r="U47" s="359" t="n"/>
      <c r="V47" s="359" t="n"/>
      <c r="W47" s="359" t="n"/>
      <c r="Y47" s="359" t="n"/>
      <c r="Z47" s="359" t="n"/>
      <c r="AA47" s="359" t="n"/>
      <c r="AB47" s="359" t="n"/>
      <c r="AC47" s="359" t="n"/>
      <c r="AD47" s="465" t="n"/>
      <c r="AE47" s="465" t="n"/>
      <c r="AF47" s="465" t="n"/>
      <c r="AG47" s="465" t="n"/>
      <c r="AH47" s="359" t="n"/>
    </row>
    <row r="48" ht="15" customHeight="1" s="267">
      <c r="A48" s="359" t="n"/>
      <c r="B48" s="359" t="n"/>
      <c r="C48" s="359" t="n"/>
      <c r="D48" s="359" t="n"/>
      <c r="E48" s="359" t="n"/>
      <c r="G48" s="449" t="inlineStr">
        <is>
          <t>x</t>
        </is>
      </c>
      <c r="I48" s="455" t="inlineStr">
        <is>
          <t>CURSORY REPORT DATED:</t>
        </is>
      </c>
      <c r="J48" s="455" t="n"/>
      <c r="K48" s="455" t="n"/>
      <c r="L48" s="455" t="n"/>
      <c r="M48" s="455" t="n"/>
      <c r="N48" s="455" t="n"/>
      <c r="O48" s="455" t="n"/>
      <c r="P48" s="455" t="n"/>
      <c r="Q48" s="455" t="n"/>
      <c r="R48" s="455" t="n"/>
      <c r="S48" s="463" t="inlineStr">
        <is>
          <t>6/26/2026</t>
        </is>
      </c>
      <c r="T48" s="506" t="n"/>
      <c r="U48" s="506" t="n"/>
      <c r="V48" s="506" t="n"/>
      <c r="W48" s="506" t="n"/>
      <c r="X48" s="464" t="n"/>
      <c r="Y48" s="465" t="inlineStr">
        <is>
          <t>LAST ENTRY:</t>
        </is>
      </c>
      <c r="Z48" s="465" t="n"/>
      <c r="AA48" s="465" t="n"/>
      <c r="AB48" s="465" t="n"/>
      <c r="AC48" s="466" t="inlineStr">
        <is>
          <t>2704/142</t>
        </is>
      </c>
      <c r="AD48" s="506" t="n"/>
      <c r="AE48" s="506" t="n"/>
      <c r="AF48" s="506" t="n"/>
      <c r="AG48" s="506" t="n"/>
      <c r="AH48" s="359" t="n"/>
    </row>
    <row r="49">
      <c r="A49" s="359" t="n"/>
      <c r="B49" s="359" t="n"/>
      <c r="C49" s="359" t="n"/>
      <c r="D49" s="359" t="n"/>
      <c r="E49" s="359" t="n"/>
      <c r="G49" s="456" t="n"/>
      <c r="I49" s="359" t="n"/>
      <c r="J49" s="359" t="n"/>
      <c r="K49" s="359" t="n"/>
      <c r="L49" s="359" t="n"/>
      <c r="M49" s="359" t="n"/>
      <c r="N49" s="359" t="n"/>
      <c r="O49" s="359" t="n"/>
      <c r="P49" s="359" t="n"/>
      <c r="Q49" s="359" t="n"/>
      <c r="R49" s="359" t="n"/>
      <c r="S49" s="359" t="n"/>
      <c r="T49" s="359" t="n"/>
      <c r="U49" s="359" t="n"/>
      <c r="V49" s="359" t="n"/>
      <c r="W49" s="359" t="n"/>
      <c r="Y49" s="359" t="n"/>
      <c r="Z49" s="359" t="n"/>
      <c r="AA49" s="359" t="n"/>
      <c r="AB49" s="359" t="n"/>
      <c r="AC49" s="359" t="n"/>
      <c r="AD49" s="359" t="n"/>
      <c r="AE49" s="359" t="n"/>
      <c r="AF49" s="359" t="n"/>
      <c r="AG49" s="359" t="n"/>
      <c r="AH49" s="359" t="n"/>
    </row>
    <row r="50" ht="15" customHeight="1" s="267">
      <c r="A50" s="359" t="n"/>
      <c r="B50" s="359" t="n"/>
      <c r="C50" s="359" t="n"/>
      <c r="D50" s="359" t="n"/>
      <c r="E50" s="359" t="n"/>
      <c r="G50" s="449" t="n"/>
      <c r="I50" s="465" t="inlineStr">
        <is>
          <t>COUNTY CERTIFICATION DATE:</t>
        </is>
      </c>
      <c r="J50" s="359" t="n"/>
      <c r="K50" s="359" t="n"/>
      <c r="L50" s="359" t="n"/>
      <c r="M50" s="359" t="n"/>
      <c r="N50" s="359" t="n"/>
      <c r="O50" s="359" t="n"/>
      <c r="P50" s="359" t="n"/>
      <c r="Q50" s="359" t="n"/>
      <c r="R50" s="359" t="n"/>
      <c r="S50" s="463" t="n"/>
      <c r="T50" s="506" t="n"/>
      <c r="U50" s="506" t="n"/>
      <c r="V50" s="506" t="n"/>
      <c r="W50" s="506" t="n"/>
      <c r="Y50" s="359" t="n"/>
      <c r="Z50" s="359" t="n"/>
      <c r="AA50" s="359" t="n"/>
      <c r="AB50" s="359" t="n"/>
      <c r="AC50" s="359" t="n"/>
      <c r="AD50" s="359" t="n"/>
      <c r="AE50" s="359" t="n"/>
      <c r="AF50" s="359" t="n"/>
      <c r="AG50" s="359" t="n"/>
      <c r="AH50" s="359" t="n"/>
    </row>
    <row r="52">
      <c r="B52" s="457" t="inlineStr">
        <is>
          <t>REMARKS:</t>
        </is>
      </c>
      <c r="F52" s="458" t="n"/>
      <c r="G52" s="458" t="n"/>
      <c r="H52" s="458" t="n"/>
      <c r="I52" s="458" t="n"/>
      <c r="J52" s="458" t="n"/>
      <c r="K52" s="458" t="n"/>
      <c r="L52" s="458" t="n"/>
      <c r="M52" s="458" t="n"/>
      <c r="N52" s="458" t="n"/>
      <c r="O52" s="458" t="n"/>
      <c r="P52" s="458" t="n"/>
      <c r="Q52" s="458" t="n"/>
      <c r="R52" s="458" t="n"/>
      <c r="S52" s="458" t="n"/>
      <c r="T52" s="458" t="n"/>
      <c r="U52" s="458" t="n"/>
      <c r="V52" s="458" t="n"/>
      <c r="W52" s="458" t="n"/>
      <c r="X52" s="458" t="n"/>
      <c r="Y52" s="458" t="n"/>
      <c r="Z52" s="458" t="n"/>
      <c r="AA52" s="458" t="n"/>
      <c r="AB52" s="458" t="n"/>
      <c r="AC52" s="458" t="n"/>
      <c r="AD52" s="458" t="n"/>
      <c r="AE52" s="458" t="n"/>
      <c r="AF52" s="458" t="n"/>
      <c r="AG52" s="458" t="n"/>
      <c r="AH52" s="458" t="n"/>
    </row>
    <row r="53">
      <c r="B53" s="459" t="inlineStr">
        <is>
          <t>REPORT IS A CURSORY REPORT</t>
        </is>
      </c>
    </row>
    <row r="55">
      <c r="B55" s="460" t="inlineStr">
        <is>
          <t>EXAMINER:</t>
        </is>
      </c>
      <c r="F55" s="461" t="inlineStr">
        <is>
          <t>RG</t>
        </is>
      </c>
      <c r="Q55" s="462" t="n"/>
      <c r="R55" s="462" t="n"/>
      <c r="S55" s="462" t="n"/>
      <c r="T55" s="462" t="n"/>
      <c r="U55" s="462" t="n"/>
      <c r="V55" s="462" t="n"/>
      <c r="W55" s="462" t="n"/>
      <c r="X55" s="462" t="n"/>
      <c r="Y55" s="462" t="n"/>
      <c r="Z55" s="462" t="n"/>
      <c r="AA55" s="462" t="n"/>
      <c r="AB55" s="462" t="n"/>
      <c r="AC55" s="462" t="n"/>
      <c r="AD55" s="462" t="n"/>
      <c r="AE55" s="462" t="n"/>
      <c r="AF55" s="462" t="n"/>
      <c r="AG55" s="462" t="n"/>
      <c r="AH55" s="462" t="n"/>
    </row>
  </sheetData>
  <mergeCells count="38">
    <mergeCell ref="AC48:AG48"/>
    <mergeCell ref="AC38:AD39"/>
    <mergeCell ref="L5:Q5"/>
    <mergeCell ref="C5:G5"/>
    <mergeCell ref="B55:E55"/>
    <mergeCell ref="S46:W46"/>
    <mergeCell ref="S44:W44"/>
    <mergeCell ref="U7:W7"/>
    <mergeCell ref="M30:N31"/>
    <mergeCell ref="H5:K5"/>
    <mergeCell ref="AC22:AD23"/>
    <mergeCell ref="M14:N15"/>
    <mergeCell ref="M18:N19"/>
    <mergeCell ref="B53:AH53"/>
    <mergeCell ref="F55:P55"/>
    <mergeCell ref="S48:W48"/>
    <mergeCell ref="D14:E15"/>
    <mergeCell ref="D3:O3"/>
    <mergeCell ref="AC5:AG5"/>
    <mergeCell ref="Q3:AF3"/>
    <mergeCell ref="U22:V23"/>
    <mergeCell ref="U38:V39"/>
    <mergeCell ref="H7:O7"/>
    <mergeCell ref="B52:E52"/>
    <mergeCell ref="R5:W5"/>
    <mergeCell ref="A1:AH1"/>
    <mergeCell ref="AC44:AG44"/>
    <mergeCell ref="AC46:AG46"/>
    <mergeCell ref="Y5:AB5"/>
    <mergeCell ref="E17:F18"/>
    <mergeCell ref="U30:V31"/>
    <mergeCell ref="B9:AG9"/>
    <mergeCell ref="E19:F20"/>
    <mergeCell ref="D7:G7"/>
    <mergeCell ref="S50:W50"/>
    <mergeCell ref="AC30:AD31"/>
    <mergeCell ref="X7:AF7"/>
    <mergeCell ref="M22:N23"/>
  </mergeCells>
  <printOptions horizontalCentered="1"/>
  <pageMargins left="0.25" right="0.25" top="0.5253472222222222" bottom="0.5" header="0.25" footer="0.5"/>
  <pageSetup orientation="portrait" paperSize="5"/>
  <drawing r:id="rId1"/>
</worksheet>
</file>

<file path=xl/worksheets/sheet2.xml><?xml version="1.0" encoding="utf-8"?>
<worksheet xmlns="http://schemas.openxmlformats.org/spreadsheetml/2006/main">
  <sheetPr>
    <outlinePr summaryBelow="1" summaryRight="1"/>
    <pageSetUpPr fitToPage="1"/>
  </sheetPr>
  <dimension ref="A1:G132"/>
  <sheetViews>
    <sheetView view="pageBreakPreview" topLeftCell="A17" zoomScaleNormal="100" zoomScaleSheetLayoutView="100" workbookViewId="0">
      <selection activeCell="G27" sqref="G27"/>
    </sheetView>
  </sheetViews>
  <sheetFormatPr baseColWidth="8" defaultColWidth="14.42578125" defaultRowHeight="15" customHeight="1"/>
  <cols>
    <col width="8.42578125" customWidth="1" style="267" min="1" max="1"/>
    <col width="42.85546875" customWidth="1" style="143" min="2" max="2"/>
    <col width="13.28515625" customWidth="1" style="258" min="3" max="3"/>
    <col width="11" customWidth="1" style="258" min="4" max="4"/>
    <col width="10.5703125" bestFit="1" customWidth="1" style="258" min="5" max="5"/>
    <col width="10.42578125" customWidth="1" style="258" min="6" max="6"/>
    <col width="29.7109375" customWidth="1" style="258" min="7" max="7"/>
  </cols>
  <sheetData>
    <row r="1">
      <c r="B1" s="3" t="n"/>
      <c r="F1" s="328" t="n"/>
    </row>
    <row r="2" ht="18" customHeight="1" s="267">
      <c r="B2" s="508" t="n"/>
    </row>
    <row r="3">
      <c r="A3" s="4" t="n"/>
      <c r="B3" s="143" t="inlineStr">
        <is>
          <t>TRACT 1:</t>
        </is>
      </c>
      <c r="C3" s="258" t="inlineStr">
        <is>
          <t>N/2 NE/4</t>
        </is>
      </c>
      <c r="F3" s="328" t="n"/>
    </row>
    <row r="4" ht="15.75" customHeight="1" s="267">
      <c r="B4" s="1" t="inlineStr">
        <is>
          <t>Containing:</t>
        </is>
      </c>
      <c r="C4" s="509" t="inlineStr">
        <is>
          <t>80.00 acres, more or less</t>
        </is>
      </c>
    </row>
    <row r="5" ht="15" customHeight="1" s="267">
      <c r="B5" s="1" t="n"/>
      <c r="C5" s="510" t="n"/>
    </row>
    <row r="6" ht="15" customHeight="1" s="267">
      <c r="B6" s="1" t="inlineStr">
        <is>
          <t>Mineral Owner</t>
        </is>
      </c>
      <c r="C6" s="259" t="inlineStr">
        <is>
          <t>Net Acres</t>
        </is>
      </c>
      <c r="D6" s="259" t="inlineStr">
        <is>
          <t xml:space="preserve">OGL No. </t>
        </is>
      </c>
      <c r="E6" s="259" t="inlineStr">
        <is>
          <t>Royalty</t>
        </is>
      </c>
      <c r="F6" s="331" t="inlineStr">
        <is>
          <t>Expiration</t>
        </is>
      </c>
      <c r="G6" s="259" t="inlineStr">
        <is>
          <t>Comments</t>
        </is>
      </c>
    </row>
    <row r="7" ht="15.75" customHeight="1" s="267">
      <c r="A7" s="4" t="n"/>
      <c r="B7" s="144" t="inlineStr">
        <is>
          <t>Panhandle Royalty Company</t>
        </is>
      </c>
      <c r="C7" s="42" t="n">
        <v>20</v>
      </c>
      <c r="D7" s="42" t="n"/>
      <c r="E7" s="42" t="n"/>
      <c r="F7" s="332" t="n"/>
      <c r="G7" s="42" t="n"/>
    </row>
    <row r="8" ht="24" customHeight="1" s="267">
      <c r="A8" s="4" t="n"/>
      <c r="B8" s="149" t="inlineStr">
        <is>
          <t>First City National Bank of Midland, Trustee of the ETA-Flag Royalty Trust</t>
        </is>
      </c>
      <c r="C8" s="130" t="n">
        <v>20</v>
      </c>
      <c r="D8" s="131" t="n"/>
      <c r="E8" s="189" t="n"/>
      <c r="F8" s="333" t="n"/>
      <c r="G8" s="186" t="n"/>
    </row>
    <row r="9" ht="24" customHeight="1" s="267">
      <c r="A9" s="4" t="n"/>
      <c r="B9" s="149" t="inlineStr">
        <is>
          <t>Gena W. Moore, a/k/a Gena Mitchell Williams, a/k/a Gena Williams</t>
        </is>
      </c>
      <c r="C9" s="130" t="n">
        <v>10</v>
      </c>
      <c r="D9" s="131" t="n">
        <v>289</v>
      </c>
      <c r="E9" s="189" t="n">
        <v>0.1875</v>
      </c>
      <c r="F9" s="333" t="n">
        <v>47890</v>
      </c>
      <c r="G9" s="131" t="n"/>
    </row>
    <row r="10" ht="24" customHeight="1" s="267">
      <c r="A10" s="4" t="n"/>
      <c r="B10" s="149" t="inlineStr">
        <is>
          <t>Mitchell Buonaccorsi Living Trust U/A dated July 9, 2024</t>
        </is>
      </c>
      <c r="C10" s="130" t="n">
        <v>10</v>
      </c>
      <c r="D10" s="131" t="n">
        <v>292</v>
      </c>
      <c r="E10" s="190" t="n">
        <v>0.1875</v>
      </c>
      <c r="F10" s="334" t="n">
        <v>47172</v>
      </c>
      <c r="G10" s="186" t="n"/>
    </row>
    <row r="11">
      <c r="A11" s="4" t="n"/>
      <c r="B11" s="149" t="inlineStr">
        <is>
          <t>Ronald Paul Dold</t>
        </is>
      </c>
      <c r="C11" s="130" t="n">
        <v>10</v>
      </c>
      <c r="D11" s="131" t="n">
        <v>294</v>
      </c>
      <c r="E11" s="189" t="n">
        <v>0.1875</v>
      </c>
      <c r="F11" s="333" t="n">
        <v>47208</v>
      </c>
      <c r="G11" s="186" t="n"/>
    </row>
    <row r="12" ht="13.9" customHeight="1" s="267">
      <c r="A12" s="4" t="n"/>
      <c r="B12" s="149" t="inlineStr">
        <is>
          <t>Gene G. Williams</t>
        </is>
      </c>
      <c r="C12" s="130" t="n">
        <v>10</v>
      </c>
      <c r="D12" s="131" t="n"/>
      <c r="E12" s="189" t="n"/>
      <c r="F12" s="333" t="n"/>
      <c r="G12" s="511" t="inlineStr">
        <is>
          <t>Open — verify lease (10 NMA; not a Silver Oak 289–294 lessor)</t>
        </is>
      </c>
    </row>
    <row r="13">
      <c r="A13" s="4" t="n"/>
      <c r="B13" s="149" t="inlineStr">
        <is>
          <t>REPORT TOTAL</t>
        </is>
      </c>
      <c r="C13" s="130" t="n">
        <v>80</v>
      </c>
      <c r="D13" s="131" t="n"/>
      <c r="E13" s="189" t="n"/>
      <c r="F13" s="335" t="n"/>
      <c r="G13" s="131" t="n"/>
    </row>
    <row r="14">
      <c r="A14" s="4" t="n"/>
      <c r="B14" s="149" t="inlineStr">
        <is>
          <t>TOTAL</t>
        </is>
      </c>
      <c r="C14" s="130" t="n">
        <v>80</v>
      </c>
      <c r="D14" s="131" t="n"/>
      <c r="E14" s="189" t="n"/>
      <c r="F14" s="335" t="n"/>
      <c r="G14" s="186" t="n"/>
    </row>
    <row r="15">
      <c r="A15" s="4" t="n"/>
      <c r="B15" s="149" t="n"/>
      <c r="C15" s="130" t="n"/>
      <c r="D15" s="131" t="n"/>
      <c r="E15" s="189" t="n"/>
      <c r="F15" s="333" t="n"/>
      <c r="G15" s="186" t="n"/>
    </row>
    <row r="16">
      <c r="A16" s="4" t="n"/>
      <c r="B16" s="149" t="inlineStr">
        <is>
          <t>TRACT 2:</t>
        </is>
      </c>
      <c r="C16" s="130" t="inlineStr">
        <is>
          <t>SW/4 NE/4, NW/4 SE/4, S/2 SE/4</t>
        </is>
      </c>
      <c r="D16" s="131" t="n"/>
      <c r="E16" s="189" t="n"/>
      <c r="F16" s="333" t="n"/>
      <c r="G16" s="186" t="n"/>
    </row>
    <row r="17">
      <c r="A17" s="4" t="n"/>
      <c r="B17" s="149" t="inlineStr">
        <is>
          <t>Containing:</t>
        </is>
      </c>
      <c r="C17" s="130" t="inlineStr">
        <is>
          <t>160.00 acres, more or less</t>
        </is>
      </c>
      <c r="D17" s="131" t="n"/>
      <c r="E17" s="189" t="n"/>
      <c r="F17" s="333" t="n"/>
      <c r="G17" s="186" t="n"/>
    </row>
    <row r="18">
      <c r="A18" s="4" t="n"/>
      <c r="B18" s="149" t="n"/>
      <c r="C18" s="130" t="n"/>
      <c r="D18" s="131" t="n"/>
      <c r="E18" s="189" t="n"/>
      <c r="F18" s="333" t="n"/>
      <c r="G18" s="186" t="n"/>
    </row>
    <row r="19">
      <c r="A19" s="4" t="n"/>
      <c r="B19" s="149" t="inlineStr">
        <is>
          <t>Mineral Owner</t>
        </is>
      </c>
      <c r="C19" s="130" t="inlineStr">
        <is>
          <t>Net Acres</t>
        </is>
      </c>
      <c r="D19" s="192" t="inlineStr">
        <is>
          <t xml:space="preserve">OGL No. </t>
        </is>
      </c>
      <c r="E19" s="189" t="inlineStr">
        <is>
          <t>Royalty</t>
        </is>
      </c>
      <c r="F19" s="333" t="inlineStr">
        <is>
          <t>Expiration</t>
        </is>
      </c>
      <c r="G19" s="186" t="inlineStr">
        <is>
          <t>Comments</t>
        </is>
      </c>
    </row>
    <row r="20" ht="13.9" customHeight="1" s="267">
      <c r="A20" s="4" t="n"/>
      <c r="B20" s="149" t="inlineStr">
        <is>
          <t>Del Monte Royalty Partners, LLC</t>
        </is>
      </c>
      <c r="C20" s="130" t="n">
        <v>0.75</v>
      </c>
      <c r="D20" s="131" t="n"/>
      <c r="E20" s="189" t="n"/>
      <c r="F20" s="333" t="n"/>
      <c r="G20" s="186" t="n"/>
    </row>
    <row r="21">
      <c r="A21" s="4" t="n"/>
      <c r="B21" s="149" t="inlineStr">
        <is>
          <t>OKKI Industries, LLC</t>
        </is>
      </c>
      <c r="C21" s="130" t="n">
        <v>0.75</v>
      </c>
      <c r="D21" s="131" t="n"/>
      <c r="E21" s="189" t="n"/>
      <c r="F21" s="333" t="n"/>
      <c r="G21" s="186" t="n"/>
    </row>
    <row r="22">
      <c r="A22" s="4" t="n"/>
      <c r="B22" s="149" t="inlineStr">
        <is>
          <t>Paul R. Deutsch and/or Deborah A. Deutsch</t>
        </is>
      </c>
      <c r="C22" s="130" t="n">
        <v>0</v>
      </c>
      <c r="D22" s="131" t="n"/>
      <c r="E22" s="189" t="n"/>
      <c r="F22" s="333" t="n"/>
      <c r="G22" s="186" t="inlineStr">
        <is>
          <t>Notice only</t>
        </is>
      </c>
    </row>
    <row r="23" ht="13.15" customHeight="1" s="267">
      <c r="A23" s="4" t="n"/>
      <c r="B23" s="149" t="inlineStr">
        <is>
          <t>OKKI Industries, LLC</t>
        </is>
      </c>
      <c r="C23" s="130" t="n">
        <v>14.27</v>
      </c>
      <c r="D23" s="131" t="n"/>
      <c r="E23" s="189" t="n"/>
      <c r="F23" s="333" t="n"/>
      <c r="G23" s="186" t="n"/>
    </row>
    <row r="24">
      <c r="A24" s="4" t="n"/>
      <c r="B24" s="149" t="inlineStr">
        <is>
          <t>Del Monte Royalty Partners, LLC</t>
        </is>
      </c>
      <c r="C24" s="130" t="n">
        <v>14.27</v>
      </c>
      <c r="D24" s="192" t="n"/>
      <c r="E24" s="189" t="n"/>
      <c r="F24" s="333" t="n"/>
      <c r="G24" s="186" t="n"/>
    </row>
    <row r="25" ht="13.9" customHeight="1" s="267">
      <c r="A25" s="4" t="n"/>
      <c r="B25" s="149" t="inlineStr">
        <is>
          <t>Cardinal Land Company, LLC</t>
        </is>
      </c>
      <c r="C25" s="130" t="n">
        <v>1.5</v>
      </c>
      <c r="D25" s="131" t="n"/>
      <c r="E25" s="189" t="n"/>
      <c r="F25" s="333" t="n"/>
      <c r="G25" s="186" t="n"/>
    </row>
    <row r="26">
      <c r="A26" s="4" t="n"/>
      <c r="B26" s="149" t="inlineStr">
        <is>
          <t>Longreach Energy 2, LLC</t>
        </is>
      </c>
      <c r="C26" s="130" t="n">
        <v>14.27</v>
      </c>
      <c r="D26" s="131" t="n"/>
      <c r="E26" s="189" t="n"/>
      <c r="F26" s="333" t="n"/>
      <c r="G26" s="131" t="n"/>
    </row>
    <row r="27" ht="15.75" customHeight="1" s="267">
      <c r="A27" s="4" t="n"/>
      <c r="B27" s="145" t="inlineStr">
        <is>
          <t>Royfin Natural Gas, LLC</t>
        </is>
      </c>
      <c r="C27" s="43" t="n">
        <v>14.27</v>
      </c>
      <c r="F27" s="328" t="n"/>
    </row>
    <row r="28" ht="15" customHeight="1" s="267">
      <c r="B28" s="146" t="inlineStr">
        <is>
          <t>Paul M. Bain GST Tax-Exempt Trust</t>
        </is>
      </c>
      <c r="C28" s="6" t="n">
        <v>14.27</v>
      </c>
      <c r="F28" s="328" t="n"/>
    </row>
    <row r="29" ht="15" customHeight="1" s="267">
      <c r="A29" s="40" t="n"/>
      <c r="B29" s="147" t="inlineStr">
        <is>
          <t>Anna T. Bain Gibson</t>
        </is>
      </c>
      <c r="C29" s="39" t="n">
        <v>14.27</v>
      </c>
      <c r="F29" s="328" t="n"/>
    </row>
    <row r="30" ht="15" customHeight="1" s="267">
      <c r="A30" s="40" t="n"/>
      <c r="B30" s="148" t="inlineStr">
        <is>
          <t>Brian Herman Kortright</t>
        </is>
      </c>
      <c r="C30" s="48" t="n">
        <v>14.27</v>
      </c>
      <c r="F30" s="328" t="n"/>
    </row>
    <row r="31">
      <c r="B31" s="1" t="inlineStr">
        <is>
          <t>Eric Jansen</t>
        </is>
      </c>
      <c r="C31" s="509" t="n">
        <v>14.27</v>
      </c>
    </row>
    <row r="32" ht="15" customHeight="1" s="267">
      <c r="B32" s="1" t="inlineStr">
        <is>
          <t>The William A. Smith and Isa May Smith Family Revocable Trust dated February 26, 2015</t>
        </is>
      </c>
      <c r="C32" s="510" t="n">
        <v>14.27</v>
      </c>
    </row>
    <row r="33" ht="15" customHeight="1" s="267">
      <c r="B33" s="1" t="inlineStr">
        <is>
          <t>Jesse William Fuchs and Jinkee D. Acuero Fuchs, as Trustees</t>
        </is>
      </c>
      <c r="C33" s="259" t="n">
        <v>14.27</v>
      </c>
      <c r="D33" s="259" t="n"/>
      <c r="E33" s="259" t="n"/>
      <c r="F33" s="331" t="n"/>
      <c r="G33" s="259" t="n"/>
    </row>
    <row r="34" ht="15" customHeight="1" s="267">
      <c r="B34" s="144" t="inlineStr">
        <is>
          <t>Keri Lee Daigle Tucker Trust</t>
        </is>
      </c>
      <c r="C34" s="42" t="n">
        <v>14.3</v>
      </c>
      <c r="D34" s="42" t="n">
        <v>290</v>
      </c>
      <c r="E34" s="42" t="n">
        <v>0.1875</v>
      </c>
      <c r="F34" s="332" t="n">
        <v>47896</v>
      </c>
      <c r="G34" s="42" t="n"/>
    </row>
    <row r="35">
      <c r="A35" s="4" t="n"/>
      <c r="B35" s="149" t="inlineStr">
        <is>
          <t>REPORT TOTAL</t>
        </is>
      </c>
      <c r="C35" s="130" t="n">
        <v>160</v>
      </c>
      <c r="D35" s="131" t="n"/>
      <c r="E35" s="189" t="n"/>
      <c r="F35" s="335" t="n"/>
      <c r="G35" s="131" t="n"/>
    </row>
    <row r="36">
      <c r="A36" s="4" t="n"/>
      <c r="B36" s="149" t="inlineStr">
        <is>
          <t>TOTAL</t>
        </is>
      </c>
      <c r="C36" s="130" t="n">
        <v>160</v>
      </c>
      <c r="D36" s="131" t="n"/>
      <c r="E36" s="189" t="n"/>
      <c r="F36" s="333" t="n"/>
      <c r="G36" s="186" t="n"/>
    </row>
    <row r="37">
      <c r="A37" s="4" t="n"/>
      <c r="B37" s="149" t="n"/>
      <c r="C37" s="130" t="n"/>
      <c r="D37" s="131" t="n"/>
      <c r="E37" s="190" t="n"/>
      <c r="F37" s="334" t="n"/>
      <c r="G37" s="186" t="n"/>
    </row>
    <row r="38">
      <c r="A38" s="4" t="n"/>
      <c r="B38" s="149" t="n"/>
      <c r="C38" s="130" t="n"/>
      <c r="D38" s="131" t="n"/>
      <c r="E38" s="190" t="n"/>
      <c r="F38" s="334" t="n"/>
      <c r="G38" s="131" t="n"/>
    </row>
    <row r="39">
      <c r="B39" s="149" t="inlineStr">
        <is>
          <t>TRACT 3:</t>
        </is>
      </c>
      <c r="C39" s="142" t="inlineStr">
        <is>
          <t>SE/4 NE/4</t>
        </is>
      </c>
      <c r="D39" s="131" t="n"/>
      <c r="E39" s="189" t="n"/>
      <c r="F39" s="333" t="n"/>
      <c r="G39" s="131" t="n"/>
    </row>
    <row r="40">
      <c r="A40" s="4" t="n"/>
      <c r="B40" s="149" t="inlineStr">
        <is>
          <t>Containing:</t>
        </is>
      </c>
      <c r="C40" s="130" t="inlineStr">
        <is>
          <t>40.00 acres, more or less</t>
        </is>
      </c>
      <c r="D40" s="131" t="n"/>
      <c r="E40" s="189" t="n"/>
      <c r="F40" s="335" t="n"/>
      <c r="G40" s="193" t="n"/>
    </row>
    <row r="41" ht="13.9" customHeight="1" s="267">
      <c r="A41" s="4" t="n"/>
      <c r="B41" s="149" t="n"/>
      <c r="C41" s="130" t="n"/>
      <c r="D41" s="131" t="n"/>
      <c r="E41" s="189" t="n"/>
      <c r="F41" s="335" t="n"/>
      <c r="G41" s="186" t="n"/>
    </row>
    <row r="42">
      <c r="A42" s="4" t="n"/>
      <c r="B42" s="149" t="inlineStr">
        <is>
          <t>Mineral Owner</t>
        </is>
      </c>
      <c r="C42" s="130" t="inlineStr">
        <is>
          <t>Net Acres</t>
        </is>
      </c>
      <c r="D42" s="131" t="inlineStr">
        <is>
          <t xml:space="preserve">OGL No. </t>
        </is>
      </c>
      <c r="E42" s="189" t="inlineStr">
        <is>
          <t>Royalty</t>
        </is>
      </c>
      <c r="F42" s="335" t="inlineStr">
        <is>
          <t>Expiration</t>
        </is>
      </c>
      <c r="G42" s="131" t="inlineStr">
        <is>
          <t>Comments</t>
        </is>
      </c>
    </row>
    <row r="43" ht="24" customHeight="1" s="267">
      <c r="A43" s="4" t="n"/>
      <c r="B43" s="149" t="inlineStr">
        <is>
          <t>Gena W. Moore, a/k/a Gena Mitchell Williams, a/k/a Gena Williams</t>
        </is>
      </c>
      <c r="C43" s="130" t="n">
        <v>5.38</v>
      </c>
      <c r="D43" s="131" t="n">
        <v>289</v>
      </c>
      <c r="E43" s="189" t="n">
        <v>0.1875</v>
      </c>
      <c r="F43" s="333" t="n">
        <v>47890</v>
      </c>
      <c r="G43" s="186" t="n"/>
    </row>
    <row r="44" ht="24" customHeight="1" s="267">
      <c r="A44" s="4" t="n"/>
      <c r="B44" s="149" t="inlineStr">
        <is>
          <t>Mitchell Buonaccorsi Living Trust U/A dated July 9, 2024</t>
        </is>
      </c>
      <c r="C44" s="130" t="n">
        <v>5.38</v>
      </c>
      <c r="D44" s="131" t="n">
        <v>292</v>
      </c>
      <c r="E44" s="189" t="n">
        <v>0.1875</v>
      </c>
      <c r="F44" s="333" t="n">
        <v>47172</v>
      </c>
      <c r="G44" s="186" t="n"/>
    </row>
    <row r="45">
      <c r="A45" s="4" t="n"/>
      <c r="B45" s="149" t="inlineStr">
        <is>
          <t>Keri Lee Daigle Tucker Trust</t>
        </is>
      </c>
      <c r="C45" s="130" t="n">
        <v>5.38</v>
      </c>
      <c r="D45" s="131" t="n">
        <v>290</v>
      </c>
      <c r="E45" s="189" t="n">
        <v>0.1875</v>
      </c>
      <c r="F45" s="333" t="n">
        <v>47896</v>
      </c>
      <c r="G45" s="186" t="n"/>
    </row>
    <row r="46">
      <c r="A46" s="4" t="n"/>
      <c r="B46" s="149" t="inlineStr">
        <is>
          <t>Ronald Paul Dold</t>
        </is>
      </c>
      <c r="C46" s="130" t="n">
        <v>5.38</v>
      </c>
      <c r="D46" s="131" t="n">
        <v>294</v>
      </c>
      <c r="E46" s="189" t="n">
        <v>0.1875</v>
      </c>
      <c r="F46" s="333" t="n">
        <v>47208</v>
      </c>
      <c r="G46" s="186" t="n"/>
    </row>
    <row r="47">
      <c r="A47" s="4" t="n"/>
      <c r="B47" s="149" t="inlineStr">
        <is>
          <t>Mark Ashley Daigle Trust</t>
        </is>
      </c>
      <c r="C47" s="130" t="n">
        <v>7.69230769230769</v>
      </c>
      <c r="D47" s="131" t="n">
        <v>291</v>
      </c>
      <c r="E47" s="189" t="n">
        <v>0.1875</v>
      </c>
      <c r="F47" s="333" t="n">
        <v>47902</v>
      </c>
      <c r="G47" s="131" t="n"/>
    </row>
    <row r="48">
      <c r="A48" s="4" t="n"/>
      <c r="B48" s="149" t="inlineStr">
        <is>
          <t>Kevin Warner Johnson Trust</t>
        </is>
      </c>
      <c r="C48" s="130" t="n">
        <v>5.38</v>
      </c>
      <c r="D48" s="131" t="n">
        <v>293</v>
      </c>
      <c r="E48" s="189" t="n">
        <v>0.1875</v>
      </c>
      <c r="F48" s="333" t="n">
        <v>47906</v>
      </c>
      <c r="G48" s="186" t="n"/>
    </row>
    <row r="49">
      <c r="A49" s="4" t="n"/>
      <c r="B49" s="149" t="inlineStr">
        <is>
          <t>Carrie Leeann Mitchell / Nancy Susan Mitchell</t>
        </is>
      </c>
      <c r="C49" s="130" t="n">
        <v>5.40769231</v>
      </c>
      <c r="D49" s="131" t="n"/>
      <c r="E49" s="189" t="n"/>
      <c r="F49" s="333" t="n"/>
      <c r="G49" s="186" t="n"/>
    </row>
    <row r="50" ht="15" customHeight="1" s="267">
      <c r="B50" s="145" t="inlineStr">
        <is>
          <t>REPORT TOTAL</t>
        </is>
      </c>
      <c r="C50" s="43" t="n">
        <v>40</v>
      </c>
      <c r="D50" s="47" t="n"/>
      <c r="F50" s="328" t="n"/>
    </row>
    <row r="51" ht="15" customHeight="1" s="267">
      <c r="B51" s="146" t="inlineStr">
        <is>
          <t>TOTAL</t>
        </is>
      </c>
      <c r="C51" s="43" t="n">
        <v>40</v>
      </c>
      <c r="F51" s="328" t="n"/>
    </row>
    <row r="52" ht="15" customHeight="1" s="267">
      <c r="B52" s="1" t="n"/>
      <c r="C52" s="259" t="n"/>
      <c r="D52" s="259" t="n"/>
      <c r="E52" s="259" t="n"/>
      <c r="F52" s="331" t="n"/>
      <c r="G52" s="259" t="n"/>
    </row>
    <row r="53" ht="15" customHeight="1" s="267">
      <c r="B53" s="1" t="n"/>
      <c r="C53" s="259" t="n"/>
      <c r="D53" s="259" t="n"/>
      <c r="E53" s="259" t="n"/>
      <c r="F53" s="331" t="n"/>
      <c r="G53" s="259" t="n"/>
    </row>
    <row r="54" ht="15" customHeight="1" s="267">
      <c r="B54" s="1" t="inlineStr">
        <is>
          <t>TRACT 4:</t>
        </is>
      </c>
      <c r="C54" s="509" t="inlineStr">
        <is>
          <t>E/2 NW/4</t>
        </is>
      </c>
    </row>
    <row r="55" ht="15" customHeight="1" s="267">
      <c r="B55" s="1" t="inlineStr">
        <is>
          <t>Containing:</t>
        </is>
      </c>
      <c r="C55" s="510" t="inlineStr">
        <is>
          <t>80.00 acres, more or less</t>
        </is>
      </c>
    </row>
    <row r="56" ht="15" customHeight="1" s="267">
      <c r="B56" s="1" t="n"/>
      <c r="C56" s="259" t="n"/>
      <c r="F56" s="328" t="n"/>
    </row>
    <row r="57" ht="15" customHeight="1" s="267">
      <c r="B57" s="144" t="inlineStr">
        <is>
          <t>Mineral Owner</t>
        </is>
      </c>
      <c r="C57" s="42" t="inlineStr">
        <is>
          <t>Net Acres</t>
        </is>
      </c>
      <c r="D57" s="42" t="inlineStr">
        <is>
          <t xml:space="preserve">OGL No. </t>
        </is>
      </c>
      <c r="E57" s="42" t="inlineStr">
        <is>
          <t>Royalty</t>
        </is>
      </c>
      <c r="F57" s="332" t="inlineStr">
        <is>
          <t>Expiration</t>
        </is>
      </c>
      <c r="G57" s="5" t="inlineStr">
        <is>
          <t>Comments</t>
        </is>
      </c>
    </row>
    <row r="58">
      <c r="B58" s="149" t="inlineStr">
        <is>
          <t>Ronald Paul Dold</t>
        </is>
      </c>
      <c r="C58" s="142" t="n">
        <v>15.56</v>
      </c>
      <c r="D58" s="131" t="n">
        <v>294</v>
      </c>
      <c r="E58" s="190" t="n">
        <v>0.1875</v>
      </c>
      <c r="F58" s="334" t="n">
        <v>47208</v>
      </c>
      <c r="G58" s="131" t="n"/>
    </row>
    <row r="59">
      <c r="B59" s="149" t="inlineStr">
        <is>
          <t>Dustin Deal, LLC</t>
        </is>
      </c>
      <c r="C59" s="142" t="n">
        <v>15.56</v>
      </c>
      <c r="D59" s="131" t="n"/>
      <c r="E59" s="189" t="n"/>
      <c r="F59" s="333" t="n"/>
      <c r="G59" s="44" t="n"/>
    </row>
    <row r="60" ht="24" customHeight="1" s="267">
      <c r="B60" s="149" t="inlineStr">
        <is>
          <t>Gary Wayne Vignal and Cindy Lou Vignal Living Trust dated September 20, 2018</t>
        </is>
      </c>
      <c r="C60" s="142" t="n">
        <v>2.2</v>
      </c>
      <c r="D60" s="131" t="n"/>
      <c r="E60" s="190" t="n"/>
      <c r="F60" s="334" t="n"/>
      <c r="G60" s="44" t="n"/>
    </row>
    <row r="61">
      <c r="B61" s="149" t="inlineStr">
        <is>
          <t>Calvin Wayne Kirk</t>
        </is>
      </c>
      <c r="C61" s="142" t="n">
        <v>15.56</v>
      </c>
      <c r="D61" s="131" t="n"/>
      <c r="E61" s="189" t="n"/>
      <c r="F61" s="333" t="n"/>
      <c r="G61" s="44" t="n"/>
    </row>
    <row r="62">
      <c r="B62" s="149" t="inlineStr">
        <is>
          <t>William Bryant / Kathy Bryant</t>
        </is>
      </c>
      <c r="C62" s="142" t="n">
        <v>15.56</v>
      </c>
      <c r="D62" s="131" t="n"/>
      <c r="E62" s="189" t="n"/>
      <c r="F62" s="335" t="n"/>
      <c r="G62" s="44" t="n"/>
    </row>
    <row r="63">
      <c r="B63" s="149" t="inlineStr">
        <is>
          <t>Silver Oak Natural Resources, LLC</t>
        </is>
      </c>
      <c r="C63" s="142" t="n">
        <v>15.56</v>
      </c>
      <c r="D63" s="131" t="n">
        <v>294</v>
      </c>
      <c r="E63" s="189" t="n">
        <v>0.1875</v>
      </c>
      <c r="F63" s="335" t="n">
        <v>47208</v>
      </c>
      <c r="G63" s="131" t="n"/>
    </row>
    <row r="64">
      <c r="B64" s="149" t="inlineStr">
        <is>
          <t>REPORT TOTAL</t>
        </is>
      </c>
      <c r="C64" s="142" t="n">
        <v>80</v>
      </c>
      <c r="D64" s="131" t="n"/>
      <c r="E64" s="189" t="n"/>
      <c r="F64" s="333" t="n"/>
      <c r="G64" s="131" t="n"/>
    </row>
    <row r="65">
      <c r="B65" s="149" t="inlineStr">
        <is>
          <t>TOTAL</t>
        </is>
      </c>
      <c r="C65" s="142" t="n">
        <v>80</v>
      </c>
      <c r="D65" s="131" t="n"/>
      <c r="E65" s="189" t="n"/>
      <c r="F65" s="333" t="n"/>
      <c r="G65" s="44" t="n"/>
    </row>
    <row r="66">
      <c r="B66" s="149" t="n"/>
      <c r="C66" s="142" t="n"/>
      <c r="D66" s="131" t="n"/>
      <c r="E66" s="189" t="n"/>
      <c r="F66" s="333" t="n"/>
      <c r="G66" s="44" t="n"/>
    </row>
    <row r="67">
      <c r="B67" s="149" t="n"/>
      <c r="C67" s="142" t="n"/>
      <c r="D67" s="131" t="n"/>
      <c r="E67" s="189" t="n"/>
      <c r="F67" s="333" t="n"/>
      <c r="G67" s="44" t="n"/>
    </row>
    <row r="68" ht="36" customHeight="1" s="267">
      <c r="B68" s="149" t="inlineStr">
        <is>
          <t>TRACT 5:</t>
        </is>
      </c>
      <c r="C68" s="142" t="inlineStr">
        <is>
          <t>W/2 NW/4 (Lots 1 &amp; 2), SE/4 SW/4</t>
        </is>
      </c>
      <c r="D68" s="131" t="n"/>
      <c r="E68" s="190" t="n"/>
      <c r="F68" s="334" t="n"/>
      <c r="G68" s="131" t="n"/>
    </row>
    <row r="69">
      <c r="A69" s="4" t="n"/>
      <c r="B69" s="149" t="inlineStr">
        <is>
          <t>Containing:</t>
        </is>
      </c>
      <c r="C69" s="130" t="inlineStr">
        <is>
          <t>120.00 acres, more or less</t>
        </is>
      </c>
      <c r="D69" s="131" t="n"/>
      <c r="E69" s="189" t="n"/>
      <c r="F69" s="333" t="n"/>
      <c r="G69" s="186" t="n"/>
    </row>
    <row r="70">
      <c r="B70" s="149" t="n"/>
      <c r="C70" s="142" t="n"/>
      <c r="D70" s="131" t="n"/>
      <c r="E70" s="189" t="n"/>
      <c r="F70" s="333" t="n"/>
      <c r="G70" s="44" t="n"/>
    </row>
    <row r="71">
      <c r="B71" s="149" t="inlineStr">
        <is>
          <t>Mineral Owner</t>
        </is>
      </c>
      <c r="C71" s="142" t="inlineStr">
        <is>
          <t>Net Acres</t>
        </is>
      </c>
      <c r="D71" s="131" t="inlineStr">
        <is>
          <t xml:space="preserve">OGL No. </t>
        </is>
      </c>
      <c r="E71" s="189" t="inlineStr">
        <is>
          <t>Royalty</t>
        </is>
      </c>
      <c r="F71" s="333" t="inlineStr">
        <is>
          <t>Expiration</t>
        </is>
      </c>
      <c r="G71" s="44" t="inlineStr">
        <is>
          <t>Comments</t>
        </is>
      </c>
    </row>
    <row r="72" ht="15" customHeight="1" s="267">
      <c r="B72" s="145" t="inlineStr">
        <is>
          <t>Calvin Wayne Kirk</t>
        </is>
      </c>
      <c r="C72" s="43" t="n">
        <v>60</v>
      </c>
      <c r="D72" s="47" t="n"/>
      <c r="F72" s="328" t="n"/>
    </row>
    <row r="73" ht="15" customHeight="1" s="267">
      <c r="B73" s="146" t="inlineStr">
        <is>
          <t>William Bryant / Kathy Bryant</t>
        </is>
      </c>
      <c r="C73" s="6" t="n">
        <v>60</v>
      </c>
      <c r="F73" s="328" t="n"/>
    </row>
    <row r="74" ht="15" customHeight="1" s="267">
      <c r="B74" s="1" t="inlineStr">
        <is>
          <t>REPORT TOTAL</t>
        </is>
      </c>
      <c r="C74" s="259" t="n">
        <v>120</v>
      </c>
      <c r="D74" s="259" t="n"/>
      <c r="E74" s="259" t="n"/>
      <c r="F74" s="331" t="n"/>
      <c r="G74" s="259" t="n"/>
    </row>
    <row r="75" ht="15" customHeight="1" s="267">
      <c r="B75" s="1" t="inlineStr">
        <is>
          <t>TOTAL</t>
        </is>
      </c>
      <c r="C75" s="509" t="n">
        <v>120</v>
      </c>
    </row>
    <row r="76" ht="15" customHeight="1" s="267">
      <c r="B76" s="1" t="n"/>
      <c r="C76" s="510" t="n"/>
    </row>
    <row r="77" ht="15" customHeight="1" s="267">
      <c r="B77" s="1" t="n"/>
      <c r="C77" s="259" t="n"/>
      <c r="F77" s="328" t="n"/>
    </row>
    <row r="78" ht="15" customHeight="1" s="267">
      <c r="B78" s="1" t="inlineStr">
        <is>
          <t>TRACT 6:</t>
        </is>
      </c>
      <c r="C78" s="259" t="inlineStr">
        <is>
          <t>W/2 SW/4 (Lots 3 &amp; 4)</t>
        </is>
      </c>
      <c r="D78" s="259" t="n"/>
      <c r="E78" s="259" t="n"/>
      <c r="F78" s="331" t="n"/>
      <c r="G78" s="259" t="n"/>
    </row>
    <row r="79" ht="15" customHeight="1" s="267">
      <c r="B79" s="144" t="inlineStr">
        <is>
          <t>Containing:</t>
        </is>
      </c>
      <c r="C79" s="42" t="inlineStr">
        <is>
          <t>80.00 acres, more or less</t>
        </is>
      </c>
      <c r="D79" s="42" t="n"/>
      <c r="E79" s="42" t="n"/>
      <c r="F79" s="332" t="n"/>
      <c r="G79" s="5" t="n"/>
    </row>
    <row r="80">
      <c r="B80" s="149" t="n"/>
      <c r="C80" s="142" t="n"/>
      <c r="D80" s="131" t="n"/>
      <c r="E80" s="189" t="n"/>
      <c r="F80" s="334" t="n"/>
      <c r="G80" s="44" t="n"/>
    </row>
    <row r="81">
      <c r="B81" s="149" t="inlineStr">
        <is>
          <t>Mineral Owner</t>
        </is>
      </c>
      <c r="C81" s="142" t="inlineStr">
        <is>
          <t>Net Acres</t>
        </is>
      </c>
      <c r="D81" s="131" t="inlineStr">
        <is>
          <t xml:space="preserve">OGL No. </t>
        </is>
      </c>
      <c r="E81" s="189" t="inlineStr">
        <is>
          <t>Royalty</t>
        </is>
      </c>
      <c r="F81" s="333" t="inlineStr">
        <is>
          <t>Expiration</t>
        </is>
      </c>
      <c r="G81" s="44" t="inlineStr">
        <is>
          <t>Comments</t>
        </is>
      </c>
    </row>
    <row r="82" ht="24" customHeight="1" s="267">
      <c r="B82" s="149" t="inlineStr">
        <is>
          <t>Marvin G. Mitchell and Carrie Lou Mitchell, HW, JTWROS</t>
        </is>
      </c>
      <c r="C82" s="142" t="n">
        <v>80</v>
      </c>
      <c r="D82" s="131" t="n"/>
      <c r="E82" s="189" t="n"/>
      <c r="F82" s="334" t="n"/>
      <c r="G82" s="44" t="n"/>
    </row>
    <row r="83">
      <c r="B83" s="149" t="inlineStr">
        <is>
          <t>REPORT TOTAL</t>
        </is>
      </c>
      <c r="C83" s="142" t="n">
        <v>80</v>
      </c>
      <c r="D83" s="131" t="n"/>
      <c r="E83" s="189" t="n"/>
      <c r="F83" s="334" t="n"/>
      <c r="G83" s="44" t="n"/>
    </row>
    <row r="84">
      <c r="B84" s="149" t="inlineStr">
        <is>
          <t>TOTAL</t>
        </is>
      </c>
      <c r="C84" s="142" t="n">
        <v>80</v>
      </c>
      <c r="D84" s="131" t="n"/>
      <c r="E84" s="189" t="n"/>
      <c r="F84" s="335" t="n"/>
      <c r="G84" s="44" t="n"/>
    </row>
    <row r="85">
      <c r="B85" s="149" t="n"/>
      <c r="C85" s="142" t="n"/>
      <c r="D85" s="131" t="n"/>
      <c r="E85" s="189" t="n"/>
      <c r="F85" s="335" t="n"/>
      <c r="G85" s="131" t="n"/>
    </row>
    <row r="86">
      <c r="B86" s="149" t="n"/>
      <c r="C86" s="142" t="n"/>
      <c r="D86" s="131" t="n"/>
      <c r="E86" s="190" t="n"/>
      <c r="F86" s="334" t="n"/>
      <c r="G86" s="131" t="n"/>
    </row>
    <row r="87">
      <c r="B87" s="149" t="inlineStr">
        <is>
          <t>TRACT 7:</t>
        </is>
      </c>
      <c r="C87" s="142" t="inlineStr">
        <is>
          <t>NE/4 SW/4</t>
        </is>
      </c>
      <c r="D87" s="131" t="n"/>
      <c r="E87" s="189" t="n"/>
      <c r="F87" s="333" t="n"/>
      <c r="G87" s="131" t="n"/>
    </row>
    <row r="88" ht="24" customHeight="1" s="267">
      <c r="B88" s="149" t="inlineStr">
        <is>
          <t>Containing:</t>
        </is>
      </c>
      <c r="C88" s="142" t="inlineStr">
        <is>
          <t>40.00 acres, more or less</t>
        </is>
      </c>
      <c r="D88" s="131" t="n"/>
      <c r="E88" s="189" t="n"/>
      <c r="F88" s="333" t="n"/>
      <c r="G88" s="131" t="n"/>
    </row>
    <row r="89" ht="15" customHeight="1" s="267">
      <c r="B89" s="145" t="n"/>
      <c r="C89" s="43" t="n"/>
      <c r="D89" s="47" t="n"/>
      <c r="F89" s="328" t="n"/>
    </row>
    <row r="90" ht="15" customHeight="1" s="267">
      <c r="B90" s="146" t="inlineStr">
        <is>
          <t>Mineral Owner</t>
        </is>
      </c>
      <c r="C90" s="6" t="inlineStr">
        <is>
          <t>Net Acres</t>
        </is>
      </c>
      <c r="D90" s="258" t="inlineStr">
        <is>
          <t xml:space="preserve">OGL No. </t>
        </is>
      </c>
      <c r="E90" s="258" t="inlineStr">
        <is>
          <t>Royalty</t>
        </is>
      </c>
      <c r="F90" s="328" t="inlineStr">
        <is>
          <t>Expiration</t>
        </is>
      </c>
      <c r="G90" s="258" t="inlineStr">
        <is>
          <t>Comments</t>
        </is>
      </c>
    </row>
    <row r="91" ht="15" customHeight="1" s="267">
      <c r="B91" s="1" t="inlineStr">
        <is>
          <t>Marvin G. Mitchell and Carrie Lou Mitchell, HW, JTWROS</t>
        </is>
      </c>
      <c r="C91" s="259" t="n">
        <v>40</v>
      </c>
      <c r="D91" s="259" t="n"/>
      <c r="E91" s="259" t="n"/>
      <c r="F91" s="331" t="n"/>
      <c r="G91" s="259" t="n"/>
    </row>
    <row r="92" ht="15" customHeight="1" s="267">
      <c r="B92" s="1" t="inlineStr">
        <is>
          <t>REPORT TOTAL</t>
        </is>
      </c>
      <c r="C92" s="509" t="n">
        <v>40</v>
      </c>
    </row>
    <row r="93" ht="15" customHeight="1" s="267">
      <c r="B93" s="1" t="inlineStr">
        <is>
          <t>TOTAL</t>
        </is>
      </c>
      <c r="C93" s="510" t="n">
        <v>40</v>
      </c>
    </row>
    <row r="94" ht="15" customHeight="1" s="267">
      <c r="B94" s="1" t="n"/>
      <c r="C94" s="259" t="n"/>
      <c r="F94" s="328" t="n"/>
    </row>
    <row r="95" ht="15" customHeight="1" s="267">
      <c r="B95" s="1" t="n"/>
      <c r="C95" s="259" t="n"/>
      <c r="D95" s="259" t="n"/>
      <c r="E95" s="259" t="n"/>
      <c r="F95" s="331" t="n"/>
      <c r="G95" s="259" t="n"/>
    </row>
    <row r="96" ht="15" customHeight="1" s="267">
      <c r="B96" s="144" t="inlineStr">
        <is>
          <t>TRACT 8:</t>
        </is>
      </c>
      <c r="C96" s="42" t="inlineStr">
        <is>
          <t>NE/4 SE/4</t>
        </is>
      </c>
      <c r="D96" s="42" t="n"/>
      <c r="E96" s="42" t="n"/>
      <c r="F96" s="332" t="n"/>
      <c r="G96" s="5" t="n"/>
    </row>
    <row r="97" ht="24" customHeight="1" s="267">
      <c r="B97" s="149" t="inlineStr">
        <is>
          <t>Containing:</t>
        </is>
      </c>
      <c r="C97" s="142" t="inlineStr">
        <is>
          <t>40.00 acres, more or less</t>
        </is>
      </c>
      <c r="D97" s="131" t="n"/>
      <c r="E97" s="190" t="n"/>
      <c r="F97" s="334" t="n"/>
      <c r="G97" s="131" t="n"/>
    </row>
    <row r="98">
      <c r="B98" s="149" t="n"/>
      <c r="C98" s="142" t="n"/>
      <c r="D98" s="131" t="n"/>
      <c r="E98" s="189" t="n"/>
      <c r="F98" s="335" t="n"/>
      <c r="G98" s="131" t="n"/>
    </row>
    <row r="99" ht="13.5" customHeight="1" s="267">
      <c r="B99" s="149" t="inlineStr">
        <is>
          <t>Mineral Owner</t>
        </is>
      </c>
      <c r="C99" s="142" t="inlineStr">
        <is>
          <t>Net Acres</t>
        </is>
      </c>
      <c r="D99" s="131" t="inlineStr">
        <is>
          <t xml:space="preserve">OGL No. </t>
        </is>
      </c>
      <c r="E99" s="189" t="inlineStr">
        <is>
          <t>Royalty</t>
        </is>
      </c>
      <c r="F99" s="333" t="inlineStr">
        <is>
          <t>Expiration</t>
        </is>
      </c>
      <c r="G99" s="44" t="inlineStr">
        <is>
          <t>Comments</t>
        </is>
      </c>
    </row>
    <row r="100" ht="24" customHeight="1" s="267">
      <c r="B100" s="149" t="inlineStr">
        <is>
          <t>Marvin G. Mitchell and Carrie Lou Mitchell, HW, JTWROS</t>
        </is>
      </c>
      <c r="C100" s="142" t="n">
        <v>20</v>
      </c>
      <c r="D100" s="131" t="n"/>
      <c r="E100" s="190" t="n"/>
      <c r="F100" s="334" t="n"/>
      <c r="G100" s="44" t="n"/>
    </row>
    <row r="101">
      <c r="B101" s="149" t="inlineStr">
        <is>
          <t>G. C. Mitchel and Glenn D. Mitchel</t>
        </is>
      </c>
      <c r="C101" s="142" t="n">
        <v>3.08</v>
      </c>
      <c r="D101" s="131" t="n"/>
      <c r="E101" s="189" t="n"/>
      <c r="F101" s="333" t="n"/>
      <c r="G101" s="44" t="n"/>
    </row>
    <row r="102">
      <c r="B102" s="149" t="inlineStr">
        <is>
          <t>L. E. Thurnman</t>
        </is>
      </c>
      <c r="C102" s="142" t="n">
        <v>1.54</v>
      </c>
      <c r="D102" s="131" t="n"/>
      <c r="E102" s="189" t="n"/>
      <c r="F102" s="335" t="n"/>
      <c r="G102" s="512" t="n"/>
    </row>
    <row r="103">
      <c r="B103" s="149" t="inlineStr">
        <is>
          <t>Mann Childrens Trust</t>
        </is>
      </c>
      <c r="C103" s="142" t="n">
        <v>1.23</v>
      </c>
      <c r="D103" s="131" t="n"/>
      <c r="E103" s="189" t="n"/>
      <c r="F103" s="334" t="n"/>
      <c r="G103" s="131" t="n"/>
    </row>
    <row r="104">
      <c r="B104" s="149" t="inlineStr">
        <is>
          <t>J. E. Barnett</t>
        </is>
      </c>
      <c r="C104" s="142" t="n">
        <v>1.54</v>
      </c>
      <c r="D104" s="131" t="n"/>
      <c r="E104" s="189" t="n"/>
      <c r="F104" s="333" t="n"/>
      <c r="G104" s="131" t="n"/>
    </row>
    <row r="105">
      <c r="B105" s="149" t="inlineStr">
        <is>
          <t>Nolan E. Britton, Inc.</t>
        </is>
      </c>
      <c r="C105" s="142" t="n">
        <v>5.38</v>
      </c>
      <c r="D105" s="131" t="n"/>
      <c r="E105" s="189" t="n"/>
      <c r="F105" s="333" t="n"/>
      <c r="G105" s="44" t="n"/>
    </row>
    <row r="106" ht="36" customHeight="1" s="267">
      <c r="B106" s="149" t="inlineStr">
        <is>
          <t>Sorenson Oil &amp; Gas Trust, Michelle Sorenson Johnson, Trustee, Marchelle Sorenson Uaigle, Trustee</t>
        </is>
      </c>
      <c r="C106" s="142" t="n">
        <v>6.15</v>
      </c>
      <c r="D106" s="131" t="n"/>
      <c r="E106" s="189" t="n"/>
      <c r="F106" s="333" t="n"/>
      <c r="G106" s="44" t="n"/>
    </row>
    <row r="107">
      <c r="B107" s="149" t="inlineStr">
        <is>
          <t>Inter-American Corporation</t>
        </is>
      </c>
      <c r="C107" s="142" t="n">
        <v>0.77</v>
      </c>
      <c r="D107" s="131" t="n"/>
      <c r="E107" s="189" t="n"/>
      <c r="F107" s="333" t="n"/>
      <c r="G107" s="44" t="n"/>
    </row>
    <row r="108">
      <c r="B108" s="149" t="inlineStr">
        <is>
          <t>Bluebonnet Investments, Ltd.</t>
        </is>
      </c>
      <c r="C108" s="142" t="n">
        <v>1.54</v>
      </c>
      <c r="D108" s="131" t="n"/>
      <c r="E108" s="190" t="n"/>
      <c r="F108" s="334" t="n"/>
      <c r="G108" s="131" t="n"/>
    </row>
    <row r="109">
      <c r="A109" s="4" t="n"/>
      <c r="B109" s="149" t="inlineStr">
        <is>
          <t>REPORTED CANDIDATE TOTAL</t>
        </is>
      </c>
      <c r="C109" s="130" t="n">
        <v>41.23</v>
      </c>
      <c r="D109" s="131" t="n"/>
      <c r="E109" s="189" t="n"/>
      <c r="F109" s="333" t="n"/>
      <c r="G109" s="186" t="n"/>
    </row>
    <row r="110">
      <c r="B110" s="149" t="inlineStr">
        <is>
          <t>TRACT GROSS ACRES / STATUS</t>
        </is>
      </c>
      <c r="C110" s="142" t="n">
        <v>40</v>
      </c>
      <c r="D110" s="131" t="n"/>
      <c r="E110" s="189" t="n"/>
      <c r="F110" s="333" t="n"/>
      <c r="G110" s="44" t="n"/>
    </row>
    <row r="111">
      <c r="B111" s="149" t="n"/>
      <c r="C111" s="142" t="n"/>
      <c r="D111" s="131" t="n"/>
      <c r="E111" s="189" t="n"/>
      <c r="F111" s="333" t="n"/>
      <c r="G111" s="197" t="n"/>
    </row>
    <row r="112" ht="15" customHeight="1" s="267">
      <c r="B112" s="145" t="n"/>
      <c r="C112" s="43" t="n"/>
      <c r="D112" s="47" t="n"/>
      <c r="F112" s="328" t="n"/>
    </row>
    <row r="113" ht="15" customHeight="1" s="267">
      <c r="B113" s="146" t="inlineStr">
        <is>
          <t>Working Interest: As to the Cherokee</t>
        </is>
      </c>
      <c r="C113" s="6" t="n"/>
      <c r="F113" s="328" t="n"/>
    </row>
    <row r="114" ht="15" customHeight="1" s="267">
      <c r="B114" s="1" t="n"/>
      <c r="C114" s="259" t="n"/>
      <c r="D114" s="259" t="n"/>
      <c r="E114" s="259" t="n"/>
      <c r="F114" s="331" t="n"/>
      <c r="G114" s="259" t="n"/>
    </row>
    <row r="115" ht="15" customHeight="1" s="267">
      <c r="B115" s="46" t="inlineStr">
        <is>
          <t>Owner</t>
        </is>
      </c>
      <c r="C115" s="259" t="inlineStr">
        <is>
          <t>Net Acres</t>
        </is>
      </c>
      <c r="D115" s="259" t="inlineStr">
        <is>
          <t>Base OGL's</t>
        </is>
      </c>
      <c r="E115" s="259" t="inlineStr">
        <is>
          <t>Royalty</t>
        </is>
      </c>
      <c r="F115" s="331" t="inlineStr">
        <is>
          <t>Expiration</t>
        </is>
      </c>
      <c r="G115" s="259" t="inlineStr">
        <is>
          <t>Comments</t>
        </is>
      </c>
    </row>
    <row r="116" ht="15" customHeight="1" s="267">
      <c r="B116" s="1" t="inlineStr">
        <is>
          <t>Silver Oak Natural Resources, LLC (top leases — OGL Nos. 289–294)</t>
        </is>
      </c>
      <c r="C116" s="259" t="n"/>
      <c r="D116" s="259" t="inlineStr">
        <is>
          <t>289-294</t>
        </is>
      </c>
      <c r="E116" s="259" t="n">
        <v>0.8125</v>
      </c>
      <c r="F116" s="331" t="n"/>
      <c r="G116" s="259" t="inlineStr">
        <is>
          <t>To be determined — WI/NRI pending lease computation</t>
        </is>
      </c>
    </row>
    <row r="117" ht="15" customHeight="1" s="267">
      <c r="B117" s="144" t="inlineStr">
        <is>
          <t>Martin's Resources LLC — current section operator of record (Alexander #1-31, API 35-129-22925)</t>
        </is>
      </c>
      <c r="C117" s="42" t="n"/>
      <c r="D117" s="42" t="n"/>
      <c r="E117" s="5" t="n"/>
      <c r="F117" s="332" t="n"/>
      <c r="G117" s="42" t="inlineStr">
        <is>
          <t>HBP UNRESOLVED — Active status alone does not establish HBP; pending OCC spacing/unit + OTC PUN production confirmation (per Well tab).</t>
        </is>
      </c>
    </row>
    <row r="118">
      <c r="B118" s="152" t="inlineStr">
        <is>
          <t>REPORT TOTAL</t>
        </is>
      </c>
      <c r="C118" s="194" t="n">
        <v>0</v>
      </c>
      <c r="D118" s="195" t="n"/>
      <c r="E118" s="190" t="n"/>
      <c r="F118" s="335" t="n"/>
      <c r="G118" s="197" t="n"/>
    </row>
    <row r="119">
      <c r="B119" s="152" t="inlineStr">
        <is>
          <t>TOTAL</t>
        </is>
      </c>
      <c r="C119" s="194" t="n">
        <v>0</v>
      </c>
      <c r="D119" s="186" t="n"/>
      <c r="E119" s="190" t="n"/>
      <c r="F119" s="335" t="n"/>
      <c r="G119" s="197" t="n"/>
    </row>
    <row r="120">
      <c r="B120" s="150" t="n"/>
      <c r="C120" s="198" t="n"/>
      <c r="D120" s="195" t="n"/>
      <c r="E120" s="193" t="n"/>
      <c r="F120" s="335" t="n"/>
      <c r="G120" s="197" t="n"/>
    </row>
    <row r="121">
      <c r="B121" s="150" t="inlineStr">
        <is>
          <t>Notes</t>
        </is>
      </c>
      <c r="C121" s="198" t="n"/>
      <c r="D121" s="199" t="n"/>
      <c r="E121" s="193" t="n"/>
      <c r="F121" s="335" t="n"/>
      <c r="G121" s="197" t="n"/>
    </row>
    <row r="122">
      <c r="B122" s="141" t="n"/>
      <c r="C122" s="194" t="n"/>
      <c r="D122" s="186" t="n"/>
      <c r="E122" s="189" t="n"/>
      <c r="F122" s="513" t="n"/>
      <c r="G122" s="196" t="n"/>
    </row>
    <row r="123">
      <c r="B123" s="152" t="n"/>
      <c r="C123" s="194" t="n"/>
      <c r="D123" s="199" t="n"/>
      <c r="E123" s="193" t="n"/>
      <c r="F123" s="513" t="n"/>
      <c r="G123" s="200" t="n"/>
    </row>
    <row r="124">
      <c r="B124" s="141" t="n"/>
      <c r="C124" s="194" t="n"/>
      <c r="D124" s="131" t="n"/>
      <c r="E124" s="189" t="n"/>
      <c r="F124" s="513" t="n"/>
      <c r="G124" s="200" t="n"/>
    </row>
    <row r="125">
      <c r="B125" s="152" t="n"/>
      <c r="C125" s="194" t="n"/>
      <c r="D125" s="131" t="n"/>
      <c r="E125" s="193" t="n"/>
      <c r="F125" s="513" t="n"/>
      <c r="G125" s="196" t="n"/>
    </row>
    <row r="126">
      <c r="B126" s="152" t="n"/>
      <c r="C126" s="194" t="n"/>
      <c r="D126" s="131" t="n"/>
      <c r="E126" s="189" t="n"/>
      <c r="F126" s="513" t="n"/>
      <c r="G126" s="197" t="n"/>
    </row>
    <row r="127" ht="15" customHeight="1" s="267">
      <c r="B127" s="145" t="n"/>
      <c r="C127" s="514" t="n"/>
      <c r="D127" s="2" t="n"/>
      <c r="E127" s="2" t="n"/>
      <c r="F127" s="2" t="n"/>
      <c r="G127" s="2" t="n"/>
    </row>
    <row r="128" ht="15" customHeight="1" s="267">
      <c r="B128" s="146" t="n"/>
      <c r="C128" s="514" t="n"/>
      <c r="D128" s="2" t="n"/>
      <c r="E128" s="2" t="n"/>
      <c r="F128" s="2" t="n"/>
      <c r="G128" s="2" t="n"/>
    </row>
    <row r="129" ht="15" customHeight="1" s="267">
      <c r="B129" s="1" t="n"/>
      <c r="C129" s="259" t="n"/>
      <c r="D129" s="259" t="n"/>
      <c r="E129" s="259" t="n"/>
      <c r="F129" s="259" t="n"/>
      <c r="G129" s="259" t="n"/>
    </row>
    <row r="130" ht="15" customHeight="1" s="267">
      <c r="B130" s="1" t="n"/>
      <c r="C130" s="259" t="n"/>
      <c r="D130" s="259" t="n"/>
      <c r="E130" s="259" t="n"/>
      <c r="F130" s="259" t="n"/>
      <c r="G130" s="259" t="n"/>
    </row>
    <row r="131" ht="15" customHeight="1" s="267">
      <c r="B131" s="157" t="n"/>
      <c r="C131" s="259" t="n"/>
      <c r="D131" s="259" t="n"/>
      <c r="E131" s="259" t="n"/>
      <c r="F131" s="259" t="n"/>
      <c r="G131" s="259" t="n"/>
    </row>
    <row r="132">
      <c r="B132" s="509" t="n"/>
    </row>
  </sheetData>
  <mergeCells count="12">
    <mergeCell ref="B2:G2"/>
    <mergeCell ref="C92:G92"/>
    <mergeCell ref="C4:G4"/>
    <mergeCell ref="C32:G32"/>
    <mergeCell ref="C54:G54"/>
    <mergeCell ref="B132:G132"/>
    <mergeCell ref="C76:G76"/>
    <mergeCell ref="C5:G5"/>
    <mergeCell ref="C55:G55"/>
    <mergeCell ref="C93:G93"/>
    <mergeCell ref="C31:G31"/>
    <mergeCell ref="C75:G75"/>
  </mergeCells>
  <printOptions horizontalCentered="1"/>
  <pageMargins left="0.25" right="0.25" top="0.75" bottom="0.75" header="0" footer="0"/>
  <pageSetup orientation="portrait" paperSize="5" scale="80" fitToHeight="0"/>
  <headerFooter>
    <oddHeader/>
    <oddFooter>&amp;LNew Horizon Energy&amp;CPage &amp;P of &amp;R405-203-8570</oddFooter>
    <evenHeader/>
    <evenFooter/>
    <firstHeader/>
    <firstFooter/>
  </headerFooter>
  <rowBreaks count="3" manualBreakCount="3">
    <brk id="29" min="0" max="6" man="1"/>
    <brk id="102" min="0" max="6" man="1"/>
    <brk id="129" min="0" max="6"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B171"/>
  <sheetViews>
    <sheetView zoomScale="85" zoomScaleNormal="85" workbookViewId="0">
      <pane ySplit="1" topLeftCell="A5" activePane="bottomLeft" state="frozen"/>
      <selection pane="bottomLeft" activeCell="J10" sqref="J10"/>
    </sheetView>
  </sheetViews>
  <sheetFormatPr baseColWidth="8" defaultColWidth="9.140625" defaultRowHeight="12.75"/>
  <cols>
    <col width="6.42578125" bestFit="1" customWidth="1" style="49" min="1" max="1"/>
    <col width="9.140625" customWidth="1" style="49" min="2" max="2"/>
    <col width="7.5703125" bestFit="1" customWidth="1" style="50" min="3" max="3"/>
    <col width="12.140625" customWidth="1" style="50" min="4" max="4"/>
    <col width="9.140625" customWidth="1" style="50" min="5" max="5"/>
    <col width="11.28515625" customWidth="1" style="50" min="6" max="6"/>
    <col width="10.85546875" customWidth="1" style="50" min="7" max="7"/>
    <col width="23.140625" customWidth="1" style="50" min="8" max="8"/>
    <col width="26" customWidth="1" style="50" min="9" max="9"/>
    <col width="38.140625" customWidth="1" style="50" min="10" max="10"/>
    <col width="25.5703125" customWidth="1" style="50" min="11" max="11"/>
    <col width="9.140625" customWidth="1" style="50" min="12" max="12"/>
    <col width="11.140625" bestFit="1" customWidth="1" style="50" min="13" max="13"/>
    <col width="17.85546875" customWidth="1" style="50" min="14" max="14"/>
    <col width="10.5703125" customWidth="1" style="50" min="15" max="15"/>
    <col width="17" bestFit="1" customWidth="1" style="515" min="16" max="16"/>
    <col width="11.7109375" bestFit="1" customWidth="1" style="50" min="17" max="17"/>
    <col hidden="1" style="50" min="18" max="21"/>
    <col width="15.28515625" customWidth="1" style="50" min="22" max="22"/>
    <col width="14.7109375" bestFit="1" customWidth="1" style="50" min="23" max="25"/>
    <col width="10.5703125" bestFit="1" customWidth="1" style="49" min="26" max="26"/>
    <col width="9.140625" customWidth="1" style="49" min="27" max="16384"/>
  </cols>
  <sheetData>
    <row r="1" ht="26.25" customFormat="1" customHeight="1" s="168" thickBot="1">
      <c r="A1" s="163" t="inlineStr">
        <is>
          <t>OGL #</t>
        </is>
      </c>
      <c r="B1" s="163" t="inlineStr">
        <is>
          <t>LH</t>
        </is>
      </c>
      <c r="C1" s="164" t="inlineStr">
        <is>
          <t>Image #</t>
        </is>
      </c>
      <c r="D1" s="164" t="inlineStr">
        <is>
          <t>Instrument</t>
        </is>
      </c>
      <c r="E1" s="164" t="inlineStr">
        <is>
          <t>Bk./Pg.</t>
        </is>
      </c>
      <c r="F1" s="164" t="inlineStr">
        <is>
          <t>Execution
Date</t>
        </is>
      </c>
      <c r="G1" s="164" t="inlineStr">
        <is>
          <t>Filing
Date</t>
        </is>
      </c>
      <c r="H1" s="164" t="inlineStr">
        <is>
          <t>Grantor</t>
        </is>
      </c>
      <c r="I1" s="164" t="inlineStr">
        <is>
          <t>Grantee</t>
        </is>
      </c>
      <c r="J1" s="164" t="inlineStr">
        <is>
          <t>Legal
Description</t>
        </is>
      </c>
      <c r="K1" s="164" t="inlineStr">
        <is>
          <t>Misc. Notes</t>
        </is>
      </c>
      <c r="L1" s="164" t="inlineStr">
        <is>
          <t>Term</t>
        </is>
      </c>
      <c r="M1" s="164" t="inlineStr">
        <is>
          <t>Gross Acres</t>
        </is>
      </c>
      <c r="N1" s="164" t="inlineStr">
        <is>
          <t>Tracts</t>
        </is>
      </c>
      <c r="O1" s="164" t="inlineStr">
        <is>
          <t>Exp Date</t>
        </is>
      </c>
      <c r="P1" s="516" t="inlineStr">
        <is>
          <t>Net Mineral
Acres</t>
        </is>
      </c>
      <c r="Q1" s="166" t="inlineStr">
        <is>
          <t>Royalty</t>
        </is>
      </c>
      <c r="R1" s="167" t="n"/>
      <c r="S1" s="167" t="n"/>
      <c r="T1" s="167" t="n"/>
      <c r="U1" s="167" t="n"/>
      <c r="V1" s="166" t="inlineStr">
        <is>
          <t>Depth Clause</t>
        </is>
      </c>
      <c r="W1" s="164" t="inlineStr">
        <is>
          <t>Option to Extend</t>
        </is>
      </c>
      <c r="X1" s="164" t="inlineStr">
        <is>
          <t>No Warranty Clause</t>
        </is>
      </c>
      <c r="Y1" s="164" t="inlineStr">
        <is>
          <t>Top Lease Clause</t>
        </is>
      </c>
    </row>
    <row r="2" ht="60" customFormat="1" customHeight="1" s="201">
      <c r="A2" s="232" t="n">
        <v>1</v>
      </c>
      <c r="B2" s="232" t="n"/>
      <c r="C2" s="233" t="n"/>
      <c r="D2" s="234" t="inlineStr">
        <is>
          <t>OGL</t>
        </is>
      </c>
      <c r="E2" s="234" t="inlineStr">
        <is>
          <t>2600/366</t>
        </is>
      </c>
      <c r="F2" s="235" t="n">
        <v>45604</v>
      </c>
      <c r="G2" s="235" t="n">
        <v>45621</v>
      </c>
      <c r="H2" s="240" t="inlineStr">
        <is>
          <t>Jane Ann Fell, Trustee of the Jane Ann Fell Trust, dated June 20, 2006</t>
        </is>
      </c>
      <c r="I2" s="241" t="inlineStr">
        <is>
          <t>Bear Energy Partners, LLC</t>
        </is>
      </c>
      <c r="J2" s="241" t="inlineStr">
        <is>
          <t>W/2 W/2</t>
        </is>
      </c>
      <c r="K2" s="241" t="inlineStr">
        <is>
          <t>Pugh clause
Depth clause: Releases all rights 100 feet and more below the SE of the deepest penetrated formation</t>
        </is>
      </c>
      <c r="L2" s="233" t="inlineStr">
        <is>
          <t>3 years</t>
        </is>
      </c>
      <c r="M2" s="233" t="n">
        <v>160</v>
      </c>
      <c r="N2" s="233" t="n">
        <v>4</v>
      </c>
      <c r="O2" s="236" t="n">
        <v>46699</v>
      </c>
      <c r="P2" s="517" t="n">
        <v>20</v>
      </c>
      <c r="Q2" s="238" t="inlineStr">
        <is>
          <t>1/5th</t>
        </is>
      </c>
      <c r="R2" s="239" t="n"/>
      <c r="S2" s="239" t="n"/>
      <c r="T2" s="239" t="n"/>
      <c r="U2" s="239" t="n"/>
      <c r="V2" s="233" t="inlineStr">
        <is>
          <t>Yes</t>
        </is>
      </c>
      <c r="W2" s="233" t="inlineStr">
        <is>
          <t>No</t>
        </is>
      </c>
      <c r="X2" s="233" t="inlineStr">
        <is>
          <t>No</t>
        </is>
      </c>
      <c r="Y2" s="233" t="inlineStr">
        <is>
          <t>Yes</t>
        </is>
      </c>
    </row>
    <row r="3" ht="36" customFormat="1" customHeight="1" s="201">
      <c r="A3" s="232" t="n">
        <v>289</v>
      </c>
      <c r="B3" s="232" t="inlineStr">
        <is>
          <t>Top Lease</t>
        </is>
      </c>
      <c r="C3" s="233" t="n"/>
      <c r="D3" s="234" t="inlineStr">
        <is>
          <t>Oil and Gas Lease</t>
        </is>
      </c>
      <c r="E3" s="234" t="inlineStr">
        <is>
          <t>2702/505</t>
        </is>
      </c>
      <c r="F3" s="235" t="n">
        <v>46064</v>
      </c>
      <c r="G3" s="235" t="n">
        <v>46170</v>
      </c>
      <c r="H3" s="240" t="inlineStr">
        <is>
          <t>A/k/a Gena Williams, A/k/a Gena Mitchell Williams, Gena W. Moore</t>
        </is>
      </c>
      <c r="I3" s="518" t="inlineStr">
        <is>
          <t>Silver Oak Natural Resources, LLC</t>
        </is>
      </c>
      <c r="J3" s="241" t="inlineStr">
        <is>
          <t>N/2 NE/4, N/2 NE/4 SW/4, NE/4 SE/4, NW/4, S/2, Lots 3-4, S/2 NE/4 SW/4, SE/4 NE/4, SE/4 SW/4 of 31-12N-24W</t>
        </is>
      </c>
      <c r="K3" s="241" t="inlineStr">
        <is>
          <t>Top lease 3/16 (0.1875); springing/subordinate — verify effective.</t>
        </is>
      </c>
      <c r="L3" s="233" t="n">
        <v>60</v>
      </c>
      <c r="M3" s="233" t="n"/>
      <c r="N3" s="233" t="inlineStr">
        <is>
          <t>T1,2,3,4,5,6,7,8</t>
        </is>
      </c>
      <c r="O3" s="236" t="n">
        <v>47890</v>
      </c>
      <c r="P3" s="517" t="n"/>
      <c r="Q3" s="238" t="n">
        <v>0.1875</v>
      </c>
      <c r="R3" s="239" t="n"/>
      <c r="S3" s="239" t="n"/>
      <c r="T3" s="239" t="n"/>
      <c r="U3" s="239" t="n"/>
      <c r="V3" s="233" t="n"/>
      <c r="W3" s="233" t="n"/>
      <c r="X3" s="233" t="n"/>
      <c r="Y3" s="233" t="inlineStr">
        <is>
          <t>T</t>
        </is>
      </c>
      <c r="Z3" s="519" t="n"/>
    </row>
    <row r="4" ht="36" customFormat="1" customHeight="1" s="201">
      <c r="A4" s="232" t="n">
        <v>290</v>
      </c>
      <c r="B4" s="232" t="inlineStr">
        <is>
          <t>Top Lease</t>
        </is>
      </c>
      <c r="C4" s="233" t="n"/>
      <c r="D4" s="234" t="inlineStr">
        <is>
          <t>Oil and Gas Lease</t>
        </is>
      </c>
      <c r="E4" s="234" t="inlineStr">
        <is>
          <t>2697/520</t>
        </is>
      </c>
      <c r="F4" s="235" t="n">
        <v>46070</v>
      </c>
      <c r="G4" s="235" t="n">
        <v>46143</v>
      </c>
      <c r="H4" s="240" t="inlineStr">
        <is>
          <t>Keri Lee Daigle Tucker, Trustee of The Keri Lee Daigle Tucker Trust</t>
        </is>
      </c>
      <c r="I4" s="241" t="inlineStr">
        <is>
          <t>Silver Oak Natural Resources, LLC</t>
        </is>
      </c>
      <c r="J4" s="241" t="inlineStr">
        <is>
          <t>E/2 NW/4, N/2 NE/4 SW/4, NE/4 SE/4, SE/4 NE/4 of 31-12N-24W</t>
        </is>
      </c>
      <c r="K4" s="241" t="inlineStr">
        <is>
          <t>Top lease 3/16 (0.1875); springing/subordinate — verify effective.</t>
        </is>
      </c>
      <c r="L4" s="233" t="n">
        <v>60</v>
      </c>
      <c r="M4" s="233" t="n"/>
      <c r="N4" s="233" t="inlineStr">
        <is>
          <t>T3,4,7,8</t>
        </is>
      </c>
      <c r="O4" s="236" t="n">
        <v>47896</v>
      </c>
      <c r="P4" s="517" t="n"/>
      <c r="Q4" s="238" t="n">
        <v>0.1875</v>
      </c>
      <c r="R4" s="239" t="n"/>
      <c r="S4" s="239" t="n"/>
      <c r="T4" s="239" t="n"/>
      <c r="U4" s="239" t="n"/>
      <c r="V4" s="233" t="n"/>
      <c r="W4" s="233" t="n"/>
      <c r="X4" s="233" t="n"/>
      <c r="Y4" s="233" t="inlineStr">
        <is>
          <t>T</t>
        </is>
      </c>
    </row>
    <row r="5" ht="60" customFormat="1" customHeight="1" s="201">
      <c r="A5" s="232" t="n">
        <v>292</v>
      </c>
      <c r="B5" s="232" t="inlineStr">
        <is>
          <t>Top Lease</t>
        </is>
      </c>
      <c r="C5" s="233" t="n"/>
      <c r="D5" s="234" t="inlineStr">
        <is>
          <t>Oil and Gas Lease</t>
        </is>
      </c>
      <c r="E5" s="234" t="inlineStr">
        <is>
          <t>2693/337</t>
        </is>
      </c>
      <c r="F5" s="235" t="n">
        <v>46076</v>
      </c>
      <c r="G5" s="235" t="n">
        <v>46122</v>
      </c>
      <c r="H5" s="241" t="inlineStr">
        <is>
          <t>James Gerard Buonaccorsi, Carrie Leeann Mitchell, Trustee of The Mitchell Buonaccorsi Living Trust</t>
        </is>
      </c>
      <c r="I5" s="241" t="inlineStr">
        <is>
          <t>Silver Oak Natural Resources, LLC</t>
        </is>
      </c>
      <c r="J5" s="241" t="inlineStr">
        <is>
          <t>E/2 NW/4, N/2 NE/4, N/2 NE/4 SW/4, NE/4 SE/4, NE/4 SW/4, S/2, Lots 3-4, SE/4 NE/4, SE/4 SW/4 of 31-12N-24W</t>
        </is>
      </c>
      <c r="K5" s="241" t="inlineStr">
        <is>
          <t>Top lease 3/16 (0.1875); springing/subordinate — verify effective.</t>
        </is>
      </c>
      <c r="L5" s="233" t="n">
        <v>36</v>
      </c>
      <c r="M5" s="233" t="n"/>
      <c r="N5" s="233" t="inlineStr">
        <is>
          <t>T1,2,3,4,5,6,7,8</t>
        </is>
      </c>
      <c r="O5" s="236" t="n">
        <v>47172</v>
      </c>
      <c r="P5" s="517" t="n"/>
      <c r="Q5" s="238" t="n">
        <v>0.1875</v>
      </c>
      <c r="R5" s="239" t="n"/>
      <c r="S5" s="239" t="n"/>
      <c r="T5" s="239" t="n"/>
      <c r="U5" s="239" t="n"/>
      <c r="V5" s="233" t="n"/>
      <c r="W5" s="233" t="n"/>
      <c r="X5" s="233" t="n"/>
      <c r="Y5" s="233" t="inlineStr">
        <is>
          <t>T</t>
        </is>
      </c>
    </row>
    <row r="6" ht="36" customFormat="1" customHeight="1" s="201">
      <c r="A6" s="232" t="n">
        <v>291</v>
      </c>
      <c r="B6" s="232" t="inlineStr">
        <is>
          <t>Top Lease</t>
        </is>
      </c>
      <c r="C6" s="233" t="n"/>
      <c r="D6" s="234" t="inlineStr">
        <is>
          <t>Oil and Gas Lease</t>
        </is>
      </c>
      <c r="E6" s="234" t="inlineStr">
        <is>
          <t>2693/349</t>
        </is>
      </c>
      <c r="F6" s="235" t="n">
        <v>46076</v>
      </c>
      <c r="G6" s="235" t="n">
        <v>46122</v>
      </c>
      <c r="H6" s="241" t="inlineStr">
        <is>
          <t>Mark Ashley Daigle, Trustee of The Mark Ashley Daigle Trust</t>
        </is>
      </c>
      <c r="I6" s="241" t="inlineStr">
        <is>
          <t>Silver Oak Natural Resources, LLC</t>
        </is>
      </c>
      <c r="J6" s="241" t="inlineStr">
        <is>
          <t>E/2 NW/4, N/2 NE/4 SW/4, NE/4 SE/4, SE/4 NE/4 of 31-12N-24W</t>
        </is>
      </c>
      <c r="K6" s="241" t="inlineStr">
        <is>
          <t>Top lease 3/16 (0.1875); springing/subordinate — verify effective.</t>
        </is>
      </c>
      <c r="L6" s="233" t="n">
        <v>60</v>
      </c>
      <c r="M6" s="233" t="n"/>
      <c r="N6" s="233" t="inlineStr">
        <is>
          <t>T3,4,7,8</t>
        </is>
      </c>
      <c r="O6" s="236" t="n">
        <v>47902</v>
      </c>
      <c r="P6" s="517" t="n"/>
      <c r="Q6" s="238" t="n">
        <v>0.1875</v>
      </c>
      <c r="R6" s="239" t="n"/>
      <c r="S6" s="239" t="n"/>
      <c r="T6" s="239" t="n"/>
      <c r="U6" s="239" t="n"/>
      <c r="V6" s="233" t="n"/>
      <c r="W6" s="233" t="n"/>
      <c r="X6" s="233" t="n"/>
      <c r="Y6" s="233" t="inlineStr">
        <is>
          <t>T</t>
        </is>
      </c>
    </row>
    <row r="7" ht="36" customFormat="1" customHeight="1" s="201">
      <c r="A7" s="232" t="n">
        <v>293</v>
      </c>
      <c r="B7" s="232" t="inlineStr">
        <is>
          <t>Top Lease</t>
        </is>
      </c>
      <c r="C7" s="233" t="n"/>
      <c r="D7" s="234" t="inlineStr">
        <is>
          <t>Oil and Gas Lease</t>
        </is>
      </c>
      <c r="E7" s="234" t="inlineStr">
        <is>
          <t>2693/345</t>
        </is>
      </c>
      <c r="F7" s="235" t="n">
        <v>46080</v>
      </c>
      <c r="G7" s="235" t="n">
        <v>46122</v>
      </c>
      <c r="H7" s="241" t="inlineStr">
        <is>
          <t>Kevin Johnson Johnson, Trustee of The Kevin Warner Johnson Trust</t>
        </is>
      </c>
      <c r="I7" s="241" t="inlineStr">
        <is>
          <t>Silver Oak Natural Resources, LLC</t>
        </is>
      </c>
      <c r="J7" s="241" t="inlineStr">
        <is>
          <t>E/2 NW/4, N/2 NE/4 SW/4, NE/4 SE/4, SE/4 NE/4 of 31-12N-24W</t>
        </is>
      </c>
      <c r="K7" s="241" t="inlineStr">
        <is>
          <t>Top lease 3/16 (0.1875); springing/subordinate — verify effective.</t>
        </is>
      </c>
      <c r="L7" s="233" t="n">
        <v>60</v>
      </c>
      <c r="M7" s="233" t="n"/>
      <c r="N7" s="233" t="inlineStr">
        <is>
          <t>T3,4,7,8</t>
        </is>
      </c>
      <c r="O7" s="236" t="n">
        <v>47906</v>
      </c>
      <c r="P7" s="517" t="n"/>
      <c r="Q7" s="238" t="n">
        <v>0.1875</v>
      </c>
      <c r="R7" s="239" t="n"/>
      <c r="S7" s="239" t="n"/>
      <c r="T7" s="239" t="n"/>
      <c r="U7" s="239" t="n"/>
      <c r="V7" s="233" t="n"/>
      <c r="W7" s="233" t="n"/>
      <c r="X7" s="233" t="n"/>
      <c r="Y7" s="233" t="inlineStr">
        <is>
          <t>T</t>
        </is>
      </c>
      <c r="Z7" s="519" t="n"/>
    </row>
    <row r="8" ht="36" customFormat="1" customHeight="1" s="201">
      <c r="A8" s="232" t="n">
        <v>294</v>
      </c>
      <c r="B8" s="232" t="inlineStr">
        <is>
          <t>Top Lease</t>
        </is>
      </c>
      <c r="C8" s="233" t="n"/>
      <c r="D8" s="234" t="inlineStr">
        <is>
          <t>Oil and Gas Lease</t>
        </is>
      </c>
      <c r="E8" s="234" t="inlineStr">
        <is>
          <t>2697/524</t>
        </is>
      </c>
      <c r="F8" s="235" t="n">
        <v>46112</v>
      </c>
      <c r="G8" s="235" t="n">
        <v>46143</v>
      </c>
      <c r="H8" s="241" t="inlineStr">
        <is>
          <t>Ronald Paul Dold</t>
        </is>
      </c>
      <c r="I8" s="241" t="inlineStr">
        <is>
          <t>Silver Oak Natural Resources, LLC</t>
        </is>
      </c>
      <c r="J8" s="241" t="inlineStr">
        <is>
          <t>E/2 NW/4, N/2, N/2 NE/4 SW/4, NE/4 SE/4, S/2, Lots 3-4, S/2 NE/4 SW/4, SE/4 NE/4, SE/4 SW/4 of 31-12N-24W</t>
        </is>
      </c>
      <c r="K8" s="241" t="inlineStr">
        <is>
          <t>Top lease 3/16 (0.1875); springing/subordinate — verify effective.</t>
        </is>
      </c>
      <c r="L8" s="233" t="n">
        <v>36</v>
      </c>
      <c r="M8" s="233" t="n"/>
      <c r="N8" s="233" t="inlineStr">
        <is>
          <t>T1,2,3,4,5,6,7,8</t>
        </is>
      </c>
      <c r="O8" s="236" t="n">
        <v>47208</v>
      </c>
      <c r="P8" s="517" t="n"/>
      <c r="Q8" s="238" t="n">
        <v>0.1875</v>
      </c>
      <c r="R8" s="239" t="n"/>
      <c r="S8" s="239" t="n"/>
      <c r="T8" s="239" t="n"/>
      <c r="U8" s="239" t="n"/>
      <c r="V8" s="233" t="n"/>
      <c r="W8" s="233" t="n"/>
      <c r="X8" s="233" t="n"/>
      <c r="Y8" s="233" t="inlineStr">
        <is>
          <t>T</t>
        </is>
      </c>
      <c r="Z8" s="519" t="n"/>
      <c r="AB8" s="201" t="inlineStr">
        <is>
          <t> </t>
        </is>
      </c>
    </row>
    <row r="9" ht="24" customFormat="1" customHeight="1" s="201">
      <c r="A9" s="232" t="n">
        <v>155</v>
      </c>
      <c r="B9" s="232" t="inlineStr">
        <is>
          <t>Needs Verification (term/HBP)</t>
        </is>
      </c>
      <c r="C9" s="233" t="n"/>
      <c r="D9" s="234" t="inlineStr">
        <is>
          <t>Oil and Gas Lease</t>
        </is>
      </c>
      <c r="E9" s="234" t="inlineStr">
        <is>
          <t>1600/208</t>
        </is>
      </c>
      <c r="F9" s="235" t="n">
        <v>36516</v>
      </c>
      <c r="G9" s="235" t="n">
        <v>36516</v>
      </c>
      <c r="H9" s="241" t="inlineStr">
        <is>
          <t>Lola F. Richards</t>
        </is>
      </c>
      <c r="I9" s="241" t="inlineStr">
        <is>
          <t>EOG Resources, Inc.</t>
        </is>
      </c>
      <c r="J9" s="241" t="inlineStr">
        <is>
          <t>NW/4 SE/4, S/2 SE/4, SW/4 NE/4 of 31-12N-24W</t>
        </is>
      </c>
      <c r="K9" s="241" t="inlineStr">
        <is>
          <t>Needs Verification (term/HBP)</t>
        </is>
      </c>
      <c r="L9" s="233" t="n"/>
      <c r="M9" s="233" t="n"/>
      <c r="N9" s="233" t="inlineStr">
        <is>
          <t>T2</t>
        </is>
      </c>
      <c r="O9" s="236" t="n"/>
      <c r="P9" s="517" t="n"/>
      <c r="Q9" s="238" t="n"/>
      <c r="R9" s="239" t="n"/>
      <c r="S9" s="239" t="n"/>
      <c r="T9" s="239" t="n"/>
      <c r="U9" s="239" t="n"/>
      <c r="V9" s="233" t="n"/>
      <c r="W9" s="233" t="n"/>
      <c r="X9" s="233" t="n"/>
      <c r="Y9" s="233" t="n"/>
      <c r="Z9" s="519" t="n"/>
    </row>
    <row r="10" ht="24" customFormat="1" customHeight="1" s="201">
      <c r="A10" s="232" t="n">
        <v>156</v>
      </c>
      <c r="B10" s="232" t="inlineStr">
        <is>
          <t>Needs Verification (term/HBP)</t>
        </is>
      </c>
      <c r="C10" s="233" t="n"/>
      <c r="D10" s="234" t="inlineStr">
        <is>
          <t>Oil and Gas Lease</t>
        </is>
      </c>
      <c r="E10" s="234" t="inlineStr">
        <is>
          <t>1601/276</t>
        </is>
      </c>
      <c r="F10" s="235" t="n">
        <v>36532</v>
      </c>
      <c r="G10" s="235" t="n">
        <v>36532</v>
      </c>
      <c r="H10" s="241" t="inlineStr">
        <is>
          <t>Jesse W. Fuchs</t>
        </is>
      </c>
      <c r="I10" s="241" t="inlineStr">
        <is>
          <t>EOG Resources, Inc.</t>
        </is>
      </c>
      <c r="J10" s="241" t="inlineStr">
        <is>
          <t>NW/4 SE/4, S/2 SE/4, SW/4 NE/4 of 31-12N-24W</t>
        </is>
      </c>
      <c r="K10" s="241" t="inlineStr">
        <is>
          <t>Needs Verification (term/HBP)</t>
        </is>
      </c>
      <c r="L10" s="233" t="n"/>
      <c r="M10" s="233" t="n"/>
      <c r="N10" s="233" t="inlineStr">
        <is>
          <t>T2</t>
        </is>
      </c>
      <c r="O10" s="236" t="n"/>
      <c r="P10" s="517" t="n"/>
      <c r="Q10" s="238" t="n"/>
      <c r="R10" s="239" t="n"/>
      <c r="S10" s="239" t="n"/>
      <c r="T10" s="239" t="n"/>
      <c r="U10" s="239" t="n"/>
      <c r="V10" s="233" t="n"/>
      <c r="W10" s="233" t="n"/>
      <c r="X10" s="233" t="n"/>
      <c r="Y10" s="233" t="n"/>
    </row>
    <row r="11" ht="24" customFormat="1" customHeight="1" s="201">
      <c r="A11" s="232" t="n">
        <v>184</v>
      </c>
      <c r="B11" s="232" t="inlineStr">
        <is>
          <t>Needs Verification (term/HBP)</t>
        </is>
      </c>
      <c r="C11" s="233" t="n"/>
      <c r="D11" s="234" t="inlineStr">
        <is>
          <t>Oil and Gas Lease</t>
        </is>
      </c>
      <c r="E11" s="234" t="inlineStr">
        <is>
          <t>1602/490</t>
        </is>
      </c>
      <c r="F11" s="235" t="n">
        <v>36545</v>
      </c>
      <c r="G11" s="235" t="n">
        <v>36545</v>
      </c>
      <c r="H11" s="241" t="inlineStr">
        <is>
          <t>Anna R. Britton, Joe Britton</t>
        </is>
      </c>
      <c r="I11" s="241" t="inlineStr">
        <is>
          <t>EOG Resources, Inc.</t>
        </is>
      </c>
      <c r="J11" s="241" t="inlineStr">
        <is>
          <t>E/2 NW/4, N/2 NE/4 NE/4, NE/4 SE/4, SE/4 NE/4 of 31-12N-24W</t>
        </is>
      </c>
      <c r="K11" s="241" t="inlineStr">
        <is>
          <t>Duplicate OGL#/Bk-Pg — verify operative entry.</t>
        </is>
      </c>
      <c r="L11" s="233" t="n"/>
      <c r="M11" s="233" t="n"/>
      <c r="N11" s="233" t="inlineStr">
        <is>
          <t>T1,3,4,8</t>
        </is>
      </c>
      <c r="O11" s="236" t="n"/>
      <c r="P11" s="517" t="n"/>
      <c r="Q11" s="238" t="n"/>
      <c r="R11" s="239" t="n"/>
      <c r="S11" s="239" t="n"/>
      <c r="T11" s="239" t="n"/>
      <c r="U11" s="239" t="n"/>
      <c r="V11" s="233" t="n"/>
      <c r="W11" s="233" t="n"/>
      <c r="X11" s="233" t="n"/>
      <c r="Y11" s="233" t="n"/>
    </row>
    <row r="12" ht="24" customFormat="1" customHeight="1" s="201">
      <c r="A12" s="232" t="n">
        <v>158</v>
      </c>
      <c r="B12" s="232" t="inlineStr">
        <is>
          <t>Needs Verification (term/HBP)</t>
        </is>
      </c>
      <c r="C12" s="233" t="n"/>
      <c r="D12" s="234" t="inlineStr">
        <is>
          <t>Oil and Gas Lease</t>
        </is>
      </c>
      <c r="E12" s="234" t="inlineStr">
        <is>
          <t>1602/517</t>
        </is>
      </c>
      <c r="F12" s="235" t="n">
        <v>36546</v>
      </c>
      <c r="G12" s="235" t="n">
        <v>36546</v>
      </c>
      <c r="H12" s="241" t="inlineStr">
        <is>
          <t>Isa May Smith</t>
        </is>
      </c>
      <c r="I12" s="241" t="inlineStr">
        <is>
          <t>Richard C. Cope</t>
        </is>
      </c>
      <c r="J12" s="241" t="inlineStr">
        <is>
          <t>SE/4 SE/4, SW/4 NE/4, W/2 SE/4 of 31-12N-24W</t>
        </is>
      </c>
      <c r="K12" s="241" t="inlineStr">
        <is>
          <t>Needs Verification (term/HBP)</t>
        </is>
      </c>
      <c r="L12" s="233" t="n"/>
      <c r="M12" s="233" t="n"/>
      <c r="N12" s="233" t="inlineStr">
        <is>
          <t>T2</t>
        </is>
      </c>
      <c r="O12" s="236" t="n"/>
      <c r="P12" s="517" t="n"/>
      <c r="Q12" s="238" t="n"/>
      <c r="R12" s="239" t="n"/>
      <c r="S12" s="239" t="n"/>
      <c r="T12" s="239" t="n"/>
      <c r="U12" s="239" t="n"/>
      <c r="V12" s="233" t="n"/>
      <c r="W12" s="233" t="n"/>
      <c r="X12" s="233" t="n"/>
      <c r="Y12" s="233" t="n"/>
    </row>
    <row r="13" ht="24" customFormat="1" customHeight="1" s="201">
      <c r="A13" s="232" t="n">
        <v>159</v>
      </c>
      <c r="B13" s="232" t="inlineStr">
        <is>
          <t>Needs Verification (term/HBP)</t>
        </is>
      </c>
      <c r="C13" s="233" t="n"/>
      <c r="D13" s="234" t="inlineStr">
        <is>
          <t>Oil and Gas Lease</t>
        </is>
      </c>
      <c r="E13" s="234" t="inlineStr">
        <is>
          <t>1603/7</t>
        </is>
      </c>
      <c r="F13" s="235" t="n">
        <v>36549</v>
      </c>
      <c r="G13" s="235" t="n">
        <v>36549</v>
      </c>
      <c r="H13" s="241" t="inlineStr">
        <is>
          <t>Raymond M. Fuchs</t>
        </is>
      </c>
      <c r="I13" s="241" t="inlineStr">
        <is>
          <t>Richard C. Cope</t>
        </is>
      </c>
      <c r="J13" s="241" t="inlineStr">
        <is>
          <t>SE/4 SE/4, SW/4 NE/4, W/2 SE/4 of 31-12N-24W</t>
        </is>
      </c>
      <c r="K13" s="241" t="inlineStr">
        <is>
          <t>Needs Verification (term/HBP)</t>
        </is>
      </c>
      <c r="L13" s="233" t="n"/>
      <c r="M13" s="233" t="n"/>
      <c r="N13" s="233" t="inlineStr">
        <is>
          <t>T2</t>
        </is>
      </c>
      <c r="O13" s="236" t="n"/>
      <c r="P13" s="517" t="n"/>
      <c r="Q13" s="238" t="n"/>
      <c r="R13" s="239" t="n"/>
      <c r="S13" s="239" t="n"/>
      <c r="T13" s="239" t="n"/>
      <c r="U13" s="239" t="n"/>
      <c r="V13" s="233" t="n"/>
      <c r="W13" s="233" t="n"/>
      <c r="X13" s="233" t="n"/>
      <c r="Y13" s="233" t="n"/>
    </row>
    <row r="14" ht="24" customFormat="1" customHeight="1" s="201">
      <c r="A14" s="232" t="n">
        <v>160</v>
      </c>
      <c r="B14" s="232" t="inlineStr">
        <is>
          <t>Needs Verification (term/HBP)</t>
        </is>
      </c>
      <c r="C14" s="233" t="n"/>
      <c r="D14" s="234" t="inlineStr">
        <is>
          <t>Oil and Gas Lease</t>
        </is>
      </c>
      <c r="E14" s="234" t="inlineStr">
        <is>
          <t>1603/147</t>
        </is>
      </c>
      <c r="F14" s="235" t="n">
        <v>36551</v>
      </c>
      <c r="G14" s="235" t="n">
        <v>36551</v>
      </c>
      <c r="H14" s="241" t="inlineStr">
        <is>
          <t>Glenn D. Mitchell</t>
        </is>
      </c>
      <c r="I14" s="241" t="inlineStr">
        <is>
          <t>EOG Resources, Inc.</t>
        </is>
      </c>
      <c r="J14" s="241" t="inlineStr">
        <is>
          <t>E/2 NW/4, N/2 NE/4 SW/4, NE/4 SE/4, SE/4 NE/4 of 31-12N-24W</t>
        </is>
      </c>
      <c r="K14" s="241" t="inlineStr">
        <is>
          <t>Needs Verification (term/HBP)</t>
        </is>
      </c>
      <c r="L14" s="233" t="n"/>
      <c r="M14" s="233" t="n"/>
      <c r="N14" s="233" t="inlineStr">
        <is>
          <t>T3,4,7,8</t>
        </is>
      </c>
      <c r="O14" s="236" t="n"/>
      <c r="P14" s="517" t="n"/>
      <c r="Q14" s="238" t="n"/>
      <c r="R14" s="239" t="n"/>
      <c r="S14" s="239" t="n"/>
      <c r="T14" s="239" t="n"/>
      <c r="U14" s="239" t="n"/>
      <c r="V14" s="233" t="n"/>
      <c r="W14" s="233" t="n"/>
      <c r="X14" s="233" t="n"/>
      <c r="Y14" s="233" t="n"/>
    </row>
    <row r="15" ht="24" customFormat="1" customHeight="1" s="201">
      <c r="A15" s="232" t="n">
        <v>162</v>
      </c>
      <c r="B15" s="232" t="inlineStr">
        <is>
          <t>Needs Verification (term/HBP)</t>
        </is>
      </c>
      <c r="C15" s="233" t="n"/>
      <c r="D15" s="234" t="inlineStr">
        <is>
          <t>Oil and Gas Lease</t>
        </is>
      </c>
      <c r="E15" s="234" t="inlineStr">
        <is>
          <t>1603/376</t>
        </is>
      </c>
      <c r="F15" s="235" t="n">
        <v>36558</v>
      </c>
      <c r="G15" s="235" t="n">
        <v>36558</v>
      </c>
      <c r="H15" s="241" t="inlineStr">
        <is>
          <t>Minion Investment Company</t>
        </is>
      </c>
      <c r="I15" s="241" t="inlineStr">
        <is>
          <t>EOG Resources, Inc.</t>
        </is>
      </c>
      <c r="J15" s="241" t="inlineStr">
        <is>
          <t>E/2 NW/4, N/2 NE/4 SW/4, NE/4 SE/4, SE/4 NE/4 of 31-12N-24W</t>
        </is>
      </c>
      <c r="K15" s="241" t="inlineStr">
        <is>
          <t>Needs Verification (term/HBP)</t>
        </is>
      </c>
      <c r="L15" s="233" t="n"/>
      <c r="M15" s="233" t="n"/>
      <c r="N15" s="233" t="inlineStr">
        <is>
          <t>T3,4,7,8</t>
        </is>
      </c>
      <c r="O15" s="236" t="n"/>
      <c r="P15" s="517" t="n"/>
      <c r="Q15" s="238" t="n"/>
      <c r="R15" s="239" t="n"/>
      <c r="S15" s="239" t="n"/>
      <c r="T15" s="239" t="n"/>
      <c r="U15" s="239" t="n"/>
      <c r="V15" s="233" t="n"/>
      <c r="W15" s="233" t="n"/>
      <c r="X15" s="233" t="n"/>
      <c r="Y15" s="233" t="n"/>
    </row>
    <row r="16" ht="24" customFormat="1" customHeight="1" s="201">
      <c r="A16" s="232" t="n">
        <v>161</v>
      </c>
      <c r="B16" s="232" t="inlineStr">
        <is>
          <t>Needs Verification (term/HBP)</t>
        </is>
      </c>
      <c r="C16" s="233" t="n"/>
      <c r="D16" s="234" t="inlineStr">
        <is>
          <t>Oil and Gas Lease</t>
        </is>
      </c>
      <c r="E16" s="234" t="inlineStr">
        <is>
          <t>1603/374</t>
        </is>
      </c>
      <c r="F16" s="235" t="n">
        <v>36558</v>
      </c>
      <c r="G16" s="235" t="n">
        <v>36558</v>
      </c>
      <c r="H16" s="241" t="inlineStr">
        <is>
          <t>Oleta Florene Wyllie</t>
        </is>
      </c>
      <c r="I16" s="241" t="inlineStr">
        <is>
          <t>Richard C. Cope</t>
        </is>
      </c>
      <c r="J16" s="241" t="inlineStr">
        <is>
          <t>SE/4 SW/4 of 31-12N-24W</t>
        </is>
      </c>
      <c r="K16" s="241" t="inlineStr">
        <is>
          <t>Needs Verification (term/HBP)</t>
        </is>
      </c>
      <c r="L16" s="233" t="n"/>
      <c r="M16" s="233" t="n"/>
      <c r="N16" s="233" t="inlineStr">
        <is>
          <t>T5</t>
        </is>
      </c>
      <c r="O16" s="236" t="n"/>
      <c r="P16" s="517" t="n"/>
      <c r="Q16" s="238" t="n"/>
      <c r="R16" s="239" t="n"/>
      <c r="S16" s="239" t="n"/>
      <c r="T16" s="239" t="n"/>
      <c r="U16" s="239" t="n"/>
      <c r="V16" s="233" t="n"/>
      <c r="W16" s="233" t="n"/>
      <c r="X16" s="233" t="n"/>
      <c r="Y16" s="233" t="n"/>
    </row>
    <row r="17" ht="24" customFormat="1" customHeight="1" s="201">
      <c r="A17" s="232" t="n">
        <v>165</v>
      </c>
      <c r="B17" s="232" t="inlineStr">
        <is>
          <t>Needs Verification (term/HBP)</t>
        </is>
      </c>
      <c r="C17" s="233" t="n"/>
      <c r="D17" s="233" t="inlineStr">
        <is>
          <t>Oil and Gas Lease</t>
        </is>
      </c>
      <c r="E17" s="233" t="inlineStr">
        <is>
          <t>1604/117</t>
        </is>
      </c>
      <c r="F17" s="236" t="n">
        <v>36564</v>
      </c>
      <c r="G17" s="236" t="n">
        <v>36564</v>
      </c>
      <c r="H17" s="242" t="inlineStr">
        <is>
          <t>Dwight J. Williams</t>
        </is>
      </c>
      <c r="I17" s="242" t="inlineStr">
        <is>
          <t>Richard C. Cope</t>
        </is>
      </c>
      <c r="J17" s="242" t="inlineStr">
        <is>
          <t>SE/4 SE/4, SW/4 NE/4, W/2 SE/4 of 31-12N-24W</t>
        </is>
      </c>
      <c r="K17" s="242" t="inlineStr">
        <is>
          <t>Needs Verification (term/HBP)</t>
        </is>
      </c>
      <c r="L17" s="233" t="n"/>
      <c r="M17" s="233" t="n"/>
      <c r="N17" s="243" t="inlineStr">
        <is>
          <t>T2</t>
        </is>
      </c>
      <c r="O17" s="236" t="n"/>
      <c r="P17" s="517" t="n"/>
      <c r="Q17" s="233" t="n"/>
      <c r="R17" s="239" t="n"/>
      <c r="S17" s="239" t="n"/>
      <c r="T17" s="239" t="n"/>
      <c r="U17" s="239" t="n"/>
      <c r="V17" s="233" t="n"/>
      <c r="W17" s="233" t="n"/>
      <c r="X17" s="233" t="n"/>
      <c r="Y17" s="233" t="n"/>
    </row>
    <row r="18" ht="24" customFormat="1" customHeight="1" s="201">
      <c r="A18" s="232" t="n">
        <v>163</v>
      </c>
      <c r="B18" s="232" t="inlineStr">
        <is>
          <t>Needs Verification (term/HBP)</t>
        </is>
      </c>
      <c r="C18" s="233" t="n"/>
      <c r="D18" s="233" t="inlineStr">
        <is>
          <t>Oil and Gas Lease</t>
        </is>
      </c>
      <c r="E18" s="233" t="inlineStr">
        <is>
          <t>1604/108</t>
        </is>
      </c>
      <c r="F18" s="236" t="n">
        <v>36564</v>
      </c>
      <c r="G18" s="236" t="n">
        <v>36564</v>
      </c>
      <c r="H18" s="242" t="inlineStr">
        <is>
          <t>Jan A. Schroff</t>
        </is>
      </c>
      <c r="I18" s="242" t="inlineStr">
        <is>
          <t>Richard C. Cope</t>
        </is>
      </c>
      <c r="J18" s="242" t="inlineStr">
        <is>
          <t>SE/4 SE/4, SW/4 NE/4, W/2 SE/4 of 31-12N-24W</t>
        </is>
      </c>
      <c r="K18" s="242" t="inlineStr">
        <is>
          <t>Needs Verification (term/HBP)</t>
        </is>
      </c>
      <c r="L18" s="233" t="n"/>
      <c r="M18" s="233" t="n"/>
      <c r="N18" s="233" t="inlineStr">
        <is>
          <t>T2</t>
        </is>
      </c>
      <c r="O18" s="236" t="n"/>
      <c r="P18" s="517" t="n"/>
      <c r="Q18" s="233" t="n"/>
      <c r="R18" s="239" t="n"/>
      <c r="S18" s="239" t="n"/>
      <c r="T18" s="239" t="n"/>
      <c r="U18" s="239" t="n"/>
      <c r="V18" s="233" t="n"/>
      <c r="W18" s="233" t="n"/>
      <c r="X18" s="233" t="n"/>
      <c r="Y18" s="233" t="n"/>
    </row>
    <row r="19" ht="24" customFormat="1" customHeight="1" s="201">
      <c r="A19" s="232" t="n">
        <v>191</v>
      </c>
      <c r="B19" s="232" t="inlineStr">
        <is>
          <t>Needs Verification (term/HBP)</t>
        </is>
      </c>
      <c r="C19" s="233" t="n"/>
      <c r="D19" s="233" t="inlineStr">
        <is>
          <t>Oil and Gas Lease</t>
        </is>
      </c>
      <c r="E19" s="233" t="inlineStr">
        <is>
          <t>1604/115</t>
        </is>
      </c>
      <c r="F19" s="236" t="n">
        <v>36564</v>
      </c>
      <c r="G19" s="236" t="n">
        <v>36564</v>
      </c>
      <c r="H19" s="242" t="inlineStr">
        <is>
          <t>Jon T. Williams, Rogene E. Williams</t>
        </is>
      </c>
      <c r="I19" s="242" t="inlineStr">
        <is>
          <t>Richard C. Cope</t>
        </is>
      </c>
      <c r="J19" s="242" t="inlineStr">
        <is>
          <t>SE/4 SE/4, SW/4 NE/4, W/2 SE/4 of 31-12N-24W</t>
        </is>
      </c>
      <c r="K19" s="242" t="inlineStr">
        <is>
          <t>Duplicate OGL#/Bk-Pg — verify operative entry.</t>
        </is>
      </c>
      <c r="L19" s="233" t="n"/>
      <c r="M19" s="233" t="n"/>
      <c r="N19" s="233" t="inlineStr">
        <is>
          <t>T2</t>
        </is>
      </c>
      <c r="O19" s="236" t="n"/>
      <c r="P19" s="517" t="n"/>
      <c r="Q19" s="233" t="n"/>
      <c r="R19" s="239" t="n"/>
      <c r="S19" s="239" t="n"/>
      <c r="T19" s="239" t="n"/>
      <c r="U19" s="239" t="n"/>
      <c r="V19" s="233" t="n"/>
      <c r="W19" s="233" t="n"/>
      <c r="X19" s="233" t="n"/>
      <c r="Y19" s="233" t="n"/>
    </row>
    <row r="20" ht="24" customFormat="1" customHeight="1" s="201">
      <c r="A20" s="232" t="n">
        <v>166</v>
      </c>
      <c r="B20" s="232" t="inlineStr">
        <is>
          <t>Needs Verification (term/HBP)</t>
        </is>
      </c>
      <c r="C20" s="233" t="n"/>
      <c r="D20" s="233" t="inlineStr">
        <is>
          <t>Oil and Gas Lease</t>
        </is>
      </c>
      <c r="E20" s="233" t="inlineStr">
        <is>
          <t>1604/239</t>
        </is>
      </c>
      <c r="F20" s="236" t="n">
        <v>36565</v>
      </c>
      <c r="G20" s="236" t="n">
        <v>36565</v>
      </c>
      <c r="H20" s="242" t="inlineStr">
        <is>
          <t>Eleanore Wheeler</t>
        </is>
      </c>
      <c r="I20" s="242" t="inlineStr">
        <is>
          <t>R. Michael Lortz</t>
        </is>
      </c>
      <c r="J20" s="242" t="inlineStr">
        <is>
          <t>NE/4 SW/4, Lots 3-4 of 31-12N-24W</t>
        </is>
      </c>
      <c r="K20" s="242" t="inlineStr">
        <is>
          <t>Needs Verification (term/HBP)</t>
        </is>
      </c>
      <c r="L20" s="233" t="n"/>
      <c r="M20" s="233" t="n"/>
      <c r="N20" s="233" t="inlineStr">
        <is>
          <t>T6,7</t>
        </is>
      </c>
      <c r="O20" s="236" t="n"/>
      <c r="P20" s="517" t="n"/>
      <c r="Q20" s="233" t="n"/>
      <c r="R20" s="239" t="n"/>
      <c r="S20" s="239" t="n"/>
      <c r="T20" s="239" t="n"/>
      <c r="U20" s="239" t="n"/>
      <c r="V20" s="233" t="n"/>
      <c r="W20" s="233" t="n"/>
      <c r="X20" s="233" t="n"/>
      <c r="Y20" s="233" t="n"/>
    </row>
    <row r="21" ht="24" customFormat="1" customHeight="1" s="201">
      <c r="A21" s="232" t="n">
        <v>168</v>
      </c>
      <c r="B21" s="232" t="inlineStr">
        <is>
          <t>Needs Verification (term/HBP)</t>
        </is>
      </c>
      <c r="C21" s="233" t="n"/>
      <c r="D21" s="233" t="inlineStr">
        <is>
          <t>Oil and Gas Lease</t>
        </is>
      </c>
      <c r="E21" s="233" t="inlineStr">
        <is>
          <t>1604/251</t>
        </is>
      </c>
      <c r="F21" s="236" t="n">
        <v>36565</v>
      </c>
      <c r="G21" s="236" t="n">
        <v>36565</v>
      </c>
      <c r="H21" s="242" t="inlineStr">
        <is>
          <t>Jon N. Wilkerson</t>
        </is>
      </c>
      <c r="I21" s="242" t="inlineStr">
        <is>
          <t>R. Michael Lortz</t>
        </is>
      </c>
      <c r="J21" s="242" t="inlineStr">
        <is>
          <t>NE/4 SW/4, S/2 NE/4, Lots 3-4 of 31-12N-24W</t>
        </is>
      </c>
      <c r="K21" s="242" t="inlineStr">
        <is>
          <t>Needs Verification (term/HBP)</t>
        </is>
      </c>
      <c r="L21" s="233" t="n"/>
      <c r="M21" s="233" t="n"/>
      <c r="N21" s="233" t="inlineStr">
        <is>
          <t>T2,3,6,7</t>
        </is>
      </c>
      <c r="O21" s="236" t="n"/>
      <c r="P21" s="517" t="n"/>
      <c r="Q21" s="233" t="n"/>
      <c r="R21" s="239" t="n"/>
      <c r="S21" s="239" t="n"/>
      <c r="T21" s="239" t="n"/>
      <c r="U21" s="239" t="n"/>
      <c r="V21" s="233" t="n"/>
      <c r="W21" s="233" t="n"/>
      <c r="X21" s="233" t="n"/>
      <c r="Y21" s="233" t="n"/>
    </row>
    <row r="22" ht="25.5" customHeight="1" s="267">
      <c r="A22" s="472" t="n">
        <v>167</v>
      </c>
      <c r="B22" s="472" t="inlineStr">
        <is>
          <t>Needs Verification (term/HBP)</t>
        </is>
      </c>
      <c r="C22" s="473" t="n"/>
      <c r="D22" s="473" t="inlineStr">
        <is>
          <t>Oil and Gas Lease</t>
        </is>
      </c>
      <c r="E22" s="473" t="inlineStr">
        <is>
          <t>1604/243</t>
        </is>
      </c>
      <c r="F22" s="474" t="n">
        <v>36565</v>
      </c>
      <c r="G22" s="474" t="n">
        <v>36565</v>
      </c>
      <c r="H22" s="473" t="inlineStr">
        <is>
          <t>Margaret Kirk</t>
        </is>
      </c>
      <c r="I22" s="473" t="inlineStr">
        <is>
          <t>R. Michael Lortz</t>
        </is>
      </c>
      <c r="J22" s="473" t="inlineStr">
        <is>
          <t>NE/4 SW/4, Lots 3-4, SE/4 SW/4 of 31-12N-24W</t>
        </is>
      </c>
      <c r="K22" s="473" t="inlineStr">
        <is>
          <t>Needs Verification (term/HBP)</t>
        </is>
      </c>
      <c r="L22" s="473" t="n"/>
      <c r="M22" s="473" t="n"/>
      <c r="N22" s="473" t="inlineStr">
        <is>
          <t>T5,6,7</t>
        </is>
      </c>
      <c r="O22" s="474" t="n"/>
      <c r="P22" s="520" t="n"/>
      <c r="Q22" s="473" t="n"/>
    </row>
    <row r="23" ht="25.5" customHeight="1" s="267">
      <c r="A23" s="472" t="n">
        <v>171</v>
      </c>
      <c r="B23" s="472" t="inlineStr">
        <is>
          <t>Needs Verification (term/HBP)</t>
        </is>
      </c>
      <c r="C23" s="473" t="n"/>
      <c r="D23" s="473" t="inlineStr">
        <is>
          <t>Oil and Gas Lease</t>
        </is>
      </c>
      <c r="E23" s="473" t="inlineStr">
        <is>
          <t>1604/309</t>
        </is>
      </c>
      <c r="F23" s="474" t="n">
        <v>36565</v>
      </c>
      <c r="G23" s="474" t="n">
        <v>36565</v>
      </c>
      <c r="H23" s="473" t="inlineStr">
        <is>
          <t>Mark J. Fuchs</t>
        </is>
      </c>
      <c r="I23" s="473" t="inlineStr">
        <is>
          <t>Richard C. Cope</t>
        </is>
      </c>
      <c r="J23" s="473" t="inlineStr">
        <is>
          <t>SE/4 SE/4, SW/4 NE/4, W/2 SE/4 of 31-12N-24W</t>
        </is>
      </c>
      <c r="K23" s="473" t="inlineStr">
        <is>
          <t>Needs Verification (term/HBP)</t>
        </is>
      </c>
      <c r="L23" s="473" t="n"/>
      <c r="M23" s="473" t="n"/>
      <c r="N23" s="473" t="inlineStr">
        <is>
          <t>T2</t>
        </is>
      </c>
      <c r="O23" s="474" t="n"/>
      <c r="P23" s="520" t="n"/>
      <c r="Q23" s="473" t="n"/>
    </row>
    <row r="24" ht="25.5" customHeight="1" s="267">
      <c r="A24" s="472" t="n">
        <v>170</v>
      </c>
      <c r="B24" s="472" t="inlineStr">
        <is>
          <t>Needs Verification (term/HBP)</t>
        </is>
      </c>
      <c r="C24" s="473" t="n"/>
      <c r="D24" s="473" t="inlineStr">
        <is>
          <t>Oil and Gas Lease</t>
        </is>
      </c>
      <c r="E24" s="473" t="inlineStr">
        <is>
          <t>1604/307</t>
        </is>
      </c>
      <c r="F24" s="474" t="n">
        <v>36565</v>
      </c>
      <c r="G24" s="474" t="n">
        <v>36565</v>
      </c>
      <c r="H24" s="473" t="inlineStr">
        <is>
          <t>Melinda McCaul Mulvihill</t>
        </is>
      </c>
      <c r="I24" s="473" t="inlineStr">
        <is>
          <t>Richard C. Cope</t>
        </is>
      </c>
      <c r="J24" s="473" t="inlineStr">
        <is>
          <t>SE/4 SE/4, SW/4 NE/4, W/2 SE/4 of 31-12N-24W</t>
        </is>
      </c>
      <c r="K24" s="473" t="inlineStr">
        <is>
          <t>Needs Verification (term/HBP)</t>
        </is>
      </c>
      <c r="L24" s="473" t="n"/>
      <c r="M24" s="473" t="n"/>
      <c r="N24" s="473" t="inlineStr">
        <is>
          <t>T2</t>
        </is>
      </c>
      <c r="O24" s="474" t="n"/>
      <c r="P24" s="520" t="n"/>
      <c r="Q24" s="473" t="n"/>
      <c r="Y24" s="49" t="n"/>
    </row>
    <row r="25" ht="25.5" customHeight="1" s="267">
      <c r="A25" s="472" t="n">
        <v>169</v>
      </c>
      <c r="B25" s="472" t="inlineStr">
        <is>
          <t>Needs Verification (term/HBP)</t>
        </is>
      </c>
      <c r="C25" s="473" t="n"/>
      <c r="D25" s="473" t="inlineStr">
        <is>
          <t>Oil and Gas Lease</t>
        </is>
      </c>
      <c r="E25" s="473" t="inlineStr">
        <is>
          <t>1604/259</t>
        </is>
      </c>
      <c r="F25" s="474" t="n">
        <v>36565</v>
      </c>
      <c r="G25" s="474" t="n">
        <v>36565</v>
      </c>
      <c r="H25" s="473" t="inlineStr">
        <is>
          <t>Roger Klopfenstein</t>
        </is>
      </c>
      <c r="I25" s="473" t="inlineStr">
        <is>
          <t>R. Michael Lortz</t>
        </is>
      </c>
      <c r="J25" s="473" t="inlineStr">
        <is>
          <t>NE/4 SW/4, Lots 3-4, SE/4 SW/4 of 31-12N-24W</t>
        </is>
      </c>
      <c r="K25" s="473" t="inlineStr">
        <is>
          <t>Needs Verification (term/HBP)</t>
        </is>
      </c>
      <c r="L25" s="473" t="n"/>
      <c r="M25" s="473" t="n"/>
      <c r="N25" s="473" t="inlineStr">
        <is>
          <t>T5,6,7</t>
        </is>
      </c>
      <c r="O25" s="474" t="n"/>
      <c r="P25" s="473" t="n"/>
      <c r="Q25" s="473" t="n"/>
      <c r="Y25" s="49" t="n"/>
    </row>
    <row r="26" ht="25.5" customHeight="1" s="267">
      <c r="A26" s="472" t="n">
        <v>172</v>
      </c>
      <c r="B26" s="472" t="inlineStr">
        <is>
          <t>Needs Verification (term/HBP)</t>
        </is>
      </c>
      <c r="C26" s="473" t="n"/>
      <c r="D26" s="473" t="inlineStr">
        <is>
          <t>Oil and Gas Lease</t>
        </is>
      </c>
      <c r="E26" s="473" t="inlineStr">
        <is>
          <t>1604/311</t>
        </is>
      </c>
      <c r="F26" s="474" t="n">
        <v>36565</v>
      </c>
      <c r="G26" s="474" t="n">
        <v>36565</v>
      </c>
      <c r="H26" s="473" t="inlineStr">
        <is>
          <t>Stephen M. Criser</t>
        </is>
      </c>
      <c r="I26" s="473" t="inlineStr">
        <is>
          <t>Richard C. Cope</t>
        </is>
      </c>
      <c r="J26" s="473" t="inlineStr">
        <is>
          <t>SE/4 SE/4, SW/4 NE/4, W/2 SE/4 of 31-12N-24W</t>
        </is>
      </c>
      <c r="K26" s="473" t="inlineStr">
        <is>
          <t>Needs Verification (term/HBP)</t>
        </is>
      </c>
      <c r="L26" s="473" t="n"/>
      <c r="M26" s="473" t="n"/>
      <c r="N26" s="473" t="inlineStr">
        <is>
          <t>T2</t>
        </is>
      </c>
      <c r="O26" s="474" t="n"/>
      <c r="P26" s="473" t="n"/>
      <c r="Q26" s="473" t="n"/>
      <c r="Y26" s="49" t="n"/>
    </row>
    <row r="27" ht="25.5" customHeight="1" s="267">
      <c r="A27" s="472" t="n">
        <v>173</v>
      </c>
      <c r="B27" s="472" t="inlineStr">
        <is>
          <t>Needs Verification (term/HBP)</t>
        </is>
      </c>
      <c r="C27" s="473" t="n"/>
      <c r="D27" s="473" t="inlineStr">
        <is>
          <t>Oil and Gas Lease</t>
        </is>
      </c>
      <c r="E27" s="473" t="inlineStr">
        <is>
          <t>1604/322</t>
        </is>
      </c>
      <c r="F27" s="474" t="n">
        <v>36566</v>
      </c>
      <c r="G27" s="474" t="n">
        <v>36566</v>
      </c>
      <c r="H27" s="473" t="inlineStr">
        <is>
          <t>Sandra Lorrain York</t>
        </is>
      </c>
      <c r="I27" s="473" t="inlineStr">
        <is>
          <t>EOG Resources Inc.</t>
        </is>
      </c>
      <c r="J27" s="473" t="inlineStr">
        <is>
          <t>All of 31-12N-24W</t>
        </is>
      </c>
      <c r="K27" s="473" t="inlineStr">
        <is>
          <t>Needs Verification (term/HBP)</t>
        </is>
      </c>
      <c r="L27" s="473" t="n"/>
      <c r="M27" s="473" t="n"/>
      <c r="N27" s="473" t="inlineStr">
        <is>
          <t>T1,2,3,4,5,6,7,8</t>
        </is>
      </c>
      <c r="O27" s="474" t="n"/>
      <c r="P27" s="473" t="n"/>
      <c r="Q27" s="473" t="n"/>
      <c r="Y27" s="49" t="n"/>
    </row>
    <row r="28" ht="25.5" customHeight="1" s="267">
      <c r="A28" s="472" t="n">
        <v>174</v>
      </c>
      <c r="B28" s="472" t="inlineStr">
        <is>
          <t>Needs Verification (term/HBP)</t>
        </is>
      </c>
      <c r="C28" s="473" t="n"/>
      <c r="D28" s="473" t="inlineStr">
        <is>
          <t>Oil and Gas Lease</t>
        </is>
      </c>
      <c r="E28" s="473" t="inlineStr">
        <is>
          <t>1604/453</t>
        </is>
      </c>
      <c r="F28" s="474" t="n">
        <v>36572</v>
      </c>
      <c r="G28" s="474" t="n">
        <v>36572</v>
      </c>
      <c r="H28" s="473" t="inlineStr">
        <is>
          <t>Nanalee Faye Barnett</t>
        </is>
      </c>
      <c r="I28" s="473" t="inlineStr">
        <is>
          <t>Richard C. Cope</t>
        </is>
      </c>
      <c r="J28" s="473" t="inlineStr">
        <is>
          <t>E/2 NW/4, N/2 NE/4 SW/4, NE/4 SE/4, SE/4 NE/4 of 31-12N-24W</t>
        </is>
      </c>
      <c r="K28" s="473" t="inlineStr">
        <is>
          <t>Needs Verification (term/HBP)</t>
        </is>
      </c>
      <c r="L28" s="473" t="n"/>
      <c r="M28" s="473" t="n"/>
      <c r="N28" s="473" t="inlineStr">
        <is>
          <t>T3,4,7,8</t>
        </is>
      </c>
      <c r="O28" s="474" t="n"/>
      <c r="P28" s="473" t="n"/>
      <c r="Q28" s="473" t="n"/>
      <c r="Y28" s="49" t="n"/>
    </row>
    <row r="29" ht="25.5" customHeight="1" s="267">
      <c r="A29" s="472" t="n">
        <v>175</v>
      </c>
      <c r="B29" s="472" t="inlineStr">
        <is>
          <t>Needs Verification (term/HBP)</t>
        </is>
      </c>
      <c r="C29" s="473" t="n"/>
      <c r="D29" s="473" t="inlineStr">
        <is>
          <t>Oil and Gas Lease</t>
        </is>
      </c>
      <c r="E29" s="473" t="inlineStr">
        <is>
          <t>1606/416</t>
        </is>
      </c>
      <c r="F29" s="474" t="n">
        <v>36586</v>
      </c>
      <c r="G29" s="474" t="n">
        <v>36586</v>
      </c>
      <c r="H29" s="473" t="inlineStr">
        <is>
          <t>Charles D. Ray</t>
        </is>
      </c>
      <c r="I29" s="473" t="inlineStr">
        <is>
          <t>Richard C. Cope</t>
        </is>
      </c>
      <c r="J29" s="473" t="inlineStr">
        <is>
          <t>E/2 NW/4, NE/4 SE/4, SE/4 NE/4 of 31-12N-24W</t>
        </is>
      </c>
      <c r="K29" s="473" t="inlineStr">
        <is>
          <t>Needs Verification (term/HBP)</t>
        </is>
      </c>
      <c r="L29" s="473" t="n"/>
      <c r="M29" s="473" t="n"/>
      <c r="N29" s="473" t="inlineStr">
        <is>
          <t>T3,4,8</t>
        </is>
      </c>
      <c r="O29" s="474" t="n"/>
      <c r="P29" s="473" t="n"/>
      <c r="Q29" s="473" t="n"/>
    </row>
    <row r="30" ht="25.5" customHeight="1" s="267">
      <c r="A30" s="472" t="n">
        <v>176</v>
      </c>
      <c r="B30" s="472" t="inlineStr">
        <is>
          <t>Needs Verification (term/HBP)</t>
        </is>
      </c>
      <c r="C30" s="473" t="n"/>
      <c r="D30" s="473" t="inlineStr">
        <is>
          <t>Oil and Gas Lease</t>
        </is>
      </c>
      <c r="E30" s="473" t="inlineStr">
        <is>
          <t>1606/418</t>
        </is>
      </c>
      <c r="F30" s="474" t="n">
        <v>36586</v>
      </c>
      <c r="G30" s="474" t="n">
        <v>36586</v>
      </c>
      <c r="H30" s="473" t="inlineStr">
        <is>
          <t>Clyde a. Pine</t>
        </is>
      </c>
      <c r="I30" s="473" t="inlineStr">
        <is>
          <t>Richard C. Cope</t>
        </is>
      </c>
      <c r="J30" s="473" t="inlineStr">
        <is>
          <t>E/2 NW/4, NE/4 NE/4, NE/4 SE/4 of 31-12N-24W</t>
        </is>
      </c>
      <c r="K30" s="473" t="inlineStr">
        <is>
          <t>Needs Verification (term/HBP)</t>
        </is>
      </c>
      <c r="L30" s="473" t="n"/>
      <c r="M30" s="473" t="n"/>
      <c r="N30" s="473" t="inlineStr">
        <is>
          <t>T1,4,8</t>
        </is>
      </c>
      <c r="O30" s="474" t="n"/>
      <c r="P30" s="520" t="n"/>
      <c r="Q30" s="473" t="n"/>
    </row>
    <row r="31" ht="25.5" customHeight="1" s="267">
      <c r="A31" s="472" t="n">
        <v>177</v>
      </c>
      <c r="B31" s="472" t="inlineStr">
        <is>
          <t>Needs Verification (term/HBP)</t>
        </is>
      </c>
      <c r="C31" s="473" t="n"/>
      <c r="D31" s="473" t="inlineStr">
        <is>
          <t>Oil and Gas Lease</t>
        </is>
      </c>
      <c r="E31" s="473" t="inlineStr">
        <is>
          <t>1607/323</t>
        </is>
      </c>
      <c r="F31" s="474" t="n">
        <v>36593</v>
      </c>
      <c r="G31" s="474" t="n">
        <v>36593</v>
      </c>
      <c r="H31" s="473" t="inlineStr">
        <is>
          <t>Charles Allen Atha</t>
        </is>
      </c>
      <c r="I31" s="473" t="inlineStr">
        <is>
          <t>EOG Resources, Inc.</t>
        </is>
      </c>
      <c r="J31" s="473" t="inlineStr">
        <is>
          <t>Lots 1-2, N/2, Lot 3 of 31-12N-24W</t>
        </is>
      </c>
      <c r="K31" s="473" t="inlineStr">
        <is>
          <t>Needs Verification (term/HBP)</t>
        </is>
      </c>
      <c r="L31" s="473" t="n"/>
      <c r="M31" s="473" t="n"/>
      <c r="N31" s="473" t="inlineStr">
        <is>
          <t>T1,2,3,4,5,6</t>
        </is>
      </c>
      <c r="O31" s="474" t="n"/>
      <c r="P31" s="520" t="n"/>
      <c r="Q31" s="473" t="n"/>
    </row>
    <row r="32" ht="25.5" customHeight="1" s="267">
      <c r="A32" s="472" t="n">
        <v>179</v>
      </c>
      <c r="B32" s="472" t="inlineStr">
        <is>
          <t>Needs Verification (term/HBP)</t>
        </is>
      </c>
      <c r="C32" s="473" t="n"/>
      <c r="D32" s="473" t="inlineStr">
        <is>
          <t>Oil and Gas Lease</t>
        </is>
      </c>
      <c r="E32" s="473" t="inlineStr">
        <is>
          <t>1607/327</t>
        </is>
      </c>
      <c r="F32" s="474" t="n">
        <v>36593</v>
      </c>
      <c r="G32" s="474" t="n">
        <v>36593</v>
      </c>
      <c r="H32" s="473" t="inlineStr">
        <is>
          <t>Louisa McLerron</t>
        </is>
      </c>
      <c r="I32" s="473" t="inlineStr">
        <is>
          <t>EOG Resources, Inc.</t>
        </is>
      </c>
      <c r="J32" s="473" t="inlineStr">
        <is>
          <t>E/2 NW/4, N/2 NE/4 SW/4, NE/4 SE/4, SE/4 NE/4 of 31-12N-24W</t>
        </is>
      </c>
      <c r="K32" s="473" t="inlineStr">
        <is>
          <t>Needs Verification (term/HBP)</t>
        </is>
      </c>
      <c r="L32" s="473" t="n"/>
      <c r="M32" s="473" t="n"/>
      <c r="N32" s="473" t="inlineStr">
        <is>
          <t>T3,4,7,8</t>
        </is>
      </c>
      <c r="O32" s="474" t="n"/>
      <c r="P32" s="520" t="n"/>
      <c r="Q32" s="473" t="n"/>
    </row>
    <row r="33" ht="38.25" customHeight="1" s="267">
      <c r="A33" s="472" t="n">
        <v>178</v>
      </c>
      <c r="B33" s="472" t="inlineStr">
        <is>
          <t>Needs Verification (term/HBP)</t>
        </is>
      </c>
      <c r="C33" s="473" t="n"/>
      <c r="D33" s="473" t="inlineStr">
        <is>
          <t>Oil and Gas Lease</t>
        </is>
      </c>
      <c r="E33" s="473" t="inlineStr">
        <is>
          <t>1607/325</t>
        </is>
      </c>
      <c r="F33" s="474" t="n">
        <v>36593</v>
      </c>
      <c r="G33" s="474" t="n">
        <v>36593</v>
      </c>
      <c r="H33" s="473" t="inlineStr">
        <is>
          <t>Nancy Mitchell Williams</t>
        </is>
      </c>
      <c r="I33" s="473" t="inlineStr">
        <is>
          <t>EOG Resources, Inc.</t>
        </is>
      </c>
      <c r="J33" s="473" t="inlineStr">
        <is>
          <t>E/2 NW/4, E/2 SW/4, Lot 4, N/2 NE/4, NE/4 NE/4, S/2, Lot 3, SE/4 NE/4 of 31-12N-24W</t>
        </is>
      </c>
      <c r="K33" s="473" t="inlineStr">
        <is>
          <t>Needs Verification (term/HBP)</t>
        </is>
      </c>
      <c r="L33" s="473" t="n"/>
      <c r="M33" s="473" t="n"/>
      <c r="N33" s="473" t="inlineStr">
        <is>
          <t>T1,2,3,4,5,6,7,8</t>
        </is>
      </c>
      <c r="O33" s="474" t="n"/>
      <c r="P33" s="520" t="n"/>
      <c r="Q33" s="473" t="n"/>
    </row>
    <row r="34" ht="25.5" customHeight="1" s="267">
      <c r="A34" s="472" t="n">
        <v>180</v>
      </c>
      <c r="B34" s="472" t="inlineStr">
        <is>
          <t>Needs Verification (term/HBP)</t>
        </is>
      </c>
      <c r="C34" s="473" t="n"/>
      <c r="D34" s="473" t="inlineStr">
        <is>
          <t>Oil and Gas Lease</t>
        </is>
      </c>
      <c r="E34" s="473" t="inlineStr">
        <is>
          <t>1608/452</t>
        </is>
      </c>
      <c r="F34" s="474" t="n">
        <v>36612</v>
      </c>
      <c r="G34" s="474" t="n">
        <v>36612</v>
      </c>
      <c r="H34" s="473" t="inlineStr">
        <is>
          <t>Melinda Barbie</t>
        </is>
      </c>
      <c r="I34" s="473" t="inlineStr">
        <is>
          <t>R. Michael Lortz</t>
        </is>
      </c>
      <c r="J34" s="473" t="inlineStr">
        <is>
          <t>Lot 4, S/2, Lot 3, S/2 NE/4 SW/4, SE/4 SW/4 of 31-12N-24W</t>
        </is>
      </c>
      <c r="K34" s="473" t="inlineStr">
        <is>
          <t>Needs Verification (term/HBP)</t>
        </is>
      </c>
      <c r="L34" s="473" t="n"/>
      <c r="M34" s="473" t="n"/>
      <c r="N34" s="473" t="inlineStr">
        <is>
          <t>T2,5,6,7,8</t>
        </is>
      </c>
      <c r="O34" s="474" t="n"/>
      <c r="P34" s="520" t="n"/>
      <c r="Q34" s="473" t="n"/>
    </row>
    <row r="35" ht="25.5" customHeight="1" s="267">
      <c r="A35" s="472" t="n">
        <v>181</v>
      </c>
      <c r="B35" s="472" t="inlineStr">
        <is>
          <t>Needs Verification (term/HBP)</t>
        </is>
      </c>
      <c r="C35" s="473" t="n"/>
      <c r="D35" s="473" t="inlineStr">
        <is>
          <t>Oil and Gas Lease</t>
        </is>
      </c>
      <c r="E35" s="473" t="inlineStr">
        <is>
          <t>1608/541</t>
        </is>
      </c>
      <c r="F35" s="474" t="n">
        <v>36613</v>
      </c>
      <c r="G35" s="474" t="n">
        <v>36613</v>
      </c>
      <c r="H35" s="473" t="inlineStr">
        <is>
          <t>Carrie Leeanne Mitchell</t>
        </is>
      </c>
      <c r="I35" s="473" t="inlineStr">
        <is>
          <t>EOG Resources Inc.</t>
        </is>
      </c>
      <c r="J35" s="473" t="inlineStr">
        <is>
          <t>E/2 NW/4, E/2 SW/4, Lots 3-4, N/2 NE/4, NE/4 SE/4, SE/4 NE/4 of 31-12N-24W</t>
        </is>
      </c>
      <c r="K35" s="473" t="inlineStr">
        <is>
          <t>Needs Verification (term/HBP)</t>
        </is>
      </c>
      <c r="L35" s="473" t="n"/>
      <c r="M35" s="473" t="n"/>
      <c r="N35" s="473" t="inlineStr">
        <is>
          <t>T1,3,4,5,6,7,8</t>
        </is>
      </c>
      <c r="O35" s="474" t="n"/>
      <c r="P35" s="520" t="n"/>
      <c r="Q35" s="473" t="n"/>
    </row>
    <row r="36" ht="25.5" customHeight="1" s="267">
      <c r="A36" s="472" t="n">
        <v>182</v>
      </c>
      <c r="B36" s="472" t="inlineStr">
        <is>
          <t>Needs Verification (term/HBP)</t>
        </is>
      </c>
      <c r="C36" s="473" t="n"/>
      <c r="D36" s="473" t="inlineStr">
        <is>
          <t>Oil and Gas Lease</t>
        </is>
      </c>
      <c r="E36" s="473" t="inlineStr">
        <is>
          <t>1608/543</t>
        </is>
      </c>
      <c r="F36" s="474" t="n">
        <v>36613</v>
      </c>
      <c r="G36" s="474" t="n">
        <v>36613</v>
      </c>
      <c r="H36" s="473" t="inlineStr">
        <is>
          <t>Nancy Susan Mitchell</t>
        </is>
      </c>
      <c r="I36" s="473" t="inlineStr">
        <is>
          <t>EOG Resources Inc.</t>
        </is>
      </c>
      <c r="J36" s="473" t="inlineStr">
        <is>
          <t>E/2 NW/4, E/2 SW/4, Lots 3-4, N/2 NE/4, NE/4 SE/4, SE/4 NE/4 of 31-12N-24W</t>
        </is>
      </c>
      <c r="K36" s="473" t="inlineStr">
        <is>
          <t>Needs Verification (term/HBP)</t>
        </is>
      </c>
      <c r="L36" s="473" t="n"/>
      <c r="M36" s="473" t="n"/>
      <c r="N36" s="473" t="inlineStr">
        <is>
          <t>T1,3,4,5,6,7,8</t>
        </is>
      </c>
      <c r="O36" s="474" t="n"/>
      <c r="P36" s="520" t="n"/>
      <c r="Q36" s="473" t="n"/>
    </row>
    <row r="37" ht="25.5" customHeight="1" s="267">
      <c r="A37" s="472" t="n">
        <v>183</v>
      </c>
      <c r="B37" s="472" t="inlineStr">
        <is>
          <t>Needs Verification (term/HBP)</t>
        </is>
      </c>
      <c r="C37" s="473" t="n"/>
      <c r="D37" s="473" t="inlineStr">
        <is>
          <t>Oil and Gas Lease</t>
        </is>
      </c>
      <c r="E37" s="473" t="inlineStr">
        <is>
          <t>1609/199</t>
        </is>
      </c>
      <c r="F37" s="474" t="n">
        <v>36616</v>
      </c>
      <c r="G37" s="474" t="n">
        <v>36616</v>
      </c>
      <c r="H37" s="473" t="inlineStr">
        <is>
          <t>Gena W. Moore</t>
        </is>
      </c>
      <c r="I37" s="473" t="inlineStr">
        <is>
          <t>EOG Resources Inc.</t>
        </is>
      </c>
      <c r="J37" s="473" t="inlineStr">
        <is>
          <t>E/2 NW/4, E/2 SW/4, N/2 NE/4, NE/4 SE/4, Lots 3-4, SE/4 NE/4 of 31-12N-24W</t>
        </is>
      </c>
      <c r="K37" s="473" t="inlineStr">
        <is>
          <t>Needs Verification (term/HBP)</t>
        </is>
      </c>
      <c r="L37" s="473" t="n"/>
      <c r="M37" s="473" t="n"/>
      <c r="N37" s="473" t="inlineStr">
        <is>
          <t>T1,3,4,5,6,7,8</t>
        </is>
      </c>
      <c r="O37" s="474" t="n"/>
      <c r="P37" s="520" t="n"/>
      <c r="Q37" s="473" t="n"/>
    </row>
    <row r="38" ht="25.5" customHeight="1" s="267">
      <c r="A38" s="472" t="n">
        <v>184</v>
      </c>
      <c r="B38" s="472" t="inlineStr">
        <is>
          <t>Needs Verification (term/HBP)</t>
        </is>
      </c>
      <c r="C38" s="473" t="n"/>
      <c r="D38" s="473" t="inlineStr">
        <is>
          <t>Oil and Gas Lease</t>
        </is>
      </c>
      <c r="E38" s="473" t="inlineStr">
        <is>
          <t>1610/40</t>
        </is>
      </c>
      <c r="F38" s="474" t="n">
        <v>36621</v>
      </c>
      <c r="G38" s="474" t="n">
        <v>36621</v>
      </c>
      <c r="H38" s="473" t="inlineStr">
        <is>
          <t>Richard M. Heins</t>
        </is>
      </c>
      <c r="I38" s="473" t="inlineStr">
        <is>
          <t>Richard C. Cope</t>
        </is>
      </c>
      <c r="J38" s="473" t="inlineStr">
        <is>
          <t>SE/4 SE/4, SW/4 NE/4, W/2 SE/4 of 31-12N-24W</t>
        </is>
      </c>
      <c r="K38" s="473" t="inlineStr">
        <is>
          <t>Duplicate OGL#/Bk-Pg — verify operative entry.</t>
        </is>
      </c>
      <c r="L38" s="473" t="n"/>
      <c r="M38" s="473" t="n"/>
      <c r="N38" s="473" t="inlineStr">
        <is>
          <t>T2</t>
        </is>
      </c>
      <c r="O38" s="474" t="n"/>
      <c r="P38" s="520" t="n"/>
      <c r="Q38" s="473" t="n"/>
    </row>
    <row r="39" ht="25.5" customHeight="1" s="267">
      <c r="A39" s="472" t="n">
        <v>185</v>
      </c>
      <c r="B39" s="472" t="inlineStr">
        <is>
          <t>Needs Verification (term/HBP)</t>
        </is>
      </c>
      <c r="C39" s="473" t="n"/>
      <c r="D39" s="473" t="inlineStr">
        <is>
          <t>Oil and Gas Lease</t>
        </is>
      </c>
      <c r="E39" s="473" t="inlineStr">
        <is>
          <t>1610/121</t>
        </is>
      </c>
      <c r="F39" s="474" t="n">
        <v>36623</v>
      </c>
      <c r="G39" s="474" t="n">
        <v>36623</v>
      </c>
      <c r="H39" s="473" t="inlineStr">
        <is>
          <t>Robert H. Frazler</t>
        </is>
      </c>
      <c r="I39" s="473" t="inlineStr">
        <is>
          <t>Richard C. Cope</t>
        </is>
      </c>
      <c r="J39" s="473" t="inlineStr">
        <is>
          <t>E/2 NW/4, N/2 NE/4 SW/4, NE/4 SE/4, SE/4 NE/4 of 31-12N-24W</t>
        </is>
      </c>
      <c r="K39" s="473" t="inlineStr">
        <is>
          <t>Needs Verification (term/HBP)</t>
        </is>
      </c>
      <c r="L39" s="473" t="n"/>
      <c r="M39" s="473" t="n"/>
      <c r="N39" s="473" t="inlineStr">
        <is>
          <t>T3,4,7,8</t>
        </is>
      </c>
      <c r="O39" s="474" t="n"/>
      <c r="P39" s="520" t="n"/>
      <c r="Q39" s="473" t="n"/>
    </row>
    <row r="40" ht="25.5" customHeight="1" s="267">
      <c r="A40" s="472" t="n">
        <v>186</v>
      </c>
      <c r="B40" s="472" t="inlineStr">
        <is>
          <t>Needs Verification (term/HBP)</t>
        </is>
      </c>
      <c r="C40" s="473" t="n"/>
      <c r="D40" s="473" t="inlineStr">
        <is>
          <t>Oil and Gas Lease</t>
        </is>
      </c>
      <c r="E40" s="473" t="inlineStr">
        <is>
          <t>1613/497</t>
        </is>
      </c>
      <c r="F40" s="474" t="n">
        <v>36671</v>
      </c>
      <c r="G40" s="474" t="n">
        <v>36671</v>
      </c>
      <c r="H40" s="473" t="inlineStr">
        <is>
          <t>Ella P. Kirk</t>
        </is>
      </c>
      <c r="I40" s="473" t="inlineStr">
        <is>
          <t>EOG Resources, Inc.</t>
        </is>
      </c>
      <c r="J40" s="473" t="inlineStr">
        <is>
          <t>Lots 1-3 of 31-12N-24W</t>
        </is>
      </c>
      <c r="K40" s="473" t="inlineStr">
        <is>
          <t>Needs Verification (term/HBP)</t>
        </is>
      </c>
      <c r="L40" s="473" t="n"/>
      <c r="M40" s="473" t="n"/>
      <c r="N40" s="473" t="inlineStr">
        <is>
          <t>T5,6</t>
        </is>
      </c>
      <c r="O40" s="474" t="n"/>
      <c r="P40" s="520" t="n"/>
      <c r="Q40" s="473" t="n"/>
    </row>
    <row r="41" ht="25.5" customHeight="1" s="267">
      <c r="A41" s="472" t="n">
        <v>187</v>
      </c>
      <c r="B41" s="472" t="inlineStr">
        <is>
          <t>Needs Verification (term/HBP)</t>
        </is>
      </c>
      <c r="C41" s="473" t="n"/>
      <c r="D41" s="473" t="inlineStr">
        <is>
          <t>Oil and Gas Lease</t>
        </is>
      </c>
      <c r="E41" s="473" t="inlineStr">
        <is>
          <t>1626/462</t>
        </is>
      </c>
      <c r="F41" s="474" t="n">
        <v>36816</v>
      </c>
      <c r="G41" s="474" t="n">
        <v>36829</v>
      </c>
      <c r="H41" s="473" t="inlineStr">
        <is>
          <t>Juanita M. Wolff</t>
        </is>
      </c>
      <c r="I41" s="473" t="inlineStr">
        <is>
          <t>EOG Resources Inc.</t>
        </is>
      </c>
      <c r="J41" s="473" t="inlineStr">
        <is>
          <t>NW/4 SE/4, S/2 SE/4, SW/4 NE/4 of 31-12N-24W</t>
        </is>
      </c>
      <c r="K41" s="473" t="inlineStr">
        <is>
          <t>Needs Verification (term/HBP)</t>
        </is>
      </c>
      <c r="L41" s="473" t="n"/>
      <c r="M41" s="473" t="n"/>
      <c r="N41" s="473" t="inlineStr">
        <is>
          <t>T2</t>
        </is>
      </c>
      <c r="O41" s="474" t="n"/>
      <c r="P41" s="520" t="n"/>
      <c r="Q41" s="473" t="n"/>
    </row>
    <row r="42" ht="25.5" customHeight="1" s="267">
      <c r="A42" s="472" t="n">
        <v>188</v>
      </c>
      <c r="B42" s="472" t="inlineStr">
        <is>
          <t>Needs Verification (term/HBP)</t>
        </is>
      </c>
      <c r="C42" s="473" t="n"/>
      <c r="D42" s="473" t="inlineStr">
        <is>
          <t>Oil and Gas Lease</t>
        </is>
      </c>
      <c r="E42" s="473" t="inlineStr">
        <is>
          <t>1629/523</t>
        </is>
      </c>
      <c r="F42" s="474" t="n">
        <v>36824</v>
      </c>
      <c r="G42" s="474" t="n">
        <v>36866</v>
      </c>
      <c r="H42" s="473" t="inlineStr">
        <is>
          <t>Joe, Devenas, Jr.</t>
        </is>
      </c>
      <c r="I42" s="473" t="inlineStr">
        <is>
          <t>EOG Resources Inc.</t>
        </is>
      </c>
      <c r="J42" s="473" t="inlineStr">
        <is>
          <t>SE/4 SW/4 of 31-12N-24W</t>
        </is>
      </c>
      <c r="K42" s="473" t="inlineStr">
        <is>
          <t>Needs Verification (term/HBP)</t>
        </is>
      </c>
      <c r="L42" s="473" t="n"/>
      <c r="M42" s="473" t="n"/>
      <c r="N42" s="473" t="inlineStr">
        <is>
          <t>T5</t>
        </is>
      </c>
      <c r="O42" s="474" t="n"/>
      <c r="P42" s="520" t="n"/>
      <c r="Q42" s="473" t="n"/>
    </row>
    <row r="43" ht="25.5" customHeight="1" s="267">
      <c r="A43" s="472" t="n">
        <v>189</v>
      </c>
      <c r="B43" s="472" t="inlineStr">
        <is>
          <t>Needs Verification (term/HBP)</t>
        </is>
      </c>
      <c r="C43" s="473" t="n"/>
      <c r="D43" s="473" t="inlineStr">
        <is>
          <t>Oil and Gas Lease</t>
        </is>
      </c>
      <c r="E43" s="473" t="inlineStr">
        <is>
          <t>1629/525</t>
        </is>
      </c>
      <c r="F43" s="474" t="n">
        <v>36824</v>
      </c>
      <c r="G43" s="474" t="n">
        <v>36866</v>
      </c>
      <c r="H43" s="473" t="inlineStr">
        <is>
          <t>Joseph Devenas</t>
        </is>
      </c>
      <c r="I43" s="473" t="inlineStr">
        <is>
          <t>EOG Resources Inc.</t>
        </is>
      </c>
      <c r="J43" s="473" t="inlineStr">
        <is>
          <t>SE/4 SW/4 of 31-12N-24W</t>
        </is>
      </c>
      <c r="K43" s="473" t="inlineStr">
        <is>
          <t>Needs Verification (term/HBP)</t>
        </is>
      </c>
      <c r="L43" s="473" t="n"/>
      <c r="M43" s="473" t="n"/>
      <c r="N43" s="473" t="inlineStr">
        <is>
          <t>T5</t>
        </is>
      </c>
      <c r="O43" s="474" t="n"/>
      <c r="P43" s="520" t="n"/>
      <c r="Q43" s="473" t="n"/>
    </row>
    <row r="44" ht="25.5" customHeight="1" s="267">
      <c r="A44" s="472" t="n">
        <v>193</v>
      </c>
      <c r="B44" s="472" t="inlineStr">
        <is>
          <t>Needs Verification (term/HBP)</t>
        </is>
      </c>
      <c r="C44" s="473" t="n"/>
      <c r="D44" s="473" t="inlineStr">
        <is>
          <t>Oil and Gas Lease</t>
        </is>
      </c>
      <c r="E44" s="473" t="inlineStr">
        <is>
          <t>1639/13</t>
        </is>
      </c>
      <c r="F44" s="474" t="n">
        <v>36906</v>
      </c>
      <c r="G44" s="474" t="n">
        <v>36985</v>
      </c>
      <c r="H44" s="473" t="inlineStr">
        <is>
          <t>Billy W. Bain</t>
        </is>
      </c>
      <c r="I44" s="473" t="inlineStr">
        <is>
          <t>R. Michael Lortz</t>
        </is>
      </c>
      <c r="J44" s="473" t="inlineStr">
        <is>
          <t>SE/4 SE/4, SW/4 NE/4, W/2 SE/4 of 31-12N-24W</t>
        </is>
      </c>
      <c r="K44" s="473" t="inlineStr">
        <is>
          <t>Needs Verification (term/HBP)</t>
        </is>
      </c>
      <c r="L44" s="473" t="n"/>
      <c r="M44" s="473" t="n"/>
      <c r="N44" s="473" t="inlineStr">
        <is>
          <t>T2</t>
        </is>
      </c>
      <c r="O44" s="474" t="n"/>
      <c r="P44" s="520" t="n"/>
      <c r="Q44" s="473" t="n"/>
    </row>
    <row r="45" ht="25.5" customHeight="1" s="267">
      <c r="A45" s="472" t="n">
        <v>191</v>
      </c>
      <c r="B45" s="472" t="inlineStr">
        <is>
          <t>Needs Verification (term/HBP)</t>
        </is>
      </c>
      <c r="C45" s="473" t="n"/>
      <c r="D45" s="473" t="inlineStr">
        <is>
          <t>Oil and Gas Lease</t>
        </is>
      </c>
      <c r="E45" s="473" t="inlineStr">
        <is>
          <t>1639/5</t>
        </is>
      </c>
      <c r="F45" s="474" t="n">
        <v>36906</v>
      </c>
      <c r="G45" s="474" t="n">
        <v>36985</v>
      </c>
      <c r="H45" s="473" t="inlineStr">
        <is>
          <t>Carl L. Bain</t>
        </is>
      </c>
      <c r="I45" s="473" t="inlineStr">
        <is>
          <t>R. Michael Lortz</t>
        </is>
      </c>
      <c r="J45" s="473" t="inlineStr">
        <is>
          <t>SE/4 SE/4, SW/4 NE/4, W/2 SE/4 of 31-12N-24W</t>
        </is>
      </c>
      <c r="K45" s="473" t="inlineStr">
        <is>
          <t>Duplicate OGL#/Bk-Pg — verify operative entry.</t>
        </is>
      </c>
      <c r="L45" s="473" t="n"/>
      <c r="M45" s="473" t="n"/>
      <c r="N45" s="473" t="inlineStr">
        <is>
          <t>T2</t>
        </is>
      </c>
      <c r="O45" s="474" t="n"/>
      <c r="P45" s="520" t="n"/>
      <c r="Q45" s="473" t="n"/>
    </row>
    <row r="46" ht="25.5" customHeight="1" s="267">
      <c r="A46" s="472" t="n">
        <v>217</v>
      </c>
      <c r="B46" s="472" t="inlineStr">
        <is>
          <t>Needs Verification (term/HBP)</t>
        </is>
      </c>
      <c r="C46" s="473" t="n"/>
      <c r="D46" s="473" t="inlineStr">
        <is>
          <t>Oil and Gas Lease</t>
        </is>
      </c>
      <c r="E46" s="473" t="inlineStr">
        <is>
          <t>1639/3</t>
        </is>
      </c>
      <c r="F46" s="474" t="n">
        <v>36906</v>
      </c>
      <c r="G46" s="474" t="n">
        <v>36985</v>
      </c>
      <c r="H46" s="473" t="inlineStr">
        <is>
          <t>Clarence C. Bain, Dorothy J. Bain</t>
        </is>
      </c>
      <c r="I46" s="473" t="inlineStr">
        <is>
          <t>R. Michael Lortz</t>
        </is>
      </c>
      <c r="J46" s="473" t="inlineStr">
        <is>
          <t>SE/4 SE/4, SW/4 NE/4, W/2 SE/4 of 31-12N-24W</t>
        </is>
      </c>
      <c r="K46" s="473" t="inlineStr">
        <is>
          <t>Duplicate OGL#/Bk-Pg — verify operative entry.</t>
        </is>
      </c>
      <c r="L46" s="473" t="n"/>
      <c r="M46" s="473" t="n"/>
      <c r="N46" s="473" t="inlineStr">
        <is>
          <t>T2</t>
        </is>
      </c>
      <c r="O46" s="474" t="n"/>
      <c r="P46" s="520" t="n"/>
      <c r="Q46" s="473" t="n"/>
    </row>
    <row r="47" ht="25.5" customHeight="1" s="267">
      <c r="A47" s="472" t="n">
        <v>224</v>
      </c>
      <c r="B47" s="472" t="inlineStr">
        <is>
          <t>Needs Verification (term/HBP)</t>
        </is>
      </c>
      <c r="C47" s="473" t="n"/>
      <c r="D47" s="473" t="inlineStr">
        <is>
          <t>Oil and Gas Lease</t>
        </is>
      </c>
      <c r="E47" s="473" t="inlineStr">
        <is>
          <t>1639/21</t>
        </is>
      </c>
      <c r="F47" s="474" t="n">
        <v>36906</v>
      </c>
      <c r="G47" s="474" t="n">
        <v>36985</v>
      </c>
      <c r="H47" s="473" t="inlineStr">
        <is>
          <t>Dow C. Bain, Edris O. Bain</t>
        </is>
      </c>
      <c r="I47" s="473" t="inlineStr">
        <is>
          <t>R. Michael Lortz</t>
        </is>
      </c>
      <c r="J47" s="473" t="inlineStr">
        <is>
          <t>SE/4 SE/4, SW/4 NE/4, W/2 SE/4 of 31-12N-24W</t>
        </is>
      </c>
      <c r="K47" s="473" t="inlineStr">
        <is>
          <t>Needs Verification (term/HBP)</t>
        </is>
      </c>
      <c r="L47" s="473" t="n"/>
      <c r="M47" s="473" t="n"/>
      <c r="N47" s="473" t="inlineStr">
        <is>
          <t>T2</t>
        </is>
      </c>
      <c r="O47" s="474" t="n"/>
      <c r="P47" s="520" t="n"/>
      <c r="Q47" s="473" t="n"/>
    </row>
    <row r="48" ht="25.5" customHeight="1" s="267">
      <c r="A48" s="472" t="n">
        <v>195</v>
      </c>
      <c r="B48" s="472" t="inlineStr">
        <is>
          <t>Needs Verification (term/HBP)</t>
        </is>
      </c>
      <c r="C48" s="473" t="n"/>
      <c r="D48" s="473" t="inlineStr">
        <is>
          <t>Oil and Gas Lease</t>
        </is>
      </c>
      <c r="E48" s="473" t="inlineStr">
        <is>
          <t>1639/17</t>
        </is>
      </c>
      <c r="F48" s="474" t="n">
        <v>36906</v>
      </c>
      <c r="G48" s="474" t="n">
        <v>36985</v>
      </c>
      <c r="H48" s="473" t="inlineStr">
        <is>
          <t>Hans W. Jensen</t>
        </is>
      </c>
      <c r="I48" s="473" t="inlineStr">
        <is>
          <t>R. Michael Lortz</t>
        </is>
      </c>
      <c r="J48" s="473" t="inlineStr">
        <is>
          <t>SE/4 SE/4, SW/4 NE/4, W/2 SE/4 of 31-12N-24W</t>
        </is>
      </c>
      <c r="K48" s="473" t="inlineStr">
        <is>
          <t>Needs Verification (term/HBP)</t>
        </is>
      </c>
      <c r="L48" s="473" t="n"/>
      <c r="M48" s="473" t="n"/>
      <c r="N48" s="473" t="inlineStr">
        <is>
          <t>T2</t>
        </is>
      </c>
      <c r="O48" s="474" t="n"/>
      <c r="P48" s="520" t="n"/>
      <c r="Q48" s="473" t="n"/>
    </row>
    <row r="49" ht="25.5" customHeight="1" s="267">
      <c r="A49" s="472" t="n">
        <v>192</v>
      </c>
      <c r="B49" s="472" t="inlineStr">
        <is>
          <t>Needs Verification (term/HBP)</t>
        </is>
      </c>
      <c r="C49" s="473" t="n"/>
      <c r="D49" s="473" t="inlineStr">
        <is>
          <t>Oil and Gas Lease</t>
        </is>
      </c>
      <c r="E49" s="473" t="inlineStr">
        <is>
          <t>1639/9</t>
        </is>
      </c>
      <c r="F49" s="474" t="n">
        <v>36906</v>
      </c>
      <c r="G49" s="474" t="n">
        <v>36985</v>
      </c>
      <c r="H49" s="473" t="inlineStr">
        <is>
          <t>Tim E. Jensen</t>
        </is>
      </c>
      <c r="I49" s="473" t="inlineStr">
        <is>
          <t>R. Michael Lortz</t>
        </is>
      </c>
      <c r="J49" s="473" t="inlineStr">
        <is>
          <t>SE/4 SE/4, SW/4 NE/4, W/2 SE/4 of 31-12N-24W</t>
        </is>
      </c>
      <c r="K49" s="473" t="inlineStr">
        <is>
          <t>Needs Verification (term/HBP)</t>
        </is>
      </c>
      <c r="L49" s="473" t="n"/>
      <c r="M49" s="473" t="n"/>
      <c r="N49" s="473" t="inlineStr">
        <is>
          <t>T2</t>
        </is>
      </c>
      <c r="O49" s="474" t="n"/>
      <c r="P49" s="520" t="n"/>
      <c r="Q49" s="473" t="n"/>
    </row>
    <row r="50" ht="25.5" customHeight="1" s="267">
      <c r="A50" s="472" t="n">
        <v>196</v>
      </c>
      <c r="B50" s="472" t="inlineStr">
        <is>
          <t>Needs Verification (term/HBP)</t>
        </is>
      </c>
      <c r="C50" s="473" t="n"/>
      <c r="D50" s="473" t="inlineStr">
        <is>
          <t>Oil and Gas Lease</t>
        </is>
      </c>
      <c r="E50" s="473" t="inlineStr">
        <is>
          <t>1639/19</t>
        </is>
      </c>
      <c r="F50" s="474" t="n">
        <v>36906</v>
      </c>
      <c r="G50" s="474" t="n">
        <v>36985</v>
      </c>
      <c r="H50" s="473" t="inlineStr">
        <is>
          <t>Wilda E. Jensen</t>
        </is>
      </c>
      <c r="I50" s="473" t="inlineStr">
        <is>
          <t>R. Michael Lortz</t>
        </is>
      </c>
      <c r="J50" s="473" t="inlineStr">
        <is>
          <t>SE/4 SE/4, SW/4 NE/4, W/2 SE/4 of 31-12N-24W</t>
        </is>
      </c>
      <c r="K50" s="473" t="inlineStr">
        <is>
          <t>Needs Verification (term/HBP)</t>
        </is>
      </c>
      <c r="L50" s="473" t="n"/>
      <c r="M50" s="473" t="n"/>
      <c r="N50" s="473" t="inlineStr">
        <is>
          <t>T2</t>
        </is>
      </c>
      <c r="O50" s="474" t="n"/>
      <c r="P50" s="520" t="n"/>
      <c r="Q50" s="473" t="n"/>
    </row>
    <row r="51" ht="25.5" customHeight="1" s="267">
      <c r="A51" s="472" t="n">
        <v>194</v>
      </c>
      <c r="B51" s="472" t="inlineStr">
        <is>
          <t>Needs Verification (term/HBP)</t>
        </is>
      </c>
      <c r="C51" s="473" t="n"/>
      <c r="D51" s="473" t="inlineStr">
        <is>
          <t>Oil and Gas Lease</t>
        </is>
      </c>
      <c r="E51" s="473" t="inlineStr">
        <is>
          <t>1639/15</t>
        </is>
      </c>
      <c r="F51" s="474" t="n">
        <v>36906</v>
      </c>
      <c r="G51" s="474" t="n">
        <v>36985</v>
      </c>
      <c r="H51" s="473" t="inlineStr">
        <is>
          <t>X.</t>
        </is>
      </c>
      <c r="I51" s="473" t="inlineStr">
        <is>
          <t>R. Michael Lortz</t>
        </is>
      </c>
      <c r="J51" s="473" t="inlineStr">
        <is>
          <t>SE/4 SE/4, SW/4 NE/4, W/2 SE/4 of 31-12N-24W</t>
        </is>
      </c>
      <c r="K51" s="473" t="inlineStr">
        <is>
          <t>Needs Verification (term/HBP)</t>
        </is>
      </c>
      <c r="L51" s="473" t="n"/>
      <c r="M51" s="473" t="n"/>
      <c r="N51" s="473" t="inlineStr">
        <is>
          <t>T2</t>
        </is>
      </c>
      <c r="O51" s="474" t="n"/>
      <c r="P51" s="520" t="n"/>
      <c r="Q51" s="473" t="n"/>
    </row>
    <row r="52" ht="25.5" customHeight="1" s="267">
      <c r="A52" s="472" t="n">
        <v>198</v>
      </c>
      <c r="B52" s="472" t="inlineStr">
        <is>
          <t>Needs Verification (term/HBP)</t>
        </is>
      </c>
      <c r="C52" s="473" t="n"/>
      <c r="D52" s="473" t="inlineStr">
        <is>
          <t>Oil and Gas Lease</t>
        </is>
      </c>
      <c r="E52" s="473" t="inlineStr">
        <is>
          <t>1639/7</t>
        </is>
      </c>
      <c r="F52" s="474" t="n">
        <v>36916</v>
      </c>
      <c r="G52" s="474" t="n">
        <v>36985</v>
      </c>
      <c r="H52" s="473" t="inlineStr">
        <is>
          <t>L.e. Thurman</t>
        </is>
      </c>
      <c r="I52" s="473" t="inlineStr">
        <is>
          <t>R. Michael Lortz</t>
        </is>
      </c>
      <c r="J52" s="473" t="inlineStr">
        <is>
          <t>E/2 NW/4, N/2 NE/4 SW/4, NE/4 SE/4, SE/4 NE/4 of 31-12N-24W</t>
        </is>
      </c>
      <c r="K52" s="473" t="inlineStr">
        <is>
          <t>Needs Verification (term/HBP)</t>
        </is>
      </c>
      <c r="L52" s="473" t="n"/>
      <c r="M52" s="473" t="n"/>
      <c r="N52" s="473" t="inlineStr">
        <is>
          <t>T3,4,7,8</t>
        </is>
      </c>
      <c r="O52" s="474" t="n"/>
      <c r="P52" s="520" t="n"/>
      <c r="Q52" s="473" t="n"/>
    </row>
    <row r="53" ht="25.5" customHeight="1" s="267">
      <c r="A53" s="472" t="n">
        <v>226</v>
      </c>
      <c r="B53" s="472" t="inlineStr">
        <is>
          <t>Needs Verification (term/HBP)</t>
        </is>
      </c>
      <c r="C53" s="473" t="n"/>
      <c r="D53" s="473" t="inlineStr">
        <is>
          <t>Oil and Gas Lease</t>
        </is>
      </c>
      <c r="E53" s="473" t="inlineStr">
        <is>
          <t>1639/11</t>
        </is>
      </c>
      <c r="F53" s="474" t="n">
        <v>36920</v>
      </c>
      <c r="G53" s="474" t="n">
        <v>36985</v>
      </c>
      <c r="H53" s="473" t="inlineStr">
        <is>
          <t>Audy C. Campbell, Janice Campbell</t>
        </is>
      </c>
      <c r="I53" s="473" t="inlineStr">
        <is>
          <t>R. Michael Lortz</t>
        </is>
      </c>
      <c r="J53" s="473" t="inlineStr">
        <is>
          <t>S/2 NE/4 SW/4, SE/4 SW/4 of 31-12N-24W</t>
        </is>
      </c>
      <c r="K53" s="473" t="inlineStr">
        <is>
          <t>Duplicate OGL#/Bk-Pg — verify operative entry.</t>
        </is>
      </c>
      <c r="L53" s="473" t="n"/>
      <c r="M53" s="473" t="n"/>
      <c r="N53" s="473" t="inlineStr">
        <is>
          <t>T5,7</t>
        </is>
      </c>
      <c r="O53" s="474" t="n"/>
      <c r="P53" s="520" t="n"/>
      <c r="Q53" s="473" t="n"/>
    </row>
    <row r="54" ht="25.5" customHeight="1" s="267">
      <c r="A54" s="472" t="n">
        <v>200</v>
      </c>
      <c r="B54" s="472" t="inlineStr">
        <is>
          <t>Needs Verification (term/HBP)</t>
        </is>
      </c>
      <c r="C54" s="473" t="n"/>
      <c r="D54" s="473" t="inlineStr">
        <is>
          <t>Oil and Gas Lease</t>
        </is>
      </c>
      <c r="E54" s="473" t="inlineStr">
        <is>
          <t>1641/30</t>
        </is>
      </c>
      <c r="F54" s="474" t="n">
        <v>36948</v>
      </c>
      <c r="G54" s="474" t="n">
        <v>37005</v>
      </c>
      <c r="H54" s="473" t="inlineStr">
        <is>
          <t>R. Michael Lortz</t>
        </is>
      </c>
      <c r="I54" s="473" t="inlineStr">
        <is>
          <t>Chesapeake Exploration Ltd. PTN</t>
        </is>
      </c>
      <c r="J54" s="473" t="inlineStr">
        <is>
          <t>E/2 NW/4, N/2 NE/4 SW/4, NE/4 NE/4 SE/4, SE/4 NE/4 of 31-12N-24W</t>
        </is>
      </c>
      <c r="K54" s="473" t="inlineStr">
        <is>
          <t>Needs Verification (term/HBP)</t>
        </is>
      </c>
      <c r="L54" s="473" t="n"/>
      <c r="M54" s="473" t="n"/>
      <c r="N54" s="473" t="inlineStr">
        <is>
          <t>T3,4,7,8</t>
        </is>
      </c>
      <c r="O54" s="474" t="n"/>
      <c r="P54" s="520" t="n"/>
      <c r="Q54" s="473" t="n"/>
    </row>
    <row r="55" ht="25.5" customHeight="1" s="267">
      <c r="A55" s="472" t="n">
        <v>203</v>
      </c>
      <c r="B55" s="472" t="inlineStr">
        <is>
          <t>Needs Verification (term/HBP)</t>
        </is>
      </c>
      <c r="C55" s="473" t="n"/>
      <c r="D55" s="473" t="inlineStr">
        <is>
          <t>Oil and Gas Lease</t>
        </is>
      </c>
      <c r="E55" s="473" t="inlineStr">
        <is>
          <t>1642/102</t>
        </is>
      </c>
      <c r="F55" s="474" t="n">
        <v>36951</v>
      </c>
      <c r="G55" s="474" t="n">
        <v>37019</v>
      </c>
      <c r="H55" s="473" t="inlineStr">
        <is>
          <t>Michael L. Bain</t>
        </is>
      </c>
      <c r="I55" s="473" t="inlineStr">
        <is>
          <t>R. Michael Lortz</t>
        </is>
      </c>
      <c r="J55" s="473" t="inlineStr">
        <is>
          <t>SE/4 SE/4, SW/4 NE/4, W/2 SE/4 of 31-12N-24W</t>
        </is>
      </c>
      <c r="K55" s="473" t="inlineStr">
        <is>
          <t>Needs Verification (term/HBP)</t>
        </is>
      </c>
      <c r="L55" s="473" t="n"/>
      <c r="M55" s="473" t="n"/>
      <c r="N55" s="473" t="inlineStr">
        <is>
          <t>T2</t>
        </is>
      </c>
      <c r="O55" s="474" t="n"/>
      <c r="P55" s="520" t="n"/>
      <c r="Q55" s="473" t="n"/>
    </row>
    <row r="56" ht="25.5" customHeight="1" s="267">
      <c r="A56" s="472" t="n">
        <v>202</v>
      </c>
      <c r="B56" s="472" t="inlineStr">
        <is>
          <t>Needs Verification (term/HBP)</t>
        </is>
      </c>
      <c r="C56" s="473" t="n"/>
      <c r="D56" s="473" t="inlineStr">
        <is>
          <t>Oil and Gas Lease</t>
        </is>
      </c>
      <c r="E56" s="473" t="inlineStr">
        <is>
          <t>1642/99</t>
        </is>
      </c>
      <c r="F56" s="474" t="n">
        <v>36951</v>
      </c>
      <c r="G56" s="474" t="n">
        <v>37019</v>
      </c>
      <c r="H56" s="473" t="inlineStr">
        <is>
          <t>Paul Milton Bain</t>
        </is>
      </c>
      <c r="I56" s="473" t="inlineStr">
        <is>
          <t>R. Michael Lortz</t>
        </is>
      </c>
      <c r="J56" s="473" t="inlineStr">
        <is>
          <t>SE/4 SE/4, SW/4 NE/4, W/2 SE/4 of 31-12N-24W</t>
        </is>
      </c>
      <c r="K56" s="473" t="inlineStr">
        <is>
          <t>Needs Verification (term/HBP)</t>
        </is>
      </c>
      <c r="L56" s="473" t="n"/>
      <c r="M56" s="473" t="n"/>
      <c r="N56" s="473" t="inlineStr">
        <is>
          <t>T2</t>
        </is>
      </c>
      <c r="O56" s="474" t="n"/>
      <c r="P56" s="520" t="n"/>
      <c r="Q56" s="473" t="n"/>
    </row>
    <row r="57" ht="25.5" customHeight="1" s="267">
      <c r="A57" s="472" t="n">
        <v>201</v>
      </c>
      <c r="B57" s="472" t="inlineStr">
        <is>
          <t>Needs Verification (term/HBP)</t>
        </is>
      </c>
      <c r="C57" s="473" t="n"/>
      <c r="D57" s="473" t="inlineStr">
        <is>
          <t>Oil and Gas Lease</t>
        </is>
      </c>
      <c r="E57" s="473" t="inlineStr">
        <is>
          <t>1642/97</t>
        </is>
      </c>
      <c r="F57" s="474" t="n">
        <v>36951</v>
      </c>
      <c r="G57" s="474" t="n">
        <v>37019</v>
      </c>
      <c r="H57" s="473" t="inlineStr">
        <is>
          <t>William Clifton Bain</t>
        </is>
      </c>
      <c r="I57" s="473" t="inlineStr">
        <is>
          <t>R. Michael Lortz</t>
        </is>
      </c>
      <c r="J57" s="473" t="inlineStr">
        <is>
          <t>SE/4 SE/4, SW/4 NE/4, W/2 SE/4 of 31-12N-24W</t>
        </is>
      </c>
      <c r="K57" s="473" t="inlineStr">
        <is>
          <t>Needs Verification (term/HBP)</t>
        </is>
      </c>
      <c r="L57" s="473" t="n"/>
      <c r="M57" s="473" t="n"/>
      <c r="N57" s="473" t="inlineStr">
        <is>
          <t>T2</t>
        </is>
      </c>
      <c r="O57" s="474" t="n"/>
      <c r="P57" s="520" t="n"/>
      <c r="Q57" s="473" t="n"/>
    </row>
    <row r="58" ht="25.5" customHeight="1" s="267">
      <c r="A58" s="472" t="n">
        <v>206</v>
      </c>
      <c r="B58" s="472" t="inlineStr">
        <is>
          <t>Needs Verification (term/HBP)</t>
        </is>
      </c>
      <c r="C58" s="473" t="n"/>
      <c r="D58" s="473" t="inlineStr">
        <is>
          <t>Oil and Gas Lease</t>
        </is>
      </c>
      <c r="E58" s="473" t="inlineStr">
        <is>
          <t>1682/64</t>
        </is>
      </c>
      <c r="F58" s="474" t="n">
        <v>37354</v>
      </c>
      <c r="G58" s="474" t="n">
        <v>37424</v>
      </c>
      <c r="H58" s="473" t="inlineStr">
        <is>
          <t>L. a. Persicke</t>
        </is>
      </c>
      <c r="I58" s="473" t="inlineStr">
        <is>
          <t>Chesapeake Exploration Ltd. PTN</t>
        </is>
      </c>
      <c r="J58" s="473" t="inlineStr">
        <is>
          <t>NW/4 SE/4, S/2 SE/4 of 31-12N-24W</t>
        </is>
      </c>
      <c r="K58" s="473" t="inlineStr">
        <is>
          <t>Needs Verification (term/HBP)</t>
        </is>
      </c>
      <c r="L58" s="473" t="n"/>
      <c r="M58" s="473" t="n"/>
      <c r="N58" s="473" t="inlineStr">
        <is>
          <t>T2</t>
        </is>
      </c>
      <c r="O58" s="474" t="n"/>
      <c r="P58" s="520" t="n"/>
      <c r="Q58" s="473" t="n"/>
    </row>
    <row r="59" ht="25.5" customHeight="1" s="267">
      <c r="A59" s="472" t="n">
        <v>205</v>
      </c>
      <c r="B59" s="472" t="inlineStr">
        <is>
          <t>Needs Verification (term/HBP)</t>
        </is>
      </c>
      <c r="C59" s="473" t="n"/>
      <c r="D59" s="473" t="inlineStr">
        <is>
          <t>Oil and Gas Lease</t>
        </is>
      </c>
      <c r="E59" s="473" t="inlineStr">
        <is>
          <t>1676/379</t>
        </is>
      </c>
      <c r="F59" s="474" t="n">
        <v>37354</v>
      </c>
      <c r="G59" s="474" t="n">
        <v>37372</v>
      </c>
      <c r="H59" s="473" t="inlineStr">
        <is>
          <t>Paul A, Prsnl Repres Albert</t>
        </is>
      </c>
      <c r="I59" s="473" t="inlineStr">
        <is>
          <t>Chesapeake Exploration Ltd. PTN</t>
        </is>
      </c>
      <c r="J59" s="473" t="inlineStr">
        <is>
          <t>SE/4 SW/4 of 31-12N-24W</t>
        </is>
      </c>
      <c r="K59" s="473" t="inlineStr">
        <is>
          <t>Needs Verification (term/HBP)</t>
        </is>
      </c>
      <c r="L59" s="473" t="n"/>
      <c r="M59" s="473" t="n"/>
      <c r="N59" s="473" t="inlineStr">
        <is>
          <t>T5</t>
        </is>
      </c>
      <c r="O59" s="474" t="n"/>
      <c r="P59" s="520" t="n"/>
      <c r="Q59" s="473" t="n"/>
    </row>
    <row r="60" ht="25.5" customHeight="1" s="267">
      <c r="A60" s="472" t="n">
        <v>209</v>
      </c>
      <c r="B60" s="472" t="inlineStr">
        <is>
          <t>Needs Verification (term/HBP)</t>
        </is>
      </c>
      <c r="C60" s="473" t="n"/>
      <c r="D60" s="473" t="inlineStr">
        <is>
          <t>Oil and Gas Lease</t>
        </is>
      </c>
      <c r="E60" s="473" t="inlineStr">
        <is>
          <t>1677/535</t>
        </is>
      </c>
      <c r="F60" s="474" t="n">
        <v>37361</v>
      </c>
      <c r="G60" s="474" t="n">
        <v>37389</v>
      </c>
      <c r="H60" s="473" t="inlineStr">
        <is>
          <t>Mary Ellen Silverberg</t>
        </is>
      </c>
      <c r="I60" s="473" t="inlineStr">
        <is>
          <t>EOG Resources Inc.</t>
        </is>
      </c>
      <c r="J60" s="473" t="inlineStr">
        <is>
          <t>NW/4 SE/4, S/2 SE/4, SW/4 NE/4 of 31-12N-24W</t>
        </is>
      </c>
      <c r="K60" s="473" t="inlineStr">
        <is>
          <t>Needs Verification (term/HBP)</t>
        </is>
      </c>
      <c r="L60" s="473" t="n"/>
      <c r="M60" s="473" t="n"/>
      <c r="N60" s="473" t="inlineStr">
        <is>
          <t>T2</t>
        </is>
      </c>
      <c r="O60" s="474" t="n"/>
      <c r="P60" s="520" t="n"/>
      <c r="Q60" s="473" t="n"/>
    </row>
    <row r="61" ht="25.5" customHeight="1" s="267">
      <c r="A61" s="472" t="n">
        <v>211</v>
      </c>
      <c r="B61" s="472" t="inlineStr">
        <is>
          <t>Needs Verification (term/HBP)</t>
        </is>
      </c>
      <c r="C61" s="473" t="n"/>
      <c r="D61" s="473" t="inlineStr">
        <is>
          <t>Oil and Gas Lease</t>
        </is>
      </c>
      <c r="E61" s="473" t="inlineStr">
        <is>
          <t>1680/431</t>
        </is>
      </c>
      <c r="F61" s="474" t="n">
        <v>37364</v>
      </c>
      <c r="G61" s="474" t="n">
        <v>37410</v>
      </c>
      <c r="H61" s="473" t="inlineStr">
        <is>
          <t>James E. Menchan</t>
        </is>
      </c>
      <c r="I61" s="473" t="inlineStr">
        <is>
          <t>Chesapeake Exploration Ltd. PTN</t>
        </is>
      </c>
      <c r="J61" s="473" t="inlineStr">
        <is>
          <t>E/2 SE/4, SW/4 NE/4 of 31-12N-24W</t>
        </is>
      </c>
      <c r="K61" s="473" t="inlineStr">
        <is>
          <t>Needs Verification (term/HBP)</t>
        </is>
      </c>
      <c r="L61" s="473" t="n"/>
      <c r="M61" s="473" t="n"/>
      <c r="N61" s="473" t="inlineStr">
        <is>
          <t>T2,8</t>
        </is>
      </c>
      <c r="O61" s="474" t="n"/>
      <c r="P61" s="520" t="n"/>
      <c r="Q61" s="473" t="n"/>
    </row>
    <row r="62" ht="25.5" customHeight="1" s="267">
      <c r="A62" s="472" t="n">
        <v>212</v>
      </c>
      <c r="B62" s="472" t="inlineStr">
        <is>
          <t>Needs Verification (term/HBP)</t>
        </is>
      </c>
      <c r="C62" s="473" t="n"/>
      <c r="D62" s="473" t="inlineStr">
        <is>
          <t>Oil and Gas Lease</t>
        </is>
      </c>
      <c r="E62" s="473" t="inlineStr">
        <is>
          <t>1678/554</t>
        </is>
      </c>
      <c r="F62" s="474" t="n">
        <v>37381</v>
      </c>
      <c r="G62" s="474" t="n">
        <v>37399</v>
      </c>
      <c r="H62" s="473" t="inlineStr">
        <is>
          <t>Lyle T. Ibeling</t>
        </is>
      </c>
      <c r="I62" s="473" t="inlineStr">
        <is>
          <t>EOG Resources Inc.</t>
        </is>
      </c>
      <c r="J62" s="473" t="inlineStr">
        <is>
          <t>NW/4 SE/4, S/2 SE/4, SW/4 NE/4 of 31-12N-24W</t>
        </is>
      </c>
      <c r="K62" s="473" t="inlineStr">
        <is>
          <t>Needs Verification (term/HBP)</t>
        </is>
      </c>
      <c r="L62" s="473" t="n"/>
      <c r="M62" s="473" t="n"/>
      <c r="N62" s="473" t="inlineStr">
        <is>
          <t>T2</t>
        </is>
      </c>
      <c r="O62" s="474" t="n"/>
      <c r="P62" s="520" t="n"/>
      <c r="Q62" s="473" t="n"/>
    </row>
    <row r="63" ht="25.5" customHeight="1" s="267">
      <c r="A63" s="472" t="n">
        <v>215</v>
      </c>
      <c r="B63" s="472" t="inlineStr">
        <is>
          <t>Needs Verification (term/HBP)</t>
        </is>
      </c>
      <c r="C63" s="473" t="n"/>
      <c r="D63" s="473" t="inlineStr">
        <is>
          <t>Oil and Gas Lease</t>
        </is>
      </c>
      <c r="E63" s="473" t="inlineStr">
        <is>
          <t>1684/443</t>
        </is>
      </c>
      <c r="F63" s="474" t="n">
        <v>37426</v>
      </c>
      <c r="G63" s="474" t="n">
        <v>37454</v>
      </c>
      <c r="H63" s="473" t="inlineStr">
        <is>
          <t>James F. Menehan</t>
        </is>
      </c>
      <c r="I63" s="473" t="inlineStr">
        <is>
          <t>EOG Resources Inc.</t>
        </is>
      </c>
      <c r="J63" s="473" t="inlineStr">
        <is>
          <t>NW/4 SE/4, S/2 SE/4, SW/4 NE/4 of 31-12N-24W</t>
        </is>
      </c>
      <c r="K63" s="473" t="inlineStr">
        <is>
          <t>Needs Verification (term/HBP)</t>
        </is>
      </c>
      <c r="L63" s="473" t="n"/>
      <c r="M63" s="473" t="n"/>
      <c r="N63" s="473" t="inlineStr">
        <is>
          <t>T2</t>
        </is>
      </c>
      <c r="O63" s="474" t="n"/>
      <c r="P63" s="520" t="n"/>
      <c r="Q63" s="473" t="n"/>
    </row>
    <row r="64" ht="25.5" customHeight="1" s="267">
      <c r="A64" s="472" t="n">
        <v>217</v>
      </c>
      <c r="B64" s="472" t="inlineStr">
        <is>
          <t>Needs Verification (term/HBP)</t>
        </is>
      </c>
      <c r="C64" s="473" t="n"/>
      <c r="D64" s="473" t="inlineStr">
        <is>
          <t>Ratification</t>
        </is>
      </c>
      <c r="E64" s="473" t="inlineStr">
        <is>
          <t>1689/522</t>
        </is>
      </c>
      <c r="F64" s="474" t="n">
        <v>37453</v>
      </c>
      <c r="G64" s="474" t="n">
        <v>37525</v>
      </c>
      <c r="H64" s="473" t="inlineStr">
        <is>
          <t>Peggy J. Brawner</t>
        </is>
      </c>
      <c r="I64" s="473" t="inlineStr">
        <is>
          <t>EOG Resources Inc.</t>
        </is>
      </c>
      <c r="J64" s="473" t="inlineStr">
        <is>
          <t>NW/4 SE/4, S/2 SE/4, SW/4 NE/4 of 31-12N-24W</t>
        </is>
      </c>
      <c r="K64" s="473" t="inlineStr">
        <is>
          <t>Duplicate OGL#/Bk-Pg — verify operative entry.</t>
        </is>
      </c>
      <c r="L64" s="473" t="n"/>
      <c r="M64" s="473" t="n"/>
      <c r="N64" s="473" t="inlineStr">
        <is>
          <t>T2</t>
        </is>
      </c>
      <c r="O64" s="474" t="n"/>
      <c r="P64" s="520" t="n"/>
      <c r="Q64" s="473" t="n"/>
    </row>
    <row r="65" ht="38.25" customHeight="1" s="267">
      <c r="A65" s="472" t="n">
        <v>237</v>
      </c>
      <c r="B65" s="472" t="inlineStr">
        <is>
          <t>Needs Verification (term/HBP)</t>
        </is>
      </c>
      <c r="C65" s="473" t="n"/>
      <c r="D65" s="473" t="inlineStr">
        <is>
          <t>Ratification</t>
        </is>
      </c>
      <c r="E65" s="473" t="inlineStr">
        <is>
          <t>1689/521</t>
        </is>
      </c>
      <c r="F65" s="474" t="n">
        <v>37455</v>
      </c>
      <c r="G65" s="474" t="n">
        <v>37525</v>
      </c>
      <c r="H65" s="473" t="inlineStr">
        <is>
          <t>William Cobal, Bain, Jr., Peggy, Atty In Fact Brawner</t>
        </is>
      </c>
      <c r="I65" s="473" t="inlineStr">
        <is>
          <t>EOG Resources, Inc.</t>
        </is>
      </c>
      <c r="J65" s="473" t="inlineStr">
        <is>
          <t>NW/4 SE/4, S/2 SE/4, SW/4 NE/4 of 31-12N-24W</t>
        </is>
      </c>
      <c r="K65" s="473" t="inlineStr">
        <is>
          <t>Needs Verification (term/HBP)</t>
        </is>
      </c>
      <c r="L65" s="473" t="n"/>
      <c r="M65" s="473" t="n"/>
      <c r="N65" s="473" t="inlineStr">
        <is>
          <t>T2</t>
        </is>
      </c>
      <c r="O65" s="474" t="n"/>
      <c r="P65" s="520" t="n"/>
      <c r="Q65" s="473" t="n"/>
    </row>
    <row r="66" ht="25.5" customHeight="1" s="267">
      <c r="A66" s="472" t="n">
        <v>219</v>
      </c>
      <c r="B66" s="472" t="inlineStr">
        <is>
          <t>Needs Verification (term/HBP)</t>
        </is>
      </c>
      <c r="C66" s="473" t="n"/>
      <c r="D66" s="473" t="inlineStr">
        <is>
          <t>Ratification</t>
        </is>
      </c>
      <c r="E66" s="473" t="inlineStr">
        <is>
          <t>1689/520</t>
        </is>
      </c>
      <c r="F66" s="474" t="n">
        <v>37459</v>
      </c>
      <c r="G66" s="474" t="n">
        <v>37525</v>
      </c>
      <c r="H66" s="473" t="inlineStr">
        <is>
          <t>Leona I. Degrande</t>
        </is>
      </c>
      <c r="I66" s="473" t="inlineStr">
        <is>
          <t>EOG Resources Inc.</t>
        </is>
      </c>
      <c r="J66" s="473" t="inlineStr">
        <is>
          <t>NW/4 SE/4, S/2 SE/4, SW/4 NE/4 of 31-12N-24W</t>
        </is>
      </c>
      <c r="K66" s="473" t="inlineStr">
        <is>
          <t>Needs Verification (term/HBP)</t>
        </is>
      </c>
      <c r="L66" s="473" t="n"/>
      <c r="M66" s="473" t="n"/>
      <c r="N66" s="473" t="inlineStr">
        <is>
          <t>T2</t>
        </is>
      </c>
      <c r="O66" s="474" t="n"/>
      <c r="P66" s="520" t="n"/>
      <c r="Q66" s="473" t="n"/>
    </row>
    <row r="67" ht="25.5" customHeight="1" s="267">
      <c r="A67" s="472" t="n">
        <v>220</v>
      </c>
      <c r="B67" s="472" t="inlineStr">
        <is>
          <t>Needs Verification (term/HBP)</t>
        </is>
      </c>
      <c r="C67" s="473" t="n"/>
      <c r="D67" s="473" t="inlineStr">
        <is>
          <t>Ratification</t>
        </is>
      </c>
      <c r="E67" s="473" t="inlineStr">
        <is>
          <t>1689/523</t>
        </is>
      </c>
      <c r="F67" s="474" t="n">
        <v>37461</v>
      </c>
      <c r="G67" s="474" t="n">
        <v>37525</v>
      </c>
      <c r="H67" s="473" t="inlineStr">
        <is>
          <t>Donald R. Bain</t>
        </is>
      </c>
      <c r="I67" s="473" t="inlineStr">
        <is>
          <t>EOG Resources Inc.</t>
        </is>
      </c>
      <c r="J67" s="473" t="inlineStr">
        <is>
          <t>NW/4 SE/4, S/2 SE/4, SW/4 NE/4 of 31-12N-24W</t>
        </is>
      </c>
      <c r="K67" s="473" t="inlineStr">
        <is>
          <t>Needs Verification (term/HBP)</t>
        </is>
      </c>
      <c r="L67" s="473" t="n"/>
      <c r="M67" s="473" t="n"/>
      <c r="N67" s="473" t="inlineStr">
        <is>
          <t>T2</t>
        </is>
      </c>
      <c r="O67" s="474" t="n"/>
      <c r="P67" s="520" t="n"/>
      <c r="Q67" s="473" t="n"/>
    </row>
    <row r="68" ht="25.5" customHeight="1" s="267">
      <c r="A68" s="472" t="n">
        <v>221</v>
      </c>
      <c r="B68" s="472" t="inlineStr">
        <is>
          <t>Needs Verification (term/HBP)</t>
        </is>
      </c>
      <c r="C68" s="473" t="n"/>
      <c r="D68" s="473" t="inlineStr">
        <is>
          <t>Ratification</t>
        </is>
      </c>
      <c r="E68" s="473" t="inlineStr">
        <is>
          <t>1689/524</t>
        </is>
      </c>
      <c r="F68" s="474" t="n">
        <v>37480</v>
      </c>
      <c r="G68" s="474" t="n">
        <v>37525</v>
      </c>
      <c r="H68" s="473" t="inlineStr">
        <is>
          <t>Charlotte F. Wilbert</t>
        </is>
      </c>
      <c r="I68" s="473" t="inlineStr">
        <is>
          <t>EOG Resources Inc.</t>
        </is>
      </c>
      <c r="J68" s="473" t="inlineStr">
        <is>
          <t>NW/4 SE/4, S/2 SE/4, SW/4 NE/4 of 31-12N-24W</t>
        </is>
      </c>
      <c r="K68" s="473" t="inlineStr">
        <is>
          <t>Needs Verification (term/HBP)</t>
        </is>
      </c>
      <c r="L68" s="473" t="n"/>
      <c r="M68" s="473" t="n"/>
      <c r="N68" s="473" t="inlineStr">
        <is>
          <t>T2</t>
        </is>
      </c>
      <c r="O68" s="474" t="n"/>
      <c r="P68" s="520" t="n"/>
      <c r="Q68" s="473" t="n"/>
    </row>
    <row r="69" ht="25.5" customHeight="1" s="267">
      <c r="A69" s="472" t="n">
        <v>222</v>
      </c>
      <c r="B69" s="472" t="inlineStr">
        <is>
          <t>Needs Verification (term/HBP)</t>
        </is>
      </c>
      <c r="C69" s="473" t="n"/>
      <c r="D69" s="473" t="inlineStr">
        <is>
          <t>Ratification</t>
        </is>
      </c>
      <c r="E69" s="473" t="inlineStr">
        <is>
          <t>1689/519</t>
        </is>
      </c>
      <c r="F69" s="474" t="n">
        <v>37490</v>
      </c>
      <c r="G69" s="474" t="n">
        <v>37525</v>
      </c>
      <c r="H69" s="473" t="inlineStr">
        <is>
          <t>Melvin F. Bain</t>
        </is>
      </c>
      <c r="I69" s="473" t="inlineStr">
        <is>
          <t>EOG Resources Inc.</t>
        </is>
      </c>
      <c r="J69" s="473" t="inlineStr">
        <is>
          <t>NW/4 SE/4, S/2 SE/4, SW/4 NE/4 of 31-12N-24W</t>
        </is>
      </c>
      <c r="K69" s="473" t="inlineStr">
        <is>
          <t>Needs Verification (term/HBP)</t>
        </is>
      </c>
      <c r="L69" s="473" t="n"/>
      <c r="M69" s="473" t="n"/>
      <c r="N69" s="473" t="inlineStr">
        <is>
          <t>T2</t>
        </is>
      </c>
      <c r="O69" s="474" t="n"/>
      <c r="P69" s="520" t="n"/>
      <c r="Q69" s="473" t="n"/>
    </row>
    <row r="70" ht="38.25" customHeight="1" s="267">
      <c r="A70" s="472" t="n">
        <v>225</v>
      </c>
      <c r="B70" s="472" t="inlineStr">
        <is>
          <t>Needs Verification (term/HBP)</t>
        </is>
      </c>
      <c r="C70" s="473" t="n"/>
      <c r="D70" s="473" t="inlineStr">
        <is>
          <t>Oil and Gas Lease</t>
        </is>
      </c>
      <c r="E70" s="473" t="inlineStr">
        <is>
          <t>1736/594</t>
        </is>
      </c>
      <c r="F70" s="474" t="n">
        <v>37999</v>
      </c>
      <c r="G70" s="474" t="n">
        <v>38029</v>
      </c>
      <c r="H70" s="473" t="inlineStr">
        <is>
          <t>Carrie Leeann Mitchell</t>
        </is>
      </c>
      <c r="I70" s="473" t="inlineStr">
        <is>
          <t>R. Michael Lortz</t>
        </is>
      </c>
      <c r="J70" s="473" t="inlineStr">
        <is>
          <t>E/2 NW/4, N/2 NE/4, N/2 NE/4 SW/4, Lot 4, NE/4 SE/4, S/2 NE/4 SW/4, SE/4 NE/4, SE/4 SW/4 of 31-12N-24W</t>
        </is>
      </c>
      <c r="K70" s="473" t="inlineStr">
        <is>
          <t>Needs Verification (term/HBP)</t>
        </is>
      </c>
      <c r="L70" s="473" t="n"/>
      <c r="M70" s="473" t="n"/>
      <c r="N70" s="473" t="inlineStr">
        <is>
          <t>T1,3,4,5,6,7,8</t>
        </is>
      </c>
      <c r="O70" s="474" t="n"/>
      <c r="P70" s="520" t="n"/>
      <c r="Q70" s="473" t="n"/>
    </row>
    <row r="71" ht="38.25" customHeight="1" s="267">
      <c r="A71" s="472" t="n">
        <v>227</v>
      </c>
      <c r="B71" s="472" t="inlineStr">
        <is>
          <t>Needs Verification (term/HBP)</t>
        </is>
      </c>
      <c r="C71" s="473" t="n"/>
      <c r="D71" s="473" t="inlineStr">
        <is>
          <t>Oil and Gas Lease</t>
        </is>
      </c>
      <c r="E71" s="473" t="inlineStr">
        <is>
          <t>1736/602</t>
        </is>
      </c>
      <c r="F71" s="474" t="n">
        <v>37999</v>
      </c>
      <c r="G71" s="474" t="n">
        <v>38029</v>
      </c>
      <c r="H71" s="473" t="inlineStr">
        <is>
          <t>Gena W. Moore</t>
        </is>
      </c>
      <c r="I71" s="473" t="inlineStr">
        <is>
          <t>R. Michael Lortz</t>
        </is>
      </c>
      <c r="J71" s="473" t="inlineStr">
        <is>
          <t>E/2 NW/4, N/2 NE/4, N/2 NE/4 SW/4, Lot 4, NE/4 SE/4, S/2 NE/4 SW/4, SE/4 NE/4, SE/4 SW/4 of 31-12N-24W</t>
        </is>
      </c>
      <c r="K71" s="473" t="inlineStr">
        <is>
          <t>Needs Verification (term/HBP)</t>
        </is>
      </c>
      <c r="L71" s="473" t="n"/>
      <c r="M71" s="473" t="n"/>
      <c r="N71" s="473" t="inlineStr">
        <is>
          <t>T1,3,4,5,6,7,8</t>
        </is>
      </c>
      <c r="O71" s="474" t="n"/>
      <c r="P71" s="520" t="n"/>
      <c r="Q71" s="473" t="n"/>
    </row>
    <row r="72" ht="38.25" customHeight="1" s="267">
      <c r="A72" s="472" t="n">
        <v>226</v>
      </c>
      <c r="B72" s="472" t="inlineStr">
        <is>
          <t>Needs Verification (term/HBP)</t>
        </is>
      </c>
      <c r="C72" s="473" t="n"/>
      <c r="D72" s="473" t="inlineStr">
        <is>
          <t>Oil and Gas Lease</t>
        </is>
      </c>
      <c r="E72" s="473" t="inlineStr">
        <is>
          <t>1736/600</t>
        </is>
      </c>
      <c r="F72" s="474" t="n">
        <v>37999</v>
      </c>
      <c r="G72" s="474" t="n">
        <v>38029</v>
      </c>
      <c r="H72" s="473" t="inlineStr">
        <is>
          <t>Nancy Susan Mitchell</t>
        </is>
      </c>
      <c r="I72" s="473" t="inlineStr">
        <is>
          <t>R. Michael Lortz</t>
        </is>
      </c>
      <c r="J72" s="473" t="inlineStr">
        <is>
          <t>E/2 NW/4, N/2 NE/4, N/2 NE/4 SW/4, Lot 4, NE/4 SE/4, S/2 NE/4 SW/4, SE/4 NE/4, SE/4 SW/4 of 31-12N-24W</t>
        </is>
      </c>
      <c r="K72" s="473" t="inlineStr">
        <is>
          <t>Duplicate OGL#/Bk-Pg — verify operative entry.</t>
        </is>
      </c>
      <c r="L72" s="473" t="n"/>
      <c r="M72" s="473" t="n"/>
      <c r="N72" s="473" t="inlineStr">
        <is>
          <t>T1,3,4,5,6,7,8</t>
        </is>
      </c>
      <c r="O72" s="474" t="n"/>
      <c r="P72" s="520" t="n"/>
      <c r="Q72" s="473" t="n"/>
    </row>
    <row r="73" ht="25.5" customHeight="1" s="267">
      <c r="A73" s="472" t="n">
        <v>232</v>
      </c>
      <c r="B73" s="472" t="inlineStr">
        <is>
          <t>Needs Verification (term/HBP)</t>
        </is>
      </c>
      <c r="C73" s="473" t="n"/>
      <c r="D73" s="473" t="inlineStr">
        <is>
          <t>Oil and Gas Lease</t>
        </is>
      </c>
      <c r="E73" s="473" t="inlineStr">
        <is>
          <t>1736/596</t>
        </is>
      </c>
      <c r="F73" s="474" t="n">
        <v>38001</v>
      </c>
      <c r="G73" s="474" t="n">
        <v>38029</v>
      </c>
      <c r="H73" s="473" t="inlineStr">
        <is>
          <t>Carl L. Bain</t>
        </is>
      </c>
      <c r="I73" s="473" t="inlineStr">
        <is>
          <t>R. Michael Lortz</t>
        </is>
      </c>
      <c r="J73" s="473" t="inlineStr">
        <is>
          <t>NW/4 SE/4, S/2 SE/4, SW/4 NE/4 of 31-12N-24W</t>
        </is>
      </c>
      <c r="K73" s="473" t="inlineStr">
        <is>
          <t>Needs Verification (term/HBP)</t>
        </is>
      </c>
      <c r="L73" s="473" t="n"/>
      <c r="M73" s="473" t="n"/>
      <c r="N73" s="473" t="inlineStr">
        <is>
          <t>T2</t>
        </is>
      </c>
      <c r="O73" s="474" t="n"/>
      <c r="P73" s="520" t="n"/>
      <c r="Q73" s="473" t="n"/>
    </row>
    <row r="74" ht="25.5" customHeight="1" s="267">
      <c r="A74" s="472" t="n">
        <v>233</v>
      </c>
      <c r="B74" s="472" t="inlineStr">
        <is>
          <t>Needs Verification (term/HBP)</t>
        </is>
      </c>
      <c r="C74" s="473" t="n"/>
      <c r="D74" s="473" t="inlineStr">
        <is>
          <t>Oil and Gas Lease</t>
        </is>
      </c>
      <c r="E74" s="473" t="inlineStr">
        <is>
          <t>1736/598</t>
        </is>
      </c>
      <c r="F74" s="474" t="n">
        <v>38001</v>
      </c>
      <c r="G74" s="474" t="n">
        <v>38029</v>
      </c>
      <c r="H74" s="473" t="inlineStr">
        <is>
          <t>Dow C. Etux Bain</t>
        </is>
      </c>
      <c r="I74" s="473" t="inlineStr">
        <is>
          <t>R. Michael Lortz</t>
        </is>
      </c>
      <c r="J74" s="473" t="inlineStr">
        <is>
          <t>NW/4 SE/4, S/2 SE/4, SW/4 NE/4 of 31-12N-24W</t>
        </is>
      </c>
      <c r="K74" s="473" t="inlineStr">
        <is>
          <t>Needs Verification (term/HBP)</t>
        </is>
      </c>
      <c r="L74" s="473" t="n"/>
      <c r="M74" s="473" t="n"/>
      <c r="N74" s="473" t="inlineStr">
        <is>
          <t>T2</t>
        </is>
      </c>
      <c r="O74" s="474" t="n"/>
      <c r="P74" s="520" t="n"/>
      <c r="Q74" s="473" t="n"/>
    </row>
    <row r="75" ht="25.5" customHeight="1" s="267">
      <c r="A75" s="472" t="n">
        <v>229</v>
      </c>
      <c r="B75" s="472" t="inlineStr">
        <is>
          <t>Needs Verification (term/HBP)</t>
        </is>
      </c>
      <c r="C75" s="473" t="n"/>
      <c r="D75" s="473" t="inlineStr">
        <is>
          <t>Oil and Gas Lease</t>
        </is>
      </c>
      <c r="E75" s="473" t="inlineStr">
        <is>
          <t>1736/195</t>
        </is>
      </c>
      <c r="F75" s="474" t="n">
        <v>38001</v>
      </c>
      <c r="G75" s="474" t="n">
        <v>38020</v>
      </c>
      <c r="H75" s="473" t="inlineStr">
        <is>
          <t>Hans W. Jensen</t>
        </is>
      </c>
      <c r="I75" s="473" t="inlineStr">
        <is>
          <t>R. Michael Lortz</t>
        </is>
      </c>
      <c r="J75" s="473" t="inlineStr">
        <is>
          <t>NW/4 SE/4, S/2 SE/4, SW/4 NE/4 of 31-12N-24W</t>
        </is>
      </c>
      <c r="K75" s="473" t="inlineStr">
        <is>
          <t>Needs Verification (term/HBP)</t>
        </is>
      </c>
      <c r="L75" s="473" t="n"/>
      <c r="M75" s="473" t="n"/>
      <c r="N75" s="473" t="inlineStr">
        <is>
          <t>T2</t>
        </is>
      </c>
      <c r="O75" s="474" t="n"/>
      <c r="P75" s="520" t="n"/>
      <c r="Q75" s="473" t="n"/>
    </row>
    <row r="76" ht="25.5" customHeight="1" s="267">
      <c r="A76" s="472" t="n">
        <v>231</v>
      </c>
      <c r="B76" s="472" t="inlineStr">
        <is>
          <t>Needs Verification (term/HBP)</t>
        </is>
      </c>
      <c r="C76" s="473" t="n"/>
      <c r="D76" s="473" t="inlineStr">
        <is>
          <t>Oil and Gas Lease</t>
        </is>
      </c>
      <c r="E76" s="473" t="inlineStr">
        <is>
          <t>1736/590</t>
        </is>
      </c>
      <c r="F76" s="474" t="n">
        <v>38001</v>
      </c>
      <c r="G76" s="474" t="n">
        <v>38029</v>
      </c>
      <c r="H76" s="473" t="inlineStr">
        <is>
          <t>Juanita M. Wolff</t>
        </is>
      </c>
      <c r="I76" s="473" t="inlineStr">
        <is>
          <t>R. Michael Lortz</t>
        </is>
      </c>
      <c r="J76" s="473" t="inlineStr">
        <is>
          <t>NW/4 SE/4, S/2 SE/4, SW/4 NE/4 of 31-12N-24W</t>
        </is>
      </c>
      <c r="K76" s="473" t="inlineStr">
        <is>
          <t>Needs Verification (term/HBP)</t>
        </is>
      </c>
      <c r="L76" s="473" t="n"/>
      <c r="M76" s="473" t="n"/>
      <c r="N76" s="473" t="inlineStr">
        <is>
          <t>T2</t>
        </is>
      </c>
      <c r="O76" s="474" t="n"/>
      <c r="P76" s="520" t="n"/>
      <c r="Q76" s="473" t="n"/>
    </row>
    <row r="77" ht="25.5" customHeight="1" s="267">
      <c r="A77" s="472" t="n">
        <v>230</v>
      </c>
      <c r="B77" s="472" t="inlineStr">
        <is>
          <t>Needs Verification (term/HBP)</t>
        </is>
      </c>
      <c r="C77" s="473" t="n"/>
      <c r="D77" s="473" t="inlineStr">
        <is>
          <t>Oil and Gas Lease</t>
        </is>
      </c>
      <c r="E77" s="473" t="inlineStr">
        <is>
          <t>1736/199</t>
        </is>
      </c>
      <c r="F77" s="474" t="n">
        <v>38001</v>
      </c>
      <c r="G77" s="474" t="n">
        <v>38020</v>
      </c>
      <c r="H77" s="473" t="inlineStr">
        <is>
          <t>Tim E. Jensen</t>
        </is>
      </c>
      <c r="I77" s="473" t="inlineStr">
        <is>
          <t>R. Michael Lortz</t>
        </is>
      </c>
      <c r="J77" s="473" t="inlineStr">
        <is>
          <t>NW/4 SE/4, S/2 SE/4, SW/4 NE/4 of 31-12N-24W</t>
        </is>
      </c>
      <c r="K77" s="473" t="inlineStr">
        <is>
          <t>Needs Verification (term/HBP)</t>
        </is>
      </c>
      <c r="L77" s="473" t="n"/>
      <c r="M77" s="473" t="n"/>
      <c r="N77" s="473" t="inlineStr">
        <is>
          <t>T2</t>
        </is>
      </c>
      <c r="O77" s="474" t="n"/>
      <c r="P77" s="520" t="n"/>
      <c r="Q77" s="473" t="n"/>
    </row>
    <row r="78" ht="25.5" customHeight="1" s="267">
      <c r="A78" s="472" t="n">
        <v>228</v>
      </c>
      <c r="B78" s="472" t="inlineStr">
        <is>
          <t>Needs Verification (term/HBP)</t>
        </is>
      </c>
      <c r="C78" s="473" t="n"/>
      <c r="D78" s="473" t="inlineStr">
        <is>
          <t>Oil and Gas Lease</t>
        </is>
      </c>
      <c r="E78" s="473" t="inlineStr">
        <is>
          <t>1736/193</t>
        </is>
      </c>
      <c r="F78" s="474" t="n">
        <v>38001</v>
      </c>
      <c r="G78" s="474" t="n">
        <v>38020</v>
      </c>
      <c r="H78" s="473" t="inlineStr">
        <is>
          <t>Wilda E. Jensen</t>
        </is>
      </c>
      <c r="I78" s="473" t="inlineStr">
        <is>
          <t>R. Michael Lortz</t>
        </is>
      </c>
      <c r="J78" s="473" t="inlineStr">
        <is>
          <t>NW/4 SE/4, S/2 SE/4, SW/4 NE/4 of 31-12N-24W</t>
        </is>
      </c>
      <c r="K78" s="473" t="inlineStr">
        <is>
          <t>Needs Verification (term/HBP)</t>
        </is>
      </c>
      <c r="L78" s="473" t="n"/>
      <c r="M78" s="473" t="n"/>
      <c r="N78" s="473" t="inlineStr">
        <is>
          <t>T2</t>
        </is>
      </c>
      <c r="O78" s="474" t="n"/>
      <c r="P78" s="520" t="n"/>
      <c r="Q78" s="473" t="n"/>
    </row>
    <row r="79" ht="25.5" customHeight="1" s="267">
      <c r="A79" s="472" t="n">
        <v>234</v>
      </c>
      <c r="B79" s="472" t="inlineStr">
        <is>
          <t>Needs Verification (term/HBP)</t>
        </is>
      </c>
      <c r="C79" s="473" t="n"/>
      <c r="D79" s="473" t="inlineStr">
        <is>
          <t>Oil and Gas Lease</t>
        </is>
      </c>
      <c r="E79" s="473" t="inlineStr">
        <is>
          <t>1824/181</t>
        </is>
      </c>
      <c r="F79" s="474" t="n">
        <v>38001</v>
      </c>
      <c r="G79" s="474" t="n">
        <v>38762</v>
      </c>
      <c r="H79" s="473" t="inlineStr">
        <is>
          <t>Wilda E. Jensen</t>
        </is>
      </c>
      <c r="I79" s="473" t="inlineStr">
        <is>
          <t>R. Michael Lortz</t>
        </is>
      </c>
      <c r="J79" s="473" t="inlineStr">
        <is>
          <t>NW/4 SE/4, S/2 SE/4, SW/4 NE/4 of 31-12N-24W</t>
        </is>
      </c>
      <c r="K79" s="473" t="inlineStr">
        <is>
          <t>Needs Verification (term/HBP)</t>
        </is>
      </c>
      <c r="L79" s="473" t="n"/>
      <c r="M79" s="473" t="n"/>
      <c r="N79" s="473" t="inlineStr">
        <is>
          <t>T2</t>
        </is>
      </c>
      <c r="O79" s="474" t="n"/>
      <c r="P79" s="520" t="n"/>
      <c r="Q79" s="473" t="n"/>
    </row>
    <row r="80" ht="25.5" customHeight="1" s="267">
      <c r="A80" s="472" t="n">
        <v>236</v>
      </c>
      <c r="B80" s="472" t="inlineStr">
        <is>
          <t>Needs Verification (term/HBP)</t>
        </is>
      </c>
      <c r="C80" s="473" t="n"/>
      <c r="D80" s="473" t="inlineStr">
        <is>
          <t>Oil and Gas Lease</t>
        </is>
      </c>
      <c r="E80" s="473" t="inlineStr">
        <is>
          <t>1736/197</t>
        </is>
      </c>
      <c r="F80" s="474" t="n">
        <v>38007</v>
      </c>
      <c r="G80" s="474" t="n">
        <v>38020</v>
      </c>
      <c r="H80" s="473" t="inlineStr">
        <is>
          <t>A. C. Campbell</t>
        </is>
      </c>
      <c r="I80" s="473" t="inlineStr">
        <is>
          <t>R. Michael Lortz</t>
        </is>
      </c>
      <c r="J80" s="473" t="inlineStr">
        <is>
          <t>S/2 NE/4 SW/4, Lot 4, SE/4 SW/4, Lot 3 of 31-12N-24W</t>
        </is>
      </c>
      <c r="K80" s="473" t="inlineStr">
        <is>
          <t>Needs Verification (term/HBP)</t>
        </is>
      </c>
      <c r="L80" s="473" t="n"/>
      <c r="M80" s="473" t="n"/>
      <c r="N80" s="473" t="inlineStr">
        <is>
          <t>T5,6,7</t>
        </is>
      </c>
      <c r="O80" s="474" t="n"/>
      <c r="P80" s="520" t="n"/>
      <c r="Q80" s="473" t="n"/>
    </row>
    <row r="81" ht="25.5" customHeight="1" s="267">
      <c r="A81" s="472" t="n">
        <v>253</v>
      </c>
      <c r="B81" s="472" t="inlineStr">
        <is>
          <t>Needs Verification (term/HBP)</t>
        </is>
      </c>
      <c r="C81" s="473" t="n"/>
      <c r="D81" s="473" t="inlineStr">
        <is>
          <t>Oil and Gas Lease</t>
        </is>
      </c>
      <c r="E81" s="473" t="inlineStr">
        <is>
          <t>1736/496</t>
        </is>
      </c>
      <c r="F81" s="474" t="n">
        <v>38012</v>
      </c>
      <c r="G81" s="474" t="n">
        <v>38027</v>
      </c>
      <c r="H81" s="473" t="inlineStr">
        <is>
          <t>John W. Bain, Joseph A. Bain, Anna T. Gibson</t>
        </is>
      </c>
      <c r="I81" s="473" t="inlineStr">
        <is>
          <t>R. Michael Lortz</t>
        </is>
      </c>
      <c r="J81" s="473" t="inlineStr">
        <is>
          <t>NW/4 SE/4, S/2 SE/4, SW/4 NE/4 of 31-12N-24W</t>
        </is>
      </c>
      <c r="K81" s="473" t="inlineStr">
        <is>
          <t>Needs Verification (term/HBP)</t>
        </is>
      </c>
      <c r="L81" s="473" t="n"/>
      <c r="M81" s="473" t="n"/>
      <c r="N81" s="473" t="inlineStr">
        <is>
          <t>T2</t>
        </is>
      </c>
      <c r="O81" s="474" t="n"/>
      <c r="P81" s="520" t="n"/>
      <c r="Q81" s="473" t="n"/>
    </row>
    <row r="82" ht="25.5" customHeight="1" s="267">
      <c r="A82" s="472" t="n">
        <v>238</v>
      </c>
      <c r="B82" s="472" t="inlineStr">
        <is>
          <t>Needs Verification (term/HBP)</t>
        </is>
      </c>
      <c r="C82" s="473" t="n"/>
      <c r="D82" s="473" t="inlineStr">
        <is>
          <t>Oil and Gas Lease</t>
        </is>
      </c>
      <c r="E82" s="473" t="inlineStr">
        <is>
          <t>1736/485</t>
        </is>
      </c>
      <c r="F82" s="474" t="n">
        <v>38019</v>
      </c>
      <c r="G82" s="474" t="n">
        <v>38027</v>
      </c>
      <c r="H82" s="473" t="inlineStr">
        <is>
          <t>L. E. Thurman</t>
        </is>
      </c>
      <c r="I82" s="473" t="inlineStr">
        <is>
          <t>R. Michael Lortz</t>
        </is>
      </c>
      <c r="J82" s="473" t="inlineStr">
        <is>
          <t>E/2 NW/4, N/2 NE/4 SW/4, NE/4 SE/4, SE/4 NE/4 of 31-12N-24W</t>
        </is>
      </c>
      <c r="K82" s="473" t="inlineStr">
        <is>
          <t>Needs Verification (term/HBP)</t>
        </is>
      </c>
      <c r="L82" s="473" t="n"/>
      <c r="M82" s="473" t="n"/>
      <c r="N82" s="473" t="inlineStr">
        <is>
          <t>T3,4,7,8</t>
        </is>
      </c>
      <c r="O82" s="474" t="n"/>
      <c r="P82" s="520" t="n"/>
      <c r="Q82" s="473" t="n"/>
    </row>
    <row r="83" ht="25.5" customHeight="1" s="267">
      <c r="A83" s="472" t="n">
        <v>241</v>
      </c>
      <c r="B83" s="472" t="inlineStr">
        <is>
          <t>Needs Verification (term/HBP)</t>
        </is>
      </c>
      <c r="C83" s="473" t="n"/>
      <c r="D83" s="473" t="inlineStr">
        <is>
          <t>Oil and Gas Lease</t>
        </is>
      </c>
      <c r="E83" s="473" t="inlineStr">
        <is>
          <t>1737/580</t>
        </is>
      </c>
      <c r="F83" s="474" t="n">
        <v>38032</v>
      </c>
      <c r="G83" s="474" t="n">
        <v>38040</v>
      </c>
      <c r="H83" s="473" t="inlineStr">
        <is>
          <t>Sandra Lorrain York</t>
        </is>
      </c>
      <c r="I83" s="473" t="inlineStr">
        <is>
          <t>Kodiak Production Company</t>
        </is>
      </c>
      <c r="J83" s="473" t="inlineStr">
        <is>
          <t>All of 31-12N-24W</t>
        </is>
      </c>
      <c r="K83" s="473" t="inlineStr">
        <is>
          <t>Needs Verification (term/HBP)</t>
        </is>
      </c>
      <c r="L83" s="473" t="n"/>
      <c r="M83" s="473" t="n"/>
      <c r="N83" s="473" t="inlineStr">
        <is>
          <t>T1,2,3,4,5,6,7,8</t>
        </is>
      </c>
      <c r="O83" s="474" t="n"/>
      <c r="P83" s="520" t="n"/>
      <c r="Q83" s="473" t="n"/>
    </row>
    <row r="84" ht="25.5" customHeight="1" s="267">
      <c r="A84" s="472" t="n">
        <v>243</v>
      </c>
      <c r="B84" s="472" t="inlineStr">
        <is>
          <t>Needs Verification (term/HBP)</t>
        </is>
      </c>
      <c r="C84" s="473" t="n"/>
      <c r="D84" s="473" t="inlineStr">
        <is>
          <t>Oil and Gas Lease</t>
        </is>
      </c>
      <c r="E84" s="473" t="inlineStr">
        <is>
          <t>1764/124</t>
        </is>
      </c>
      <c r="F84" s="474" t="n">
        <v>38251</v>
      </c>
      <c r="G84" s="474" t="n">
        <v>38272</v>
      </c>
      <c r="H84" s="473" t="inlineStr">
        <is>
          <t>Deeanne Browning</t>
        </is>
      </c>
      <c r="I84" s="473" t="inlineStr">
        <is>
          <t>R. Michael Lortz</t>
        </is>
      </c>
      <c r="J84" s="473" t="inlineStr">
        <is>
          <t>NW/4 SE/4, S/2 SE/4, SW/4 NE/4 of 31-12N-24W</t>
        </is>
      </c>
      <c r="K84" s="473" t="inlineStr">
        <is>
          <t>Needs Verification (term/HBP)</t>
        </is>
      </c>
      <c r="L84" s="473" t="n"/>
      <c r="M84" s="473" t="n"/>
      <c r="N84" s="473" t="inlineStr">
        <is>
          <t>T2</t>
        </is>
      </c>
      <c r="O84" s="474" t="n"/>
      <c r="P84" s="520" t="n"/>
      <c r="Q84" s="473" t="n"/>
    </row>
    <row r="85" ht="25.5" customHeight="1" s="267">
      <c r="A85" s="472" t="n">
        <v>242</v>
      </c>
      <c r="B85" s="472" t="inlineStr">
        <is>
          <t>Needs Verification (term/HBP)</t>
        </is>
      </c>
      <c r="C85" s="473" t="n"/>
      <c r="D85" s="473" t="inlineStr">
        <is>
          <t>Oil and Gas Lease</t>
        </is>
      </c>
      <c r="E85" s="473" t="inlineStr">
        <is>
          <t>1764/122</t>
        </is>
      </c>
      <c r="F85" s="474" t="n">
        <v>38251</v>
      </c>
      <c r="G85" s="474" t="n">
        <v>38272</v>
      </c>
      <c r="H85" s="473" t="inlineStr">
        <is>
          <t>Farrell E. Hamilton</t>
        </is>
      </c>
      <c r="I85" s="473" t="inlineStr">
        <is>
          <t>R. Michael Lortz</t>
        </is>
      </c>
      <c r="J85" s="473" t="inlineStr">
        <is>
          <t>NW/4 SE/4, S/2 SE/4, SW/4 NE/4 of 31-12N-24W</t>
        </is>
      </c>
      <c r="K85" s="473" t="inlineStr">
        <is>
          <t>Needs Verification (term/HBP)</t>
        </is>
      </c>
      <c r="L85" s="473" t="n"/>
      <c r="M85" s="473" t="n"/>
      <c r="N85" s="473" t="inlineStr">
        <is>
          <t>T2</t>
        </is>
      </c>
      <c r="O85" s="474" t="n"/>
      <c r="P85" s="520" t="n"/>
      <c r="Q85" s="473" t="n"/>
    </row>
    <row r="86" ht="25.5" customHeight="1" s="267">
      <c r="A86" s="472" t="n">
        <v>244</v>
      </c>
      <c r="B86" s="472" t="inlineStr">
        <is>
          <t>Needs Verification (term/HBP)</t>
        </is>
      </c>
      <c r="C86" s="473" t="n"/>
      <c r="D86" s="473" t="inlineStr">
        <is>
          <t>Oil and Gas Lease</t>
        </is>
      </c>
      <c r="E86" s="473" t="inlineStr">
        <is>
          <t>1764/128</t>
        </is>
      </c>
      <c r="F86" s="474" t="n">
        <v>38251</v>
      </c>
      <c r="G86" s="474" t="n">
        <v>38272</v>
      </c>
      <c r="H86" s="473" t="inlineStr">
        <is>
          <t>Travis L. Smith</t>
        </is>
      </c>
      <c r="I86" s="473" t="inlineStr">
        <is>
          <t>R. Michael Lortz</t>
        </is>
      </c>
      <c r="J86" s="473" t="inlineStr">
        <is>
          <t>NW/4 SE/4, S/2 SE/4, SW/4 NW/4 of 31-12N-24W</t>
        </is>
      </c>
      <c r="K86" s="473" t="inlineStr">
        <is>
          <t>Needs Verification (term/HBP)</t>
        </is>
      </c>
      <c r="L86" s="473" t="n"/>
      <c r="M86" s="473" t="n"/>
      <c r="N86" s="473" t="inlineStr">
        <is>
          <t>T2,5</t>
        </is>
      </c>
      <c r="O86" s="474" t="n"/>
      <c r="P86" s="520" t="n"/>
      <c r="Q86" s="473" t="n"/>
    </row>
    <row r="87" ht="25.5" customHeight="1" s="267">
      <c r="A87" s="472" t="n">
        <v>245</v>
      </c>
      <c r="B87" s="472" t="inlineStr">
        <is>
          <t>Needs Verification (term/HBP)</t>
        </is>
      </c>
      <c r="C87" s="473" t="n"/>
      <c r="D87" s="473" t="inlineStr">
        <is>
          <t>Oil and Gas Lease</t>
        </is>
      </c>
      <c r="E87" s="473" t="inlineStr">
        <is>
          <t>1780/409</t>
        </is>
      </c>
      <c r="F87" s="474" t="n">
        <v>38406</v>
      </c>
      <c r="G87" s="474" t="n">
        <v>38420</v>
      </c>
      <c r="H87" s="473" t="inlineStr">
        <is>
          <t>Jesse W. Fuchs</t>
        </is>
      </c>
      <c r="I87" s="473" t="inlineStr">
        <is>
          <t>N/g Discovery, LLC</t>
        </is>
      </c>
      <c r="J87" s="473" t="inlineStr">
        <is>
          <t>NW/4 SE/4, S/2 SE/4, SW/4 NE/4 of 31-12N-24W</t>
        </is>
      </c>
      <c r="K87" s="473" t="inlineStr">
        <is>
          <t>Needs Verification (term/HBP)</t>
        </is>
      </c>
      <c r="L87" s="473" t="n"/>
      <c r="M87" s="473" t="n"/>
      <c r="N87" s="473" t="inlineStr">
        <is>
          <t>T2</t>
        </is>
      </c>
      <c r="O87" s="474" t="n"/>
      <c r="P87" s="520" t="n"/>
      <c r="Q87" s="473" t="n"/>
    </row>
    <row r="88" ht="25.5" customHeight="1" s="267">
      <c r="A88" s="472" t="n">
        <v>246</v>
      </c>
      <c r="B88" s="472" t="inlineStr">
        <is>
          <t>Needs Verification (term/HBP)</t>
        </is>
      </c>
      <c r="C88" s="473" t="n"/>
      <c r="D88" s="473" t="inlineStr">
        <is>
          <t>Oil and Gas Lease</t>
        </is>
      </c>
      <c r="E88" s="473" t="inlineStr">
        <is>
          <t>1782/261</t>
        </is>
      </c>
      <c r="F88" s="474" t="n">
        <v>38407</v>
      </c>
      <c r="G88" s="474" t="n">
        <v>38432</v>
      </c>
      <c r="H88" s="473" t="inlineStr">
        <is>
          <t>Isa May Smith</t>
        </is>
      </c>
      <c r="I88" s="473" t="inlineStr">
        <is>
          <t>N/g Discovery, LLC</t>
        </is>
      </c>
      <c r="J88" s="473" t="inlineStr">
        <is>
          <t>NW/4 SE/4, S/2 SE/4, SW/4 NE/4 of 31-12N-24W</t>
        </is>
      </c>
      <c r="K88" s="473" t="inlineStr">
        <is>
          <t>Needs Verification (term/HBP)</t>
        </is>
      </c>
      <c r="L88" s="473" t="n"/>
      <c r="M88" s="473" t="n"/>
      <c r="N88" s="473" t="inlineStr">
        <is>
          <t>T2</t>
        </is>
      </c>
      <c r="O88" s="474" t="n"/>
      <c r="P88" s="520" t="n"/>
      <c r="Q88" s="473" t="n"/>
    </row>
    <row r="89" ht="25.5" customHeight="1" s="267">
      <c r="A89" s="472" t="n">
        <v>248</v>
      </c>
      <c r="B89" s="472" t="inlineStr">
        <is>
          <t>Needs Verification (term/HBP)</t>
        </is>
      </c>
      <c r="C89" s="473" t="n"/>
      <c r="D89" s="473" t="inlineStr">
        <is>
          <t>Oil and Gas Lease</t>
        </is>
      </c>
      <c r="E89" s="473" t="inlineStr">
        <is>
          <t>1782/267</t>
        </is>
      </c>
      <c r="F89" s="474" t="n">
        <v>38411</v>
      </c>
      <c r="G89" s="474" t="n">
        <v>38432</v>
      </c>
      <c r="H89" s="473" t="inlineStr">
        <is>
          <t>Mark J. Fuchs</t>
        </is>
      </c>
      <c r="I89" s="473" t="inlineStr">
        <is>
          <t>N/g Discovery, LLC</t>
        </is>
      </c>
      <c r="J89" s="473" t="inlineStr">
        <is>
          <t>NW/4 SE/4, S/2 SE/4, SW/4 NE/4 of 31-12N-24W</t>
        </is>
      </c>
      <c r="K89" s="473" t="inlineStr">
        <is>
          <t>Needs Verification (term/HBP)</t>
        </is>
      </c>
      <c r="L89" s="473" t="n"/>
      <c r="M89" s="473" t="n"/>
      <c r="N89" s="473" t="inlineStr">
        <is>
          <t>T2</t>
        </is>
      </c>
      <c r="O89" s="474" t="n"/>
      <c r="P89" s="520" t="n"/>
      <c r="Q89" s="473" t="n"/>
    </row>
    <row r="90" ht="25.5" customHeight="1" s="267">
      <c r="A90" s="472" t="n">
        <v>247</v>
      </c>
      <c r="B90" s="472" t="inlineStr">
        <is>
          <t>Needs Verification (term/HBP)</t>
        </is>
      </c>
      <c r="C90" s="473" t="n"/>
      <c r="D90" s="473" t="inlineStr">
        <is>
          <t>Oil and Gas Lease</t>
        </is>
      </c>
      <c r="E90" s="473" t="inlineStr">
        <is>
          <t>1781/204</t>
        </is>
      </c>
      <c r="F90" s="474" t="n">
        <v>38411</v>
      </c>
      <c r="G90" s="474" t="n">
        <v>38426</v>
      </c>
      <c r="H90" s="473" t="inlineStr">
        <is>
          <t>Raymond M. Fuchs</t>
        </is>
      </c>
      <c r="I90" s="473" t="inlineStr">
        <is>
          <t>N/g Discovery, LLC</t>
        </is>
      </c>
      <c r="J90" s="473" t="inlineStr">
        <is>
          <t>NW/4 SE/4, S/2 SE/4, SW/4 NE/4 of 31-12N-24W</t>
        </is>
      </c>
      <c r="K90" s="473" t="inlineStr">
        <is>
          <t>Needs Verification (term/HBP)</t>
        </is>
      </c>
      <c r="L90" s="473" t="n"/>
      <c r="M90" s="473" t="n"/>
      <c r="N90" s="473" t="inlineStr">
        <is>
          <t>T2</t>
        </is>
      </c>
      <c r="O90" s="474" t="n"/>
      <c r="P90" s="520" t="n"/>
      <c r="Q90" s="473" t="n"/>
    </row>
    <row r="91" ht="25.5" customHeight="1" s="267">
      <c r="A91" s="472" t="n">
        <v>249</v>
      </c>
      <c r="B91" s="472" t="inlineStr">
        <is>
          <t>Needs Verification (term/HBP)</t>
        </is>
      </c>
      <c r="C91" s="473" t="n"/>
      <c r="D91" s="473" t="inlineStr">
        <is>
          <t>Oil and Gas Lease</t>
        </is>
      </c>
      <c r="E91" s="473" t="inlineStr">
        <is>
          <t>1785/274</t>
        </is>
      </c>
      <c r="F91" s="474" t="n">
        <v>38419</v>
      </c>
      <c r="G91" s="474" t="n">
        <v>38457</v>
      </c>
      <c r="H91" s="473" t="inlineStr">
        <is>
          <t>Joe Devenas, Jr.</t>
        </is>
      </c>
      <c r="I91" s="473" t="inlineStr">
        <is>
          <t>EOG Resources Inc.</t>
        </is>
      </c>
      <c r="J91" s="473" t="inlineStr">
        <is>
          <t>SE/4 SW/4 of 31-12N-24W</t>
        </is>
      </c>
      <c r="K91" s="473" t="inlineStr">
        <is>
          <t>Needs Verification (term/HBP)</t>
        </is>
      </c>
      <c r="L91" s="473" t="n"/>
      <c r="M91" s="473" t="n"/>
      <c r="N91" s="473" t="inlineStr">
        <is>
          <t>T5</t>
        </is>
      </c>
      <c r="O91" s="474" t="n"/>
      <c r="P91" s="520" t="n"/>
      <c r="Q91" s="473" t="n"/>
    </row>
    <row r="92" ht="25.5" customHeight="1" s="267">
      <c r="A92" s="472" t="n">
        <v>250</v>
      </c>
      <c r="B92" s="472" t="inlineStr">
        <is>
          <t>Needs Verification (term/HBP)</t>
        </is>
      </c>
      <c r="C92" s="473" t="n"/>
      <c r="D92" s="473" t="inlineStr">
        <is>
          <t>Oil and Gas Lease</t>
        </is>
      </c>
      <c r="E92" s="473" t="inlineStr">
        <is>
          <t>1785/278</t>
        </is>
      </c>
      <c r="F92" s="474" t="n">
        <v>38419</v>
      </c>
      <c r="G92" s="474" t="n">
        <v>38457</v>
      </c>
      <c r="H92" s="473" t="inlineStr">
        <is>
          <t>Joseph Devenas</t>
        </is>
      </c>
      <c r="I92" s="473" t="inlineStr">
        <is>
          <t>EOG Resources Inc.</t>
        </is>
      </c>
      <c r="J92" s="473" t="inlineStr">
        <is>
          <t>SE/4 SW/4 of 31-12N-24W</t>
        </is>
      </c>
      <c r="K92" s="473" t="inlineStr">
        <is>
          <t>Needs Verification (term/HBP)</t>
        </is>
      </c>
      <c r="L92" s="473" t="n"/>
      <c r="M92" s="473" t="n"/>
      <c r="N92" s="473" t="inlineStr">
        <is>
          <t>T5</t>
        </is>
      </c>
      <c r="O92" s="474" t="n"/>
      <c r="P92" s="520" t="n"/>
      <c r="Q92" s="473" t="n"/>
    </row>
    <row r="93" ht="25.5" customHeight="1" s="267">
      <c r="A93" s="472" t="n">
        <v>251</v>
      </c>
      <c r="B93" s="472" t="inlineStr">
        <is>
          <t>Needs Verification (term/HBP)</t>
        </is>
      </c>
      <c r="C93" s="473" t="n"/>
      <c r="D93" s="473" t="inlineStr">
        <is>
          <t>Oil and Gas Lease</t>
        </is>
      </c>
      <c r="E93" s="473" t="inlineStr">
        <is>
          <t>1785/276</t>
        </is>
      </c>
      <c r="F93" s="474" t="n">
        <v>38420</v>
      </c>
      <c r="G93" s="474" t="n">
        <v>38457</v>
      </c>
      <c r="H93" s="473" t="inlineStr">
        <is>
          <t>Eleanore Wheeler</t>
        </is>
      </c>
      <c r="I93" s="473" t="inlineStr">
        <is>
          <t>EOG Resources Inc.</t>
        </is>
      </c>
      <c r="J93" s="473" t="inlineStr">
        <is>
          <t>Lot 4, S/2, Lot 3, S/2 NE/4 SW/4, SE/4 SW/4 of 31-12N-24W</t>
        </is>
      </c>
      <c r="K93" s="473" t="inlineStr">
        <is>
          <t>Needs Verification (term/HBP)</t>
        </is>
      </c>
      <c r="L93" s="473" t="n"/>
      <c r="M93" s="473" t="n"/>
      <c r="N93" s="473" t="inlineStr">
        <is>
          <t>T2,5,6,7,8</t>
        </is>
      </c>
      <c r="O93" s="474" t="n"/>
      <c r="P93" s="520" t="n"/>
      <c r="Q93" s="473" t="n"/>
    </row>
    <row r="94" ht="51" customHeight="1" s="267">
      <c r="A94" s="472" t="n">
        <v>252</v>
      </c>
      <c r="B94" s="472" t="inlineStr">
        <is>
          <t>Needs Verification (term/HBP)</t>
        </is>
      </c>
      <c r="C94" s="473" t="n"/>
      <c r="D94" s="473" t="inlineStr">
        <is>
          <t>Oil and Gas Lease</t>
        </is>
      </c>
      <c r="E94" s="473" t="inlineStr">
        <is>
          <t>1787/47</t>
        </is>
      </c>
      <c r="F94" s="474" t="n">
        <v>38435</v>
      </c>
      <c r="G94" s="474" t="n">
        <v>38464</v>
      </c>
      <c r="H94" s="473" t="inlineStr">
        <is>
          <t>Marchelle Sorenson Daigle, Michelle Sorenson Johnson, Trustee of The Sorenson Oil &amp; Gas Trust</t>
        </is>
      </c>
      <c r="I94" s="473" t="inlineStr">
        <is>
          <t>N/g Discovery, LLC</t>
        </is>
      </c>
      <c r="J94" s="473" t="inlineStr">
        <is>
          <t>E/2 NW/4, N/2 NE/4 SW/4, NE/4 SE/4, SE/4 NE/4 of 31-12N-24W</t>
        </is>
      </c>
      <c r="K94" s="473" t="inlineStr">
        <is>
          <t>Needs Verification (term/HBP)</t>
        </is>
      </c>
      <c r="L94" s="473" t="n"/>
      <c r="M94" s="473" t="n"/>
      <c r="N94" s="473" t="inlineStr">
        <is>
          <t>T3,4,7,8</t>
        </is>
      </c>
      <c r="O94" s="474" t="n"/>
      <c r="P94" s="520" t="n"/>
      <c r="Q94" s="473" t="n"/>
    </row>
    <row r="95" ht="63.75" customHeight="1" s="267">
      <c r="A95" s="472" t="n">
        <v>266</v>
      </c>
      <c r="B95" s="472" t="inlineStr">
        <is>
          <t>Needs Verification (term/HBP)</t>
        </is>
      </c>
      <c r="C95" s="473" t="n"/>
      <c r="D95" s="473" t="inlineStr">
        <is>
          <t>Oil and Gas Lease</t>
        </is>
      </c>
      <c r="E95" s="473" t="inlineStr">
        <is>
          <t>1787/47</t>
        </is>
      </c>
      <c r="F95" s="474" t="n">
        <v>38435</v>
      </c>
      <c r="G95" s="474" t="n">
        <v>38464</v>
      </c>
      <c r="H95" s="473" t="inlineStr">
        <is>
          <t>Marchelle Sorenson Daigle, Michelle Sorenson Johnson, Trustee of the Sorenson Oil and Gas Trust</t>
        </is>
      </c>
      <c r="I95" s="473" t="inlineStr">
        <is>
          <t>N/g Discovery, LLC</t>
        </is>
      </c>
      <c r="J95" s="473" t="inlineStr">
        <is>
          <t>E/2 NW/4, N/2 NE/4 SW/4, NE/4 SE/4, SE/4 NE/4 of 31-12N-24W</t>
        </is>
      </c>
      <c r="K95" s="473" t="inlineStr">
        <is>
          <t>Duplicate OGL#/Bk-Pg — verify operative entry.</t>
        </is>
      </c>
      <c r="L95" s="473" t="n"/>
      <c r="M95" s="473" t="n"/>
      <c r="N95" s="473" t="inlineStr">
        <is>
          <t>T3,4,7,8</t>
        </is>
      </c>
      <c r="O95" s="474" t="n"/>
      <c r="P95" s="520" t="n"/>
      <c r="Q95" s="473" t="n"/>
    </row>
    <row r="96" ht="25.5" customHeight="1" s="267">
      <c r="A96" s="472" t="n">
        <v>255</v>
      </c>
      <c r="B96" s="472" t="inlineStr">
        <is>
          <t>Needs Verification (term/HBP)</t>
        </is>
      </c>
      <c r="C96" s="473" t="n"/>
      <c r="D96" s="473" t="inlineStr">
        <is>
          <t>Ratification</t>
        </is>
      </c>
      <c r="E96" s="473" t="inlineStr">
        <is>
          <t>1793/502</t>
        </is>
      </c>
      <c r="F96" s="474" t="n">
        <v>38441</v>
      </c>
      <c r="G96" s="474" t="n">
        <v>38511</v>
      </c>
      <c r="H96" s="473" t="inlineStr">
        <is>
          <t>Joe Deveanas</t>
        </is>
      </c>
      <c r="I96" s="473" t="inlineStr">
        <is>
          <t>EOG Resources Inc.</t>
        </is>
      </c>
      <c r="J96" s="473" t="inlineStr">
        <is>
          <t>SE/4 SW/4 of 31-12N-24W</t>
        </is>
      </c>
      <c r="K96" s="473" t="inlineStr">
        <is>
          <t>Needs Verification (term/HBP)</t>
        </is>
      </c>
      <c r="L96" s="473" t="n"/>
      <c r="M96" s="473" t="n"/>
      <c r="N96" s="473" t="inlineStr">
        <is>
          <t>T5</t>
        </is>
      </c>
      <c r="O96" s="474" t="n"/>
      <c r="P96" s="520" t="n"/>
      <c r="Q96" s="473" t="n"/>
    </row>
    <row r="97" ht="25.5" customHeight="1" s="267">
      <c r="A97" s="472" t="n">
        <v>254</v>
      </c>
      <c r="B97" s="472" t="inlineStr">
        <is>
          <t>Needs Verification (term/HBP)</t>
        </is>
      </c>
      <c r="C97" s="473" t="n"/>
      <c r="D97" s="473" t="inlineStr">
        <is>
          <t>Ratification</t>
        </is>
      </c>
      <c r="E97" s="473" t="inlineStr">
        <is>
          <t>1793/501</t>
        </is>
      </c>
      <c r="F97" s="474" t="n">
        <v>38441</v>
      </c>
      <c r="G97" s="474" t="n">
        <v>38511</v>
      </c>
      <c r="H97" s="473" t="inlineStr">
        <is>
          <t>Molly Devenas</t>
        </is>
      </c>
      <c r="I97" s="473" t="inlineStr">
        <is>
          <t>EOG Resources Inc.</t>
        </is>
      </c>
      <c r="J97" s="473" t="inlineStr">
        <is>
          <t>SE/4 SW/4 of 31-12N-24W</t>
        </is>
      </c>
      <c r="K97" s="473" t="inlineStr">
        <is>
          <t>Needs Verification (term/HBP)</t>
        </is>
      </c>
      <c r="L97" s="473" t="n"/>
      <c r="M97" s="473" t="n"/>
      <c r="N97" s="473" t="inlineStr">
        <is>
          <t>T5</t>
        </is>
      </c>
      <c r="O97" s="474" t="n"/>
      <c r="P97" s="520" t="n"/>
      <c r="Q97" s="473" t="n"/>
    </row>
    <row r="98" ht="25.5" customHeight="1" s="267">
      <c r="A98" s="472" t="n">
        <v>269</v>
      </c>
      <c r="B98" s="472" t="inlineStr">
        <is>
          <t>Needs Verification (term/HBP)</t>
        </is>
      </c>
      <c r="C98" s="473" t="n"/>
      <c r="D98" s="473" t="inlineStr">
        <is>
          <t>Oil and Gas Lease</t>
        </is>
      </c>
      <c r="E98" s="473" t="inlineStr">
        <is>
          <t>1786/335</t>
        </is>
      </c>
      <c r="F98" s="474" t="n">
        <v>38447</v>
      </c>
      <c r="G98" s="474" t="n">
        <v>38462</v>
      </c>
      <c r="H98" s="473" t="inlineStr">
        <is>
          <t>Linda Klopfenstein, Roger Klopfenstein</t>
        </is>
      </c>
      <c r="I98" s="473" t="inlineStr">
        <is>
          <t>Chesapeake Explor, Ltd. Ptnrshp</t>
        </is>
      </c>
      <c r="J98" s="473" t="inlineStr">
        <is>
          <t>S/2 NE/4 SW/4, SE/4 SW/4 of 31-12N-24W</t>
        </is>
      </c>
      <c r="K98" s="473" t="inlineStr">
        <is>
          <t>Duplicate OGL#/Bk-Pg — verify operative entry.</t>
        </is>
      </c>
      <c r="L98" s="473" t="n"/>
      <c r="M98" s="473" t="n"/>
      <c r="N98" s="473" t="inlineStr">
        <is>
          <t>T5,7</t>
        </is>
      </c>
      <c r="O98" s="474" t="n"/>
      <c r="P98" s="520" t="n"/>
      <c r="Q98" s="473" t="n"/>
    </row>
    <row r="99" ht="25.5" customHeight="1" s="267">
      <c r="A99" s="472" t="n">
        <v>257</v>
      </c>
      <c r="B99" s="472" t="inlineStr">
        <is>
          <t>Needs Verification (term/HBP)</t>
        </is>
      </c>
      <c r="C99" s="473" t="n"/>
      <c r="D99" s="473" t="inlineStr">
        <is>
          <t>Oil and Gas Lease</t>
        </is>
      </c>
      <c r="E99" s="473" t="inlineStr">
        <is>
          <t>1788/24</t>
        </is>
      </c>
      <c r="F99" s="474" t="n">
        <v>38457</v>
      </c>
      <c r="G99" s="474" t="n">
        <v>38474</v>
      </c>
      <c r="H99" s="473" t="inlineStr">
        <is>
          <t>Arrowhead Resources Inc.</t>
        </is>
      </c>
      <c r="I99" s="473" t="inlineStr">
        <is>
          <t>Arrowhead Explor &amp; Prod Co.</t>
        </is>
      </c>
      <c r="J99" s="473" t="inlineStr">
        <is>
          <t>SE/4 SW/4 of 31-12N-24W</t>
        </is>
      </c>
      <c r="K99" s="473" t="inlineStr">
        <is>
          <t>Needs Verification (term/HBP)</t>
        </is>
      </c>
      <c r="L99" s="473" t="n"/>
      <c r="M99" s="473" t="n"/>
      <c r="N99" s="473" t="inlineStr">
        <is>
          <t>T5</t>
        </is>
      </c>
      <c r="O99" s="474" t="n"/>
      <c r="P99" s="520" t="n"/>
      <c r="Q99" s="473" t="n"/>
    </row>
    <row r="100" ht="25.5" customHeight="1" s="267">
      <c r="A100" s="472" t="n">
        <v>259</v>
      </c>
      <c r="B100" s="472" t="inlineStr">
        <is>
          <t>Needs Verification (term/HBP)</t>
        </is>
      </c>
      <c r="C100" s="473" t="n"/>
      <c r="D100" s="473" t="inlineStr">
        <is>
          <t>Oil and Gas Lease</t>
        </is>
      </c>
      <c r="E100" s="473" t="inlineStr">
        <is>
          <t>1798/148</t>
        </is>
      </c>
      <c r="F100" s="474" t="n">
        <v>38468</v>
      </c>
      <c r="G100" s="474" t="n">
        <v>38551</v>
      </c>
      <c r="H100" s="473" t="inlineStr">
        <is>
          <t>Dwight J. Williams</t>
        </is>
      </c>
      <c r="I100" s="473" t="inlineStr">
        <is>
          <t>Chesapeake Explor Ltd. Ptnrshp</t>
        </is>
      </c>
      <c r="J100" s="473" t="inlineStr">
        <is>
          <t>NW/4 SE/4, S/2 SE/4, SW/4 NE/4 of 31-12N-24W</t>
        </is>
      </c>
      <c r="K100" s="473" t="inlineStr">
        <is>
          <t>Needs Verification (term/HBP)</t>
        </is>
      </c>
      <c r="L100" s="473" t="n"/>
      <c r="M100" s="473" t="n"/>
      <c r="N100" s="473" t="inlineStr">
        <is>
          <t>T2</t>
        </is>
      </c>
      <c r="O100" s="474" t="n"/>
      <c r="P100" s="520" t="n"/>
      <c r="Q100" s="473" t="n"/>
    </row>
    <row r="101" ht="25.5" customHeight="1" s="267">
      <c r="A101" s="472" t="n">
        <v>261</v>
      </c>
      <c r="B101" s="472" t="inlineStr">
        <is>
          <t>Needs Verification (term/HBP)</t>
        </is>
      </c>
      <c r="C101" s="473" t="n"/>
      <c r="D101" s="473" t="inlineStr">
        <is>
          <t>Oil and Gas Lease</t>
        </is>
      </c>
      <c r="E101" s="473" t="inlineStr">
        <is>
          <t>1798/292</t>
        </is>
      </c>
      <c r="F101" s="474" t="n">
        <v>38468</v>
      </c>
      <c r="G101" s="474" t="n">
        <v>38552</v>
      </c>
      <c r="H101" s="473" t="inlineStr">
        <is>
          <t>Jan a. Schroff</t>
        </is>
      </c>
      <c r="I101" s="473" t="inlineStr">
        <is>
          <t>Chesapeake Explor Ltd. Ptnrsh</t>
        </is>
      </c>
      <c r="J101" s="473" t="inlineStr">
        <is>
          <t>NW/4 SE/4, S/2 SE/4, SW/4 NE/4 of 31-12N-24W</t>
        </is>
      </c>
      <c r="K101" s="473" t="inlineStr">
        <is>
          <t>Needs Verification (term/HBP)</t>
        </is>
      </c>
      <c r="L101" s="473" t="n"/>
      <c r="M101" s="473" t="n"/>
      <c r="N101" s="473" t="inlineStr">
        <is>
          <t>T2</t>
        </is>
      </c>
      <c r="O101" s="474" t="n"/>
      <c r="P101" s="520" t="n"/>
      <c r="Q101" s="473" t="n"/>
    </row>
    <row r="102" ht="38.25" customHeight="1" s="267">
      <c r="A102" s="472" t="n">
        <v>260</v>
      </c>
      <c r="B102" s="472" t="inlineStr">
        <is>
          <t>Needs Verification (term/HBP)</t>
        </is>
      </c>
      <c r="C102" s="473" t="n"/>
      <c r="D102" s="473" t="inlineStr">
        <is>
          <t>Oil and Gas Lease</t>
        </is>
      </c>
      <c r="E102" s="473" t="inlineStr">
        <is>
          <t>1798/150</t>
        </is>
      </c>
      <c r="F102" s="474" t="n">
        <v>38468</v>
      </c>
      <c r="G102" s="474" t="n">
        <v>38551</v>
      </c>
      <c r="H102" s="473" t="inlineStr">
        <is>
          <t>Stephen M. Criser, Trustee of The McCaul Rive Lind Trust</t>
        </is>
      </c>
      <c r="I102" s="473" t="inlineStr">
        <is>
          <t>Chesapeake Explor Ltd. Ptnrshp</t>
        </is>
      </c>
      <c r="J102" s="473" t="inlineStr">
        <is>
          <t>NW/4 SE/4, SW/4 NE/4 of 31-12N-24W aol</t>
        </is>
      </c>
      <c r="K102" s="473" t="inlineStr">
        <is>
          <t>Needs Verification (term/HBP)</t>
        </is>
      </c>
      <c r="L102" s="473" t="n"/>
      <c r="M102" s="473" t="n"/>
      <c r="N102" s="473" t="inlineStr">
        <is>
          <t>T2</t>
        </is>
      </c>
      <c r="O102" s="474" t="n"/>
      <c r="P102" s="520" t="n"/>
      <c r="Q102" s="473" t="n"/>
    </row>
    <row r="103" ht="25.5" customHeight="1" s="267">
      <c r="A103" s="472" t="n">
        <v>265</v>
      </c>
      <c r="B103" s="472" t="inlineStr">
        <is>
          <t>Needs Verification (term/HBP)</t>
        </is>
      </c>
      <c r="C103" s="473" t="n"/>
      <c r="D103" s="473" t="inlineStr">
        <is>
          <t>Oil and Gas Lease</t>
        </is>
      </c>
      <c r="E103" s="473" t="inlineStr">
        <is>
          <t>1798/579</t>
        </is>
      </c>
      <c r="F103" s="474" t="n">
        <v>38482</v>
      </c>
      <c r="G103" s="474" t="n">
        <v>38554</v>
      </c>
      <c r="H103" s="473" t="inlineStr">
        <is>
          <t>Charlotte F. Willert</t>
        </is>
      </c>
      <c r="I103" s="473" t="inlineStr">
        <is>
          <t>EOG Resources Inc.</t>
        </is>
      </c>
      <c r="J103" s="473" t="inlineStr">
        <is>
          <t>NW/4 SE/4, S/2 SE/4, SW/4 NE/4 of 31-12N-24W</t>
        </is>
      </c>
      <c r="K103" s="473" t="inlineStr">
        <is>
          <t>Needs Verification (term/HBP)</t>
        </is>
      </c>
      <c r="L103" s="473" t="n"/>
      <c r="M103" s="473" t="n"/>
      <c r="N103" s="473" t="inlineStr">
        <is>
          <t>T2</t>
        </is>
      </c>
      <c r="O103" s="474" t="n"/>
      <c r="P103" s="520" t="n"/>
      <c r="Q103" s="473" t="n"/>
    </row>
    <row r="104" ht="25.5" customHeight="1" s="267">
      <c r="A104" s="472" t="n">
        <v>264</v>
      </c>
      <c r="B104" s="472" t="inlineStr">
        <is>
          <t>Needs Verification (term/HBP)</t>
        </is>
      </c>
      <c r="C104" s="473" t="n"/>
      <c r="D104" s="473" t="inlineStr">
        <is>
          <t>Oil and Gas Lease</t>
        </is>
      </c>
      <c r="E104" s="473" t="inlineStr">
        <is>
          <t>1798/576</t>
        </is>
      </c>
      <c r="F104" s="474" t="n">
        <v>38482</v>
      </c>
      <c r="G104" s="474" t="n">
        <v>38554</v>
      </c>
      <c r="H104" s="473" t="inlineStr">
        <is>
          <t>Donald R. Bain</t>
        </is>
      </c>
      <c r="I104" s="473" t="inlineStr">
        <is>
          <t>EOG Resources Inc.</t>
        </is>
      </c>
      <c r="J104" s="473" t="inlineStr">
        <is>
          <t>NW/4 SE/4, S/2 SE/4, SW/4 NE/4 of 31-12N-24W</t>
        </is>
      </c>
      <c r="K104" s="473" t="inlineStr">
        <is>
          <t>Needs Verification (term/HBP)</t>
        </is>
      </c>
      <c r="L104" s="473" t="n"/>
      <c r="M104" s="473" t="n"/>
      <c r="N104" s="473" t="inlineStr">
        <is>
          <t>T2</t>
        </is>
      </c>
      <c r="O104" s="474" t="n"/>
      <c r="P104" s="520" t="n"/>
      <c r="Q104" s="473" t="n"/>
    </row>
    <row r="105" ht="25.5" customHeight="1" s="267">
      <c r="A105" s="472" t="n">
        <v>263</v>
      </c>
      <c r="B105" s="472" t="inlineStr">
        <is>
          <t>Needs Verification (term/HBP)</t>
        </is>
      </c>
      <c r="C105" s="473" t="n"/>
      <c r="D105" s="473" t="inlineStr">
        <is>
          <t>Oil and Gas Lease</t>
        </is>
      </c>
      <c r="E105" s="473" t="inlineStr">
        <is>
          <t>1798/573</t>
        </is>
      </c>
      <c r="F105" s="474" t="n">
        <v>38482</v>
      </c>
      <c r="G105" s="474" t="n">
        <v>38554</v>
      </c>
      <c r="H105" s="473" t="inlineStr">
        <is>
          <t>Leona I. De Grande</t>
        </is>
      </c>
      <c r="I105" s="473" t="inlineStr">
        <is>
          <t>EOG Resources Inc.</t>
        </is>
      </c>
      <c r="J105" s="473" t="inlineStr">
        <is>
          <t>NW/4 SE/4, S/2 SE/4, SW/4 NE/4 of 31-12N-24W</t>
        </is>
      </c>
      <c r="K105" s="473" t="inlineStr">
        <is>
          <t>Needs Verification (term/HBP)</t>
        </is>
      </c>
      <c r="L105" s="473" t="n"/>
      <c r="M105" s="473" t="n"/>
      <c r="N105" s="473" t="inlineStr">
        <is>
          <t>T2</t>
        </is>
      </c>
      <c r="O105" s="474" t="n"/>
      <c r="P105" s="520" t="n"/>
      <c r="Q105" s="473" t="n"/>
    </row>
    <row r="106" ht="25.5" customHeight="1" s="267">
      <c r="A106" s="472" t="n">
        <v>267</v>
      </c>
      <c r="B106" s="472" t="inlineStr">
        <is>
          <t>Needs Verification (term/HBP)</t>
        </is>
      </c>
      <c r="C106" s="473" t="n"/>
      <c r="D106" s="473" t="inlineStr">
        <is>
          <t>Oil and Gas Lease</t>
        </is>
      </c>
      <c r="E106" s="473" t="inlineStr">
        <is>
          <t>1799/30</t>
        </is>
      </c>
      <c r="F106" s="474" t="n">
        <v>38482</v>
      </c>
      <c r="G106" s="474" t="n">
        <v>38555</v>
      </c>
      <c r="H106" s="473" t="inlineStr">
        <is>
          <t>Marilyn L. Broyles</t>
        </is>
      </c>
      <c r="I106" s="473" t="inlineStr">
        <is>
          <t>EOG Resources Inc.</t>
        </is>
      </c>
      <c r="J106" s="473" t="inlineStr">
        <is>
          <t>NW/4 SE/4, S/2 SE/4, SW/4 NE/4 of 31-12N-24W</t>
        </is>
      </c>
      <c r="K106" s="473" t="inlineStr">
        <is>
          <t>Needs Verification (term/HBP)</t>
        </is>
      </c>
      <c r="L106" s="473" t="n"/>
      <c r="M106" s="473" t="n"/>
      <c r="N106" s="473" t="inlineStr">
        <is>
          <t>T2</t>
        </is>
      </c>
      <c r="O106" s="474" t="n"/>
      <c r="P106" s="520" t="n"/>
      <c r="Q106" s="473" t="n"/>
    </row>
    <row r="107" ht="25.5" customHeight="1" s="267">
      <c r="A107" s="472" t="n">
        <v>266</v>
      </c>
      <c r="B107" s="472" t="inlineStr">
        <is>
          <t>Needs Verification (term/HBP)</t>
        </is>
      </c>
      <c r="C107" s="473" t="n"/>
      <c r="D107" s="473" t="inlineStr">
        <is>
          <t>Oil and Gas Lease</t>
        </is>
      </c>
      <c r="E107" s="473" t="inlineStr">
        <is>
          <t>1798/582</t>
        </is>
      </c>
      <c r="F107" s="474" t="n">
        <v>38482</v>
      </c>
      <c r="G107" s="474" t="n">
        <v>38554</v>
      </c>
      <c r="H107" s="473" t="inlineStr">
        <is>
          <t>Melvin F. Bain</t>
        </is>
      </c>
      <c r="I107" s="473" t="inlineStr">
        <is>
          <t>EOG Resources Inc.</t>
        </is>
      </c>
      <c r="J107" s="473" t="inlineStr">
        <is>
          <t>NW/4 SE/4, S/2 SE/4, SW/4 NE/4 of 31-12N-24W</t>
        </is>
      </c>
      <c r="K107" s="473" t="inlineStr">
        <is>
          <t>Duplicate OGL#/Bk-Pg — verify operative entry.</t>
        </is>
      </c>
      <c r="L107" s="473" t="n"/>
      <c r="M107" s="473" t="n"/>
      <c r="N107" s="473" t="inlineStr">
        <is>
          <t>T2</t>
        </is>
      </c>
      <c r="O107" s="474" t="n"/>
      <c r="P107" s="520" t="n"/>
      <c r="Q107" s="473" t="n"/>
    </row>
    <row r="108" ht="25.5" customHeight="1" s="267">
      <c r="A108" s="472" t="n">
        <v>269</v>
      </c>
      <c r="B108" s="472" t="inlineStr">
        <is>
          <t>Needs Verification (term/HBP)</t>
        </is>
      </c>
      <c r="C108" s="473" t="n"/>
      <c r="D108" s="473" t="inlineStr">
        <is>
          <t>Oil and Gas Lease</t>
        </is>
      </c>
      <c r="E108" s="473" t="inlineStr">
        <is>
          <t>1817/388</t>
        </is>
      </c>
      <c r="F108" s="474" t="n">
        <v>38621</v>
      </c>
      <c r="G108" s="474" t="n">
        <v>38709</v>
      </c>
      <c r="H108" s="473" t="inlineStr">
        <is>
          <t>James E. Menehan</t>
        </is>
      </c>
      <c r="I108" s="473" t="inlineStr">
        <is>
          <t>Todco Properties Inc.</t>
        </is>
      </c>
      <c r="J108" s="473" t="inlineStr">
        <is>
          <t>NW/4 SE/4, S/2 SE/4, SW/4 NE/4 of 31-12N-24W</t>
        </is>
      </c>
      <c r="K108" s="473" t="inlineStr">
        <is>
          <t>Duplicate OGL#/Bk-Pg — verify operative entry.</t>
        </is>
      </c>
      <c r="L108" s="473" t="n"/>
      <c r="M108" s="473" t="n"/>
      <c r="N108" s="473" t="inlineStr">
        <is>
          <t>T2</t>
        </is>
      </c>
      <c r="O108" s="474" t="n"/>
      <c r="P108" s="520" t="n"/>
      <c r="Q108" s="473" t="n"/>
    </row>
    <row r="109" ht="38.25" customHeight="1" s="267">
      <c r="A109" s="472" t="n">
        <v>270</v>
      </c>
      <c r="B109" s="472" t="inlineStr">
        <is>
          <t>Needs Verification (term/HBP)</t>
        </is>
      </c>
      <c r="C109" s="473" t="n"/>
      <c r="D109" s="473" t="inlineStr">
        <is>
          <t>Oil and Gas Lease</t>
        </is>
      </c>
      <c r="E109" s="473" t="inlineStr">
        <is>
          <t>1810/310</t>
        </is>
      </c>
      <c r="F109" s="474" t="n">
        <v>38632</v>
      </c>
      <c r="G109" s="474" t="n">
        <v>38644</v>
      </c>
      <c r="H109" s="473" t="inlineStr">
        <is>
          <t>Hayhurst Peggy J., Trustee of The Hayhurst Peggy J. Revoc Trust</t>
        </is>
      </c>
      <c r="I109" s="473" t="inlineStr">
        <is>
          <t>Fleshman Agency Inc.</t>
        </is>
      </c>
      <c r="J109" s="473" t="inlineStr">
        <is>
          <t>E/2 NW/4, N/2 NE/4 SW/4, NE/4 SE/4, SE/4 NE/4 of 31-12N-24W</t>
        </is>
      </c>
      <c r="K109" s="473" t="inlineStr">
        <is>
          <t>Needs Verification (term/HBP)</t>
        </is>
      </c>
      <c r="L109" s="473" t="n"/>
      <c r="M109" s="473" t="n"/>
      <c r="N109" s="473" t="inlineStr">
        <is>
          <t>T3,4,7,8</t>
        </is>
      </c>
      <c r="O109" s="474" t="n"/>
      <c r="P109" s="520" t="n"/>
      <c r="Q109" s="473" t="n"/>
    </row>
    <row r="110" ht="25.5" customHeight="1" s="267">
      <c r="A110" s="472" t="n">
        <v>274</v>
      </c>
      <c r="B110" s="472" t="inlineStr">
        <is>
          <t>Needs Verification (term/HBP)</t>
        </is>
      </c>
      <c r="C110" s="473" t="n"/>
      <c r="D110" s="473" t="inlineStr">
        <is>
          <t>Oil and Gas Lease</t>
        </is>
      </c>
      <c r="E110" s="473" t="inlineStr">
        <is>
          <t>1816/389</t>
        </is>
      </c>
      <c r="F110" s="474" t="n">
        <v>38653</v>
      </c>
      <c r="G110" s="474" t="n">
        <v>38701</v>
      </c>
      <c r="H110" s="473" t="inlineStr">
        <is>
          <t>Gregory J. Wiinneke</t>
        </is>
      </c>
      <c r="I110" s="473" t="inlineStr">
        <is>
          <t>Harris Jess III Inc.</t>
        </is>
      </c>
      <c r="J110" s="473" t="inlineStr">
        <is>
          <t>SE/4 SE/4, SW/4 NE/4, W/2 SE/4 of 31-12N-24W</t>
        </is>
      </c>
      <c r="K110" s="473" t="inlineStr">
        <is>
          <t>Needs Verification (term/HBP)</t>
        </is>
      </c>
      <c r="L110" s="473" t="n"/>
      <c r="M110" s="473" t="n"/>
      <c r="N110" s="473" t="inlineStr">
        <is>
          <t>T2</t>
        </is>
      </c>
      <c r="O110" s="474" t="n"/>
      <c r="P110" s="520" t="n"/>
      <c r="Q110" s="473" t="n"/>
    </row>
    <row r="111" ht="25.5" customHeight="1" s="267">
      <c r="A111" s="472" t="n">
        <v>282</v>
      </c>
      <c r="B111" s="472" t="inlineStr">
        <is>
          <t>Needs Verification (term/HBP)</t>
        </is>
      </c>
      <c r="C111" s="473" t="n"/>
      <c r="D111" s="473" t="inlineStr">
        <is>
          <t>Oil and Gas Lease</t>
        </is>
      </c>
      <c r="E111" s="473" t="inlineStr">
        <is>
          <t>1816/376</t>
        </is>
      </c>
      <c r="F111" s="474" t="n">
        <v>38657</v>
      </c>
      <c r="G111" s="474" t="n">
        <v>38701</v>
      </c>
      <c r="H111" s="473" t="inlineStr">
        <is>
          <t>Deborah A. Deutsch, Paul R. Deutsch</t>
        </is>
      </c>
      <c r="I111" s="473" t="inlineStr">
        <is>
          <t>Harris Jess III, Inc.</t>
        </is>
      </c>
      <c r="J111" s="473" t="inlineStr">
        <is>
          <t>SE/4 SE/4, SW/4 NE/4, W/2 SE/4 of 31-12N-24W</t>
        </is>
      </c>
      <c r="K111" s="473" t="inlineStr">
        <is>
          <t>Needs Verification (term/HBP)</t>
        </is>
      </c>
      <c r="L111" s="473" t="n"/>
      <c r="M111" s="473" t="n"/>
      <c r="N111" s="473" t="inlineStr">
        <is>
          <t>T2</t>
        </is>
      </c>
      <c r="O111" s="474" t="n"/>
      <c r="P111" s="520" t="n"/>
      <c r="Q111" s="473" t="n"/>
    </row>
    <row r="112" ht="25.5" customHeight="1" s="267">
      <c r="A112" s="472" t="n">
        <v>278</v>
      </c>
      <c r="B112" s="472" t="inlineStr">
        <is>
          <t>Needs Verification (term/HBP)</t>
        </is>
      </c>
      <c r="C112" s="473" t="n"/>
      <c r="D112" s="473" t="inlineStr">
        <is>
          <t>Oil and Gas Lease</t>
        </is>
      </c>
      <c r="E112" s="473" t="inlineStr">
        <is>
          <t>1822/578</t>
        </is>
      </c>
      <c r="F112" s="474" t="n">
        <v>38657</v>
      </c>
      <c r="G112" s="474" t="n">
        <v>38754</v>
      </c>
      <c r="H112" s="473" t="inlineStr">
        <is>
          <t>Lyle T. Ibeling</t>
        </is>
      </c>
      <c r="I112" s="473" t="inlineStr">
        <is>
          <t>Harris Jess III Inc.</t>
        </is>
      </c>
      <c r="J112" s="473" t="inlineStr">
        <is>
          <t>SE/4 SE/4, SW/4 NE/4, W/2 SE/4 of 31-12N-24W</t>
        </is>
      </c>
      <c r="K112" s="473" t="inlineStr">
        <is>
          <t>Needs Verification (term/HBP)</t>
        </is>
      </c>
      <c r="L112" s="473" t="n"/>
      <c r="M112" s="473" t="n"/>
      <c r="N112" s="473" t="inlineStr">
        <is>
          <t>T2</t>
        </is>
      </c>
      <c r="O112" s="474" t="n"/>
      <c r="P112" s="520" t="n"/>
      <c r="Q112" s="473" t="n"/>
    </row>
    <row r="113" ht="25.5" customHeight="1" s="267">
      <c r="A113" s="472" t="n">
        <v>277</v>
      </c>
      <c r="B113" s="472" t="inlineStr">
        <is>
          <t>Needs Verification (term/HBP)</t>
        </is>
      </c>
      <c r="C113" s="473" t="n"/>
      <c r="D113" s="473" t="inlineStr">
        <is>
          <t>Oil and Gas Lease</t>
        </is>
      </c>
      <c r="E113" s="473" t="inlineStr">
        <is>
          <t>1822/574</t>
        </is>
      </c>
      <c r="F113" s="474" t="n">
        <v>38657</v>
      </c>
      <c r="G113" s="474" t="n">
        <v>38754</v>
      </c>
      <c r="H113" s="473" t="inlineStr">
        <is>
          <t>Mary Ellen Sitzmann</t>
        </is>
      </c>
      <c r="I113" s="473" t="inlineStr">
        <is>
          <t>Harris Jess III Inc.</t>
        </is>
      </c>
      <c r="J113" s="473" t="inlineStr">
        <is>
          <t>SE/4 SE/4, SW/4 NE/4, W/2 SE/4 of 31-12N-24W</t>
        </is>
      </c>
      <c r="K113" s="473" t="inlineStr">
        <is>
          <t>Needs Verification (term/HBP)</t>
        </is>
      </c>
      <c r="L113" s="473" t="n"/>
      <c r="M113" s="473" t="n"/>
      <c r="N113" s="473" t="inlineStr">
        <is>
          <t>T2</t>
        </is>
      </c>
      <c r="O113" s="474" t="n"/>
      <c r="P113" s="520" t="n"/>
      <c r="Q113" s="473" t="n"/>
    </row>
    <row r="114" ht="25.5" customHeight="1" s="267">
      <c r="A114" s="472" t="n">
        <v>280</v>
      </c>
      <c r="B114" s="472" t="inlineStr">
        <is>
          <t>Needs Verification (term/HBP)</t>
        </is>
      </c>
      <c r="C114" s="473" t="n"/>
      <c r="D114" s="473" t="inlineStr">
        <is>
          <t>Oil and Gas Lease</t>
        </is>
      </c>
      <c r="E114" s="473" t="inlineStr">
        <is>
          <t>1822/576</t>
        </is>
      </c>
      <c r="F114" s="474" t="n">
        <v>38677</v>
      </c>
      <c r="G114" s="474" t="n">
        <v>38754</v>
      </c>
      <c r="H114" s="473" t="inlineStr">
        <is>
          <t>Charles D. Ray</t>
        </is>
      </c>
      <c r="I114" s="473" t="inlineStr">
        <is>
          <t>Harris Jess III Inc.</t>
        </is>
      </c>
      <c r="J114" s="473" t="inlineStr">
        <is>
          <t>E/2 NW/4 of 31-12N-24W</t>
        </is>
      </c>
      <c r="K114" s="473" t="inlineStr">
        <is>
          <t>Needs Verification (term/HBP)</t>
        </is>
      </c>
      <c r="L114" s="473" t="n"/>
      <c r="M114" s="473" t="n"/>
      <c r="N114" s="473" t="inlineStr">
        <is>
          <t>T4</t>
        </is>
      </c>
      <c r="O114" s="474" t="n"/>
      <c r="P114" s="520" t="n"/>
      <c r="Q114" s="473" t="n"/>
    </row>
    <row r="115" ht="25.5" customHeight="1" s="267">
      <c r="A115" s="472" t="n">
        <v>283</v>
      </c>
      <c r="B115" s="472" t="inlineStr">
        <is>
          <t>Needs Verification (term/HBP)</t>
        </is>
      </c>
      <c r="C115" s="473" t="n"/>
      <c r="D115" s="473" t="inlineStr">
        <is>
          <t>Oil and Gas Lease</t>
        </is>
      </c>
      <c r="E115" s="473" t="inlineStr">
        <is>
          <t>1827/548</t>
        </is>
      </c>
      <c r="F115" s="474" t="n">
        <v>38720</v>
      </c>
      <c r="G115" s="474" t="n">
        <v>38785</v>
      </c>
      <c r="H115" s="473" t="inlineStr">
        <is>
          <t>B H C H Mineral Ltd.,
B H C H Properties Ltd.</t>
        </is>
      </c>
      <c r="I115" s="473" t="inlineStr">
        <is>
          <t>Harris Jess III Inc.</t>
        </is>
      </c>
      <c r="J115" s="473" t="inlineStr">
        <is>
          <t>E/2 NW/4, N/2 NE/4 SW/4, NE/4 SE/4, SE/4 NE/4 of 31-12N-24W</t>
        </is>
      </c>
      <c r="K115" s="473" t="inlineStr">
        <is>
          <t>Needs Verification (term/HBP)</t>
        </is>
      </c>
      <c r="L115" s="473" t="n"/>
      <c r="M115" s="473" t="n"/>
      <c r="N115" s="473" t="inlineStr">
        <is>
          <t>T3,4,7,8</t>
        </is>
      </c>
      <c r="O115" s="474" t="n"/>
      <c r="P115" s="520" t="n"/>
      <c r="Q115" s="473" t="n"/>
    </row>
    <row r="116" ht="25.5" customHeight="1" s="267">
      <c r="A116" s="472" t="n">
        <v>287</v>
      </c>
      <c r="B116" s="472" t="inlineStr">
        <is>
          <t>Needs Verification (term/HBP)</t>
        </is>
      </c>
      <c r="C116" s="473" t="n"/>
      <c r="D116" s="473" t="inlineStr">
        <is>
          <t>Oil and Gas Lease</t>
        </is>
      </c>
      <c r="E116" s="473" t="inlineStr">
        <is>
          <t>1833/218</t>
        </is>
      </c>
      <c r="F116" s="474" t="n">
        <v>38748</v>
      </c>
      <c r="G116" s="474" t="n">
        <v>38824</v>
      </c>
      <c r="H116" s="473" t="inlineStr">
        <is>
          <t>Ella Pearl Kirk</t>
        </is>
      </c>
      <c r="I116" s="473" t="inlineStr">
        <is>
          <t>Harris Jess III Inc.</t>
        </is>
      </c>
      <c r="J116" s="473" t="inlineStr">
        <is>
          <t>Lots 1-3 of 31-12N-24W</t>
        </is>
      </c>
      <c r="K116" s="473" t="inlineStr">
        <is>
          <t>Needs Verification (term/HBP)</t>
        </is>
      </c>
      <c r="L116" s="473" t="n"/>
      <c r="M116" s="473" t="n"/>
      <c r="N116" s="473" t="inlineStr">
        <is>
          <t>T5,6</t>
        </is>
      </c>
      <c r="O116" s="474" t="n"/>
      <c r="P116" s="520" t="n"/>
      <c r="Q116" s="473" t="n"/>
    </row>
    <row r="117" ht="25.5" customHeight="1" s="267">
      <c r="A117" s="472" t="n">
        <v>286</v>
      </c>
      <c r="B117" s="472" t="inlineStr">
        <is>
          <t>Amendment - verify base</t>
        </is>
      </c>
      <c r="C117" s="473" t="n"/>
      <c r="D117" s="473" t="inlineStr">
        <is>
          <t>Amendment Oil Lease</t>
        </is>
      </c>
      <c r="E117" s="473" t="inlineStr">
        <is>
          <t>1831/229</t>
        </is>
      </c>
      <c r="F117" s="474" t="n">
        <v>38748</v>
      </c>
      <c r="G117" s="474" t="n">
        <v>38810</v>
      </c>
      <c r="H117" s="473" t="inlineStr">
        <is>
          <t>Fleshman Agency Inc.</t>
        </is>
      </c>
      <c r="I117" s="473" t="inlineStr">
        <is>
          <t>Newfield Explor MID Cont Inc.</t>
        </is>
      </c>
      <c r="J117" s="473" t="inlineStr">
        <is>
          <t>E/2 NW/4, N/2 NE/4 SW/4, NE/4 SE/4, SE/4 NE/4 of 31-12N-24W</t>
        </is>
      </c>
      <c r="K117" s="473" t="inlineStr">
        <is>
          <t>Amendment - verify base</t>
        </is>
      </c>
      <c r="L117" s="473" t="n"/>
      <c r="M117" s="473" t="n"/>
      <c r="N117" s="473" t="inlineStr">
        <is>
          <t>T3,4,7,8</t>
        </is>
      </c>
      <c r="O117" s="474" t="n"/>
      <c r="P117" s="520" t="n"/>
      <c r="Q117" s="473" t="n"/>
    </row>
    <row r="118" ht="25.5" customHeight="1" s="267">
      <c r="A118" s="472" t="n">
        <v>1</v>
      </c>
      <c r="B118" s="472" t="inlineStr">
        <is>
          <t>Expired (term)</t>
        </is>
      </c>
      <c r="C118" s="473" t="n"/>
      <c r="D118" s="473" t="inlineStr">
        <is>
          <t>Oil and Gas Lease</t>
        </is>
      </c>
      <c r="E118" s="473" t="inlineStr">
        <is>
          <t>1676/377</t>
        </is>
      </c>
      <c r="F118" s="474" t="n">
        <v>37347</v>
      </c>
      <c r="G118" s="474" t="n">
        <v>37372</v>
      </c>
      <c r="H118" s="473" t="inlineStr">
        <is>
          <t>Myron V. Slobin</t>
        </is>
      </c>
      <c r="I118" s="473" t="inlineStr">
        <is>
          <t>Chesapeake Exploration, Ltd. Partnership</t>
        </is>
      </c>
      <c r="J118" s="473" t="inlineStr">
        <is>
          <t>NW/4 SE/4, S/2 SE/4, SW/4 NE/4 of 31-12N-24W</t>
        </is>
      </c>
      <c r="K118" s="473" t="inlineStr">
        <is>
          <t>Duplicate OGL#/Bk-Pg — verify operative entry.</t>
        </is>
      </c>
      <c r="L118" s="473" t="n">
        <v>36</v>
      </c>
      <c r="M118" s="473" t="n">
        <v>160</v>
      </c>
      <c r="N118" s="473" t="inlineStr">
        <is>
          <t>T2</t>
        </is>
      </c>
      <c r="O118" s="474" t="n">
        <v>38443</v>
      </c>
      <c r="P118" s="520" t="n"/>
      <c r="Q118" s="473" t="n">
        <v>0.25</v>
      </c>
      <c r="W118" s="50" t="inlineStr">
        <is>
          <t>F</t>
        </is>
      </c>
    </row>
    <row r="119" ht="25.5" customHeight="1" s="267">
      <c r="A119" s="472" t="n">
        <v>1</v>
      </c>
      <c r="B119" s="472" t="inlineStr">
        <is>
          <t>Expired (term)</t>
        </is>
      </c>
      <c r="C119" s="473" t="n"/>
      <c r="D119" s="473" t="inlineStr">
        <is>
          <t>Lease</t>
        </is>
      </c>
      <c r="E119" s="473" t="inlineStr">
        <is>
          <t>1676/377</t>
        </is>
      </c>
      <c r="F119" s="474" t="n">
        <v>37347</v>
      </c>
      <c r="G119" s="474" t="n">
        <v>37372</v>
      </c>
      <c r="H119" s="473" t="inlineStr">
        <is>
          <t>Myron V. Slobin</t>
        </is>
      </c>
      <c r="I119" s="473" t="inlineStr">
        <is>
          <t>Chesapeake Exploration Ltd. Ptn</t>
        </is>
      </c>
      <c r="J119" s="473" t="inlineStr">
        <is>
          <t>31-12N-24W</t>
        </is>
      </c>
      <c r="K119" s="473" t="inlineStr">
        <is>
          <t>Duplicate OGL#/Bk-Pg — verify operative entry.</t>
        </is>
      </c>
      <c r="L119" s="473" t="n">
        <v>36</v>
      </c>
      <c r="M119" s="473" t="n">
        <v>160</v>
      </c>
      <c r="N119" s="473" t="inlineStr">
        <is>
          <t>T1,2,3,4,5,6,7,8</t>
        </is>
      </c>
      <c r="O119" s="474" t="n">
        <v>38443</v>
      </c>
      <c r="P119" s="520" t="n"/>
      <c r="Q119" s="473" t="n">
        <v>0.25</v>
      </c>
      <c r="W119" s="50" t="inlineStr">
        <is>
          <t>F</t>
        </is>
      </c>
    </row>
    <row r="120" ht="25.5" customHeight="1" s="267">
      <c r="A120" s="472" t="n">
        <v>3</v>
      </c>
      <c r="B120" s="472" t="inlineStr">
        <is>
          <t>Expired (term)</t>
        </is>
      </c>
      <c r="C120" s="473" t="n"/>
      <c r="D120" s="473" t="inlineStr">
        <is>
          <t>Oil and Gas Lease</t>
        </is>
      </c>
      <c r="E120" s="473" t="inlineStr">
        <is>
          <t>1688/108</t>
        </is>
      </c>
      <c r="F120" s="474" t="n">
        <v>37354</v>
      </c>
      <c r="G120" s="474" t="n">
        <v>37503</v>
      </c>
      <c r="H120" s="473" t="inlineStr">
        <is>
          <t>L. A. Persicke</t>
        </is>
      </c>
      <c r="I120" s="473" t="inlineStr">
        <is>
          <t>Chesapeake Exploration, Ltd. Partnership</t>
        </is>
      </c>
      <c r="J120" s="473" t="inlineStr">
        <is>
          <t>NW/4 SE/4, S/2 SE/4, SW/4 NE/4 of 31-12N-24W</t>
        </is>
      </c>
      <c r="K120" s="473" t="inlineStr">
        <is>
          <t>Duplicate OGL#/Bk-Pg — verify operative entry.</t>
        </is>
      </c>
      <c r="L120" s="473" t="n">
        <v>36</v>
      </c>
      <c r="M120" s="473" t="n">
        <v>160</v>
      </c>
      <c r="N120" s="473" t="inlineStr">
        <is>
          <t>T2</t>
        </is>
      </c>
      <c r="O120" s="474" t="n">
        <v>38450</v>
      </c>
      <c r="P120" s="520" t="n"/>
      <c r="Q120" s="473" t="n">
        <v>0.125</v>
      </c>
      <c r="W120" s="50" t="inlineStr">
        <is>
          <t>F</t>
        </is>
      </c>
    </row>
    <row r="121" ht="25.5" customHeight="1" s="267">
      <c r="A121" s="472" t="n">
        <v>8</v>
      </c>
      <c r="B121" s="472" t="inlineStr">
        <is>
          <t>Expired (term)</t>
        </is>
      </c>
      <c r="C121" s="473" t="n"/>
      <c r="D121" s="473" t="inlineStr">
        <is>
          <t>Lease</t>
        </is>
      </c>
      <c r="E121" s="473" t="inlineStr">
        <is>
          <t>1688/108</t>
        </is>
      </c>
      <c r="F121" s="474" t="n">
        <v>37354</v>
      </c>
      <c r="G121" s="474" t="n">
        <v>37503</v>
      </c>
      <c r="H121" s="473" t="inlineStr">
        <is>
          <t>L. A. Persicke</t>
        </is>
      </c>
      <c r="I121" s="473" t="inlineStr">
        <is>
          <t>Chesapeake Exploration Ltd. Ptn</t>
        </is>
      </c>
      <c r="J121" s="473" t="inlineStr">
        <is>
          <t>31-12N-24W</t>
        </is>
      </c>
      <c r="K121" s="473" t="inlineStr">
        <is>
          <t>Duplicate OGL#/Bk-Pg — verify operative entry.</t>
        </is>
      </c>
      <c r="L121" s="473" t="n">
        <v>36</v>
      </c>
      <c r="M121" s="473" t="n">
        <v>160</v>
      </c>
      <c r="N121" s="473" t="inlineStr">
        <is>
          <t>T1,2,3,4,5,6,7,8</t>
        </is>
      </c>
      <c r="O121" s="474" t="n">
        <v>38450</v>
      </c>
      <c r="P121" s="520" t="n"/>
      <c r="Q121" s="473" t="n">
        <v>0.125</v>
      </c>
      <c r="W121" s="50" t="inlineStr">
        <is>
          <t>F</t>
        </is>
      </c>
    </row>
    <row r="122" ht="25.5" customHeight="1" s="267">
      <c r="A122" s="472" t="n">
        <v>2</v>
      </c>
      <c r="B122" s="472" t="inlineStr">
        <is>
          <t>Expired (term)</t>
        </is>
      </c>
      <c r="C122" s="473" t="n"/>
      <c r="D122" s="473" t="inlineStr">
        <is>
          <t>Oil and Gas Lease</t>
        </is>
      </c>
      <c r="E122" s="473" t="inlineStr">
        <is>
          <t>1676/379</t>
        </is>
      </c>
      <c r="F122" s="474" t="n">
        <v>37354</v>
      </c>
      <c r="G122" s="474" t="n">
        <v>37372</v>
      </c>
      <c r="H122" s="473" t="inlineStr">
        <is>
          <t>Paul A, Personal Rep. Albert</t>
        </is>
      </c>
      <c r="I122" s="473" t="inlineStr">
        <is>
          <t>Chesapeake Exploration, Ltd. Partnership</t>
        </is>
      </c>
      <c r="J122" s="473" t="inlineStr">
        <is>
          <t>SE/4 SW/4 of 31-12N-24W</t>
        </is>
      </c>
      <c r="K122" s="473" t="inlineStr">
        <is>
          <t>Duplicate OGL#/Bk-Pg — verify operative entry.</t>
        </is>
      </c>
      <c r="L122" s="473" t="n">
        <v>36</v>
      </c>
      <c r="M122" s="473" t="n">
        <v>40</v>
      </c>
      <c r="N122" s="473" t="inlineStr">
        <is>
          <t>T5</t>
        </is>
      </c>
      <c r="O122" s="474" t="n">
        <v>38450</v>
      </c>
      <c r="P122" s="520" t="n"/>
      <c r="Q122" s="473" t="n">
        <v>0.25</v>
      </c>
      <c r="W122" s="50" t="inlineStr">
        <is>
          <t>F</t>
        </is>
      </c>
    </row>
    <row r="123" ht="25.5" customHeight="1" s="267">
      <c r="A123" s="472" t="n">
        <v>2</v>
      </c>
      <c r="B123" s="472" t="inlineStr">
        <is>
          <t>Expired (term)</t>
        </is>
      </c>
      <c r="C123" s="473" t="n"/>
      <c r="D123" s="473" t="inlineStr">
        <is>
          <t>Lease</t>
        </is>
      </c>
      <c r="E123" s="473" t="inlineStr">
        <is>
          <t>1676/379</t>
        </is>
      </c>
      <c r="F123" s="474" t="n">
        <v>37354</v>
      </c>
      <c r="G123" s="474" t="n">
        <v>37372</v>
      </c>
      <c r="H123" s="473" t="inlineStr">
        <is>
          <t>Paul A. Prsnl Rep Albert</t>
        </is>
      </c>
      <c r="I123" s="473" t="inlineStr">
        <is>
          <t>Chesapeake Exploration Ltd. Ptn</t>
        </is>
      </c>
      <c r="J123" s="473" t="inlineStr">
        <is>
          <t>31-12N-24W</t>
        </is>
      </c>
      <c r="K123" s="473" t="inlineStr">
        <is>
          <t>Duplicate OGL#/Bk-Pg — verify operative entry.</t>
        </is>
      </c>
      <c r="L123" s="473" t="n">
        <v>36</v>
      </c>
      <c r="M123" s="473" t="n">
        <v>40</v>
      </c>
      <c r="N123" s="473" t="inlineStr">
        <is>
          <t>T1,2,3,4,5,6,7,8</t>
        </is>
      </c>
      <c r="O123" s="474" t="n">
        <v>38450</v>
      </c>
      <c r="P123" s="520" t="n"/>
      <c r="Q123" s="473" t="n">
        <v>0.25</v>
      </c>
      <c r="W123" s="50" t="inlineStr">
        <is>
          <t>F</t>
        </is>
      </c>
    </row>
    <row r="124" ht="25.5" customHeight="1" s="267">
      <c r="A124" s="472" t="n">
        <v>4</v>
      </c>
      <c r="B124" s="472" t="inlineStr">
        <is>
          <t>Expired (term)</t>
        </is>
      </c>
      <c r="C124" s="473" t="n"/>
      <c r="D124" s="473" t="inlineStr">
        <is>
          <t>Oil and Gas Lease</t>
        </is>
      </c>
      <c r="E124" s="473" t="inlineStr">
        <is>
          <t>1677/533</t>
        </is>
      </c>
      <c r="F124" s="474" t="n">
        <v>37361</v>
      </c>
      <c r="G124" s="474" t="n">
        <v>37389</v>
      </c>
      <c r="H124" s="473" t="inlineStr">
        <is>
          <t>David S. Silverberg</t>
        </is>
      </c>
      <c r="I124" s="473" t="inlineStr">
        <is>
          <t>EOG Resources, Inc.</t>
        </is>
      </c>
      <c r="J124" s="473" t="inlineStr">
        <is>
          <t>NW/4 SE/4, S/2 SE/4, SW/4 NE/4 of 31-12N-24W</t>
        </is>
      </c>
      <c r="K124" s="473" t="inlineStr">
        <is>
          <t>Duplicate OGL#/Bk-Pg — verify operative entry.</t>
        </is>
      </c>
      <c r="L124" s="473" t="n">
        <v>36</v>
      </c>
      <c r="M124" s="473" t="n">
        <v>160</v>
      </c>
      <c r="N124" s="473" t="inlineStr">
        <is>
          <t>T2</t>
        </is>
      </c>
      <c r="O124" s="474" t="n">
        <v>38457</v>
      </c>
      <c r="P124" s="520" t="n"/>
      <c r="Q124" s="473" t="n">
        <v>0.1875</v>
      </c>
      <c r="W124" s="50" t="inlineStr">
        <is>
          <t>F</t>
        </is>
      </c>
    </row>
    <row r="125" ht="25.5" customHeight="1" s="267">
      <c r="A125" s="472" t="n">
        <v>5</v>
      </c>
      <c r="B125" s="472" t="inlineStr">
        <is>
          <t>Expired (term)</t>
        </is>
      </c>
      <c r="C125" s="473" t="n"/>
      <c r="D125" s="473" t="inlineStr">
        <is>
          <t>Lease</t>
        </is>
      </c>
      <c r="E125" s="473" t="inlineStr">
        <is>
          <t>1677/533</t>
        </is>
      </c>
      <c r="F125" s="474" t="n">
        <v>37361</v>
      </c>
      <c r="G125" s="474" t="n">
        <v>37389</v>
      </c>
      <c r="H125" s="473" t="inlineStr">
        <is>
          <t>David S. Silverberg</t>
        </is>
      </c>
      <c r="I125" s="473" t="inlineStr">
        <is>
          <t>EOG Resources Inc.</t>
        </is>
      </c>
      <c r="J125" s="473" t="inlineStr">
        <is>
          <t>31-12N-24W</t>
        </is>
      </c>
      <c r="K125" s="473" t="inlineStr">
        <is>
          <t>Duplicate OGL#/Bk-Pg — verify operative entry.</t>
        </is>
      </c>
      <c r="L125" s="473" t="n">
        <v>36</v>
      </c>
      <c r="M125" s="473" t="n">
        <v>160</v>
      </c>
      <c r="N125" s="473" t="inlineStr">
        <is>
          <t>T1,2,3,4,5,6,7,8</t>
        </is>
      </c>
      <c r="O125" s="474" t="n">
        <v>38457</v>
      </c>
      <c r="P125" s="520" t="n"/>
      <c r="Q125" s="473" t="n">
        <v>0.1875</v>
      </c>
      <c r="W125" s="50" t="inlineStr">
        <is>
          <t>F</t>
        </is>
      </c>
    </row>
    <row r="126" ht="25.5" customHeight="1" s="267">
      <c r="A126" s="472" t="n">
        <v>5</v>
      </c>
      <c r="B126" s="472" t="inlineStr">
        <is>
          <t>Expired (term)</t>
        </is>
      </c>
      <c r="C126" s="473" t="n"/>
      <c r="D126" s="473" t="inlineStr">
        <is>
          <t>Oil and Gas Lease</t>
        </is>
      </c>
      <c r="E126" s="473" t="inlineStr">
        <is>
          <t>1677/516</t>
        </is>
      </c>
      <c r="F126" s="474" t="n">
        <v>37364</v>
      </c>
      <c r="G126" s="474" t="n">
        <v>37389</v>
      </c>
      <c r="H126" s="473" t="inlineStr">
        <is>
          <t>Lyle T. Ibeling</t>
        </is>
      </c>
      <c r="I126" s="473" t="inlineStr">
        <is>
          <t>Chesapeake Exploration Co., Ltd. Partnership</t>
        </is>
      </c>
      <c r="J126" s="473" t="inlineStr">
        <is>
          <t>NW/4 SE/4, S/2 SE/4, SW/4 NE/4 of 31-12N-24W</t>
        </is>
      </c>
      <c r="K126" s="473" t="inlineStr">
        <is>
          <t>Duplicate OGL#/Bk-Pg — verify operative entry.</t>
        </is>
      </c>
      <c r="L126" s="473" t="n">
        <v>36</v>
      </c>
      <c r="M126" s="473" t="n">
        <v>160</v>
      </c>
      <c r="N126" s="473" t="inlineStr">
        <is>
          <t>T2</t>
        </is>
      </c>
      <c r="O126" s="474" t="n">
        <v>38460</v>
      </c>
      <c r="P126" s="520" t="n"/>
      <c r="Q126" s="473" t="n">
        <v>0.25</v>
      </c>
      <c r="W126" s="50" t="inlineStr">
        <is>
          <t>F</t>
        </is>
      </c>
    </row>
    <row r="127" ht="25.5" customHeight="1" s="267">
      <c r="A127" s="472" t="n">
        <v>4</v>
      </c>
      <c r="B127" s="472" t="inlineStr">
        <is>
          <t>Expired (term)</t>
        </is>
      </c>
      <c r="C127" s="473" t="n"/>
      <c r="D127" s="473" t="inlineStr">
        <is>
          <t>Lease</t>
        </is>
      </c>
      <c r="E127" s="473" t="inlineStr">
        <is>
          <t>1677/516</t>
        </is>
      </c>
      <c r="F127" s="474" t="n">
        <v>37364</v>
      </c>
      <c r="G127" s="474" t="n">
        <v>37389</v>
      </c>
      <c r="H127" s="473" t="inlineStr">
        <is>
          <t>Lyle T. Ibeling</t>
        </is>
      </c>
      <c r="I127" s="473" t="inlineStr">
        <is>
          <t>Chesapeake Exploration Co. Ltd. Ptn</t>
        </is>
      </c>
      <c r="J127" s="473" t="inlineStr">
        <is>
          <t>31-12N-24W</t>
        </is>
      </c>
      <c r="K127" s="473" t="inlineStr">
        <is>
          <t>Duplicate OGL#/Bk-Pg — verify operative entry.</t>
        </is>
      </c>
      <c r="L127" s="473" t="n">
        <v>36</v>
      </c>
      <c r="M127" s="473" t="n">
        <v>160</v>
      </c>
      <c r="N127" s="473" t="inlineStr">
        <is>
          <t>T1,2,3,4,5,6,7,8</t>
        </is>
      </c>
      <c r="O127" s="474" t="n">
        <v>38460</v>
      </c>
      <c r="P127" s="520" t="n"/>
      <c r="Q127" s="473" t="n">
        <v>0.25</v>
      </c>
      <c r="W127" s="50" t="inlineStr">
        <is>
          <t>F</t>
        </is>
      </c>
    </row>
    <row r="128" ht="25.5" customHeight="1" s="267">
      <c r="A128" s="472" t="n">
        <v>6</v>
      </c>
      <c r="B128" s="472" t="inlineStr">
        <is>
          <t>Expired (term)</t>
        </is>
      </c>
      <c r="C128" s="473" t="n"/>
      <c r="D128" s="473" t="inlineStr">
        <is>
          <t>Oil and Gas Lease</t>
        </is>
      </c>
      <c r="E128" s="473" t="inlineStr">
        <is>
          <t>1683/1</t>
        </is>
      </c>
      <c r="F128" s="474" t="n">
        <v>37381</v>
      </c>
      <c r="G128" s="474" t="n">
        <v>37433</v>
      </c>
      <c r="H128" s="473" t="inlineStr">
        <is>
          <t>Deborah A. Deutsch, Paul R. Deutsch</t>
        </is>
      </c>
      <c r="I128" s="473" t="inlineStr">
        <is>
          <t>EOG Resources, Inc.</t>
        </is>
      </c>
      <c r="J128" s="473" t="inlineStr">
        <is>
          <t>NW/4 SE/4, S/2 SE/4, SW/4 NE/4 of 31-12N-24W</t>
        </is>
      </c>
      <c r="K128" s="473" t="inlineStr">
        <is>
          <t>Duplicate OGL#/Bk-Pg — verify operative entry.</t>
        </is>
      </c>
      <c r="L128" s="473" t="n">
        <v>36</v>
      </c>
      <c r="M128" s="473" t="n">
        <v>160</v>
      </c>
      <c r="N128" s="473" t="inlineStr">
        <is>
          <t>T2</t>
        </is>
      </c>
      <c r="O128" s="474" t="n">
        <v>38477</v>
      </c>
      <c r="P128" s="520" t="n"/>
      <c r="Q128" s="473" t="n">
        <v>0.1875</v>
      </c>
      <c r="W128" s="50" t="inlineStr">
        <is>
          <t>F</t>
        </is>
      </c>
    </row>
    <row r="129" ht="25.5" customHeight="1" s="267">
      <c r="A129" s="472" t="n">
        <v>6</v>
      </c>
      <c r="B129" s="472" t="inlineStr">
        <is>
          <t>Expired (term)</t>
        </is>
      </c>
      <c r="C129" s="473" t="n"/>
      <c r="D129" s="473" t="inlineStr">
        <is>
          <t>Lease</t>
        </is>
      </c>
      <c r="E129" s="473" t="inlineStr">
        <is>
          <t>1683/1</t>
        </is>
      </c>
      <c r="F129" s="474" t="n">
        <v>37381</v>
      </c>
      <c r="G129" s="474" t="n">
        <v>37433</v>
      </c>
      <c r="H129" s="473" t="inlineStr">
        <is>
          <t>Paul R. &amp; Deborah A. Deutseh</t>
        </is>
      </c>
      <c r="I129" s="473" t="inlineStr">
        <is>
          <t>EOG Resources</t>
        </is>
      </c>
      <c r="J129" s="473" t="inlineStr">
        <is>
          <t>31-12N-24W</t>
        </is>
      </c>
      <c r="K129" s="473" t="inlineStr">
        <is>
          <t>Duplicate OGL#/Bk-Pg — verify operative entry.</t>
        </is>
      </c>
      <c r="L129" s="473" t="n">
        <v>36</v>
      </c>
      <c r="M129" s="473" t="n">
        <v>160</v>
      </c>
      <c r="N129" s="473" t="inlineStr">
        <is>
          <t>T1,2,3,4,5,6,7,8</t>
        </is>
      </c>
      <c r="O129" s="474" t="n">
        <v>38477</v>
      </c>
      <c r="P129" s="520" t="n"/>
      <c r="Q129" s="473" t="n">
        <v>0.1875</v>
      </c>
      <c r="W129" s="50" t="inlineStr">
        <is>
          <t>F</t>
        </is>
      </c>
    </row>
    <row r="130" ht="25.5" customHeight="1" s="267">
      <c r="A130" s="472" t="n">
        <v>3</v>
      </c>
      <c r="B130" s="472" t="inlineStr">
        <is>
          <t>Expired (term)</t>
        </is>
      </c>
      <c r="C130" s="473" t="n"/>
      <c r="D130" s="473" t="inlineStr">
        <is>
          <t>Lease</t>
        </is>
      </c>
      <c r="E130" s="473" t="inlineStr">
        <is>
          <t>1677/512</t>
        </is>
      </c>
      <c r="F130" s="474" t="n">
        <v>37384</v>
      </c>
      <c r="G130" s="474" t="n">
        <v>37389</v>
      </c>
      <c r="H130" s="473" t="inlineStr">
        <is>
          <t>Hayhurst Oil Properties Inc.</t>
        </is>
      </c>
      <c r="I130" s="473" t="inlineStr">
        <is>
          <t>Fleshman Agency Inc.</t>
        </is>
      </c>
      <c r="J130" s="473" t="inlineStr">
        <is>
          <t>31-12N-24W</t>
        </is>
      </c>
      <c r="K130" s="473" t="inlineStr">
        <is>
          <t>Duplicate OGL#/Bk-Pg — verify operative entry.</t>
        </is>
      </c>
      <c r="L130" s="473" t="n">
        <v>12</v>
      </c>
      <c r="M130" s="473" t="n">
        <v>180</v>
      </c>
      <c r="N130" s="473" t="inlineStr">
        <is>
          <t>T1,2,3,4,5,6,7,8</t>
        </is>
      </c>
      <c r="O130" s="474" t="n">
        <v>37749</v>
      </c>
      <c r="P130" s="520" t="n"/>
      <c r="Q130" s="473" t="n">
        <v>0.25</v>
      </c>
      <c r="W130" s="50" t="inlineStr">
        <is>
          <t>F</t>
        </is>
      </c>
    </row>
    <row r="131" ht="25.5" customHeight="1" s="267">
      <c r="A131" s="472" t="n">
        <v>7</v>
      </c>
      <c r="B131" s="472" t="inlineStr">
        <is>
          <t>Expired (term)</t>
        </is>
      </c>
      <c r="C131" s="473" t="n"/>
      <c r="D131" s="473" t="inlineStr">
        <is>
          <t>Oil and Gas Lease</t>
        </is>
      </c>
      <c r="E131" s="473" t="inlineStr">
        <is>
          <t>1677/512</t>
        </is>
      </c>
      <c r="F131" s="474" t="n">
        <v>37384</v>
      </c>
      <c r="G131" s="474" t="n">
        <v>37389</v>
      </c>
      <c r="H131" s="473" t="inlineStr">
        <is>
          <t>Hayhurst Oil Properties, Inc.</t>
        </is>
      </c>
      <c r="I131" s="473" t="inlineStr">
        <is>
          <t>Fleshman Agency, Inc.</t>
        </is>
      </c>
      <c r="J131" s="473" t="inlineStr">
        <is>
          <t>E/2 NW/4, N/2 NE/4 SW/4, NE/4 SE/4, SE/4 NE/4 of 31-12N-24W</t>
        </is>
      </c>
      <c r="K131" s="473" t="inlineStr">
        <is>
          <t>Duplicate OGL#/Bk-Pg — verify operative entry.</t>
        </is>
      </c>
      <c r="L131" s="473" t="n">
        <v>12</v>
      </c>
      <c r="M131" s="473" t="n">
        <v>180</v>
      </c>
      <c r="N131" s="473" t="inlineStr">
        <is>
          <t>T3,4,7,8</t>
        </is>
      </c>
      <c r="O131" s="474" t="n">
        <v>37749</v>
      </c>
      <c r="P131" s="520" t="n"/>
      <c r="Q131" s="473" t="n">
        <v>0.25</v>
      </c>
      <c r="W131" s="50" t="inlineStr">
        <is>
          <t>F</t>
        </is>
      </c>
    </row>
    <row r="132" ht="25.5" customHeight="1" s="267">
      <c r="A132" s="472" t="n">
        <v>7</v>
      </c>
      <c r="B132" s="472" t="inlineStr">
        <is>
          <t>Expired (term)</t>
        </is>
      </c>
      <c r="C132" s="473" t="n"/>
      <c r="D132" s="473" t="inlineStr">
        <is>
          <t>Lease</t>
        </is>
      </c>
      <c r="E132" s="473" t="inlineStr">
        <is>
          <t>1686/580</t>
        </is>
      </c>
      <c r="F132" s="474" t="n">
        <v>37426</v>
      </c>
      <c r="G132" s="474" t="n">
        <v>37484</v>
      </c>
      <c r="H132" s="473" t="inlineStr">
        <is>
          <t>Peggy Atty For Bain William C. Jr Brawner</t>
        </is>
      </c>
      <c r="I132" s="473" t="inlineStr">
        <is>
          <t>EOG Resources</t>
        </is>
      </c>
      <c r="J132" s="473" t="inlineStr">
        <is>
          <t>31-12N-24W</t>
        </is>
      </c>
      <c r="K132" s="473" t="inlineStr">
        <is>
          <t>Duplicate OGL#/Bk-Pg — verify operative entry.</t>
        </is>
      </c>
      <c r="L132" s="473" t="n">
        <v>36</v>
      </c>
      <c r="M132" s="473" t="n">
        <v>160</v>
      </c>
      <c r="N132" s="473" t="inlineStr">
        <is>
          <t>T1,2,3,4,5,6,7,8</t>
        </is>
      </c>
      <c r="O132" s="474" t="n">
        <v>38522</v>
      </c>
      <c r="P132" s="520" t="n"/>
      <c r="Q132" s="473" t="n">
        <v>0.125</v>
      </c>
      <c r="W132" s="50" t="inlineStr">
        <is>
          <t>F</t>
        </is>
      </c>
    </row>
    <row r="133" ht="38.25" customHeight="1" s="267">
      <c r="A133" s="472" t="n">
        <v>8</v>
      </c>
      <c r="B133" s="472" t="inlineStr">
        <is>
          <t>Expired (term)</t>
        </is>
      </c>
      <c r="C133" s="473" t="n"/>
      <c r="D133" s="473" t="inlineStr">
        <is>
          <t>Oil and Gas Lease</t>
        </is>
      </c>
      <c r="E133" s="473" t="inlineStr">
        <is>
          <t>1686/580</t>
        </is>
      </c>
      <c r="F133" s="474" t="n">
        <v>37426</v>
      </c>
      <c r="G133" s="474" t="n">
        <v>37484</v>
      </c>
      <c r="H133" s="473" t="inlineStr">
        <is>
          <t>William C, Bain, Jr., Peggy, Atty In Fact Brawner</t>
        </is>
      </c>
      <c r="I133" s="473" t="inlineStr">
        <is>
          <t>EOG Resources, Inc.</t>
        </is>
      </c>
      <c r="J133" s="473" t="inlineStr">
        <is>
          <t>NW/4 SE/4, S/2 SE/4, SW/4 NE/4 of 31-12N-24W</t>
        </is>
      </c>
      <c r="K133" s="473" t="inlineStr">
        <is>
          <t>Duplicate OGL#/Bk-Pg — verify operative entry.</t>
        </is>
      </c>
      <c r="L133" s="473" t="n">
        <v>36</v>
      </c>
      <c r="M133" s="473" t="n">
        <v>160</v>
      </c>
      <c r="N133" s="473" t="inlineStr">
        <is>
          <t>T2</t>
        </is>
      </c>
      <c r="O133" s="474" t="n">
        <v>38522</v>
      </c>
      <c r="P133" s="520" t="n"/>
      <c r="Q133" s="473" t="n">
        <v>0.125</v>
      </c>
      <c r="W133" s="50" t="inlineStr">
        <is>
          <t>F</t>
        </is>
      </c>
    </row>
    <row r="134" ht="25.5" customHeight="1" s="267">
      <c r="A134" s="472" t="n">
        <v>9</v>
      </c>
      <c r="B134" s="472" t="inlineStr">
        <is>
          <t>Expired (term)</t>
        </is>
      </c>
      <c r="C134" s="473" t="n"/>
      <c r="D134" s="473" t="inlineStr">
        <is>
          <t>Oil and Gas Lease</t>
        </is>
      </c>
      <c r="E134" s="473" t="inlineStr">
        <is>
          <t>1689/464</t>
        </is>
      </c>
      <c r="F134" s="474" t="n">
        <v>37496</v>
      </c>
      <c r="G134" s="474" t="n">
        <v>37525</v>
      </c>
      <c r="H134" s="473" t="inlineStr">
        <is>
          <t>Gregory J. Winneke</t>
        </is>
      </c>
      <c r="I134" s="473" t="inlineStr">
        <is>
          <t>EOG Resources, Inc.</t>
        </is>
      </c>
      <c r="J134" s="473" t="inlineStr">
        <is>
          <t>NW/4 SE/4, S/2 SE/4, SW/4 NE/4 of 31-12N-24W</t>
        </is>
      </c>
      <c r="K134" s="473" t="inlineStr">
        <is>
          <t>Duplicate OGL#/Bk-Pg — verify operative entry.</t>
        </is>
      </c>
      <c r="L134" s="473" t="n">
        <v>36</v>
      </c>
      <c r="M134" s="473" t="n">
        <v>160</v>
      </c>
      <c r="N134" s="473" t="inlineStr">
        <is>
          <t>T2</t>
        </is>
      </c>
      <c r="O134" s="474" t="n">
        <v>38592</v>
      </c>
      <c r="P134" s="520" t="n"/>
      <c r="Q134" s="473" t="n">
        <v>0.1875</v>
      </c>
      <c r="W134" s="50" t="inlineStr">
        <is>
          <t>F</t>
        </is>
      </c>
    </row>
    <row r="135" ht="25.5" customHeight="1" s="267">
      <c r="A135" s="472" t="n">
        <v>9</v>
      </c>
      <c r="B135" s="472" t="inlineStr">
        <is>
          <t>Expired (term)</t>
        </is>
      </c>
      <c r="C135" s="473" t="n"/>
      <c r="D135" s="473" t="inlineStr">
        <is>
          <t>Lease</t>
        </is>
      </c>
      <c r="E135" s="473" t="inlineStr">
        <is>
          <t>1689/464</t>
        </is>
      </c>
      <c r="F135" s="474" t="n">
        <v>37496</v>
      </c>
      <c r="G135" s="474" t="n">
        <v>37525</v>
      </c>
      <c r="H135" s="473" t="inlineStr">
        <is>
          <t>Gregory J. Winneke</t>
        </is>
      </c>
      <c r="I135" s="473" t="inlineStr">
        <is>
          <t>EOG Resources</t>
        </is>
      </c>
      <c r="J135" s="473" t="inlineStr">
        <is>
          <t>31-12N-24W</t>
        </is>
      </c>
      <c r="K135" s="473" t="inlineStr">
        <is>
          <t>Duplicate OGL#/Bk-Pg — verify operative entry.</t>
        </is>
      </c>
      <c r="L135" s="473" t="n">
        <v>36</v>
      </c>
      <c r="M135" s="473" t="n">
        <v>160</v>
      </c>
      <c r="N135" s="473" t="inlineStr">
        <is>
          <t>T1,2,3,4,5,6,7,8</t>
        </is>
      </c>
      <c r="O135" s="474" t="n">
        <v>38592</v>
      </c>
      <c r="P135" s="520" t="n"/>
      <c r="Q135" s="473" t="n">
        <v>0.1875</v>
      </c>
      <c r="W135" s="50" t="inlineStr">
        <is>
          <t>F</t>
        </is>
      </c>
    </row>
    <row r="136" ht="38.25" customHeight="1" s="267">
      <c r="A136" s="472" t="n">
        <v>10</v>
      </c>
      <c r="B136" s="472" t="inlineStr">
        <is>
          <t>Expired (term)</t>
        </is>
      </c>
      <c r="C136" s="473" t="n"/>
      <c r="D136" s="473" t="inlineStr">
        <is>
          <t>Oil and Gas Lease</t>
        </is>
      </c>
      <c r="E136" s="473" t="inlineStr">
        <is>
          <t>1736/592</t>
        </is>
      </c>
      <c r="F136" s="474" t="n">
        <v>37999</v>
      </c>
      <c r="G136" s="474" t="n">
        <v>38029</v>
      </c>
      <c r="H136" s="473" t="inlineStr">
        <is>
          <t>Nancy Mitchell Williams</t>
        </is>
      </c>
      <c r="I136" s="473" t="inlineStr">
        <is>
          <t>R. Michael Lortz</t>
        </is>
      </c>
      <c r="J136" s="473" t="inlineStr">
        <is>
          <t>E/2 NW/4, N/2 NE/4, N/2 NE/4 SW/4, Lot 4, NE/4 SE/4, S/2 NE/4 SW/4, SE/4 NE/4, SE/4 SW/4 of 31-12N-24W</t>
        </is>
      </c>
      <c r="K136" s="473" t="inlineStr">
        <is>
          <t>Duplicate OGL#/Bk-Pg — verify operative entry.</t>
        </is>
      </c>
      <c r="L136" s="473" t="n">
        <v>36</v>
      </c>
      <c r="M136" s="473" t="n">
        <v>375.334991</v>
      </c>
      <c r="N136" s="473" t="inlineStr">
        <is>
          <t>T1,3,4,5,6,7,8</t>
        </is>
      </c>
      <c r="O136" s="474" t="n">
        <v>39095</v>
      </c>
      <c r="P136" s="520" t="n"/>
      <c r="Q136" s="473" t="n">
        <v>0.1875</v>
      </c>
      <c r="W136" s="50" t="inlineStr">
        <is>
          <t>F</t>
        </is>
      </c>
    </row>
    <row r="137" ht="25.5" customHeight="1" s="267">
      <c r="A137" s="472" t="n">
        <v>12</v>
      </c>
      <c r="B137" s="472" t="inlineStr">
        <is>
          <t>Expired (term)</t>
        </is>
      </c>
      <c r="C137" s="473" t="n"/>
      <c r="D137" s="473" t="inlineStr">
        <is>
          <t>Lease</t>
        </is>
      </c>
      <c r="E137" s="473" t="inlineStr">
        <is>
          <t>1736/592</t>
        </is>
      </c>
      <c r="F137" s="474" t="n">
        <v>37999</v>
      </c>
      <c r="G137" s="474" t="n">
        <v>38029</v>
      </c>
      <c r="H137" s="473" t="inlineStr">
        <is>
          <t>Nancy Mitchell Williams</t>
        </is>
      </c>
      <c r="I137" s="473" t="inlineStr">
        <is>
          <t>R. Michael Lortz</t>
        </is>
      </c>
      <c r="J137" s="473" t="inlineStr">
        <is>
          <t>31-12N-24W</t>
        </is>
      </c>
      <c r="K137" s="473" t="inlineStr">
        <is>
          <t>Duplicate OGL#/Bk-Pg — verify operative entry.</t>
        </is>
      </c>
      <c r="L137" s="473" t="n">
        <v>36</v>
      </c>
      <c r="M137" s="473" t="n">
        <v>375.334991</v>
      </c>
      <c r="N137" s="473" t="inlineStr">
        <is>
          <t>T1,2,3,4,5,6,7,8</t>
        </is>
      </c>
      <c r="O137" s="474" t="n">
        <v>39095</v>
      </c>
      <c r="P137" s="520" t="n"/>
      <c r="Q137" s="473" t="n">
        <v>0.1875</v>
      </c>
      <c r="W137" s="50" t="inlineStr">
        <is>
          <t>F</t>
        </is>
      </c>
    </row>
    <row r="138" ht="25.5" customHeight="1" s="267">
      <c r="A138" s="472" t="n">
        <v>11</v>
      </c>
      <c r="B138" s="472" t="inlineStr">
        <is>
          <t>Expired (term)</t>
        </is>
      </c>
      <c r="C138" s="473" t="n"/>
      <c r="D138" s="473" t="inlineStr">
        <is>
          <t>Oil and Gas Lease</t>
        </is>
      </c>
      <c r="E138" s="473" t="inlineStr">
        <is>
          <t>1736/588</t>
        </is>
      </c>
      <c r="F138" s="474" t="n">
        <v>38007</v>
      </c>
      <c r="G138" s="474" t="n">
        <v>38029</v>
      </c>
      <c r="H138" s="473" t="inlineStr">
        <is>
          <t>Clarence C. Bain</t>
        </is>
      </c>
      <c r="I138" s="473" t="inlineStr">
        <is>
          <t>R. Michael Lortz</t>
        </is>
      </c>
      <c r="J138" s="473" t="inlineStr">
        <is>
          <t>NW/4 SE/4, S/2 SE/4, SW/4 NE/4 of 31-12N-24W</t>
        </is>
      </c>
      <c r="K138" s="473" t="inlineStr">
        <is>
          <t>Duplicate OGL#/Bk-Pg — verify operative entry.</t>
        </is>
      </c>
      <c r="L138" s="473" t="n">
        <v>36</v>
      </c>
      <c r="M138" s="473" t="n">
        <v>160</v>
      </c>
      <c r="N138" s="473" t="inlineStr">
        <is>
          <t>T2</t>
        </is>
      </c>
      <c r="O138" s="474" t="n">
        <v>39103</v>
      </c>
      <c r="P138" s="520" t="n"/>
      <c r="Q138" s="473" t="n">
        <v>0.1875</v>
      </c>
      <c r="W138" s="50" t="inlineStr">
        <is>
          <t>F</t>
        </is>
      </c>
    </row>
    <row r="139" ht="25.5" customHeight="1" s="267">
      <c r="A139" s="472" t="n">
        <v>11</v>
      </c>
      <c r="B139" s="472" t="inlineStr">
        <is>
          <t>Expired (term)</t>
        </is>
      </c>
      <c r="C139" s="473" t="n"/>
      <c r="D139" s="473" t="inlineStr">
        <is>
          <t>Lease</t>
        </is>
      </c>
      <c r="E139" s="473" t="inlineStr">
        <is>
          <t>1736/588</t>
        </is>
      </c>
      <c r="F139" s="474" t="n">
        <v>38007</v>
      </c>
      <c r="G139" s="474" t="n">
        <v>38029</v>
      </c>
      <c r="H139" s="473" t="inlineStr">
        <is>
          <t>Clarence C. Ttee Bain</t>
        </is>
      </c>
      <c r="I139" s="473" t="inlineStr">
        <is>
          <t>R. Michael Lortz</t>
        </is>
      </c>
      <c r="J139" s="473" t="inlineStr">
        <is>
          <t>31-12N-24W</t>
        </is>
      </c>
      <c r="K139" s="473" t="inlineStr">
        <is>
          <t>Duplicate OGL#/Bk-Pg — verify operative entry.</t>
        </is>
      </c>
      <c r="L139" s="473" t="n">
        <v>36</v>
      </c>
      <c r="M139" s="473" t="n">
        <v>160</v>
      </c>
      <c r="N139" s="473" t="inlineStr">
        <is>
          <t>T1,2,3,4,5,6,7,8</t>
        </is>
      </c>
      <c r="O139" s="474" t="n">
        <v>39103</v>
      </c>
      <c r="P139" s="520" t="n"/>
      <c r="Q139" s="473" t="n">
        <v>0.1875</v>
      </c>
      <c r="W139" s="50" t="inlineStr">
        <is>
          <t>F</t>
        </is>
      </c>
    </row>
    <row r="140" ht="25.5" customHeight="1" s="267">
      <c r="A140" s="472" t="n">
        <v>12</v>
      </c>
      <c r="B140" s="472" t="inlineStr">
        <is>
          <t>Expired (term)</t>
        </is>
      </c>
      <c r="C140" s="473" t="n"/>
      <c r="D140" s="473" t="inlineStr">
        <is>
          <t>Oil and Gas Lease</t>
        </is>
      </c>
      <c r="E140" s="473" t="inlineStr">
        <is>
          <t>1738/479</t>
        </is>
      </c>
      <c r="F140" s="474" t="n">
        <v>38022</v>
      </c>
      <c r="G140" s="474" t="n">
        <v>38049</v>
      </c>
      <c r="H140" s="473" t="inlineStr">
        <is>
          <t>Lola F. Richards</t>
        </is>
      </c>
      <c r="I140" s="473" t="inlineStr">
        <is>
          <t>R. Michael Lortz</t>
        </is>
      </c>
      <c r="J140" s="473" t="inlineStr">
        <is>
          <t>NW/4 SE/4, S/2 SE/4, SW/4 NE/4 of 31-12N-24W</t>
        </is>
      </c>
      <c r="K140" s="473" t="inlineStr">
        <is>
          <t>Duplicate OGL#/Bk-Pg — verify operative entry.</t>
        </is>
      </c>
      <c r="L140" s="473" t="n">
        <v>36</v>
      </c>
      <c r="M140" s="473" t="n">
        <v>100</v>
      </c>
      <c r="N140" s="473" t="inlineStr">
        <is>
          <t>T2</t>
        </is>
      </c>
      <c r="O140" s="474" t="n">
        <v>39118</v>
      </c>
      <c r="P140" s="520" t="n"/>
      <c r="Q140" s="473" t="n">
        <v>0.1875</v>
      </c>
      <c r="W140" s="50" t="inlineStr">
        <is>
          <t>F</t>
        </is>
      </c>
    </row>
    <row r="141" ht="25.5" customHeight="1" s="267">
      <c r="A141" s="472" t="n">
        <v>13</v>
      </c>
      <c r="B141" s="472" t="inlineStr">
        <is>
          <t>Expired (term)</t>
        </is>
      </c>
      <c r="C141" s="473" t="n"/>
      <c r="D141" s="473" t="inlineStr">
        <is>
          <t>Lease</t>
        </is>
      </c>
      <c r="E141" s="473" t="inlineStr">
        <is>
          <t>1738/479</t>
        </is>
      </c>
      <c r="F141" s="474" t="n">
        <v>38022</v>
      </c>
      <c r="G141" s="474" t="n">
        <v>38049</v>
      </c>
      <c r="H141" s="473" t="inlineStr">
        <is>
          <t>Lola F. Richards</t>
        </is>
      </c>
      <c r="I141" s="473" t="inlineStr">
        <is>
          <t>R. Michael Lortz</t>
        </is>
      </c>
      <c r="J141" s="473" t="inlineStr">
        <is>
          <t>31-12N-24W</t>
        </is>
      </c>
      <c r="K141" s="473" t="inlineStr">
        <is>
          <t>Duplicate OGL#/Bk-Pg — verify operative entry.</t>
        </is>
      </c>
      <c r="L141" s="473" t="n">
        <v>36</v>
      </c>
      <c r="M141" s="473" t="n">
        <v>100</v>
      </c>
      <c r="N141" s="473" t="inlineStr">
        <is>
          <t>T1,2,3,4,5,6,7,8</t>
        </is>
      </c>
      <c r="O141" s="474" t="n">
        <v>39118</v>
      </c>
      <c r="P141" s="520" t="n"/>
      <c r="Q141" s="473" t="n">
        <v>0.1875</v>
      </c>
      <c r="W141" s="50" t="inlineStr">
        <is>
          <t>F</t>
        </is>
      </c>
    </row>
    <row r="142" ht="25.5" customHeight="1" s="267">
      <c r="A142" s="472" t="n">
        <v>13</v>
      </c>
      <c r="B142" s="472" t="inlineStr">
        <is>
          <t>Expired (term)</t>
        </is>
      </c>
      <c r="C142" s="473" t="n"/>
      <c r="D142" s="473" t="inlineStr">
        <is>
          <t>Oil and Gas Lease</t>
        </is>
      </c>
      <c r="E142" s="473" t="inlineStr">
        <is>
          <t>1736/473</t>
        </is>
      </c>
      <c r="F142" s="474" t="n">
        <v>38025</v>
      </c>
      <c r="G142" s="474" t="n">
        <v>38027</v>
      </c>
      <c r="H142" s="473" t="inlineStr">
        <is>
          <t>Charles Allen Atha</t>
        </is>
      </c>
      <c r="I142" s="473" t="inlineStr">
        <is>
          <t>R. Michael Lortz</t>
        </is>
      </c>
      <c r="J142" s="473" t="inlineStr">
        <is>
          <t>All of 31-12N-24W</t>
        </is>
      </c>
      <c r="K142" s="473" t="inlineStr">
        <is>
          <t>Duplicate OGL#/Bk-Pg — verify operative entry.</t>
        </is>
      </c>
      <c r="L142" s="473" t="n">
        <v>36</v>
      </c>
      <c r="M142" s="473" t="n">
        <v>92.135002</v>
      </c>
      <c r="N142" s="473" t="inlineStr">
        <is>
          <t>T1,2,3,4,5,6,7,8</t>
        </is>
      </c>
      <c r="O142" s="474" t="n">
        <v>39121</v>
      </c>
      <c r="P142" s="520" t="n"/>
      <c r="Q142" s="473" t="n">
        <v>0.1875</v>
      </c>
      <c r="W142" s="50" t="inlineStr">
        <is>
          <t>F</t>
        </is>
      </c>
    </row>
    <row r="143" ht="25.5" customHeight="1" s="267">
      <c r="A143" s="472" t="n">
        <v>10</v>
      </c>
      <c r="B143" s="472" t="inlineStr">
        <is>
          <t>Expired (term)</t>
        </is>
      </c>
      <c r="C143" s="473" t="n"/>
      <c r="D143" s="473" t="inlineStr">
        <is>
          <t>Lease</t>
        </is>
      </c>
      <c r="E143" s="473" t="inlineStr">
        <is>
          <t>1736/473</t>
        </is>
      </c>
      <c r="F143" s="474" t="n">
        <v>38025</v>
      </c>
      <c r="G143" s="474" t="n">
        <v>38027</v>
      </c>
      <c r="H143" s="473" t="inlineStr">
        <is>
          <t>Charles Allen Atha</t>
        </is>
      </c>
      <c r="I143" s="473" t="inlineStr">
        <is>
          <t>R. Michael Lortz</t>
        </is>
      </c>
      <c r="J143" s="473" t="inlineStr">
        <is>
          <t>31-12N-24W</t>
        </is>
      </c>
      <c r="K143" s="473" t="inlineStr">
        <is>
          <t>Duplicate OGL#/Bk-Pg — verify operative entry.</t>
        </is>
      </c>
      <c r="L143" s="473" t="n">
        <v>36</v>
      </c>
      <c r="M143" s="473" t="n">
        <v>92.135002</v>
      </c>
      <c r="N143" s="473" t="inlineStr">
        <is>
          <t>T1,2,3,4,5,6,7,8</t>
        </is>
      </c>
      <c r="O143" s="474" t="n">
        <v>39121</v>
      </c>
      <c r="P143" s="520" t="n"/>
      <c r="Q143" s="473" t="n">
        <v>0.1875</v>
      </c>
      <c r="W143" s="50" t="inlineStr">
        <is>
          <t>F</t>
        </is>
      </c>
    </row>
    <row r="144" ht="25.5" customHeight="1" s="267">
      <c r="A144" s="472" t="n">
        <v>14</v>
      </c>
      <c r="B144" s="472" t="inlineStr">
        <is>
          <t>Expired (term)</t>
        </is>
      </c>
      <c r="C144" s="473" t="n"/>
      <c r="D144" s="473" t="inlineStr">
        <is>
          <t>Oil and Gas Lease</t>
        </is>
      </c>
      <c r="E144" s="473" t="inlineStr">
        <is>
          <t>1792/517</t>
        </is>
      </c>
      <c r="F144" s="474" t="n">
        <v>38440</v>
      </c>
      <c r="G144" s="474" t="n">
        <v>38504</v>
      </c>
      <c r="H144" s="473" t="inlineStr">
        <is>
          <t>Martha Ann Devenas</t>
        </is>
      </c>
      <c r="I144" s="473" t="inlineStr">
        <is>
          <t>EOG Resources, Inc.</t>
        </is>
      </c>
      <c r="J144" s="473" t="inlineStr">
        <is>
          <t>SE/4 SW/4 of 31-12N-24W</t>
        </is>
      </c>
      <c r="K144" s="473" t="inlineStr">
        <is>
          <t>Duplicate OGL#/Bk-Pg — verify operative entry.</t>
        </is>
      </c>
      <c r="L144" s="473" t="n">
        <v>36</v>
      </c>
      <c r="M144" s="473" t="n">
        <v>40</v>
      </c>
      <c r="N144" s="473" t="inlineStr">
        <is>
          <t>T5</t>
        </is>
      </c>
      <c r="O144" s="474" t="n">
        <v>39536</v>
      </c>
      <c r="P144" s="520" t="n"/>
      <c r="Q144" s="473" t="n">
        <v>0.1875</v>
      </c>
      <c r="W144" s="50" t="inlineStr">
        <is>
          <t>F</t>
        </is>
      </c>
    </row>
    <row r="145" ht="25.5" customHeight="1" s="267">
      <c r="A145" s="472" t="n">
        <v>14</v>
      </c>
      <c r="B145" s="472" t="inlineStr">
        <is>
          <t>Expired (term)</t>
        </is>
      </c>
      <c r="C145" s="473" t="n"/>
      <c r="D145" s="473" t="inlineStr">
        <is>
          <t>Lease</t>
        </is>
      </c>
      <c r="E145" s="473" t="inlineStr">
        <is>
          <t>1792/517</t>
        </is>
      </c>
      <c r="F145" s="474" t="n">
        <v>38440</v>
      </c>
      <c r="G145" s="474" t="n">
        <v>38504</v>
      </c>
      <c r="H145" s="473" t="inlineStr">
        <is>
          <t>Martha Ann Devenas</t>
        </is>
      </c>
      <c r="I145" s="473" t="inlineStr">
        <is>
          <t>EOG Resources Inc.</t>
        </is>
      </c>
      <c r="J145" s="473" t="inlineStr">
        <is>
          <t>31-12N-24W</t>
        </is>
      </c>
      <c r="K145" s="473" t="inlineStr">
        <is>
          <t>Duplicate OGL#/Bk-Pg — verify operative entry.</t>
        </is>
      </c>
      <c r="L145" s="473" t="n">
        <v>36</v>
      </c>
      <c r="M145" s="473" t="n">
        <v>40</v>
      </c>
      <c r="N145" s="473" t="inlineStr">
        <is>
          <t>T1,2,3,4,5,6,7,8</t>
        </is>
      </c>
      <c r="O145" s="474" t="n">
        <v>39536</v>
      </c>
      <c r="P145" s="520" t="n"/>
      <c r="Q145" s="473" t="n">
        <v>0.1875</v>
      </c>
      <c r="W145" s="50" t="inlineStr">
        <is>
          <t>F</t>
        </is>
      </c>
    </row>
    <row r="146" ht="25.5" customHeight="1" s="267">
      <c r="A146" s="472" t="n">
        <v>16</v>
      </c>
      <c r="B146" s="472" t="inlineStr">
        <is>
          <t>Expired (term)</t>
        </is>
      </c>
      <c r="C146" s="473" t="n"/>
      <c r="D146" s="473" t="inlineStr">
        <is>
          <t>Lease</t>
        </is>
      </c>
      <c r="E146" s="473" t="inlineStr">
        <is>
          <t>1798/146</t>
        </is>
      </c>
      <c r="F146" s="474" t="n">
        <v>38468</v>
      </c>
      <c r="G146" s="474" t="n">
        <v>38551</v>
      </c>
      <c r="H146" s="473" t="inlineStr">
        <is>
          <t>Rogene E. Ttee Williams</t>
        </is>
      </c>
      <c r="I146" s="473" t="inlineStr">
        <is>
          <t>Chesapeake Exploration Ltd. Ptn</t>
        </is>
      </c>
      <c r="J146" s="473" t="inlineStr">
        <is>
          <t>31-12N-24W</t>
        </is>
      </c>
      <c r="K146" s="473" t="inlineStr">
        <is>
          <t>Duplicate OGL#/Bk-Pg — verify operative entry.</t>
        </is>
      </c>
      <c r="L146" s="473" t="n">
        <v>36</v>
      </c>
      <c r="M146" s="473" t="n">
        <v>160</v>
      </c>
      <c r="N146" s="473" t="inlineStr">
        <is>
          <t>T1,2,3,4,5,6,7,8</t>
        </is>
      </c>
      <c r="O146" s="474" t="n">
        <v>39564</v>
      </c>
      <c r="P146" s="520" t="n"/>
      <c r="Q146" s="473" t="n">
        <v>0.1875</v>
      </c>
      <c r="W146" s="50" t="inlineStr">
        <is>
          <t>F</t>
        </is>
      </c>
    </row>
    <row r="147" ht="51" customHeight="1" s="267">
      <c r="A147" s="472" t="n">
        <v>15</v>
      </c>
      <c r="B147" s="472" t="inlineStr">
        <is>
          <t>Expired (term)</t>
        </is>
      </c>
      <c r="C147" s="473" t="n"/>
      <c r="D147" s="473" t="inlineStr">
        <is>
          <t>Oil and Gas Lease</t>
        </is>
      </c>
      <c r="E147" s="473" t="inlineStr">
        <is>
          <t>1798/146</t>
        </is>
      </c>
      <c r="F147" s="474" t="n">
        <v>38468</v>
      </c>
      <c r="G147" s="474" t="n">
        <v>38551</v>
      </c>
      <c r="H147" s="473" t="inlineStr">
        <is>
          <t>The Williams Jon T. Trust, the Rogene E. Williams Trust, Rogene E. Williams</t>
        </is>
      </c>
      <c r="I147" s="473" t="inlineStr">
        <is>
          <t>Chesapeake Exploration, Ltd. Partnership</t>
        </is>
      </c>
      <c r="J147" s="473" t="inlineStr">
        <is>
          <t>NW/4 SE/4, S/2 SE/4, SW/4 NE/4 of 31-12N-24W</t>
        </is>
      </c>
      <c r="K147" s="473" t="inlineStr">
        <is>
          <t>Duplicate OGL#/Bk-Pg — verify operative entry.</t>
        </is>
      </c>
      <c r="L147" s="473" t="n">
        <v>36</v>
      </c>
      <c r="M147" s="473" t="n">
        <v>160</v>
      </c>
      <c r="N147" s="473" t="inlineStr">
        <is>
          <t>T2</t>
        </is>
      </c>
      <c r="O147" s="474" t="n">
        <v>39564</v>
      </c>
      <c r="P147" s="520" t="n"/>
      <c r="Q147" s="473" t="n">
        <v>0.1875</v>
      </c>
      <c r="W147" s="50" t="inlineStr">
        <is>
          <t>F</t>
        </is>
      </c>
    </row>
    <row r="148" ht="25.5" customHeight="1" s="267">
      <c r="A148" s="472" t="n">
        <v>16</v>
      </c>
      <c r="B148" s="472" t="inlineStr">
        <is>
          <t>Expired (term)</t>
        </is>
      </c>
      <c r="C148" s="473" t="n"/>
      <c r="D148" s="473" t="inlineStr">
        <is>
          <t>Oil and Gas Lease</t>
        </is>
      </c>
      <c r="E148" s="473" t="inlineStr">
        <is>
          <t>1797/167</t>
        </is>
      </c>
      <c r="F148" s="474" t="n">
        <v>38482</v>
      </c>
      <c r="G148" s="474" t="n">
        <v>38541</v>
      </c>
      <c r="H148" s="473" t="inlineStr">
        <is>
          <t>Peggy J. Brawner</t>
        </is>
      </c>
      <c r="I148" s="473" t="inlineStr">
        <is>
          <t>EOG Resources, Inc.</t>
        </is>
      </c>
      <c r="J148" s="473" t="inlineStr">
        <is>
          <t>NW/4 SE/4, S/2 SE/4, SW/4 NE/4 of 31-12N-24W</t>
        </is>
      </c>
      <c r="K148" s="473" t="inlineStr">
        <is>
          <t>Duplicate OGL#/Bk-Pg — verify operative entry.</t>
        </is>
      </c>
      <c r="L148" s="473" t="n">
        <v>24</v>
      </c>
      <c r="M148" s="473" t="n">
        <v>160</v>
      </c>
      <c r="N148" s="473" t="inlineStr">
        <is>
          <t>T2</t>
        </is>
      </c>
      <c r="O148" s="474" t="n">
        <v>39212</v>
      </c>
      <c r="P148" s="520" t="n"/>
      <c r="Q148" s="473" t="n">
        <v>0.1875</v>
      </c>
      <c r="W148" s="50" t="inlineStr">
        <is>
          <t>F</t>
        </is>
      </c>
    </row>
    <row r="149" ht="25.5" customHeight="1" s="267">
      <c r="A149" s="472" t="n">
        <v>15</v>
      </c>
      <c r="B149" s="472" t="inlineStr">
        <is>
          <t>Expired (term)</t>
        </is>
      </c>
      <c r="C149" s="473" t="n"/>
      <c r="D149" s="473" t="inlineStr">
        <is>
          <t>Lease</t>
        </is>
      </c>
      <c r="E149" s="473" t="inlineStr">
        <is>
          <t>1797/167</t>
        </is>
      </c>
      <c r="F149" s="474" t="n">
        <v>38482</v>
      </c>
      <c r="G149" s="474" t="n">
        <v>38541</v>
      </c>
      <c r="H149" s="473" t="inlineStr">
        <is>
          <t>Peggy J. Brawner</t>
        </is>
      </c>
      <c r="I149" s="473" t="inlineStr">
        <is>
          <t>EOG Resources Inc.</t>
        </is>
      </c>
      <c r="J149" s="473" t="inlineStr">
        <is>
          <t>31-12N-24W</t>
        </is>
      </c>
      <c r="K149" s="473" t="inlineStr">
        <is>
          <t>Duplicate OGL#/Bk-Pg — verify operative entry.</t>
        </is>
      </c>
      <c r="L149" s="473" t="n">
        <v>24</v>
      </c>
      <c r="M149" s="473" t="n">
        <v>160</v>
      </c>
      <c r="N149" s="473" t="inlineStr">
        <is>
          <t>T1,2,3,4,5,6,7,8</t>
        </is>
      </c>
      <c r="O149" s="474" t="n">
        <v>39212</v>
      </c>
      <c r="P149" s="520" t="n"/>
      <c r="Q149" s="473" t="n">
        <v>0.1875</v>
      </c>
      <c r="W149" s="50" t="inlineStr">
        <is>
          <t>F</t>
        </is>
      </c>
    </row>
    <row r="150" ht="25.5" customHeight="1" s="267">
      <c r="A150" s="472" t="n">
        <v>17</v>
      </c>
      <c r="B150" s="472" t="inlineStr">
        <is>
          <t>Expired (term)</t>
        </is>
      </c>
      <c r="C150" s="473" t="n"/>
      <c r="D150" s="473" t="inlineStr">
        <is>
          <t>Oil and Gas Lease</t>
        </is>
      </c>
      <c r="E150" s="473" t="inlineStr">
        <is>
          <t>1817/386</t>
        </is>
      </c>
      <c r="F150" s="474" t="n">
        <v>38621</v>
      </c>
      <c r="G150" s="474" t="n">
        <v>38709</v>
      </c>
      <c r="H150" s="473" t="inlineStr">
        <is>
          <t>Joe H. Britton</t>
        </is>
      </c>
      <c r="I150" s="473" t="inlineStr">
        <is>
          <t>Todco Properties, Inc.</t>
        </is>
      </c>
      <c r="J150" s="473" t="inlineStr">
        <is>
          <t>E/2 NW/4, N/2 NE/4 SW/4, NE/4 SE/4, SE/4 NE/4 of 31-12N-24W</t>
        </is>
      </c>
      <c r="K150" s="473" t="inlineStr">
        <is>
          <t>Duplicate OGL#/Bk-Pg — verify operative entry.</t>
        </is>
      </c>
      <c r="L150" s="473" t="n">
        <v>36</v>
      </c>
      <c r="M150" s="473" t="n">
        <v>180</v>
      </c>
      <c r="N150" s="473" t="inlineStr">
        <is>
          <t>T3,4,7,8</t>
        </is>
      </c>
      <c r="O150" s="474" t="n">
        <v>39717</v>
      </c>
      <c r="P150" s="520" t="n"/>
      <c r="Q150" s="473" t="n">
        <v>0.1875</v>
      </c>
      <c r="W150" s="50" t="inlineStr">
        <is>
          <t>F</t>
        </is>
      </c>
    </row>
    <row r="151" ht="25.5" customHeight="1" s="267">
      <c r="A151" s="472" t="n">
        <v>22</v>
      </c>
      <c r="B151" s="472" t="inlineStr">
        <is>
          <t>Expired (term)</t>
        </is>
      </c>
      <c r="C151" s="473" t="n"/>
      <c r="D151" s="473" t="inlineStr">
        <is>
          <t>Lease</t>
        </is>
      </c>
      <c r="E151" s="473" t="inlineStr">
        <is>
          <t>1817/386</t>
        </is>
      </c>
      <c r="F151" s="474" t="n">
        <v>38621</v>
      </c>
      <c r="G151" s="474" t="n">
        <v>38709</v>
      </c>
      <c r="H151" s="473" t="inlineStr">
        <is>
          <t>Joe H. Britton</t>
        </is>
      </c>
      <c r="I151" s="473" t="inlineStr">
        <is>
          <t>Todco Properties Inc.</t>
        </is>
      </c>
      <c r="J151" s="473" t="inlineStr">
        <is>
          <t>31-12N-24W</t>
        </is>
      </c>
      <c r="K151" s="473" t="inlineStr">
        <is>
          <t>Duplicate OGL#/Bk-Pg — verify operative entry.</t>
        </is>
      </c>
      <c r="L151" s="473" t="n">
        <v>36</v>
      </c>
      <c r="M151" s="473" t="n">
        <v>180</v>
      </c>
      <c r="N151" s="473" t="inlineStr">
        <is>
          <t>T1,2,3,4,5,6,7,8</t>
        </is>
      </c>
      <c r="O151" s="474" t="n">
        <v>39717</v>
      </c>
      <c r="P151" s="520" t="n"/>
      <c r="Q151" s="473" t="n">
        <v>0.1875</v>
      </c>
      <c r="W151" s="50" t="inlineStr">
        <is>
          <t>F</t>
        </is>
      </c>
    </row>
    <row r="152" ht="25.5" customHeight="1" s="267">
      <c r="A152" s="472" t="n">
        <v>19</v>
      </c>
      <c r="B152" s="472" t="inlineStr">
        <is>
          <t>Expired (term)</t>
        </is>
      </c>
      <c r="C152" s="473" t="n"/>
      <c r="D152" s="473" t="inlineStr">
        <is>
          <t>Oil and Gas Lease</t>
        </is>
      </c>
      <c r="E152" s="473" t="inlineStr">
        <is>
          <t>1816/358</t>
        </is>
      </c>
      <c r="F152" s="474" t="n">
        <v>38636</v>
      </c>
      <c r="G152" s="474" t="n">
        <v>38701</v>
      </c>
      <c r="H152" s="473" t="inlineStr">
        <is>
          <t>Eddie Tom Lakey</t>
        </is>
      </c>
      <c r="I152" s="473" t="inlineStr">
        <is>
          <t>Harris Jess III, Inc.</t>
        </is>
      </c>
      <c r="J152" s="473" t="inlineStr">
        <is>
          <t>All of 31-12N-24W</t>
        </is>
      </c>
      <c r="K152" s="473" t="inlineStr">
        <is>
          <t>Duplicate OGL#/Bk-Pg — verify operative entry.</t>
        </is>
      </c>
      <c r="L152" s="473" t="n">
        <v>36</v>
      </c>
      <c r="M152" s="473" t="n">
        <v>40</v>
      </c>
      <c r="N152" s="473" t="inlineStr">
        <is>
          <t>T1,2,3,4,5,6,7,8</t>
        </is>
      </c>
      <c r="O152" s="474" t="n">
        <v>39732</v>
      </c>
      <c r="P152" s="520" t="n"/>
      <c r="Q152" s="473" t="n">
        <v>0.1875</v>
      </c>
      <c r="W152" s="50" t="inlineStr">
        <is>
          <t>F</t>
        </is>
      </c>
    </row>
    <row r="153" ht="25.5" customHeight="1" s="267">
      <c r="A153" s="472" t="n">
        <v>18</v>
      </c>
      <c r="B153" s="472" t="inlineStr">
        <is>
          <t>Expired (term)</t>
        </is>
      </c>
      <c r="C153" s="473" t="n"/>
      <c r="D153" s="473" t="inlineStr">
        <is>
          <t>Lease</t>
        </is>
      </c>
      <c r="E153" s="473" t="inlineStr">
        <is>
          <t>1816/358</t>
        </is>
      </c>
      <c r="F153" s="474" t="n">
        <v>38636</v>
      </c>
      <c r="G153" s="474" t="n">
        <v>38701</v>
      </c>
      <c r="H153" s="473" t="inlineStr">
        <is>
          <t>Eddie Tom Lakey</t>
        </is>
      </c>
      <c r="I153" s="473" t="inlineStr">
        <is>
          <t>Jess Harris III</t>
        </is>
      </c>
      <c r="J153" s="473" t="inlineStr">
        <is>
          <t>31-12N-24W</t>
        </is>
      </c>
      <c r="K153" s="473" t="inlineStr">
        <is>
          <t>Duplicate OGL#/Bk-Pg — verify operative entry.</t>
        </is>
      </c>
      <c r="L153" s="473" t="n">
        <v>36</v>
      </c>
      <c r="M153" s="473" t="n">
        <v>40</v>
      </c>
      <c r="N153" s="473" t="inlineStr">
        <is>
          <t>T1,2,3,4,5,6,7,8</t>
        </is>
      </c>
      <c r="O153" s="474" t="n">
        <v>39732</v>
      </c>
      <c r="P153" s="520" t="n"/>
      <c r="Q153" s="473" t="n">
        <v>0.1875</v>
      </c>
      <c r="W153" s="50" t="inlineStr">
        <is>
          <t>F</t>
        </is>
      </c>
    </row>
    <row r="154" ht="25.5" customHeight="1" s="267">
      <c r="A154" s="472" t="n">
        <v>18</v>
      </c>
      <c r="B154" s="472" t="inlineStr">
        <is>
          <t>Expired (term)</t>
        </is>
      </c>
      <c r="C154" s="473" t="n"/>
      <c r="D154" s="473" t="inlineStr">
        <is>
          <t>Oil and Gas Lease</t>
        </is>
      </c>
      <c r="E154" s="473" t="inlineStr">
        <is>
          <t>1816/352</t>
        </is>
      </c>
      <c r="F154" s="474" t="n">
        <v>38636</v>
      </c>
      <c r="G154" s="474" t="n">
        <v>38701</v>
      </c>
      <c r="H154" s="473" t="inlineStr">
        <is>
          <t>Shawn S. Walters</t>
        </is>
      </c>
      <c r="I154" s="473" t="inlineStr">
        <is>
          <t>Harris Jess III, Inc.</t>
        </is>
      </c>
      <c r="J154" s="473" t="inlineStr">
        <is>
          <t>SE/4 SW/4 of 31-12N-24W</t>
        </is>
      </c>
      <c r="K154" s="473" t="inlineStr">
        <is>
          <t>Duplicate OGL#/Bk-Pg — verify operative entry.</t>
        </is>
      </c>
      <c r="L154" s="473" t="n">
        <v>24</v>
      </c>
      <c r="M154" s="473" t="n">
        <v>40</v>
      </c>
      <c r="N154" s="473" t="inlineStr">
        <is>
          <t>T5</t>
        </is>
      </c>
      <c r="O154" s="474" t="n">
        <v>39366</v>
      </c>
      <c r="P154" s="520" t="n"/>
      <c r="Q154" s="473" t="n">
        <v>0.1875</v>
      </c>
      <c r="W154" s="50" t="inlineStr">
        <is>
          <t>F</t>
        </is>
      </c>
    </row>
    <row r="155" ht="25.5" customHeight="1" s="267">
      <c r="A155" s="472" t="n">
        <v>17</v>
      </c>
      <c r="B155" s="472" t="inlineStr">
        <is>
          <t>Expired (term)</t>
        </is>
      </c>
      <c r="C155" s="473" t="n"/>
      <c r="D155" s="473" t="inlineStr">
        <is>
          <t>Lease</t>
        </is>
      </c>
      <c r="E155" s="473" t="inlineStr">
        <is>
          <t>1816/352</t>
        </is>
      </c>
      <c r="F155" s="474" t="n">
        <v>38636</v>
      </c>
      <c r="G155" s="474" t="n">
        <v>38701</v>
      </c>
      <c r="H155" s="473" t="inlineStr">
        <is>
          <t>Shawn S. Walters</t>
        </is>
      </c>
      <c r="I155" s="473" t="inlineStr">
        <is>
          <t>Jess Harris III</t>
        </is>
      </c>
      <c r="J155" s="473" t="inlineStr">
        <is>
          <t>31-12N-24W</t>
        </is>
      </c>
      <c r="K155" s="473" t="inlineStr">
        <is>
          <t>Duplicate OGL#/Bk-Pg — verify operative entry.</t>
        </is>
      </c>
      <c r="L155" s="473" t="n">
        <v>24</v>
      </c>
      <c r="M155" s="473" t="n">
        <v>40</v>
      </c>
      <c r="N155" s="473" t="inlineStr">
        <is>
          <t>T1,2,3,4,5,6,7,8</t>
        </is>
      </c>
      <c r="O155" s="474" t="n">
        <v>39366</v>
      </c>
      <c r="P155" s="520" t="n"/>
      <c r="Q155" s="473" t="n">
        <v>0.1875</v>
      </c>
      <c r="W155" s="50" t="inlineStr">
        <is>
          <t>F</t>
        </is>
      </c>
    </row>
    <row r="156" ht="25.5" customHeight="1" s="267">
      <c r="A156" s="472" t="n">
        <v>20</v>
      </c>
      <c r="B156" s="472" t="inlineStr">
        <is>
          <t>Expired (term)</t>
        </is>
      </c>
      <c r="C156" s="473" t="n"/>
      <c r="D156" s="473" t="inlineStr">
        <is>
          <t>Oil and Gas Lease</t>
        </is>
      </c>
      <c r="E156" s="473" t="inlineStr">
        <is>
          <t>1816/386</t>
        </is>
      </c>
      <c r="F156" s="474" t="n">
        <v>38637</v>
      </c>
      <c r="G156" s="474" t="n">
        <v>38701</v>
      </c>
      <c r="H156" s="473" t="inlineStr">
        <is>
          <t>Myron Slobin</t>
        </is>
      </c>
      <c r="I156" s="473" t="inlineStr">
        <is>
          <t>Harris Jess III, Inc.</t>
        </is>
      </c>
      <c r="J156" s="473" t="inlineStr">
        <is>
          <t>All of 31-12N-24W</t>
        </is>
      </c>
      <c r="K156" s="473" t="inlineStr">
        <is>
          <t>Duplicate OGL#/Bk-Pg — verify operative entry.</t>
        </is>
      </c>
      <c r="L156" s="473" t="n">
        <v>36</v>
      </c>
      <c r="M156" s="473" t="n">
        <v>160</v>
      </c>
      <c r="N156" s="473" t="inlineStr">
        <is>
          <t>T1,2,3,4,5,6,7,8</t>
        </is>
      </c>
      <c r="O156" s="474" t="n">
        <v>39733</v>
      </c>
      <c r="P156" s="520" t="n"/>
      <c r="Q156" s="473" t="n">
        <v>0.1875</v>
      </c>
      <c r="W156" s="50" t="inlineStr">
        <is>
          <t>F</t>
        </is>
      </c>
    </row>
    <row r="157" ht="25.5" customHeight="1" s="267">
      <c r="A157" s="472" t="n">
        <v>20</v>
      </c>
      <c r="B157" s="472" t="inlineStr">
        <is>
          <t>Expired (term)</t>
        </is>
      </c>
      <c r="C157" s="473" t="n"/>
      <c r="D157" s="473" t="inlineStr">
        <is>
          <t>Lease</t>
        </is>
      </c>
      <c r="E157" s="473" t="inlineStr">
        <is>
          <t>1816/386</t>
        </is>
      </c>
      <c r="F157" s="474" t="n">
        <v>38637</v>
      </c>
      <c r="G157" s="474" t="n">
        <v>38701</v>
      </c>
      <c r="H157" s="473" t="inlineStr">
        <is>
          <t>Myron Slobin</t>
        </is>
      </c>
      <c r="I157" s="473" t="inlineStr">
        <is>
          <t>Jess Harris III</t>
        </is>
      </c>
      <c r="J157" s="473" t="inlineStr">
        <is>
          <t>31-12N-24W</t>
        </is>
      </c>
      <c r="K157" s="473" t="inlineStr">
        <is>
          <t>Duplicate OGL#/Bk-Pg — verify operative entry.</t>
        </is>
      </c>
      <c r="L157" s="473" t="n">
        <v>36</v>
      </c>
      <c r="M157" s="473" t="n">
        <v>160</v>
      </c>
      <c r="N157" s="473" t="inlineStr">
        <is>
          <t>T1,2,3,4,5,6,7,8</t>
        </is>
      </c>
      <c r="O157" s="474" t="n">
        <v>39733</v>
      </c>
      <c r="P157" s="520" t="n"/>
      <c r="Q157" s="473" t="n">
        <v>0.1875</v>
      </c>
      <c r="W157" s="50" t="inlineStr">
        <is>
          <t>F</t>
        </is>
      </c>
    </row>
    <row r="158" ht="25.5" customHeight="1" s="267">
      <c r="A158" s="472" t="n">
        <v>21</v>
      </c>
      <c r="B158" s="472" t="inlineStr">
        <is>
          <t>Expired (term)</t>
        </is>
      </c>
      <c r="C158" s="473" t="n"/>
      <c r="D158" s="473" t="inlineStr">
        <is>
          <t>Oil and Gas Lease</t>
        </is>
      </c>
      <c r="E158" s="473" t="inlineStr">
        <is>
          <t>1822/572</t>
        </is>
      </c>
      <c r="F158" s="474" t="n">
        <v>38657</v>
      </c>
      <c r="G158" s="474" t="n">
        <v>38754</v>
      </c>
      <c r="H158" s="473" t="inlineStr">
        <is>
          <t>David S. Silverberg</t>
        </is>
      </c>
      <c r="I158" s="473" t="inlineStr">
        <is>
          <t>Harris Jess III, Inc.</t>
        </is>
      </c>
      <c r="J158" s="473" t="inlineStr">
        <is>
          <t>SE/4 SE/4, SW/4 NE/4, W/2 SE/4 of 31-12N-24W</t>
        </is>
      </c>
      <c r="K158" s="473" t="inlineStr">
        <is>
          <t>Duplicate OGL#/Bk-Pg — verify operative entry.</t>
        </is>
      </c>
      <c r="L158" s="473" t="n">
        <v>36</v>
      </c>
      <c r="M158" s="473" t="n">
        <v>160</v>
      </c>
      <c r="N158" s="473" t="inlineStr">
        <is>
          <t>T2</t>
        </is>
      </c>
      <c r="O158" s="474" t="n">
        <v>39753</v>
      </c>
      <c r="P158" s="520" t="n"/>
      <c r="Q158" s="473" t="n">
        <v>0.1875</v>
      </c>
      <c r="W158" s="50" t="inlineStr">
        <is>
          <t>F</t>
        </is>
      </c>
    </row>
    <row r="159" ht="25.5" customHeight="1" s="267">
      <c r="A159" s="472" t="n">
        <v>26</v>
      </c>
      <c r="B159" s="472" t="inlineStr">
        <is>
          <t>Expired (term)</t>
        </is>
      </c>
      <c r="C159" s="473" t="n"/>
      <c r="D159" s="473" t="inlineStr">
        <is>
          <t>Lease</t>
        </is>
      </c>
      <c r="E159" s="473" t="inlineStr">
        <is>
          <t>1822/572</t>
        </is>
      </c>
      <c r="F159" s="474" t="n">
        <v>38657</v>
      </c>
      <c r="G159" s="474" t="n">
        <v>38754</v>
      </c>
      <c r="H159" s="473" t="inlineStr">
        <is>
          <t>David S. Silverberg</t>
        </is>
      </c>
      <c r="I159" s="473" t="inlineStr">
        <is>
          <t>Harris Jess III Inc.</t>
        </is>
      </c>
      <c r="J159" s="473" t="inlineStr">
        <is>
          <t>31-12N-24W</t>
        </is>
      </c>
      <c r="K159" s="473" t="inlineStr">
        <is>
          <t>Duplicate OGL#/Bk-Pg — verify operative entry.</t>
        </is>
      </c>
      <c r="L159" s="473" t="n">
        <v>36</v>
      </c>
      <c r="M159" s="473" t="n">
        <v>160</v>
      </c>
      <c r="N159" s="473" t="inlineStr">
        <is>
          <t>T1,2,3,4,5,6,7,8</t>
        </is>
      </c>
      <c r="O159" s="474" t="n">
        <v>39753</v>
      </c>
      <c r="P159" s="520" t="n"/>
      <c r="Q159" s="473" t="n">
        <v>0.1875</v>
      </c>
      <c r="W159" s="50" t="inlineStr">
        <is>
          <t>F</t>
        </is>
      </c>
    </row>
    <row r="160" ht="25.5" customHeight="1" s="267">
      <c r="A160" s="472" t="n">
        <v>22</v>
      </c>
      <c r="B160" s="472" t="inlineStr">
        <is>
          <t>Expired (term)</t>
        </is>
      </c>
      <c r="C160" s="473" t="n"/>
      <c r="D160" s="473" t="inlineStr">
        <is>
          <t>Oil and Gas Lease</t>
        </is>
      </c>
      <c r="E160" s="473" t="inlineStr">
        <is>
          <t>1816/374</t>
        </is>
      </c>
      <c r="F160" s="474" t="n">
        <v>38670</v>
      </c>
      <c r="G160" s="474" t="n">
        <v>38701</v>
      </c>
      <c r="H160" s="473" t="inlineStr">
        <is>
          <t>Margaret Kirk</t>
        </is>
      </c>
      <c r="I160" s="473" t="inlineStr">
        <is>
          <t>Harris Jess III, Inc.</t>
        </is>
      </c>
      <c r="J160" s="473" t="inlineStr">
        <is>
          <t>S/2 N/2 SW/4, SE/4 SW/4 of 31-12N-24W</t>
        </is>
      </c>
      <c r="K160" s="473" t="inlineStr">
        <is>
          <t>Duplicate OGL#/Bk-Pg — verify operative entry.</t>
        </is>
      </c>
      <c r="L160" s="473" t="n">
        <v>36</v>
      </c>
      <c r="M160" s="473" t="n">
        <v>115.334999</v>
      </c>
      <c r="N160" s="473" t="inlineStr">
        <is>
          <t>T5,6,7</t>
        </is>
      </c>
      <c r="O160" s="474" t="n">
        <v>39766</v>
      </c>
      <c r="P160" s="520" t="n"/>
      <c r="Q160" s="473" t="n">
        <v>0.1875</v>
      </c>
      <c r="W160" s="50" t="inlineStr">
        <is>
          <t>F</t>
        </is>
      </c>
    </row>
    <row r="161" ht="25.5" customHeight="1" s="267">
      <c r="A161" s="472" t="n">
        <v>19</v>
      </c>
      <c r="B161" s="472" t="inlineStr">
        <is>
          <t>Expired (term)</t>
        </is>
      </c>
      <c r="C161" s="473" t="n"/>
      <c r="D161" s="473" t="inlineStr">
        <is>
          <t>Lease</t>
        </is>
      </c>
      <c r="E161" s="473" t="inlineStr">
        <is>
          <t>1816/374</t>
        </is>
      </c>
      <c r="F161" s="474" t="n">
        <v>38670</v>
      </c>
      <c r="G161" s="474" t="n">
        <v>38701</v>
      </c>
      <c r="H161" s="473" t="inlineStr">
        <is>
          <t>Margaret Kirk</t>
        </is>
      </c>
      <c r="I161" s="473" t="inlineStr">
        <is>
          <t>Jess Harris III</t>
        </is>
      </c>
      <c r="J161" s="473" t="inlineStr">
        <is>
          <t>31-12N-24W</t>
        </is>
      </c>
      <c r="K161" s="473" t="inlineStr">
        <is>
          <t>Duplicate OGL#/Bk-Pg — verify operative entry.</t>
        </is>
      </c>
      <c r="L161" s="473" t="n">
        <v>36</v>
      </c>
      <c r="M161" s="473" t="n">
        <v>115.334999</v>
      </c>
      <c r="N161" s="473" t="inlineStr">
        <is>
          <t>T1,2,3,4,5,6,7,8</t>
        </is>
      </c>
      <c r="O161" s="474" t="n">
        <v>39766</v>
      </c>
      <c r="P161" s="520" t="n"/>
      <c r="Q161" s="473" t="n">
        <v>0.1875</v>
      </c>
      <c r="W161" s="50" t="inlineStr">
        <is>
          <t>F</t>
        </is>
      </c>
    </row>
    <row r="162" ht="25.5" customHeight="1" s="267">
      <c r="A162" s="472" t="n">
        <v>23</v>
      </c>
      <c r="B162" s="472" t="inlineStr">
        <is>
          <t>Expired (term)</t>
        </is>
      </c>
      <c r="C162" s="473" t="n"/>
      <c r="D162" s="473" t="inlineStr">
        <is>
          <t>Oil and Gas Lease</t>
        </is>
      </c>
      <c r="E162" s="473" t="inlineStr">
        <is>
          <t>1822/562</t>
        </is>
      </c>
      <c r="F162" s="474" t="n">
        <v>38693</v>
      </c>
      <c r="G162" s="474" t="n">
        <v>38754</v>
      </c>
      <c r="H162" s="473" t="inlineStr">
        <is>
          <t>Clyde A. Pine</t>
        </is>
      </c>
      <c r="I162" s="473" t="inlineStr">
        <is>
          <t>Harris Jess III, Inc.</t>
        </is>
      </c>
      <c r="J162" s="473" t="inlineStr">
        <is>
          <t>E/2 NW/4 of 31-12N-24W</t>
        </is>
      </c>
      <c r="K162" s="473" t="inlineStr">
        <is>
          <t>Duplicate OGL#/Bk-Pg — verify operative entry.</t>
        </is>
      </c>
      <c r="L162" s="473" t="n">
        <v>36</v>
      </c>
      <c r="M162" s="473" t="n">
        <v>80</v>
      </c>
      <c r="N162" s="473" t="inlineStr">
        <is>
          <t>T4</t>
        </is>
      </c>
      <c r="O162" s="474" t="n">
        <v>39789</v>
      </c>
      <c r="P162" s="520" t="n"/>
      <c r="Q162" s="473" t="n">
        <v>0.25</v>
      </c>
      <c r="W162" s="50" t="inlineStr">
        <is>
          <t>F</t>
        </is>
      </c>
    </row>
    <row r="163" ht="25.5" customHeight="1" s="267">
      <c r="A163" s="472" t="n">
        <v>25</v>
      </c>
      <c r="B163" s="472" t="inlineStr">
        <is>
          <t>Expired (term)</t>
        </is>
      </c>
      <c r="C163" s="473" t="n"/>
      <c r="D163" s="473" t="inlineStr">
        <is>
          <t>Lease</t>
        </is>
      </c>
      <c r="E163" s="473" t="inlineStr">
        <is>
          <t>1822/562</t>
        </is>
      </c>
      <c r="F163" s="474" t="n">
        <v>38693</v>
      </c>
      <c r="G163" s="474" t="n">
        <v>38754</v>
      </c>
      <c r="H163" s="473" t="inlineStr">
        <is>
          <t>Clyde A. Pine</t>
        </is>
      </c>
      <c r="I163" s="473" t="inlineStr">
        <is>
          <t>Harris Jess III Inc.</t>
        </is>
      </c>
      <c r="J163" s="473" t="inlineStr">
        <is>
          <t>31-12N-24W</t>
        </is>
      </c>
      <c r="K163" s="473" t="inlineStr">
        <is>
          <t>Duplicate OGL#/Bk-Pg — verify operative entry.</t>
        </is>
      </c>
      <c r="L163" s="473" t="n">
        <v>36</v>
      </c>
      <c r="M163" s="473" t="n">
        <v>80</v>
      </c>
      <c r="N163" s="473" t="inlineStr">
        <is>
          <t>T1,2,3,4,5,6,7,8</t>
        </is>
      </c>
      <c r="O163" s="474" t="n">
        <v>39789</v>
      </c>
      <c r="P163" s="520" t="n"/>
      <c r="Q163" s="473" t="n">
        <v>0.25</v>
      </c>
      <c r="W163" s="50" t="inlineStr">
        <is>
          <t>F</t>
        </is>
      </c>
    </row>
    <row r="164" ht="25.5" customHeight="1" s="267">
      <c r="A164" s="472" t="n">
        <v>24</v>
      </c>
      <c r="B164" s="472" t="inlineStr">
        <is>
          <t>Expired (term)</t>
        </is>
      </c>
      <c r="C164" s="473" t="n"/>
      <c r="D164" s="473" t="inlineStr">
        <is>
          <t>Oil and Gas Lease</t>
        </is>
      </c>
      <c r="E164" s="473" t="inlineStr">
        <is>
          <t>1820/15</t>
        </is>
      </c>
      <c r="F164" s="474" t="n">
        <v>38708</v>
      </c>
      <c r="G164" s="474" t="n">
        <v>38733</v>
      </c>
      <c r="H164" s="473" t="inlineStr">
        <is>
          <t>Myron V. Slobin</t>
        </is>
      </c>
      <c r="I164" s="473" t="inlineStr">
        <is>
          <t>Devon Energy Production Co. L.P.</t>
        </is>
      </c>
      <c r="J164" s="473" t="inlineStr">
        <is>
          <t>NW/4 SE/4, S/2 SE/4, SW/4 NE/4 of 31-12N-24W</t>
        </is>
      </c>
      <c r="K164" s="473" t="inlineStr">
        <is>
          <t>Duplicate OGL#/Bk-Pg — verify operative entry.</t>
        </is>
      </c>
      <c r="L164" s="473" t="n">
        <v>36</v>
      </c>
      <c r="M164" s="473" t="n">
        <v>160</v>
      </c>
      <c r="N164" s="473" t="inlineStr">
        <is>
          <t>T2</t>
        </is>
      </c>
      <c r="O164" s="474" t="n">
        <v>39804</v>
      </c>
      <c r="P164" s="520" t="n"/>
      <c r="Q164" s="473" t="n">
        <v>0.1875</v>
      </c>
      <c r="W164" s="50" t="inlineStr">
        <is>
          <t>F</t>
        </is>
      </c>
    </row>
    <row r="165" ht="25.5" customHeight="1" s="267">
      <c r="A165" s="472" t="n">
        <v>21</v>
      </c>
      <c r="B165" s="472" t="inlineStr">
        <is>
          <t>Expired (term)</t>
        </is>
      </c>
      <c r="C165" s="473" t="n"/>
      <c r="D165" s="473" t="inlineStr">
        <is>
          <t>Lease</t>
        </is>
      </c>
      <c r="E165" s="473" t="inlineStr">
        <is>
          <t>1820/15</t>
        </is>
      </c>
      <c r="F165" s="474" t="n">
        <v>38708</v>
      </c>
      <c r="G165" s="474" t="n">
        <v>38733</v>
      </c>
      <c r="H165" s="473" t="inlineStr">
        <is>
          <t>Myron V. Slobin</t>
        </is>
      </c>
      <c r="I165" s="473" t="inlineStr">
        <is>
          <t>Devon Energy Production Co. LP</t>
        </is>
      </c>
      <c r="J165" s="473" t="inlineStr">
        <is>
          <t>31-12N-24W</t>
        </is>
      </c>
      <c r="K165" s="473" t="inlineStr">
        <is>
          <t>Duplicate OGL#/Bk-Pg — verify operative entry.</t>
        </is>
      </c>
      <c r="L165" s="473" t="n">
        <v>36</v>
      </c>
      <c r="M165" s="473" t="n">
        <v>160</v>
      </c>
      <c r="N165" s="473" t="inlineStr">
        <is>
          <t>T1,2,3,4,5,6,7,8</t>
        </is>
      </c>
      <c r="O165" s="474" t="n">
        <v>39804</v>
      </c>
      <c r="P165" s="520" t="n"/>
      <c r="Q165" s="473" t="n">
        <v>0.1875</v>
      </c>
      <c r="W165" s="50" t="inlineStr">
        <is>
          <t>F</t>
        </is>
      </c>
    </row>
    <row r="166" ht="25.5" customHeight="1" s="267">
      <c r="A166" s="472" t="n">
        <v>25</v>
      </c>
      <c r="B166" s="472" t="inlineStr">
        <is>
          <t>Expired (term)</t>
        </is>
      </c>
      <c r="C166" s="473" t="n"/>
      <c r="D166" s="473" t="inlineStr">
        <is>
          <t>Oil and Gas Lease</t>
        </is>
      </c>
      <c r="E166" s="473" t="inlineStr">
        <is>
          <t>1821/92</t>
        </is>
      </c>
      <c r="F166" s="474" t="n">
        <v>38725</v>
      </c>
      <c r="G166" s="474" t="n">
        <v>38742</v>
      </c>
      <c r="H166" s="473" t="inlineStr">
        <is>
          <t>Anna Tamise Gibson</t>
        </is>
      </c>
      <c r="I166" s="473" t="inlineStr">
        <is>
          <t>Devon Energy Production Co.</t>
        </is>
      </c>
      <c r="J166" s="473" t="inlineStr">
        <is>
          <t>NW/4 SE/4, S/2 SE/4, SW/4 NE/4 of 31-12N-24W</t>
        </is>
      </c>
      <c r="K166" s="473" t="inlineStr">
        <is>
          <t>Duplicate OGL#/Bk-Pg — verify operative entry.</t>
        </is>
      </c>
      <c r="L166" s="473" t="n">
        <v>36</v>
      </c>
      <c r="M166" s="473" t="n">
        <v>160</v>
      </c>
      <c r="N166" s="473" t="inlineStr">
        <is>
          <t>T2</t>
        </is>
      </c>
      <c r="O166" s="474" t="n">
        <v>39821</v>
      </c>
      <c r="P166" s="520" t="n"/>
      <c r="Q166" s="473" t="n">
        <v>0.1875</v>
      </c>
      <c r="W166" s="50" t="inlineStr">
        <is>
          <t>F</t>
        </is>
      </c>
    </row>
    <row r="167" ht="25.5" customHeight="1" s="267">
      <c r="A167" s="472" t="n">
        <v>23</v>
      </c>
      <c r="B167" s="472" t="inlineStr">
        <is>
          <t>Expired (term)</t>
        </is>
      </c>
      <c r="C167" s="473" t="n"/>
      <c r="D167" s="473" t="inlineStr">
        <is>
          <t>Lease</t>
        </is>
      </c>
      <c r="E167" s="473" t="inlineStr">
        <is>
          <t>1821/92</t>
        </is>
      </c>
      <c r="F167" s="474" t="n">
        <v>38725</v>
      </c>
      <c r="G167" s="474" t="n">
        <v>38742</v>
      </c>
      <c r="H167" s="473" t="inlineStr">
        <is>
          <t>Anna Tamise Gibson</t>
        </is>
      </c>
      <c r="I167" s="473" t="inlineStr">
        <is>
          <t>Devon Energy Production Co.</t>
        </is>
      </c>
      <c r="J167" s="473" t="inlineStr">
        <is>
          <t>31-12N-24W</t>
        </is>
      </c>
      <c r="K167" s="473" t="inlineStr">
        <is>
          <t>Duplicate OGL#/Bk-Pg — verify operative entry.</t>
        </is>
      </c>
      <c r="L167" s="473" t="n">
        <v>36</v>
      </c>
      <c r="M167" s="473" t="n">
        <v>160</v>
      </c>
      <c r="N167" s="473" t="inlineStr">
        <is>
          <t>T1,2,3,4,5,6,7,8</t>
        </is>
      </c>
      <c r="O167" s="474" t="n">
        <v>39821</v>
      </c>
      <c r="P167" s="520" t="n"/>
      <c r="Q167" s="473" t="n">
        <v>0.1875</v>
      </c>
      <c r="W167" s="50" t="inlineStr">
        <is>
          <t>F</t>
        </is>
      </c>
    </row>
    <row r="168" ht="25.5" customHeight="1" s="267">
      <c r="A168" s="472" t="n">
        <v>24</v>
      </c>
      <c r="B168" s="472" t="inlineStr">
        <is>
          <t>Expired (term)</t>
        </is>
      </c>
      <c r="C168" s="473" t="n"/>
      <c r="D168" s="473" t="inlineStr">
        <is>
          <t>Lease</t>
        </is>
      </c>
      <c r="E168" s="473" t="inlineStr">
        <is>
          <t>1821/465</t>
        </is>
      </c>
      <c r="F168" s="474" t="n">
        <v>38732</v>
      </c>
      <c r="G168" s="474" t="n">
        <v>38747</v>
      </c>
      <c r="H168" s="473" t="inlineStr">
        <is>
          <t>James M. Robertson</t>
        </is>
      </c>
      <c r="I168" s="473" t="inlineStr">
        <is>
          <t>Devon Energy Prod Co.</t>
        </is>
      </c>
      <c r="J168" s="473" t="inlineStr">
        <is>
          <t>31-12N-24W</t>
        </is>
      </c>
      <c r="K168" s="473" t="inlineStr">
        <is>
          <t>Duplicate OGL#/Bk-Pg — verify operative entry.</t>
        </is>
      </c>
      <c r="L168" s="473" t="n">
        <v>18</v>
      </c>
      <c r="M168" s="473" t="n">
        <v>160</v>
      </c>
      <c r="N168" s="473" t="inlineStr">
        <is>
          <t>T1,2,3,4,5,6,7,8</t>
        </is>
      </c>
      <c r="O168" s="474" t="n">
        <v>39278</v>
      </c>
      <c r="P168" s="520" t="n"/>
      <c r="Q168" s="473" t="n">
        <v>0.25</v>
      </c>
      <c r="W168" s="50" t="inlineStr">
        <is>
          <t>F</t>
        </is>
      </c>
    </row>
    <row r="169" ht="25.5" customHeight="1" s="267">
      <c r="A169" s="472" t="n">
        <v>26</v>
      </c>
      <c r="B169" s="472" t="inlineStr">
        <is>
          <t>Expired (term)</t>
        </is>
      </c>
      <c r="C169" s="473" t="n"/>
      <c r="D169" s="473" t="inlineStr">
        <is>
          <t>Oil and Gas Lease</t>
        </is>
      </c>
      <c r="E169" s="473" t="inlineStr">
        <is>
          <t>1821/465</t>
        </is>
      </c>
      <c r="F169" s="474" t="n">
        <v>38732</v>
      </c>
      <c r="G169" s="474" t="n">
        <v>38747</v>
      </c>
      <c r="H169" s="473" t="inlineStr">
        <is>
          <t>James M. Robertson, Rose Elaine Robertson</t>
        </is>
      </c>
      <c r="I169" s="473" t="inlineStr">
        <is>
          <t>Devon Energy Prod Co.</t>
        </is>
      </c>
      <c r="J169" s="473" t="inlineStr">
        <is>
          <t>NW/4 SE/4, S/2 SE/4, SW/4 NE/4 of 31-12N-24W</t>
        </is>
      </c>
      <c r="K169" s="473" t="inlineStr">
        <is>
          <t>Duplicate OGL#/Bk-Pg — verify operative entry.</t>
        </is>
      </c>
      <c r="L169" s="473" t="n">
        <v>18</v>
      </c>
      <c r="M169" s="473" t="n">
        <v>160</v>
      </c>
      <c r="N169" s="473" t="inlineStr">
        <is>
          <t>T2</t>
        </is>
      </c>
      <c r="O169" s="474" t="n">
        <v>39278</v>
      </c>
      <c r="P169" s="520" t="n"/>
      <c r="Q169" s="473" t="n">
        <v>0.25</v>
      </c>
      <c r="W169" s="50" t="inlineStr">
        <is>
          <t>F</t>
        </is>
      </c>
    </row>
    <row r="170" ht="25.5" customHeight="1" s="267">
      <c r="A170" s="472" t="n">
        <v>27</v>
      </c>
      <c r="B170" s="472" t="inlineStr">
        <is>
          <t>Expired (term)</t>
        </is>
      </c>
      <c r="C170" s="473" t="n"/>
      <c r="D170" s="473" t="inlineStr">
        <is>
          <t>Oil and Gas Lease</t>
        </is>
      </c>
      <c r="E170" s="473" t="inlineStr">
        <is>
          <t>1829/26</t>
        </is>
      </c>
      <c r="F170" s="474" t="n">
        <v>38760</v>
      </c>
      <c r="G170" s="474" t="n">
        <v>38792</v>
      </c>
      <c r="H170" s="473" t="inlineStr">
        <is>
          <t>Termo Company</t>
        </is>
      </c>
      <c r="I170" s="473" t="inlineStr">
        <is>
          <t>Devon Energy Production Co.</t>
        </is>
      </c>
      <c r="J170" s="473" t="inlineStr">
        <is>
          <t>E/2 NW/4, N/2 NE/4 SW/4, NE/4 SE/4, SE/4 NE/4 of 31-12N-24W</t>
        </is>
      </c>
      <c r="K170" s="473" t="inlineStr">
        <is>
          <t>Duplicate OGL#/Bk-Pg — verify operative entry.</t>
        </is>
      </c>
      <c r="L170" s="473" t="n">
        <v>36</v>
      </c>
      <c r="M170" s="473" t="n">
        <v>180</v>
      </c>
      <c r="N170" s="473" t="inlineStr">
        <is>
          <t>T3,4,7,8</t>
        </is>
      </c>
      <c r="O170" s="474" t="n">
        <v>39856</v>
      </c>
      <c r="P170" s="520" t="n"/>
      <c r="Q170" s="473" t="n">
        <v>0.25</v>
      </c>
      <c r="W170" s="50" t="inlineStr">
        <is>
          <t>F</t>
        </is>
      </c>
    </row>
    <row r="171" ht="25.5" customHeight="1" s="267">
      <c r="A171" s="472" t="n">
        <v>27</v>
      </c>
      <c r="B171" s="472" t="inlineStr">
        <is>
          <t>Expired (term)</t>
        </is>
      </c>
      <c r="C171" s="473" t="n"/>
      <c r="D171" s="473" t="inlineStr">
        <is>
          <t>Lease</t>
        </is>
      </c>
      <c r="E171" s="473" t="inlineStr">
        <is>
          <t>1829/26</t>
        </is>
      </c>
      <c r="F171" s="474" t="n">
        <v>38760</v>
      </c>
      <c r="G171" s="474" t="n">
        <v>38792</v>
      </c>
      <c r="H171" s="473" t="inlineStr">
        <is>
          <t>Termo Company</t>
        </is>
      </c>
      <c r="I171" s="473" t="inlineStr">
        <is>
          <t>Devon Energy Production Co.</t>
        </is>
      </c>
      <c r="J171" s="473" t="inlineStr">
        <is>
          <t>31-12N-24W</t>
        </is>
      </c>
      <c r="K171" s="473" t="inlineStr">
        <is>
          <t>Duplicate OGL#/Bk-Pg — verify operative entry.</t>
        </is>
      </c>
      <c r="L171" s="473" t="n">
        <v>36</v>
      </c>
      <c r="M171" s="473" t="n">
        <v>180</v>
      </c>
      <c r="N171" s="473" t="inlineStr">
        <is>
          <t>T1,2,3,4,5,6,7,8</t>
        </is>
      </c>
      <c r="O171" s="474" t="n">
        <v>39856</v>
      </c>
      <c r="P171" s="520" t="n"/>
      <c r="Q171" s="473" t="n">
        <v>0.25</v>
      </c>
      <c r="W171" s="50" t="inlineStr">
        <is>
          <t>F</t>
        </is>
      </c>
    </row>
  </sheetData>
  <pageMargins left="0.7" right="0.7" top="0.75" bottom="0.75" header="0.3" footer="0.3"/>
  <legacyDrawing xmlns:r="http://schemas.openxmlformats.org/officeDocument/2006/relationships" r:id="anysvml"/>
</worksheet>
</file>

<file path=xl/worksheets/sheet4.xml><?xml version="1.0" encoding="utf-8"?>
<worksheet xmlns:r="http://schemas.openxmlformats.org/officeDocument/2006/relationships" xmlns="http://schemas.openxmlformats.org/spreadsheetml/2006/main">
  <sheetPr>
    <outlinePr summaryBelow="1" summaryRight="1"/>
    <pageSetUpPr/>
  </sheetPr>
  <dimension ref="B6:AF20"/>
  <sheetViews>
    <sheetView showGridLines="0" workbookViewId="0">
      <selection activeCell="A1" sqref="A1"/>
    </sheetView>
  </sheetViews>
  <sheetFormatPr baseColWidth="8" defaultColWidth="14.42578125" defaultRowHeight="15" customHeight="1"/>
  <cols>
    <col width="12.140625" customWidth="1" style="267" min="1" max="1"/>
    <col width="5.7109375" customWidth="1" style="267" min="2" max="17"/>
    <col width="12.140625" customWidth="1" style="267" min="18" max="18"/>
    <col width="8.7109375" customWidth="1" style="267" min="19" max="32"/>
  </cols>
  <sheetData>
    <row r="6" ht="30.75" customHeight="1" s="267">
      <c r="C6" s="521" t="inlineStr">
        <is>
          <t>Not Examined</t>
        </is>
      </c>
      <c r="I6" s="11" t="n"/>
      <c r="J6" s="14" t="n"/>
      <c r="K6" s="521" t="inlineStr">
        <is>
          <t>Not Examined</t>
        </is>
      </c>
      <c r="O6" s="15" t="n"/>
      <c r="P6" s="266" t="n"/>
      <c r="Q6" s="17" t="n"/>
      <c r="R6" s="13" t="n"/>
      <c r="S6" s="7" t="n"/>
      <c r="T6" s="7" t="n"/>
      <c r="U6" s="7" t="n"/>
      <c r="V6" s="7" t="n"/>
      <c r="W6" s="7" t="n"/>
      <c r="X6" s="7" t="n"/>
      <c r="Y6" s="7" t="n"/>
      <c r="Z6" s="7" t="n"/>
      <c r="AA6" s="7" t="n"/>
      <c r="AB6" s="7" t="n"/>
      <c r="AC6" s="7" t="n"/>
      <c r="AD6" s="7" t="n"/>
      <c r="AE6" s="7" t="n"/>
      <c r="AF6" s="7" t="n"/>
    </row>
    <row r="7" ht="30.75" customHeight="1" s="267">
      <c r="I7" s="11" t="n"/>
      <c r="J7" s="14" t="n"/>
      <c r="O7" s="11" t="n"/>
      <c r="P7" s="18" t="n"/>
      <c r="Q7" s="17" t="n"/>
      <c r="R7" s="13" t="n"/>
      <c r="S7" s="7" t="n"/>
      <c r="T7" s="7" t="n"/>
      <c r="U7" s="7" t="n"/>
      <c r="V7" s="7" t="n"/>
      <c r="W7" s="7" t="n"/>
      <c r="X7" s="7" t="n"/>
      <c r="Y7" s="7" t="n"/>
      <c r="Z7" s="7" t="n"/>
      <c r="AA7" s="7" t="n"/>
      <c r="AB7" s="7" t="n"/>
      <c r="AC7" s="7" t="n"/>
      <c r="AD7" s="7" t="n"/>
      <c r="AE7" s="7" t="n"/>
      <c r="AF7" s="7" t="n"/>
    </row>
    <row r="8" ht="30.75" customHeight="1" s="267">
      <c r="C8" s="20" t="n"/>
      <c r="D8" s="20" t="n"/>
      <c r="E8" s="20" t="n"/>
      <c r="F8" s="21" t="n"/>
      <c r="G8" s="21" t="n"/>
      <c r="H8" s="21" t="n"/>
      <c r="I8" s="22" t="n"/>
      <c r="J8" s="23" t="n"/>
      <c r="K8" s="21" t="n"/>
      <c r="L8" s="21" t="n"/>
      <c r="M8" s="21" t="n"/>
      <c r="N8" s="20" t="n"/>
      <c r="O8" s="24" t="n"/>
      <c r="P8" s="18" t="n"/>
      <c r="Q8" s="17" t="n"/>
      <c r="R8" s="13" t="n"/>
      <c r="S8" s="7" t="n"/>
      <c r="T8" s="7" t="n"/>
      <c r="U8" s="7" t="n"/>
      <c r="V8" s="7" t="n"/>
      <c r="W8" s="7" t="n"/>
      <c r="X8" s="7" t="n"/>
      <c r="Y8" s="7" t="n"/>
      <c r="Z8" s="7" t="n"/>
      <c r="AA8" s="7" t="n"/>
      <c r="AB8" s="7" t="n"/>
      <c r="AC8" s="7" t="n"/>
      <c r="AD8" s="7" t="n"/>
      <c r="AE8" s="7" t="n"/>
      <c r="AF8" s="7" t="n"/>
    </row>
    <row r="9" ht="30.75" customHeight="1" s="267">
      <c r="C9" s="20" t="n"/>
      <c r="D9" s="20" t="n"/>
      <c r="E9" s="24" t="n"/>
      <c r="F9" s="18" t="n"/>
      <c r="G9" s="18" t="n"/>
      <c r="H9" s="18" t="n"/>
      <c r="I9" s="18" t="n"/>
      <c r="J9" s="18" t="n"/>
      <c r="K9" s="18" t="n"/>
      <c r="L9" s="18" t="n"/>
      <c r="M9" s="12" t="n"/>
      <c r="N9" s="20" t="n"/>
      <c r="O9" s="24" t="n"/>
      <c r="P9" s="18" t="n"/>
      <c r="Q9" s="17" t="n"/>
      <c r="R9" s="13" t="n"/>
      <c r="S9" s="7" t="n"/>
      <c r="T9" s="7" t="n"/>
      <c r="U9" s="7" t="n"/>
      <c r="V9" s="7" t="n"/>
      <c r="W9" s="7" t="n"/>
      <c r="X9" s="7" t="n"/>
      <c r="Y9" s="7" t="n"/>
      <c r="Z9" s="7" t="n"/>
      <c r="AA9" s="7" t="n"/>
      <c r="AB9" s="7" t="n"/>
      <c r="AC9" s="7" t="n"/>
      <c r="AD9" s="7" t="n"/>
      <c r="AE9" s="7" t="n"/>
      <c r="AF9" s="7" t="n"/>
    </row>
    <row r="10" ht="30.75" customHeight="1" s="267">
      <c r="C10" s="20" t="n"/>
      <c r="D10" s="20" t="n"/>
      <c r="E10" s="24" t="n"/>
      <c r="F10" s="18" t="n"/>
      <c r="G10" s="522" t="inlineStr">
        <is>
          <t>Tract 2</t>
        </is>
      </c>
      <c r="M10" s="25" t="n"/>
      <c r="N10" s="20" t="n"/>
      <c r="O10" s="24" t="n"/>
      <c r="P10" s="18" t="n"/>
      <c r="Q10" s="17" t="n"/>
      <c r="R10" s="13" t="n"/>
      <c r="S10" s="7" t="n"/>
      <c r="T10" s="523" t="inlineStr">
        <is>
          <t xml:space="preserve">Hide this tab prior to submission. </t>
        </is>
      </c>
    </row>
    <row r="11" ht="30.75" customHeight="1" s="267">
      <c r="C11" s="26" t="n"/>
      <c r="D11" s="26" t="n"/>
      <c r="E11" s="11" t="n"/>
      <c r="F11" s="27" t="n"/>
      <c r="M11" s="25" t="n"/>
      <c r="N11" s="20" t="n"/>
      <c r="O11" s="24" t="n"/>
      <c r="P11" s="18" t="n"/>
      <c r="Q11" s="17" t="n"/>
      <c r="R11" s="13" t="n"/>
      <c r="S11" s="7" t="n"/>
    </row>
    <row r="12" ht="30.75" customHeight="1" s="267">
      <c r="C12" s="28" t="n"/>
      <c r="D12" s="28" t="n"/>
      <c r="E12" s="29" t="n"/>
      <c r="F12" s="30" t="n"/>
      <c r="G12" s="30" t="n"/>
      <c r="H12" s="30" t="n"/>
      <c r="I12" s="30" t="n"/>
      <c r="J12" s="27" t="n"/>
      <c r="K12" s="30" t="n"/>
      <c r="L12" s="30" t="n"/>
      <c r="M12" s="31" t="n"/>
      <c r="N12" s="20" t="n"/>
      <c r="O12" s="22" t="n"/>
      <c r="P12" s="18" t="n"/>
      <c r="Q12" s="17" t="n"/>
      <c r="R12" s="13" t="n"/>
      <c r="S12" s="7" t="n"/>
      <c r="T12" s="7" t="n"/>
      <c r="U12" s="7" t="n"/>
      <c r="V12" s="7" t="n"/>
      <c r="W12" s="7" t="n"/>
      <c r="X12" s="7" t="n"/>
      <c r="Y12" s="7" t="n"/>
      <c r="Z12" s="7" t="n"/>
      <c r="AA12" s="7" t="n"/>
      <c r="AB12" s="7" t="n"/>
      <c r="AC12" s="7" t="n"/>
      <c r="AD12" s="7" t="n"/>
      <c r="AE12" s="7" t="n"/>
      <c r="AF12" s="7" t="n"/>
    </row>
    <row r="13" ht="30.75" customHeight="1" s="267">
      <c r="C13" s="9" t="n"/>
      <c r="D13" s="9" t="n"/>
      <c r="E13" s="9" t="n"/>
      <c r="F13" s="10" t="n"/>
      <c r="G13" s="26" t="n"/>
      <c r="H13" s="26" t="n"/>
      <c r="I13" s="11" t="n"/>
      <c r="J13" s="8" t="n"/>
      <c r="K13" s="9" t="n"/>
      <c r="L13" s="9" t="n"/>
      <c r="M13" s="32" t="n"/>
      <c r="N13" s="33" t="n"/>
      <c r="O13" s="34" t="n"/>
      <c r="P13" s="27" t="n"/>
      <c r="Q13" s="25" t="n"/>
      <c r="R13" s="13" t="n"/>
      <c r="S13" s="7" t="n"/>
      <c r="T13" s="7" t="n"/>
      <c r="U13" s="7" t="n"/>
      <c r="V13" s="7" t="n"/>
      <c r="W13" s="7" t="n"/>
      <c r="X13" s="7" t="n"/>
      <c r="Y13" s="7" t="n"/>
      <c r="Z13" s="7" t="n"/>
      <c r="AA13" s="7" t="n"/>
      <c r="AB13" s="7" t="n"/>
      <c r="AC13" s="7" t="n"/>
      <c r="AD13" s="7" t="n"/>
      <c r="AE13" s="7" t="n"/>
      <c r="AF13" s="7" t="n"/>
    </row>
    <row r="14" ht="30.75" customHeight="1" s="267">
      <c r="C14" s="521" t="inlineStr">
        <is>
          <t>Not Examined</t>
        </is>
      </c>
      <c r="I14" s="11" t="n"/>
      <c r="J14" s="14" t="n"/>
      <c r="K14" s="26" t="n"/>
      <c r="L14" s="26" t="n"/>
      <c r="M14" s="11" t="n"/>
      <c r="N14" s="524" t="inlineStr">
        <is>
          <t>Tract 1</t>
        </is>
      </c>
      <c r="Q14" s="525" t="n"/>
      <c r="R14" s="13" t="n"/>
      <c r="S14" s="7" t="n"/>
      <c r="T14" s="7" t="n"/>
      <c r="U14" s="7" t="n"/>
      <c r="V14" s="7" t="n"/>
      <c r="W14" s="7" t="n"/>
      <c r="X14" s="7" t="n"/>
      <c r="Y14" s="7" t="n"/>
      <c r="Z14" s="7" t="n"/>
      <c r="AA14" s="7" t="n"/>
      <c r="AB14" s="7" t="n"/>
      <c r="AC14" s="7" t="n"/>
      <c r="AD14" s="7" t="n"/>
      <c r="AE14" s="7" t="n"/>
      <c r="AF14" s="7" t="n"/>
    </row>
    <row r="15" ht="30.75" customHeight="1" s="267">
      <c r="I15" s="11" t="n"/>
      <c r="J15" s="14" t="n"/>
      <c r="K15" s="20" t="n"/>
      <c r="L15" s="20" t="n"/>
      <c r="M15" s="24" t="n"/>
      <c r="N15" s="526" t="n"/>
      <c r="Q15" s="525" t="n"/>
      <c r="R15" s="7" t="n"/>
      <c r="S15" s="7" t="n"/>
      <c r="T15" s="7" t="n"/>
      <c r="U15" s="7" t="n"/>
      <c r="V15" s="7" t="n"/>
      <c r="W15" s="7" t="n"/>
      <c r="X15" s="7" t="n"/>
      <c r="Y15" s="7" t="n"/>
      <c r="Z15" s="7" t="n"/>
      <c r="AA15" s="7" t="n"/>
      <c r="AB15" s="7" t="n"/>
      <c r="AC15" s="7" t="n"/>
      <c r="AD15" s="7" t="n"/>
      <c r="AE15" s="7" t="n"/>
      <c r="AF15" s="7" t="n"/>
    </row>
    <row r="16" ht="30.75" customHeight="1" s="267">
      <c r="I16" s="24" t="n"/>
      <c r="J16" s="14" t="n"/>
      <c r="K16" s="20" t="n"/>
      <c r="L16" s="20" t="n"/>
      <c r="M16" s="24" t="n"/>
      <c r="N16" s="35" t="n"/>
      <c r="O16" s="36" t="n"/>
      <c r="P16" s="36" t="n"/>
      <c r="Q16" s="37" t="n"/>
      <c r="R16" s="13" t="n"/>
      <c r="S16" s="7" t="n"/>
      <c r="T16" s="7" t="n"/>
      <c r="U16" s="7" t="n"/>
      <c r="V16" s="7" t="n"/>
      <c r="W16" s="7" t="n"/>
      <c r="X16" s="7" t="n"/>
      <c r="Y16" s="7" t="n"/>
      <c r="Z16" s="7" t="n"/>
      <c r="AA16" s="7" t="n"/>
      <c r="AB16" s="7" t="n"/>
      <c r="AC16" s="7" t="n"/>
      <c r="AD16" s="7" t="n"/>
      <c r="AE16" s="7" t="n"/>
      <c r="AF16" s="7" t="n"/>
    </row>
    <row r="17" ht="30.75" customHeight="1" s="267">
      <c r="B17" s="19" t="n"/>
      <c r="I17" s="24" t="n"/>
      <c r="J17" s="14" t="n"/>
      <c r="K17" s="20" t="n"/>
      <c r="L17" s="20" t="n"/>
      <c r="M17" s="20" t="n"/>
      <c r="N17" s="20" t="n"/>
      <c r="O17" s="20" t="n"/>
      <c r="P17" s="20" t="n"/>
    </row>
    <row r="18" ht="30.75" customHeight="1" s="267">
      <c r="B18" s="38" t="n"/>
      <c r="C18" s="21" t="n"/>
      <c r="D18" s="21" t="n"/>
      <c r="E18" s="21" t="n"/>
      <c r="F18" s="20" t="n"/>
      <c r="G18" s="20" t="n"/>
      <c r="H18" s="20" t="n"/>
      <c r="I18" s="26" t="n"/>
      <c r="J18" s="14" t="n"/>
      <c r="K18" s="521" t="inlineStr">
        <is>
          <t>Not Examined</t>
        </is>
      </c>
    </row>
    <row r="19" ht="30.75" customHeight="1" s="267">
      <c r="B19" s="527" t="inlineStr">
        <is>
          <t>Tract 3</t>
        </is>
      </c>
      <c r="C19" s="528" t="n"/>
      <c r="D19" s="528" t="n"/>
      <c r="E19" s="529" t="n"/>
      <c r="F19" s="26" t="n"/>
      <c r="G19" s="26" t="n"/>
      <c r="H19" s="26" t="n"/>
      <c r="I19" s="11" t="n"/>
      <c r="J19" s="14" t="n"/>
    </row>
    <row r="20" ht="30.75" customHeight="1" s="267">
      <c r="B20" s="530" t="n"/>
      <c r="C20" s="531" t="n"/>
      <c r="D20" s="531" t="n"/>
      <c r="E20" s="532" t="n"/>
      <c r="F20" s="28" t="n"/>
      <c r="G20" s="28" t="n"/>
      <c r="H20" s="28" t="n"/>
      <c r="I20" s="28" t="n"/>
      <c r="J20" s="14" t="n"/>
      <c r="K20" s="28" t="n"/>
      <c r="L20" s="28" t="n"/>
      <c r="M20" s="28" t="n"/>
      <c r="N20" s="28" t="n"/>
      <c r="O20" s="28" t="n"/>
      <c r="P20" s="28" t="n"/>
    </row>
  </sheetData>
  <mergeCells count="8">
    <mergeCell ref="C6:H7"/>
    <mergeCell ref="K18:P19"/>
    <mergeCell ref="T10:AF11"/>
    <mergeCell ref="N14:Q15"/>
    <mergeCell ref="G10:L11"/>
    <mergeCell ref="C14:H17"/>
    <mergeCell ref="K6:N7"/>
    <mergeCell ref="B19:E20"/>
  </mergeCells>
  <pageMargins left="0.7" right="0.7" top="0.75" bottom="0.75" header="0" footer="0"/>
  <pageSetup orientation="portrait" paperSize="5"/>
  <drawing r:id="rId1"/>
</worksheet>
</file>

<file path=xl/worksheets/sheet5.xml><?xml version="1.0" encoding="utf-8"?>
<worksheet xmlns="http://schemas.openxmlformats.org/spreadsheetml/2006/main">
  <sheetPr>
    <outlinePr summaryBelow="1" summaryRight="1"/>
    <pageSetUpPr fitToPage="1"/>
  </sheetPr>
  <dimension ref="A1:M145"/>
  <sheetViews>
    <sheetView view="pageBreakPreview" topLeftCell="G1" zoomScaleNormal="95" zoomScaleSheetLayoutView="100" workbookViewId="0">
      <pane ySplit="1" topLeftCell="A2" activePane="bottomLeft" state="frozen"/>
      <selection pane="bottomLeft" activeCell="K8" sqref="K8"/>
    </sheetView>
  </sheetViews>
  <sheetFormatPr baseColWidth="8" defaultColWidth="8.7109375" defaultRowHeight="12"/>
  <cols>
    <col width="12.42578125" customWidth="1" style="216" min="1" max="1"/>
    <col width="7" customWidth="1" style="54" min="2" max="2"/>
    <col width="18.140625" bestFit="1" customWidth="1" style="54" min="3" max="3"/>
    <col width="11" bestFit="1" customWidth="1" style="54" min="4" max="4"/>
    <col width="12.5703125" customWidth="1" style="54" min="5" max="5"/>
    <col width="11.5703125" customWidth="1" style="54" min="6" max="6"/>
    <col width="41.7109375" customWidth="1" style="52" min="7" max="7"/>
    <col width="48.85546875" customWidth="1" style="52" min="8" max="8"/>
    <col width="49" customWidth="1" style="52" min="9" max="9"/>
    <col width="56.28515625" customWidth="1" style="52" min="10" max="10"/>
    <col width="28.7109375" customWidth="1" style="216" min="11" max="11"/>
    <col width="8.7109375" customWidth="1" style="216" min="12" max="16384"/>
  </cols>
  <sheetData>
    <row r="1" ht="24" customFormat="1" customHeight="1" s="215">
      <c r="A1" s="158" t="inlineStr">
        <is>
          <t>Instrument #</t>
        </is>
      </c>
      <c r="B1" s="158" t="inlineStr">
        <is>
          <t>OGL</t>
        </is>
      </c>
      <c r="C1" s="162" t="inlineStr">
        <is>
          <t>Doc Type</t>
        </is>
      </c>
      <c r="D1" s="159" t="inlineStr">
        <is>
          <t>Bk/Pg.</t>
        </is>
      </c>
      <c r="E1" s="158" t="inlineStr">
        <is>
          <t>Effective Date</t>
        </is>
      </c>
      <c r="F1" s="158" t="inlineStr">
        <is>
          <t>Recorded Date</t>
        </is>
      </c>
      <c r="G1" s="160" t="inlineStr">
        <is>
          <t>Grantor</t>
        </is>
      </c>
      <c r="H1" s="160" t="inlineStr">
        <is>
          <t>Grantee</t>
        </is>
      </c>
      <c r="I1" s="158" t="inlineStr">
        <is>
          <t>Legal Description</t>
        </is>
      </c>
      <c r="J1" s="533" t="inlineStr">
        <is>
          <t>Notes</t>
        </is>
      </c>
      <c r="K1" s="533" t="inlineStr">
        <is>
          <t>Link</t>
        </is>
      </c>
      <c r="L1" s="215" t="inlineStr">
        <is>
          <t>Tract No(s)</t>
        </is>
      </c>
      <c r="M1" s="215" t="inlineStr">
        <is>
          <t>Tract Acres</t>
        </is>
      </c>
    </row>
    <row r="2">
      <c r="A2" s="204" t="inlineStr">
        <is>
          <t>I-1905-000993</t>
        </is>
      </c>
      <c r="B2" s="204" t="n"/>
      <c r="C2" s="204" t="inlineStr">
        <is>
          <t>Homestead</t>
        </is>
      </c>
      <c r="D2" s="204" t="inlineStr">
        <is>
          <t>FR1/470</t>
        </is>
      </c>
      <c r="E2" s="205" t="n">
        <v>2034</v>
      </c>
      <c r="F2" s="206" t="n">
        <v>2063</v>
      </c>
      <c r="G2" s="207" t="inlineStr">
        <is>
          <t>General Land Office</t>
        </is>
      </c>
      <c r="H2" s="207" t="inlineStr">
        <is>
          <t>Leo Kinnett</t>
        </is>
      </c>
      <c r="I2" s="208" t="inlineStr">
        <is>
          <t>E/2 NW/4, Lots 1, 2 of 31-12N-24W</t>
        </is>
      </c>
      <c r="J2" s="209" t="inlineStr">
        <is>
          <t>ARTI</t>
        </is>
      </c>
      <c r="K2" s="252" t="inlineStr">
        <is>
          <t>View</t>
        </is>
      </c>
      <c r="L2" s="216" t="inlineStr">
        <is>
          <t>4, 5</t>
        </is>
      </c>
      <c r="M2" s="216" t="inlineStr">
        <is>
          <t>80, 120</t>
        </is>
      </c>
    </row>
    <row r="3" customFormat="1" s="51">
      <c r="A3" s="204" t="inlineStr">
        <is>
          <t>1905-000429</t>
        </is>
      </c>
      <c r="B3" s="204" t="n"/>
      <c r="C3" s="204" t="inlineStr">
        <is>
          <t>Deed</t>
        </is>
      </c>
      <c r="D3" s="204" t="inlineStr">
        <is>
          <t>D6/206</t>
        </is>
      </c>
      <c r="E3" s="205" t="n">
        <v>2062</v>
      </c>
      <c r="F3" s="206" t="n">
        <v>2063</v>
      </c>
      <c r="G3" s="207" t="inlineStr">
        <is>
          <t>Leo Kennett</t>
        </is>
      </c>
      <c r="H3" s="207" t="inlineStr">
        <is>
          <t>Mark Hambrook</t>
        </is>
      </c>
      <c r="I3" s="208" t="inlineStr">
        <is>
          <t>E/2 NW/4, Lots 1, 2 of 31-12N-24W</t>
        </is>
      </c>
      <c r="J3" s="203" t="inlineStr">
        <is>
          <t>ARTI</t>
        </is>
      </c>
      <c r="K3" s="149" t="inlineStr">
        <is>
          <t>View</t>
        </is>
      </c>
      <c r="L3" s="51" t="inlineStr">
        <is>
          <t>4, 5</t>
        </is>
      </c>
      <c r="M3" s="51" t="inlineStr">
        <is>
          <t>80, 120</t>
        </is>
      </c>
    </row>
    <row r="4" customFormat="1" s="51">
      <c r="A4" s="204" t="inlineStr">
        <is>
          <t>1907-005379</t>
        </is>
      </c>
      <c r="B4" s="204" t="n"/>
      <c r="C4" s="204" t="inlineStr">
        <is>
          <t>Patent</t>
        </is>
      </c>
      <c r="D4" s="204" t="inlineStr">
        <is>
          <t>PAT3/495</t>
        </is>
      </c>
      <c r="E4" s="206" t="n">
        <v>2169</v>
      </c>
      <c r="F4" s="206" t="n">
        <v>2752</v>
      </c>
      <c r="G4" s="207" t="inlineStr">
        <is>
          <t>United States of America</t>
        </is>
      </c>
      <c r="H4" s="207" t="inlineStr">
        <is>
          <t>Leo Kennett</t>
        </is>
      </c>
      <c r="I4" s="208" t="inlineStr">
        <is>
          <t>E/2 NW/4, Lots 1, 2 of 31-12N-24W</t>
        </is>
      </c>
      <c r="J4" s="209" t="inlineStr">
        <is>
          <t>ARTI</t>
        </is>
      </c>
      <c r="K4" s="149" t="inlineStr">
        <is>
          <t>View</t>
        </is>
      </c>
      <c r="L4" s="51" t="inlineStr">
        <is>
          <t>4, 5</t>
        </is>
      </c>
      <c r="M4" s="51" t="inlineStr">
        <is>
          <t>80, 120</t>
        </is>
      </c>
    </row>
    <row r="5" customFormat="1" s="51">
      <c r="A5" s="204" t="inlineStr">
        <is>
          <t>I-1907-002036</t>
        </is>
      </c>
      <c r="B5" s="204" t="n"/>
      <c r="C5" s="204" t="inlineStr">
        <is>
          <t>Homestead</t>
        </is>
      </c>
      <c r="D5" s="204" t="inlineStr">
        <is>
          <t>FR2/199</t>
        </is>
      </c>
      <c r="E5" s="205" t="n">
        <v>2534</v>
      </c>
      <c r="F5" s="206" t="n">
        <v>2601</v>
      </c>
      <c r="G5" s="207" t="inlineStr">
        <is>
          <t>General Land Office</t>
        </is>
      </c>
      <c r="H5" s="207" t="inlineStr">
        <is>
          <t>Charles T. Kennett</t>
        </is>
      </c>
      <c r="I5" s="208" t="inlineStr">
        <is>
          <t>SW/4 NE/4, W/2 SE/4, SE/4 SE/4 of 31-12N-24W, aol</t>
        </is>
      </c>
      <c r="J5" s="209" t="inlineStr">
        <is>
          <t>ARTI</t>
        </is>
      </c>
      <c r="K5" s="149" t="inlineStr">
        <is>
          <t>View</t>
        </is>
      </c>
      <c r="L5" s="51" t="n">
        <v>2</v>
      </c>
      <c r="M5" s="51" t="n">
        <v>160</v>
      </c>
    </row>
    <row r="6" customFormat="1" s="51">
      <c r="A6" s="204" t="inlineStr">
        <is>
          <t>1907-000709</t>
        </is>
      </c>
      <c r="B6" s="204" t="n"/>
      <c r="C6" s="204" t="inlineStr">
        <is>
          <t>Deed</t>
        </is>
      </c>
      <c r="D6" s="204" t="inlineStr">
        <is>
          <t>D9/303</t>
        </is>
      </c>
      <c r="E6" s="205" t="n">
        <v>2592</v>
      </c>
      <c r="F6" s="206" t="n">
        <v>2601</v>
      </c>
      <c r="G6" s="207" t="inlineStr">
        <is>
          <t>Charles T. Kennett and Sadie N. Kennett, HW</t>
        </is>
      </c>
      <c r="H6" s="207" t="inlineStr">
        <is>
          <t>John G. Lancaster</t>
        </is>
      </c>
      <c r="I6" s="208" t="inlineStr">
        <is>
          <t>SW/4 NE/4, SW/4 SE/4, SE/4 SE/4 of 31-12N-24W</t>
        </is>
      </c>
      <c r="J6" s="209" t="inlineStr">
        <is>
          <t>ARTI</t>
        </is>
      </c>
      <c r="K6" s="149" t="inlineStr">
        <is>
          <t>View</t>
        </is>
      </c>
      <c r="L6" s="51" t="n">
        <v>2</v>
      </c>
      <c r="M6" s="51" t="n">
        <v>160</v>
      </c>
    </row>
    <row r="7" customFormat="1" s="51">
      <c r="A7" s="204" t="n"/>
      <c r="B7" s="204" t="n"/>
      <c r="C7" s="204" t="inlineStr">
        <is>
          <t>WD</t>
        </is>
      </c>
      <c r="D7" s="204" t="inlineStr">
        <is>
          <t>D00015/159</t>
        </is>
      </c>
      <c r="E7" s="205" t="n">
        <v>3250</v>
      </c>
      <c r="F7" s="206" t="n">
        <v>3390</v>
      </c>
      <c r="G7" s="207" t="inlineStr">
        <is>
          <t>William T. Rook and Ollie Rook, HW</t>
        </is>
      </c>
      <c r="H7" s="207" t="inlineStr">
        <is>
          <t>Martha J. Dufour</t>
        </is>
      </c>
      <c r="I7" s="210" t="inlineStr">
        <is>
          <t>E/2 NW/4, SW/4 NE/4, NE/4 SW/4</t>
        </is>
      </c>
      <c r="J7" s="211" t="inlineStr">
        <is>
          <t>ARTI</t>
        </is>
      </c>
      <c r="K7" s="149" t="n"/>
    </row>
    <row r="8" ht="24" customFormat="1" customHeight="1" s="51">
      <c r="A8" s="204" t="n"/>
      <c r="B8" s="204" t="n"/>
      <c r="C8" s="204" t="inlineStr">
        <is>
          <t>PAT</t>
        </is>
      </c>
      <c r="D8" s="204" t="inlineStr">
        <is>
          <t>PAT006/275</t>
        </is>
      </c>
      <c r="E8" s="205" t="n">
        <v>3796</v>
      </c>
      <c r="F8" s="206" t="n">
        <v>4003</v>
      </c>
      <c r="G8" s="207" t="inlineStr">
        <is>
          <t>United States of America</t>
        </is>
      </c>
      <c r="H8" s="207" t="inlineStr">
        <is>
          <t>Cooper E. Voorhies</t>
        </is>
      </c>
      <c r="I8" s="208" t="inlineStr">
        <is>
          <t>E/2 NE/4, NW/4 NE/4
(AOL)</t>
        </is>
      </c>
      <c r="J8" s="211" t="inlineStr">
        <is>
          <t>ARTI, 120 acres in section 27-15N-24W</t>
        </is>
      </c>
      <c r="K8" s="149" t="n"/>
    </row>
    <row r="9" customFormat="1" s="51">
      <c r="A9" s="204" t="n"/>
      <c r="B9" s="204" t="n"/>
      <c r="C9" s="204" t="inlineStr">
        <is>
          <t>WD</t>
        </is>
      </c>
      <c r="D9" s="204" t="inlineStr">
        <is>
          <t>D00014/515</t>
        </is>
      </c>
      <c r="E9" s="205" t="n">
        <v>4252</v>
      </c>
      <c r="F9" s="206" t="n">
        <v>4259</v>
      </c>
      <c r="G9" s="207" t="inlineStr">
        <is>
          <t>Joseph Sanford and Louisa Sanford, HW</t>
        </is>
      </c>
      <c r="H9" s="207" t="inlineStr">
        <is>
          <t>G. W. Goin</t>
        </is>
      </c>
      <c r="I9" s="208" t="inlineStr">
        <is>
          <t>SE/4 SE/4, W/2 SE/4, SE/4 SW/4</t>
        </is>
      </c>
      <c r="J9" s="209" t="inlineStr">
        <is>
          <t>ARTI</t>
        </is>
      </c>
      <c r="K9" s="149" t="n"/>
    </row>
    <row r="10" customFormat="1" s="51">
      <c r="A10" s="204" t="n"/>
      <c r="B10" s="204" t="n"/>
      <c r="C10" s="204" t="inlineStr">
        <is>
          <t>WD</t>
        </is>
      </c>
      <c r="D10" s="204" t="inlineStr">
        <is>
          <t>D00027/162</t>
        </is>
      </c>
      <c r="E10" s="205" t="n">
        <v>6639</v>
      </c>
      <c r="F10" s="206" t="n">
        <v>6641</v>
      </c>
      <c r="G10" s="207" t="inlineStr">
        <is>
          <t>G. W. Goin and S. M. Goin, HW</t>
        </is>
      </c>
      <c r="H10" s="207" t="inlineStr">
        <is>
          <t>J. W. Goin</t>
        </is>
      </c>
      <c r="I10" s="208" t="inlineStr">
        <is>
          <t>SE/4 SE/4, W/2 SE/4, SE/4 SW/4</t>
        </is>
      </c>
      <c r="J10" s="209" t="inlineStr">
        <is>
          <t>ARTI</t>
        </is>
      </c>
      <c r="K10" s="149" t="n"/>
    </row>
    <row r="11" customFormat="1" s="51">
      <c r="A11" s="204" t="n"/>
      <c r="B11" s="204" t="n"/>
      <c r="C11" s="204" t="inlineStr">
        <is>
          <t>WD</t>
        </is>
      </c>
      <c r="D11" s="204" t="inlineStr">
        <is>
          <t>D00034/97</t>
        </is>
      </c>
      <c r="E11" s="206" t="n">
        <v>8034</v>
      </c>
      <c r="F11" s="206" t="n">
        <v>9130</v>
      </c>
      <c r="G11" s="207" t="inlineStr">
        <is>
          <t>J. W. Goin</t>
        </is>
      </c>
      <c r="H11" s="207" t="inlineStr">
        <is>
          <t>G. W. Goin</t>
        </is>
      </c>
      <c r="I11" s="208" t="inlineStr">
        <is>
          <t>SE/4 SE/4, W/2 SE/4, SE/4 SW/4</t>
        </is>
      </c>
      <c r="J11" s="209" t="inlineStr">
        <is>
          <t>ARTI</t>
        </is>
      </c>
      <c r="K11" s="149" t="n"/>
    </row>
    <row r="12" customFormat="1" s="51">
      <c r="A12" s="204" t="n"/>
      <c r="B12" s="204" t="n"/>
      <c r="C12" s="204" t="inlineStr">
        <is>
          <t>WD</t>
        </is>
      </c>
      <c r="D12" s="204" t="inlineStr">
        <is>
          <t>D00032/432</t>
        </is>
      </c>
      <c r="E12" s="205" t="n">
        <v>8657</v>
      </c>
      <c r="F12" s="206" t="n">
        <v>8674</v>
      </c>
      <c r="G12" s="207" t="inlineStr">
        <is>
          <t>Elmer J. Brown and Sallie B. Brown, HW</t>
        </is>
      </c>
      <c r="H12" s="207" t="inlineStr">
        <is>
          <t>Jacob Fell</t>
        </is>
      </c>
      <c r="I12" s="210" t="inlineStr">
        <is>
          <t>W/2 NW/4, W/2 SW/4</t>
        </is>
      </c>
      <c r="J12" s="211" t="inlineStr">
        <is>
          <t>ARTI</t>
        </is>
      </c>
      <c r="K12" s="149" t="n"/>
    </row>
    <row r="13" customFormat="1" s="51">
      <c r="A13" s="204" t="n"/>
      <c r="B13" s="204" t="n"/>
      <c r="C13" s="204" t="inlineStr">
        <is>
          <t>PAT</t>
        </is>
      </c>
      <c r="D13" s="204" t="inlineStr">
        <is>
          <t>PAT010/200</t>
        </is>
      </c>
      <c r="E13" s="205" t="n">
        <v>9949</v>
      </c>
      <c r="F13" s="206" t="n">
        <v>10224</v>
      </c>
      <c r="G13" s="207" t="inlineStr">
        <is>
          <t>United States of America</t>
        </is>
      </c>
      <c r="H13" s="207" t="inlineStr">
        <is>
          <t>James Walton Goin</t>
        </is>
      </c>
      <c r="I13" s="208" t="inlineStr">
        <is>
          <t>NE/4 SE/4</t>
        </is>
      </c>
      <c r="J13" s="209" t="inlineStr">
        <is>
          <t>ARTI, 40 acres</t>
        </is>
      </c>
      <c r="K13" s="149" t="n"/>
    </row>
    <row r="14" ht="48" customFormat="1" customHeight="1" s="51">
      <c r="A14" s="204" t="n"/>
      <c r="B14" s="212" t="n"/>
      <c r="C14" s="212" t="inlineStr">
        <is>
          <t>WD</t>
        </is>
      </c>
      <c r="D14" s="212" t="inlineStr">
        <is>
          <t>D00038/233</t>
        </is>
      </c>
      <c r="E14" s="213" t="n">
        <v>10127</v>
      </c>
      <c r="F14" s="206" t="n">
        <v>10126</v>
      </c>
      <c r="G14" s="210" t="inlineStr">
        <is>
          <t xml:space="preserve">Alfred L. Voorhies and Leah Voorhies, HW 
(Alfred L. Voorhies being the only heir at law of Cooper E. Voorhies now deceased)
</t>
        </is>
      </c>
      <c r="H14" s="210" t="inlineStr">
        <is>
          <t>J. C. Dewitt</t>
        </is>
      </c>
      <c r="I14" s="210" t="inlineStr">
        <is>
          <t>E/2 NE/4, NW/4 NE/4
(AOL)</t>
        </is>
      </c>
      <c r="J14" s="211" t="inlineStr">
        <is>
          <t>ARTI</t>
        </is>
      </c>
      <c r="K14" s="149" t="n"/>
    </row>
    <row r="15" ht="48" customFormat="1" customHeight="1" s="51">
      <c r="A15" s="204" t="n"/>
      <c r="B15" s="204" t="n"/>
      <c r="C15" s="204" t="inlineStr">
        <is>
          <t>WD</t>
        </is>
      </c>
      <c r="D15" s="204" t="inlineStr">
        <is>
          <t>D00038/474</t>
        </is>
      </c>
      <c r="E15" s="205" t="n">
        <v>10317</v>
      </c>
      <c r="F15" s="206" t="n">
        <v>10322</v>
      </c>
      <c r="G15" s="207" t="inlineStr">
        <is>
          <t>Samuel A. Dufour and Susan E. Dufour, HW</t>
        </is>
      </c>
      <c r="H15" s="207" t="inlineStr">
        <is>
          <t>John Dufour</t>
        </is>
      </c>
      <c r="I15" s="210" t="inlineStr">
        <is>
          <t>E/2 NW/4, SW/4 NE/4, NE/4 SW/4</t>
        </is>
      </c>
      <c r="J15" s="214" t="inlineStr">
        <is>
          <t xml:space="preserve">UND 1/5th part of all of the E/2 NW/4,
UND 1/5th part of all of the SW/4 NE/4,
UND 1/5th part of all of the NE/4 SW/4
</t>
        </is>
      </c>
      <c r="K15" s="149" t="n"/>
    </row>
    <row r="16" ht="24" customFormat="1" customHeight="1" s="51">
      <c r="A16" s="204" t="n"/>
      <c r="B16" s="204" t="n"/>
      <c r="C16" s="204" t="inlineStr">
        <is>
          <t>WD</t>
        </is>
      </c>
      <c r="D16" s="204" t="inlineStr">
        <is>
          <t>D00036/540</t>
        </is>
      </c>
      <c r="E16" s="205" t="n">
        <v>10502</v>
      </c>
      <c r="F16" s="206" t="n">
        <v>10633</v>
      </c>
      <c r="G16" s="207" t="inlineStr">
        <is>
          <t>J. C. Dewitt and Annie Dewitt, HW</t>
        </is>
      </c>
      <c r="H16" s="207" t="inlineStr">
        <is>
          <t>Curtis R. Hanawalt</t>
        </is>
      </c>
      <c r="I16" s="208" t="inlineStr">
        <is>
          <t>E/2 NE/4, NW/4 NE/4
(AOL)</t>
        </is>
      </c>
      <c r="J16" s="211" t="inlineStr">
        <is>
          <t>ARTI</t>
        </is>
      </c>
      <c r="K16" s="149" t="n"/>
    </row>
    <row r="17" ht="48" customFormat="1" customHeight="1" s="51">
      <c r="A17" s="204" t="n"/>
      <c r="B17" s="204" t="n"/>
      <c r="C17" s="204" t="inlineStr">
        <is>
          <t>CORR WD</t>
        </is>
      </c>
      <c r="D17" s="204" t="inlineStr">
        <is>
          <t>D00036/524</t>
        </is>
      </c>
      <c r="E17" s="205" t="n">
        <v>10618</v>
      </c>
      <c r="F17" s="206" t="n">
        <v>10618</v>
      </c>
      <c r="G17" s="210" t="inlineStr">
        <is>
          <t xml:space="preserve">Alfred L. Voorhies and Leah Voorhies, HW 
(Alfred L. Voorhies being the only heir at law of Cooper E. Voorhies, now deceased)
</t>
        </is>
      </c>
      <c r="H17" s="207" t="inlineStr">
        <is>
          <t xml:space="preserve">J. C. Dewitt </t>
        </is>
      </c>
      <c r="I17" s="208" t="inlineStr">
        <is>
          <t>E/2 NE/4, NW/4 NE/4
(AOL)</t>
        </is>
      </c>
      <c r="J17" s="214" t="inlineStr">
        <is>
          <t>This deed is made in correction of a certain WD from said first parties to second party, dated August 22nd, 1927 and recorded on the 21st day of Sept, 1927 in the office of the recorder of deeds in Roger Mills County, OK at Book no. 88 page no. 233</t>
        </is>
      </c>
      <c r="K17" s="149" t="n"/>
    </row>
    <row r="18" ht="24" customFormat="1" customHeight="1" s="51">
      <c r="A18" s="204" t="n"/>
      <c r="B18" s="204" t="n"/>
      <c r="C18" s="204" t="inlineStr">
        <is>
          <t>WD</t>
        </is>
      </c>
      <c r="D18" s="204" t="inlineStr">
        <is>
          <t>D00036/542</t>
        </is>
      </c>
      <c r="E18" s="205" t="n">
        <v>10633</v>
      </c>
      <c r="F18" s="206" t="n">
        <v>10637</v>
      </c>
      <c r="G18" s="207" t="inlineStr">
        <is>
          <t>Curtis R. Hanawalt and Stella M. Hanawalt, HW</t>
        </is>
      </c>
      <c r="H18" s="207" t="inlineStr">
        <is>
          <t>Ralph Hanawalt</t>
        </is>
      </c>
      <c r="I18" s="208" t="inlineStr">
        <is>
          <t>E/2 NE/4, NW/4 NE/4
(AOL)</t>
        </is>
      </c>
      <c r="J18" s="211" t="inlineStr">
        <is>
          <t>ARTI</t>
        </is>
      </c>
      <c r="K18" s="149" t="n"/>
    </row>
    <row r="19" ht="24" customFormat="1" customHeight="1" s="51">
      <c r="A19" s="204" t="n"/>
      <c r="B19" s="204" t="n"/>
      <c r="C19" s="204" t="inlineStr">
        <is>
          <t>WD</t>
        </is>
      </c>
      <c r="D19" s="204" t="inlineStr">
        <is>
          <t>D00036/622</t>
        </is>
      </c>
      <c r="E19" s="205" t="n">
        <v>10738</v>
      </c>
      <c r="F19" s="206" t="n">
        <v>10742</v>
      </c>
      <c r="G19" s="207" t="inlineStr">
        <is>
          <t>Charles I. Dufour and Mattie E. Dufour, HW</t>
        </is>
      </c>
      <c r="H19" s="207" t="inlineStr">
        <is>
          <t>Margaret E. Dufour</t>
        </is>
      </c>
      <c r="I19" s="210" t="inlineStr">
        <is>
          <t>E/2 NW/4, SW/4 NE/4, NE/4 SW/4</t>
        </is>
      </c>
      <c r="J19" s="214" t="inlineStr">
        <is>
          <t xml:space="preserve">UND 1/5th interest
</t>
        </is>
      </c>
      <c r="K19" s="149" t="n"/>
    </row>
    <row r="20" ht="24" customFormat="1" customHeight="1" s="51">
      <c r="A20" s="204" t="n"/>
      <c r="B20" s="204" t="n"/>
      <c r="C20" s="204" t="inlineStr">
        <is>
          <t>WD</t>
        </is>
      </c>
      <c r="D20" s="204" t="inlineStr">
        <is>
          <t>D00041/25</t>
        </is>
      </c>
      <c r="E20" s="205" t="n">
        <v>10826</v>
      </c>
      <c r="F20" s="206" t="n">
        <v>10826</v>
      </c>
      <c r="G20" s="207" t="inlineStr">
        <is>
          <t>Ralph Hanawalt</t>
        </is>
      </c>
      <c r="H20" s="207" t="inlineStr">
        <is>
          <t>E. R. Hills</t>
        </is>
      </c>
      <c r="I20" s="208" t="inlineStr">
        <is>
          <t>E/2 NW/4, NW/4 NE/4
(AOL)</t>
        </is>
      </c>
      <c r="J20" s="211" t="inlineStr">
        <is>
          <t>ARTI</t>
        </is>
      </c>
      <c r="K20" s="149" t="n"/>
    </row>
    <row r="21" ht="24" customFormat="1" customHeight="1" s="51">
      <c r="A21" s="204" t="n"/>
      <c r="B21" s="204" t="n"/>
      <c r="C21" s="204" t="inlineStr">
        <is>
          <t>WD</t>
        </is>
      </c>
      <c r="D21" s="204" t="inlineStr">
        <is>
          <t>D00054/534</t>
        </is>
      </c>
      <c r="E21" s="205" t="n">
        <v>11133</v>
      </c>
      <c r="F21" s="206" t="n">
        <v>16022</v>
      </c>
      <c r="G21" s="207" t="inlineStr">
        <is>
          <t>Margaret E. Defour</t>
        </is>
      </c>
      <c r="H21" s="207" t="inlineStr">
        <is>
          <t>Charles I. Dufour</t>
        </is>
      </c>
      <c r="I21" s="208" t="inlineStr">
        <is>
          <t>E/2 NW/4, SW/4 NE/4, NE/4 SW/4</t>
        </is>
      </c>
      <c r="J21" s="214" t="inlineStr">
        <is>
          <t xml:space="preserve">UND 1/5th interest
</t>
        </is>
      </c>
      <c r="K21" s="149" t="n"/>
    </row>
    <row r="22" customFormat="1" s="51">
      <c r="A22" s="204" t="n"/>
      <c r="B22" s="204" t="n"/>
      <c r="C22" s="204" t="inlineStr">
        <is>
          <t>WD</t>
        </is>
      </c>
      <c r="D22" s="204" t="inlineStr">
        <is>
          <t>D00043/572</t>
        </is>
      </c>
      <c r="E22" s="205" t="n">
        <v>11524</v>
      </c>
      <c r="F22" s="206" t="n">
        <v>11534</v>
      </c>
      <c r="G22" s="207" t="inlineStr">
        <is>
          <t>Jacob Fell and Esther Fell, HW</t>
        </is>
      </c>
      <c r="H22" s="207" t="inlineStr">
        <is>
          <t>Bessie Fell</t>
        </is>
      </c>
      <c r="I22" s="210" t="inlineStr">
        <is>
          <t>W/2 NW/4, W/2 SW/4</t>
        </is>
      </c>
      <c r="J22" s="211" t="inlineStr">
        <is>
          <t>ARTI</t>
        </is>
      </c>
      <c r="K22" s="149" t="n"/>
    </row>
    <row r="23" customFormat="1" s="51">
      <c r="A23" s="204" t="n"/>
      <c r="B23" s="204" t="n"/>
      <c r="C23" s="204" t="inlineStr">
        <is>
          <t>WD</t>
        </is>
      </c>
      <c r="D23" s="204" t="inlineStr">
        <is>
          <t>D00044/39</t>
        </is>
      </c>
      <c r="E23" s="205" t="n">
        <v>11645</v>
      </c>
      <c r="F23" s="206" t="n">
        <v>11680</v>
      </c>
      <c r="G23" s="207" t="inlineStr">
        <is>
          <t>G. W. Goin and S. M. Goin, HW</t>
        </is>
      </c>
      <c r="H23" s="207" t="inlineStr">
        <is>
          <t>James Walton Goin</t>
        </is>
      </c>
      <c r="I23" s="208" t="inlineStr">
        <is>
          <t>SE/4 SE/4, W/2 SE/4, SE/4 SW/4</t>
        </is>
      </c>
      <c r="J23" s="209" t="inlineStr">
        <is>
          <t>ARTI</t>
        </is>
      </c>
      <c r="K23" s="149" t="n"/>
    </row>
    <row r="24" customFormat="1" s="51">
      <c r="A24" s="204" t="n"/>
      <c r="B24" s="204" t="n"/>
      <c r="C24" s="204" t="inlineStr">
        <is>
          <t>WD</t>
        </is>
      </c>
      <c r="D24" s="204" t="inlineStr">
        <is>
          <t>D00054/161</t>
        </is>
      </c>
      <c r="E24" s="205" t="n">
        <v>11855</v>
      </c>
      <c r="F24" s="206" t="n">
        <v>15384</v>
      </c>
      <c r="G24" s="207" t="inlineStr">
        <is>
          <t>Bessie Fell</t>
        </is>
      </c>
      <c r="H24" s="207" t="inlineStr">
        <is>
          <t>Esther Fell</t>
        </is>
      </c>
      <c r="I24" s="208" t="inlineStr">
        <is>
          <t>W/2 NW/4, W/2 SW/4</t>
        </is>
      </c>
      <c r="J24" s="209" t="inlineStr">
        <is>
          <t>ARTI</t>
        </is>
      </c>
      <c r="K24" s="149" t="n"/>
    </row>
    <row r="25" ht="60" customFormat="1" customHeight="1" s="51">
      <c r="A25" s="204" t="n"/>
      <c r="B25" s="204" t="n"/>
      <c r="C25" s="204" t="inlineStr">
        <is>
          <t>WD</t>
        </is>
      </c>
      <c r="D25" s="204" t="inlineStr">
        <is>
          <t>D00053/585</t>
        </is>
      </c>
      <c r="E25" s="205" t="n">
        <v>15997</v>
      </c>
      <c r="F25" s="206" t="n">
        <v>16191</v>
      </c>
      <c r="G25" s="207" t="inlineStr">
        <is>
          <t>John Dufour, 
Myrtle J. Dufour,
William J. Dufour, Jr., 
Charles I. Dufour, 
Martha E. Dufour</t>
        </is>
      </c>
      <c r="H25" s="207" t="inlineStr">
        <is>
          <t>J. W. Goin</t>
        </is>
      </c>
      <c r="I25" s="210" t="inlineStr">
        <is>
          <t>E/2 NW/4, SW/4 NE/4, NE/4 SW/4</t>
        </is>
      </c>
      <c r="J25" s="211" t="inlineStr">
        <is>
          <t>ARTI</t>
        </is>
      </c>
      <c r="K25" s="149" t="n"/>
    </row>
    <row r="26" ht="24" customFormat="1" customHeight="1" s="51">
      <c r="A26" s="204" t="n"/>
      <c r="B26" s="204" t="n"/>
      <c r="C26" s="204" t="inlineStr">
        <is>
          <t>WD</t>
        </is>
      </c>
      <c r="D26" s="204" t="inlineStr">
        <is>
          <t>D00057/396</t>
        </is>
      </c>
      <c r="E26" s="205" t="n">
        <v>16746</v>
      </c>
      <c r="F26" s="206" t="n">
        <v>16774</v>
      </c>
      <c r="G26" s="207" t="inlineStr">
        <is>
          <t>E. R. Hills and Grace Hills, HW.</t>
        </is>
      </c>
      <c r="H26" s="207" t="inlineStr">
        <is>
          <t>J. W. Goin</t>
        </is>
      </c>
      <c r="I26" s="208" t="inlineStr">
        <is>
          <t>E/2 NW/4, NW/4 NE/4
(AOL)</t>
        </is>
      </c>
      <c r="J26" s="214" t="inlineStr">
        <is>
          <t>UND 3/4ths int.
Grantor reserves 1/4th interest in the ogms</t>
        </is>
      </c>
      <c r="K26" s="149" t="n"/>
    </row>
    <row r="27" customFormat="1" s="51">
      <c r="A27" s="204" t="n"/>
      <c r="B27" s="204" t="n"/>
      <c r="C27" s="204" t="inlineStr">
        <is>
          <t>WD</t>
        </is>
      </c>
      <c r="D27" s="204" t="inlineStr">
        <is>
          <t>D00060/304</t>
        </is>
      </c>
      <c r="E27" s="205" t="n">
        <v>17544</v>
      </c>
      <c r="F27" s="206" t="n">
        <v>17556</v>
      </c>
      <c r="G27" s="207" t="inlineStr">
        <is>
          <t>Esther Fell and Jacob Fell, her husband</t>
        </is>
      </c>
      <c r="H27" s="207" t="inlineStr">
        <is>
          <t>J. W. Goin</t>
        </is>
      </c>
      <c r="I27" s="210" t="inlineStr">
        <is>
          <t>W/2 NW/4, W/2 SW/4</t>
        </is>
      </c>
      <c r="J27" s="211" t="inlineStr">
        <is>
          <t>Grantor reserves all interest in the ogms</t>
        </is>
      </c>
      <c r="K27" s="149" t="n"/>
    </row>
    <row r="28" ht="36" customFormat="1" customHeight="1" s="51">
      <c r="A28" s="204" t="n"/>
      <c r="B28" s="204" t="n"/>
      <c r="C28" s="204" t="inlineStr">
        <is>
          <t>DECREE</t>
        </is>
      </c>
      <c r="D28" s="204" t="inlineStr">
        <is>
          <t>1956/281</t>
        </is>
      </c>
      <c r="E28" s="205" t="n">
        <v>23995</v>
      </c>
      <c r="F28" s="206" t="n">
        <v>39939</v>
      </c>
      <c r="G28" s="207" t="inlineStr">
        <is>
          <t xml:space="preserve">Roger Mills County Court
RE: In the Matter of the Estate of Lena Grace Hills, Deceased. </t>
        </is>
      </c>
      <c r="H28" s="207" t="inlineStr">
        <is>
          <t>Arlene H. O'Neill, 1/3, 
Elverta G. Burns, 1/3, 
W. E. Hills, 1/3</t>
        </is>
      </c>
      <c r="I28" s="208" t="inlineStr">
        <is>
          <t>E/2 NE/4, NW/4 NE/4
(AOL)</t>
        </is>
      </c>
      <c r="J28" s="211" t="inlineStr">
        <is>
          <t>ARTI, 1/4th int.</t>
        </is>
      </c>
      <c r="K28" s="149" t="n"/>
    </row>
    <row r="29" ht="72" customFormat="1" customHeight="1" s="51">
      <c r="A29" s="204" t="n"/>
      <c r="B29" s="204" t="n"/>
      <c r="C29" s="204" t="inlineStr">
        <is>
          <t>WD</t>
        </is>
      </c>
      <c r="D29" s="204" t="inlineStr">
        <is>
          <t>122/116</t>
        </is>
      </c>
      <c r="E29" s="205" t="n">
        <v>25973</v>
      </c>
      <c r="F29" s="206" t="n">
        <v>26078</v>
      </c>
      <c r="G29" s="207" t="inlineStr">
        <is>
          <t>Emma M. Goin, widow, 
Lola M. Winkleblack and Francis F. Winkleblack, wife and husband, 
James W. Goin, Jr. and Gertrude Goin, HW, 
Carrol D. Goin and Mary Jane Goin, HW, 
George W. Goin and Sandra S. Goin, HW</t>
        </is>
      </c>
      <c r="H29" s="207" t="inlineStr">
        <is>
          <t>George W. Goin, 1/2, 
Sandra S. Goin, 1/2</t>
        </is>
      </c>
      <c r="I29" s="210" t="inlineStr">
        <is>
          <t>SW/4</t>
        </is>
      </c>
      <c r="J29" s="211" t="inlineStr">
        <is>
          <t>Grantors reserve all minerals</t>
        </is>
      </c>
      <c r="K29" s="149" t="n"/>
    </row>
    <row r="30" ht="48" customFormat="1" customHeight="1" s="51">
      <c r="A30" s="204" t="n"/>
      <c r="B30" s="204" t="n"/>
      <c r="C30" s="204" t="inlineStr">
        <is>
          <t>WD</t>
        </is>
      </c>
      <c r="D30" s="204" t="inlineStr">
        <is>
          <t>122/118</t>
        </is>
      </c>
      <c r="E30" s="205" t="n">
        <v>25973</v>
      </c>
      <c r="F30" s="206" t="n">
        <v>26078</v>
      </c>
      <c r="G30" s="207" t="inlineStr">
        <is>
          <t>Emma M. Goin, widow, 
James W. Goin, Jr. and Gertrude Goin, HW, 
Carrol D. Goin and Mary Jane Goin, HW, 
George W. Goin and Sandra S. Goin, HW</t>
        </is>
      </c>
      <c r="H30" s="207" t="inlineStr">
        <is>
          <t>Lola M. Winkleblack</t>
        </is>
      </c>
      <c r="I30" s="208" t="inlineStr">
        <is>
          <t>E/2 NE/4, NW/4 NE/4
(AOL)</t>
        </is>
      </c>
      <c r="J30" s="211" t="inlineStr">
        <is>
          <t>Grantors reserve all minerals</t>
        </is>
      </c>
      <c r="K30" s="149" t="n"/>
    </row>
    <row r="31" ht="60" customFormat="1" customHeight="1" s="51">
      <c r="A31" s="204" t="n"/>
      <c r="B31" s="204" t="n"/>
      <c r="C31" s="204" t="inlineStr">
        <is>
          <t>WD</t>
        </is>
      </c>
      <c r="D31" s="204" t="inlineStr">
        <is>
          <t>122/124</t>
        </is>
      </c>
      <c r="E31" s="205" t="n">
        <v>25973</v>
      </c>
      <c r="F31" s="206" t="n">
        <v>26078</v>
      </c>
      <c r="G31" s="207" t="inlineStr">
        <is>
          <t>Lola M. Winkleblack and Francis F. Winkleblack, wife and husband, 
James W. Goin, Jr. and Gertrude Goin, HW, 
Carrol D. Goin and Mary Jane Goin, HW, 
George W. Goin and Sandra S. Goin, HW</t>
        </is>
      </c>
      <c r="H31" s="207" t="inlineStr">
        <is>
          <t>Emma M. Goin</t>
        </is>
      </c>
      <c r="I31" s="210" t="inlineStr">
        <is>
          <t>NE/4 SE/4</t>
        </is>
      </c>
      <c r="J31" s="211" t="inlineStr">
        <is>
          <t>ARTI, less and except grantors reserve all minerals.</t>
        </is>
      </c>
      <c r="K31" s="149" t="n"/>
    </row>
    <row r="32" ht="72" customFormat="1" customHeight="1" s="51">
      <c r="A32" s="204" t="n"/>
      <c r="B32" s="204" t="n"/>
      <c r="C32" s="204" t="inlineStr">
        <is>
          <t>WD</t>
        </is>
      </c>
      <c r="D32" s="204" t="inlineStr">
        <is>
          <t>121/11</t>
        </is>
      </c>
      <c r="E32" s="205" t="n">
        <v>25973</v>
      </c>
      <c r="F32" s="206" t="n">
        <v>26038</v>
      </c>
      <c r="G32" s="207" t="inlineStr">
        <is>
          <t>Emma M. Goin, a widow, 
Lola M. Winkleblack and Francis F. Winkleblack, wife and husband, 
James W. Goin, Jr. and Gertrude Goin, HW, 
Carrol D. Goin and Mary Jane Goin, HW, 
George W. Goin and Sandra S. Goin, HW</t>
        </is>
      </c>
      <c r="H32" s="207" t="inlineStr">
        <is>
          <t>George W. Goin, 1/2,
Sandra S. Goin, 1/2</t>
        </is>
      </c>
      <c r="I32" s="210" t="inlineStr">
        <is>
          <t>SW/4</t>
        </is>
      </c>
      <c r="J32" s="211" t="inlineStr">
        <is>
          <t>ARTI, less and except grantors reserve all minerals.</t>
        </is>
      </c>
      <c r="K32" s="149" t="n"/>
    </row>
    <row r="33" ht="48" customFormat="1" customHeight="1" s="51">
      <c r="A33" s="204" t="n"/>
      <c r="B33" s="204" t="n"/>
      <c r="C33" s="204" t="inlineStr">
        <is>
          <t>WD</t>
        </is>
      </c>
      <c r="D33" s="204" t="inlineStr">
        <is>
          <t>121/17</t>
        </is>
      </c>
      <c r="E33" s="205" t="n">
        <v>25973</v>
      </c>
      <c r="F33" s="206" t="n">
        <v>26038</v>
      </c>
      <c r="G33" s="207" t="inlineStr">
        <is>
          <t>Emma M. Goin, a widow, 
James W. Goin, Jr. and Gertrude Goin, HW, 
Carrol D. Goin and Mary Jane Goin, HW, 
George W. Goin and Sandra S. Goin, HW</t>
        </is>
      </c>
      <c r="H33" s="207" t="inlineStr">
        <is>
          <t>Lola M. Winkleblack</t>
        </is>
      </c>
      <c r="I33" s="208" t="inlineStr">
        <is>
          <t>E/2 NE/4, NW/4 NE/4
(AOL)</t>
        </is>
      </c>
      <c r="J33" s="211" t="inlineStr">
        <is>
          <t>ARTI, less and except grantors reserve all minerals.</t>
        </is>
      </c>
      <c r="K33" s="149" t="n"/>
    </row>
    <row r="34" ht="72" customFormat="1" customHeight="1" s="51">
      <c r="A34" s="204" t="n"/>
      <c r="B34" s="204" t="n"/>
      <c r="C34" s="204" t="inlineStr">
        <is>
          <t>WD</t>
        </is>
      </c>
      <c r="D34" s="204" t="inlineStr">
        <is>
          <t>121/19</t>
        </is>
      </c>
      <c r="E34" s="205" t="n">
        <v>25973</v>
      </c>
      <c r="F34" s="206" t="n">
        <v>26038</v>
      </c>
      <c r="G34" s="207" t="inlineStr">
        <is>
          <t>Emma M. Goin, a widow, 
Lola M. Winkleblack and Francis F. Winkleblack, wife and husband, 
James W. Goin, Jr. and Gertrude Goin, HW, 
Carrol D. Goin and Mary Jane Goin, HW, 
George W. Goin and Sandra S. Goin, HW</t>
        </is>
      </c>
      <c r="H34" s="207" t="inlineStr">
        <is>
          <t>Carol D. Goin, 1/2,
Mary Jane Goin, 1/2</t>
        </is>
      </c>
      <c r="I34" s="208" t="inlineStr">
        <is>
          <t>NW/4</t>
        </is>
      </c>
      <c r="J34" s="211" t="inlineStr">
        <is>
          <t>ARTI, less and except grantors reserve all minerals.</t>
        </is>
      </c>
      <c r="K34" s="149" t="n"/>
    </row>
    <row r="35" ht="60" customFormat="1" customHeight="1" s="51">
      <c r="A35" s="204" t="n"/>
      <c r="B35" s="204" t="n"/>
      <c r="C35" s="204" t="inlineStr">
        <is>
          <t>WD</t>
        </is>
      </c>
      <c r="D35" s="204" t="inlineStr">
        <is>
          <t>121/13</t>
        </is>
      </c>
      <c r="E35" s="205" t="n">
        <v>25973</v>
      </c>
      <c r="F35" s="206" t="n">
        <v>26038</v>
      </c>
      <c r="G35" s="207" t="inlineStr">
        <is>
          <t>Emma M. Goin, a widow, 
Lola M. Winkleblack and Francis F. Winkleblack, wife and husband, 
Carrol D. Goin and Mary Jane Goin, HW, 
George W. Goin and Sandra S. Goin, HW</t>
        </is>
      </c>
      <c r="H35" s="207" t="inlineStr">
        <is>
          <t>James W. Goin, Jr.</t>
        </is>
      </c>
      <c r="I35" s="208" t="inlineStr">
        <is>
          <t>SW/4 NE/4, W/2 SE/4, SE/4 SE/4</t>
        </is>
      </c>
      <c r="J35" s="211" t="inlineStr">
        <is>
          <t>ARTI, less and except grantors reserve all minerals.</t>
        </is>
      </c>
      <c r="K35" s="149" t="n"/>
    </row>
    <row r="36" ht="60" customFormat="1" customHeight="1" s="51">
      <c r="A36" s="204" t="n"/>
      <c r="B36" s="204" t="n"/>
      <c r="C36" s="204" t="inlineStr">
        <is>
          <t>WD</t>
        </is>
      </c>
      <c r="D36" s="204" t="inlineStr">
        <is>
          <t>121/15</t>
        </is>
      </c>
      <c r="E36" s="205" t="n">
        <v>25973</v>
      </c>
      <c r="F36" s="206" t="n">
        <v>26038</v>
      </c>
      <c r="G36" s="207" t="inlineStr">
        <is>
          <t>Lola M. Winkleblack and Francis F. Winkleblack, wife and husband, 
James W. Goin and Gertrude Goin, HW, 
Carrol D. Goin and Mary Jane Goin, HW, 
George W. Goin and Sandra S. Goin, HW</t>
        </is>
      </c>
      <c r="H36" s="207" t="inlineStr">
        <is>
          <t>Emma M. Goin</t>
        </is>
      </c>
      <c r="I36" s="210" t="inlineStr">
        <is>
          <t>NE/4 SE/4</t>
        </is>
      </c>
      <c r="J36" s="211" t="inlineStr">
        <is>
          <t>ARTI, less and except grantors reserve all minerals.</t>
        </is>
      </c>
      <c r="K36" s="149" t="n"/>
    </row>
    <row r="37" ht="60" customFormat="1" customHeight="1" s="51">
      <c r="A37" s="204" t="n"/>
      <c r="B37" s="204" t="n"/>
      <c r="C37" s="204" t="inlineStr">
        <is>
          <t>MD</t>
        </is>
      </c>
      <c r="D37" s="204" t="inlineStr">
        <is>
          <t>122/122</t>
        </is>
      </c>
      <c r="E37" s="205" t="n">
        <v>25974</v>
      </c>
      <c r="F37" s="206" t="n">
        <v>26081</v>
      </c>
      <c r="G37" s="207" t="inlineStr">
        <is>
          <t>Lola M. Winkleblack and Francis F. Winkleblack, wife and husband, 
James W. Goin, Jr. and Gertrude Goin, HW
Carrol D. Goin and Mary Jane Goin, HW
George W. Goin and Sandra S. Goin, HW</t>
        </is>
      </c>
      <c r="H37" s="207" t="inlineStr">
        <is>
          <t>Emma M. Goin</t>
        </is>
      </c>
      <c r="I37" s="208" t="inlineStr">
        <is>
          <t>E/2, E/2 W/2
(AOL)</t>
        </is>
      </c>
      <c r="J37" s="211" t="inlineStr">
        <is>
          <t>ARTI, Life Estate</t>
        </is>
      </c>
      <c r="K37" s="149" t="n"/>
    </row>
    <row r="38" ht="60" customFormat="1" customHeight="1" s="51">
      <c r="A38" s="204" t="n"/>
      <c r="B38" s="204" t="n"/>
      <c r="C38" s="204" t="inlineStr">
        <is>
          <t>MD</t>
        </is>
      </c>
      <c r="D38" s="204" t="inlineStr">
        <is>
          <t>121/346</t>
        </is>
      </c>
      <c r="E38" s="205" t="n">
        <v>25974</v>
      </c>
      <c r="F38" s="206" t="n">
        <v>26051</v>
      </c>
      <c r="G38" s="207" t="inlineStr">
        <is>
          <t>Lola M. Winkleblack and Francis F. Winkleblack, wife and husband, 
James W. Goin, Jr. and Gertrude Goin, HW, 
Carrol D. Goin and Mary Jane Goin, HW, 
George W. Goin and Sandra S. Goin, HW</t>
        </is>
      </c>
      <c r="H38" s="207" t="inlineStr">
        <is>
          <t>Emma M. Goin</t>
        </is>
      </c>
      <c r="I38" s="208" t="inlineStr">
        <is>
          <t>E/2, E/2W/2
(AOL)</t>
        </is>
      </c>
      <c r="J38" s="211" t="inlineStr">
        <is>
          <t>ARTI</t>
        </is>
      </c>
      <c r="K38" s="149" t="n"/>
    </row>
    <row r="39" ht="72" customFormat="1" customHeight="1" s="51">
      <c r="A39" s="204" t="n"/>
      <c r="B39" s="204" t="n"/>
      <c r="C39" s="204" t="inlineStr">
        <is>
          <t>DECREE</t>
        </is>
      </c>
      <c r="D39" s="204" t="inlineStr">
        <is>
          <t>121/46</t>
        </is>
      </c>
      <c r="E39" s="205" t="n">
        <v>25990</v>
      </c>
      <c r="F39" s="206" t="n">
        <v>26038</v>
      </c>
      <c r="G39" s="207" t="inlineStr">
        <is>
          <t>Roger Mills County Court
RE: In the Matter of the Estate of James Walton Goin, Deceased.</t>
        </is>
      </c>
      <c r="H39" s="207" t="inlineStr">
        <is>
          <t xml:space="preserve">Emma M. Goin, 1/3,
Lola M. Winkleblack, 1/6,
James W. Goin, 1/6,
Carrol D. Goin. 1/6,
George W. Goin, 1/6
</t>
        </is>
      </c>
      <c r="I39" s="208" t="inlineStr">
        <is>
          <t>ALL</t>
        </is>
      </c>
      <c r="J39" s="211" t="inlineStr">
        <is>
          <t>ARTI</t>
        </is>
      </c>
      <c r="K39" s="149" t="n"/>
    </row>
    <row r="40" ht="72" customFormat="1" customHeight="1" s="51">
      <c r="A40" s="204" t="n"/>
      <c r="B40" s="204" t="n"/>
      <c r="C40" s="204" t="inlineStr">
        <is>
          <t>DEED</t>
        </is>
      </c>
      <c r="D40" s="204" t="inlineStr">
        <is>
          <t>122/120</t>
        </is>
      </c>
      <c r="E40" s="205" t="n">
        <v>26072</v>
      </c>
      <c r="F40" s="206" t="n">
        <v>26078</v>
      </c>
      <c r="G40" s="207" t="inlineStr">
        <is>
          <t>Emma M. Goin, a widow, 
Lola M. Winkleblack and Francis F. Winkleblack, HW, 
James W. Goin, Jr. and Gertrude Goin, HW, 
Carrol D. Goin and Mary Jane Goin, HW, 
George W. Goin and Sandra S. Goin, HW</t>
        </is>
      </c>
      <c r="H40" s="207" t="inlineStr">
        <is>
          <t>Carol D. Goin, 1/2, 
Mary Jane Goin, 1/2</t>
        </is>
      </c>
      <c r="I40" s="210" t="inlineStr">
        <is>
          <t>NW/4</t>
        </is>
      </c>
      <c r="J40" s="211" t="inlineStr">
        <is>
          <t>ARTI, less and except grantors reserve all minerals.</t>
        </is>
      </c>
      <c r="K40" s="149" t="n"/>
    </row>
    <row r="41" ht="24" customFormat="1" customHeight="1" s="51">
      <c r="A41" s="204" t="n"/>
      <c r="B41" s="204" t="n"/>
      <c r="C41" s="204" t="inlineStr">
        <is>
          <t>WD</t>
        </is>
      </c>
      <c r="D41" s="204" t="inlineStr">
        <is>
          <t>122/126</t>
        </is>
      </c>
      <c r="E41" s="205" t="n">
        <v>26072</v>
      </c>
      <c r="F41" s="206" t="n">
        <v>26078</v>
      </c>
      <c r="G41" s="207" t="inlineStr">
        <is>
          <t>James W. Goin, Jr. and Gertrude Goin, HW</t>
        </is>
      </c>
      <c r="H41" s="207" t="inlineStr">
        <is>
          <t>James W. Goin, Jr., 1/2,
Gertrude Goin, 1/2</t>
        </is>
      </c>
      <c r="I41" s="210" t="inlineStr">
        <is>
          <t>SW/4 NE/4, W/2 SE/4, SE/4 SE/4</t>
        </is>
      </c>
      <c r="J41" s="211" t="inlineStr">
        <is>
          <t>ARTI</t>
        </is>
      </c>
      <c r="K41" s="149" t="n"/>
    </row>
    <row r="42" customFormat="1" s="51">
      <c r="A42" s="204" t="n"/>
      <c r="B42" s="204" t="n"/>
      <c r="C42" s="204" t="inlineStr">
        <is>
          <t>MIN &amp; ROY CONV</t>
        </is>
      </c>
      <c r="D42" s="204" t="inlineStr">
        <is>
          <t>141/120</t>
        </is>
      </c>
      <c r="E42" s="205" t="n">
        <v>26555</v>
      </c>
      <c r="F42" s="206" t="n">
        <v>26557</v>
      </c>
      <c r="G42" s="207" t="inlineStr">
        <is>
          <t>Esther Fell</t>
        </is>
      </c>
      <c r="H42" s="207" t="inlineStr">
        <is>
          <t>Bess Fell Wolfe</t>
        </is>
      </c>
      <c r="I42" s="208" t="inlineStr">
        <is>
          <t>W/2 NW/4, W/2 SW/4</t>
        </is>
      </c>
      <c r="J42" s="209" t="inlineStr">
        <is>
          <t>UND 1/3rd int.</t>
        </is>
      </c>
      <c r="K42" s="149" t="n"/>
    </row>
    <row r="43" customFormat="1" s="51">
      <c r="A43" s="204" t="n"/>
      <c r="B43" s="204" t="n"/>
      <c r="C43" s="204" t="inlineStr">
        <is>
          <t>MIN &amp; ROY CONV</t>
        </is>
      </c>
      <c r="D43" s="204" t="inlineStr">
        <is>
          <t>141/122</t>
        </is>
      </c>
      <c r="E43" s="205" t="n">
        <v>26555</v>
      </c>
      <c r="F43" s="206" t="n">
        <v>26557</v>
      </c>
      <c r="G43" s="207" t="inlineStr">
        <is>
          <t>Esther Fell</t>
        </is>
      </c>
      <c r="H43" s="207" t="inlineStr">
        <is>
          <t>Morris B. Fell</t>
        </is>
      </c>
      <c r="I43" s="208" t="inlineStr">
        <is>
          <t>W/2 NW/4, W/2 SW/4</t>
        </is>
      </c>
      <c r="J43" s="209" t="inlineStr">
        <is>
          <t>UND 1/3rd int.</t>
        </is>
      </c>
      <c r="K43" s="149" t="n"/>
    </row>
    <row r="44" ht="36" customFormat="1" customHeight="1" s="51">
      <c r="A44" s="204" t="n"/>
      <c r="B44" s="204" t="n"/>
      <c r="C44" s="204" t="inlineStr">
        <is>
          <t>DECREE</t>
        </is>
      </c>
      <c r="D44" s="204" t="inlineStr">
        <is>
          <t>160/478</t>
        </is>
      </c>
      <c r="E44" s="205" t="n">
        <v>27051</v>
      </c>
      <c r="F44" s="206" t="n">
        <v>27081</v>
      </c>
      <c r="G44" s="207" t="inlineStr">
        <is>
          <t>Roger Mills County Court
RE: In the Matter of the Estate of W. E. Hills, Deceased.</t>
        </is>
      </c>
      <c r="H44" s="207" t="inlineStr">
        <is>
          <t>Bonnie L. Brady, formerly Bonnie L. Hills, 1/2, 
Phillip L. Hills, 1/2</t>
        </is>
      </c>
      <c r="I44" s="208" t="inlineStr">
        <is>
          <t>E/2 NE/4, NW/4 NE/4
(AOL)</t>
        </is>
      </c>
      <c r="J44" s="211" t="inlineStr">
        <is>
          <t>ARTI, 1/12th min. int.</t>
        </is>
      </c>
      <c r="K44" s="149" t="n"/>
    </row>
    <row r="45" customFormat="1" s="51">
      <c r="A45" s="204" t="n"/>
      <c r="B45" s="204" t="n"/>
      <c r="C45" s="204" t="inlineStr">
        <is>
          <t>MD</t>
        </is>
      </c>
      <c r="D45" s="204" t="inlineStr">
        <is>
          <t>227/411</t>
        </is>
      </c>
      <c r="E45" s="205" t="n">
        <v>28444</v>
      </c>
      <c r="F45" s="206" t="n">
        <v>28450</v>
      </c>
      <c r="G45" s="207" t="inlineStr">
        <is>
          <t>Esther Fell</t>
        </is>
      </c>
      <c r="H45" s="207" t="inlineStr">
        <is>
          <t>Morris B. Fell</t>
        </is>
      </c>
      <c r="I45" s="208" t="inlineStr">
        <is>
          <t>W/2 NW/4, W/2 SW/4</t>
        </is>
      </c>
      <c r="J45" s="209" t="inlineStr">
        <is>
          <t>1/2 of 1/3rd int. (1/6)</t>
        </is>
      </c>
      <c r="K45" s="149" t="n"/>
    </row>
    <row r="46" customFormat="1" s="51">
      <c r="A46" s="204" t="n"/>
      <c r="B46" s="204" t="n"/>
      <c r="C46" s="204" t="inlineStr">
        <is>
          <t>MD</t>
        </is>
      </c>
      <c r="D46" s="204" t="inlineStr">
        <is>
          <t>227/412</t>
        </is>
      </c>
      <c r="E46" s="205" t="n">
        <v>28444</v>
      </c>
      <c r="F46" s="206" t="n">
        <v>28450</v>
      </c>
      <c r="G46" s="207" t="inlineStr">
        <is>
          <t>Esther Fell</t>
        </is>
      </c>
      <c r="H46" s="207" t="inlineStr">
        <is>
          <t>Bess Fell Wolfe</t>
        </is>
      </c>
      <c r="I46" s="208" t="inlineStr">
        <is>
          <t>W/2 NW/4, W/2 SW/4</t>
        </is>
      </c>
      <c r="J46" s="209" t="inlineStr">
        <is>
          <t>1/2 of 1/3rd int. (1/6)</t>
        </is>
      </c>
      <c r="K46" s="149" t="n"/>
    </row>
    <row r="47" ht="24" customFormat="1" customHeight="1" s="51">
      <c r="A47" s="204" t="n"/>
      <c r="B47" s="204" t="n"/>
      <c r="C47" s="204" t="inlineStr">
        <is>
          <t>MD</t>
        </is>
      </c>
      <c r="D47" s="204" t="inlineStr">
        <is>
          <t>278/248</t>
        </is>
      </c>
      <c r="E47" s="206" t="n">
        <v>29152</v>
      </c>
      <c r="F47" s="206" t="n">
        <v>29152</v>
      </c>
      <c r="G47" s="207" t="inlineStr">
        <is>
          <t>Phillip L. Hills</t>
        </is>
      </c>
      <c r="H47" s="207" t="inlineStr">
        <is>
          <t>Terry R. Nichols and Francis Ann Nichols, JTWROS</t>
        </is>
      </c>
      <c r="I47" s="208" t="inlineStr">
        <is>
          <t>N/2 NE/4, SE/4 NE/4</t>
        </is>
      </c>
      <c r="J47" s="214" t="inlineStr">
        <is>
          <t>6 2/3 NMA in 2 sections being SE/4 SE/4 of 22 and N/2 NE/4, SE/4 NE/4 of 27-15N-24W (2.5 acres in 27-15N-24W)</t>
        </is>
      </c>
      <c r="K47" s="149" t="n"/>
    </row>
    <row r="48" ht="72" customFormat="1" customHeight="1" s="51">
      <c r="A48" s="204" t="n"/>
      <c r="B48" s="212" t="n"/>
      <c r="C48" s="212" t="inlineStr">
        <is>
          <t>JEJ</t>
        </is>
      </c>
      <c r="D48" s="212" t="inlineStr">
        <is>
          <t>344/336</t>
        </is>
      </c>
      <c r="E48" s="213" t="n">
        <v>29644</v>
      </c>
      <c r="F48" s="206" t="n">
        <v>29726</v>
      </c>
      <c r="G48" s="210" t="inlineStr">
        <is>
          <t>Frances Ann Nichols</t>
        </is>
      </c>
      <c r="H48" s="210" t="inlineStr">
        <is>
          <t>Frances Ann Nichols, 1/2, 
Terry R. Nichols, 1/2</t>
        </is>
      </c>
      <c r="I48" s="208" t="inlineStr">
        <is>
          <t>N/2 NE/4, SE/4 NE/4</t>
        </is>
      </c>
      <c r="J48" s="214" t="inlineStr">
        <is>
          <t>To Frances Ann Nichols: 3.333 NMA in 2 sections being SE/4 SE/4 of 22 and N/2 NE/4, SE/4 NE/4 of 27-15N-24W (2.5 acres in 27-15N-24W)
To Terry R. Nichols: rest and residue, being 3.333 NMA in 2 sections being SE/4 SE/4 of 22 and N/2 NE/4, SE/4 NE/4 of 27-15N-24W (2.5 acres in 27-15N-24W)</t>
        </is>
      </c>
      <c r="K48" s="149" t="n"/>
    </row>
    <row r="49" ht="48" customFormat="1" customHeight="1" s="51">
      <c r="A49" s="204" t="n"/>
      <c r="B49" s="204" t="n"/>
      <c r="C49" s="204" t="inlineStr">
        <is>
          <t>FD</t>
        </is>
      </c>
      <c r="D49" s="204" t="inlineStr">
        <is>
          <t>2165/322</t>
        </is>
      </c>
      <c r="E49" s="205" t="n">
        <v>30446</v>
      </c>
      <c r="F49" s="206" t="n">
        <v>41222</v>
      </c>
      <c r="G49" s="207" t="inlineStr">
        <is>
          <t>Roger Mills County Court
RE: In the Matter of the Estate of Emma Mae Goin Estate, Deceased.</t>
        </is>
      </c>
      <c r="H49" s="207" t="inlineStr">
        <is>
          <t>Carol D. Goin, 1/4, 
Lola M. Winkleblack, 1/4, 
James W. Goin, Jr., 1/4, 
George W. Goin, 1/4</t>
        </is>
      </c>
      <c r="I49" s="208" t="inlineStr">
        <is>
          <t>E/2 NE/4, NW/4 NE/4, SW/4 NE/4, E/2 W/2, SE/4</t>
        </is>
      </c>
      <c r="J49" s="211" t="inlineStr">
        <is>
          <t>ARTI</t>
        </is>
      </c>
      <c r="K49" s="149" t="n"/>
    </row>
    <row r="50" ht="24" customFormat="1" customHeight="1" s="51">
      <c r="A50" s="204" t="n"/>
      <c r="B50" s="204" t="n"/>
      <c r="C50" s="204" t="inlineStr">
        <is>
          <t>QCD</t>
        </is>
      </c>
      <c r="D50" s="204" t="inlineStr">
        <is>
          <t>620/251</t>
        </is>
      </c>
      <c r="E50" s="205" t="n">
        <v>30767</v>
      </c>
      <c r="F50" s="206" t="n">
        <v>30823</v>
      </c>
      <c r="G50" s="207" t="inlineStr">
        <is>
          <t>Charles E. O'Neill and Arlene H. O'Neill, HW</t>
        </is>
      </c>
      <c r="H50" s="207" t="inlineStr">
        <is>
          <t>Charles E. O'Neill and Charles Ray O'Neill, Trustees of the Charles E. O'Neill 1984 Revocable Living Trust</t>
        </is>
      </c>
      <c r="I50" s="210" t="inlineStr">
        <is>
          <t>N/2 NE/4, SE/4 NE/4</t>
        </is>
      </c>
      <c r="J50" s="211" t="inlineStr">
        <is>
          <t>ARTI, 1/2 of Grantors' interest</t>
        </is>
      </c>
      <c r="K50" s="149" t="n"/>
    </row>
    <row r="51" ht="24" customFormat="1" customHeight="1" s="51">
      <c r="A51" s="204" t="n"/>
      <c r="B51" s="204" t="n"/>
      <c r="C51" s="204" t="inlineStr">
        <is>
          <t>QCD</t>
        </is>
      </c>
      <c r="D51" s="204" t="inlineStr">
        <is>
          <t>620/259</t>
        </is>
      </c>
      <c r="E51" s="205" t="n">
        <v>30767</v>
      </c>
      <c r="F51" s="206" t="n">
        <v>30823</v>
      </c>
      <c r="G51" s="207" t="inlineStr">
        <is>
          <t>Charles E. O'Neill and Arlene H. O'Neill, HW</t>
        </is>
      </c>
      <c r="H51" s="207" t="inlineStr">
        <is>
          <t>Arlene H. O'Neill and Charles Ray O'Neill, Trustee of the Arlene H. O'Neill 1984 Revocable Living Trust</t>
        </is>
      </c>
      <c r="I51" s="210" t="inlineStr">
        <is>
          <t>N/2 NE/4, SE/4 NE/4</t>
        </is>
      </c>
      <c r="J51" s="211" t="inlineStr">
        <is>
          <t>ARTI, 1/2 of Grantors' interest</t>
        </is>
      </c>
      <c r="K51" s="149" t="n"/>
    </row>
    <row r="52" ht="24" customFormat="1" customHeight="1" s="51">
      <c r="A52" s="204" t="n"/>
      <c r="B52" s="204" t="n"/>
      <c r="C52" s="204" t="inlineStr">
        <is>
          <t>WD</t>
        </is>
      </c>
      <c r="D52" s="204" t="inlineStr">
        <is>
          <t>721/206</t>
        </is>
      </c>
      <c r="E52" s="205" t="n">
        <v>31203</v>
      </c>
      <c r="F52" s="206" t="n">
        <v>31204</v>
      </c>
      <c r="G52" s="207" t="inlineStr">
        <is>
          <t xml:space="preserve">Carol D. Goin and Mary Jane Goin, HW
</t>
        </is>
      </c>
      <c r="H52" s="207" t="inlineStr">
        <is>
          <t xml:space="preserve">David L. Wilson and Marilyn A. Wilson, HW
</t>
        </is>
      </c>
      <c r="I52" s="210" t="inlineStr">
        <is>
          <t>NW/4</t>
        </is>
      </c>
      <c r="J52" s="211" t="inlineStr">
        <is>
          <t>Grantors reserve all minerals</t>
        </is>
      </c>
      <c r="K52" s="149" t="n"/>
    </row>
    <row r="53" ht="36" customFormat="1" customHeight="1" s="51">
      <c r="A53" s="204" t="n"/>
      <c r="B53" s="204" t="n"/>
      <c r="C53" s="204" t="inlineStr">
        <is>
          <t>TRUST</t>
        </is>
      </c>
      <c r="D53" s="204" t="inlineStr">
        <is>
          <t>1804/193</t>
        </is>
      </c>
      <c r="E53" s="205" t="n">
        <v>31314</v>
      </c>
      <c r="F53" s="206" t="n">
        <v>38593</v>
      </c>
      <c r="G53" s="207" t="inlineStr">
        <is>
          <t xml:space="preserve">Alice B. Kopp, Trustor </t>
        </is>
      </c>
      <c r="H53" s="207" t="inlineStr">
        <is>
          <t>The Public
RE: The Kopp Family Trust Established September 24, 1985</t>
        </is>
      </c>
      <c r="I53" s="208" t="inlineStr">
        <is>
          <t>Partial</t>
        </is>
      </c>
      <c r="J53" s="209" t="inlineStr">
        <is>
          <t>ARTI</t>
        </is>
      </c>
      <c r="K53" s="149" t="n"/>
    </row>
    <row r="54" ht="24" customFormat="1" customHeight="1" s="51">
      <c r="A54" s="204" t="n"/>
      <c r="B54" s="204" t="n"/>
      <c r="C54" s="204" t="inlineStr">
        <is>
          <t>MD</t>
        </is>
      </c>
      <c r="D54" s="204" t="inlineStr">
        <is>
          <t>866/17</t>
        </is>
      </c>
      <c r="E54" s="205" t="n">
        <v>31833</v>
      </c>
      <c r="F54" s="206" t="n">
        <v>31840</v>
      </c>
      <c r="G54" s="207" t="inlineStr">
        <is>
          <t xml:space="preserve">Bonnie L. Brady, formerly Hills
</t>
        </is>
      </c>
      <c r="H54" s="207" t="inlineStr">
        <is>
          <t>Lee Easter and Rosetta Easter, HW, JTWROS</t>
        </is>
      </c>
      <c r="I54" s="208" t="inlineStr">
        <is>
          <t xml:space="preserve">N/2 NE/4, SE/4 NE/4 </t>
        </is>
      </c>
      <c r="J54" s="211" t="inlineStr">
        <is>
          <t>ARTI</t>
        </is>
      </c>
      <c r="K54" s="149" t="n"/>
    </row>
    <row r="55" ht="24" customFormat="1" customHeight="1" s="51">
      <c r="A55" s="204" t="n"/>
      <c r="B55" s="204" t="n"/>
      <c r="C55" s="204" t="inlineStr">
        <is>
          <t>MD</t>
        </is>
      </c>
      <c r="D55" s="204" t="inlineStr">
        <is>
          <t>1147/169</t>
        </is>
      </c>
      <c r="E55" s="205" t="n">
        <v>33056</v>
      </c>
      <c r="F55" s="206" t="n">
        <v>33056</v>
      </c>
      <c r="G55" s="207" t="inlineStr">
        <is>
          <t>Bob J. Burns, a/k/a Bobby Joe Burns and Elverta Burns, HW</t>
        </is>
      </c>
      <c r="H55" s="207" t="inlineStr">
        <is>
          <t>Lisa Kathryn Heinen</t>
        </is>
      </c>
      <c r="I55" s="208" t="inlineStr">
        <is>
          <t>N/2 NE/4, SE/4 NE/4
(AOL)</t>
        </is>
      </c>
      <c r="J55" s="211" t="inlineStr">
        <is>
          <t>ARTI</t>
        </is>
      </c>
      <c r="K55" s="149" t="n"/>
    </row>
    <row r="56" ht="24" customFormat="1" customHeight="1" s="51">
      <c r="A56" s="204" t="n"/>
      <c r="B56" s="204" t="n"/>
      <c r="C56" s="204" t="inlineStr">
        <is>
          <t>NOTICE</t>
        </is>
      </c>
      <c r="D56" s="204" t="inlineStr">
        <is>
          <t>1240/0028A</t>
        </is>
      </c>
      <c r="E56" s="205" t="n">
        <v>33518</v>
      </c>
      <c r="F56" s="206" t="n">
        <v>33519</v>
      </c>
      <c r="G56" s="207" t="inlineStr">
        <is>
          <t>Kay D. Sewell, Assistant US Attorney on behalf of the United States of America</t>
        </is>
      </c>
      <c r="H56" s="207" t="inlineStr">
        <is>
          <t>The Public
RE: Pending Suit</t>
        </is>
      </c>
      <c r="I56" s="208" t="inlineStr">
        <is>
          <t>SW/4
(AOL)</t>
        </is>
      </c>
      <c r="J56" s="211" t="n"/>
      <c r="K56" s="149" t="n"/>
    </row>
    <row r="57" ht="24" customFormat="1" customHeight="1" s="51">
      <c r="A57" s="204" t="n"/>
      <c r="B57" s="204" t="n"/>
      <c r="C57" s="204" t="inlineStr">
        <is>
          <t>QCD</t>
        </is>
      </c>
      <c r="D57" s="204" t="inlineStr">
        <is>
          <t>1265/249</t>
        </is>
      </c>
      <c r="E57" s="205" t="n">
        <v>33674</v>
      </c>
      <c r="F57" s="206" t="n">
        <v>33679</v>
      </c>
      <c r="G57" s="207" t="inlineStr">
        <is>
          <t>Bess Fell Green, a/k/a Bess Fell Wolfe</t>
        </is>
      </c>
      <c r="H57" s="207" t="inlineStr">
        <is>
          <t>Morris B. Fell, Trustee of the Bess Fell Green Revocable Trust dated December 11, 1990</t>
        </is>
      </c>
      <c r="I57" s="208" t="inlineStr">
        <is>
          <t xml:space="preserve">W/2 NW/4, W/2 SW/4
(AOL) </t>
        </is>
      </c>
      <c r="J57" s="211" t="inlineStr">
        <is>
          <t>ARTI</t>
        </is>
      </c>
      <c r="K57" s="149" t="n"/>
    </row>
    <row r="58" ht="24" customFormat="1" customHeight="1" s="51">
      <c r="A58" s="204" t="n"/>
      <c r="B58" s="204" t="n"/>
      <c r="C58" s="204" t="inlineStr">
        <is>
          <t>WD</t>
        </is>
      </c>
      <c r="D58" s="204" t="inlineStr">
        <is>
          <t>1324/59</t>
        </is>
      </c>
      <c r="E58" s="205" t="n">
        <v>34032</v>
      </c>
      <c r="F58" s="206" t="n">
        <v>34033</v>
      </c>
      <c r="G58" s="207" t="inlineStr">
        <is>
          <t>Lola M. Winkleblack and Francis F. Winkleblack, wife and husband</t>
        </is>
      </c>
      <c r="H58" s="207" t="inlineStr">
        <is>
          <t>James R. Winkleblack</t>
        </is>
      </c>
      <c r="I58" s="210" t="inlineStr">
        <is>
          <t>NW/4 NE/4, W/2 NE/4 NE/4</t>
        </is>
      </c>
      <c r="J58" s="214" t="inlineStr">
        <is>
          <t>Surface Only
Grantor reserves all minerals</t>
        </is>
      </c>
      <c r="K58" s="149" t="n"/>
    </row>
    <row r="59" ht="24" customFormat="1" customHeight="1" s="51">
      <c r="A59" s="204" t="n"/>
      <c r="B59" s="204" t="n"/>
      <c r="C59" s="204" t="inlineStr">
        <is>
          <t>WD</t>
        </is>
      </c>
      <c r="D59" s="204" t="inlineStr">
        <is>
          <t>1324/61</t>
        </is>
      </c>
      <c r="E59" s="205" t="n">
        <v>34032</v>
      </c>
      <c r="F59" s="206" t="n">
        <v>34033</v>
      </c>
      <c r="G59" s="207" t="inlineStr">
        <is>
          <t>Lola M. Winkleblack and Francis F. Winkleblack, wife and husband</t>
        </is>
      </c>
      <c r="H59" s="207" t="inlineStr">
        <is>
          <t>Wendel L. Winkleblack</t>
        </is>
      </c>
      <c r="I59" s="210" t="inlineStr">
        <is>
          <t>SE/4 NE/4, E/2 NE/4 NE/4</t>
        </is>
      </c>
      <c r="J59" s="214" t="inlineStr">
        <is>
          <t>Surface rights only
Grantors reserve all minerals</t>
        </is>
      </c>
      <c r="K59" s="149" t="n"/>
    </row>
    <row r="60" ht="24" customFormat="1" customHeight="1" s="51">
      <c r="A60" s="204" t="n"/>
      <c r="B60" s="204" t="n"/>
      <c r="C60" s="204" t="inlineStr">
        <is>
          <t>DEED</t>
        </is>
      </c>
      <c r="D60" s="204" t="inlineStr">
        <is>
          <t>1434/229</t>
        </is>
      </c>
      <c r="E60" s="205" t="n">
        <v>34591</v>
      </c>
      <c r="F60" s="206" t="n">
        <v>34596</v>
      </c>
      <c r="G60" s="207" t="inlineStr">
        <is>
          <t>Lola M. Winkleblack, a/k/a Lola Winkleblack</t>
        </is>
      </c>
      <c r="H60" s="207" t="inlineStr">
        <is>
          <t>James Randal Winkleblack, 
Wendel Lee Winkleblack</t>
        </is>
      </c>
      <c r="I60" s="208" t="inlineStr">
        <is>
          <t>SW/4, E/2 NE/4, NW/4 NE/4, SE/4 NE/4, E/2 NE/4 NE/4
(AOL)</t>
        </is>
      </c>
      <c r="J60" s="211" t="inlineStr">
        <is>
          <t>Grantor reserves all minerals</t>
        </is>
      </c>
      <c r="K60" s="149" t="n"/>
    </row>
    <row r="61" ht="24" customFormat="1" customHeight="1" s="51">
      <c r="A61" s="204" t="n"/>
      <c r="B61" s="204" t="n"/>
      <c r="C61" s="204" t="inlineStr">
        <is>
          <t>WD</t>
        </is>
      </c>
      <c r="D61" s="204" t="inlineStr">
        <is>
          <t>1434/227</t>
        </is>
      </c>
      <c r="E61" s="205" t="n">
        <v>34591</v>
      </c>
      <c r="F61" s="206" t="n">
        <v>34596</v>
      </c>
      <c r="G61" s="207" t="inlineStr">
        <is>
          <t>Lola Mae Winkleblack and Francis F. Winkleblack, wife and husband</t>
        </is>
      </c>
      <c r="H61" s="207" t="inlineStr">
        <is>
          <t>James Randal Winkleblack, 
Wendel Lee Winkleblack</t>
        </is>
      </c>
      <c r="I61" s="208" t="inlineStr">
        <is>
          <t>SW/4, E/2 NE/4, NW/4 NE/4, SE/4 NE/4, E/2 NE/4 NE/4
(AOL)</t>
        </is>
      </c>
      <c r="J61" s="211" t="inlineStr">
        <is>
          <t>Grantor reserves all minerals</t>
        </is>
      </c>
      <c r="K61" s="149" t="n"/>
    </row>
    <row r="62" ht="24" customFormat="1" customHeight="1" s="51">
      <c r="A62" s="204" t="n"/>
      <c r="B62" s="204" t="n"/>
      <c r="C62" s="204" t="inlineStr">
        <is>
          <t>QCD</t>
        </is>
      </c>
      <c r="D62" s="204" t="inlineStr">
        <is>
          <t>1600/561</t>
        </is>
      </c>
      <c r="E62" s="205" t="n">
        <v>36524</v>
      </c>
      <c r="F62" s="206" t="n">
        <v>36524</v>
      </c>
      <c r="G62" s="207" t="inlineStr">
        <is>
          <t>George W. Goin</t>
        </is>
      </c>
      <c r="H62" s="207" t="inlineStr">
        <is>
          <t>John G. Goin, 
Georgia Sue Jones</t>
        </is>
      </c>
      <c r="I62" s="208" t="inlineStr">
        <is>
          <t>NE/4 SE/4
(AOL)</t>
        </is>
      </c>
      <c r="J62" s="211" t="inlineStr">
        <is>
          <t>Grantor reserves all minerals</t>
        </is>
      </c>
      <c r="K62" s="149" t="n"/>
    </row>
    <row r="63" ht="24" customFormat="1" customHeight="1" s="51">
      <c r="A63" s="204" t="n"/>
      <c r="B63" s="204" t="n"/>
      <c r="C63" s="204" t="inlineStr">
        <is>
          <t>QCMD</t>
        </is>
      </c>
      <c r="D63" s="204" t="inlineStr">
        <is>
          <t>1600/559</t>
        </is>
      </c>
      <c r="E63" s="206" t="n">
        <v>36524</v>
      </c>
      <c r="F63" s="206" t="n">
        <v>36524</v>
      </c>
      <c r="G63" s="207" t="inlineStr">
        <is>
          <t>George W. Goin, a single person.</t>
        </is>
      </c>
      <c r="H63" s="207" t="inlineStr">
        <is>
          <t>John G. Goin, 1/2
Georgia Sue Jones, 1/2</t>
        </is>
      </c>
      <c r="I63" s="208" t="inlineStr">
        <is>
          <t>E/2 W/2, SE/4, N/2 NE/4, SE/4 NE/4
(AOL)</t>
        </is>
      </c>
      <c r="J63" s="214" t="inlineStr">
        <is>
          <t>ARTI, 1/4th int. in the E/2 W/2, SE/4, (60 ac.)
3/16ths int. in the N/2 NE/4, SE/4 NE/4 (22.5 ac.)</t>
        </is>
      </c>
      <c r="K63" s="149" t="n"/>
    </row>
    <row r="64" ht="36" customFormat="1" customHeight="1" s="51">
      <c r="A64" s="204" t="n"/>
      <c r="B64" s="204" t="n"/>
      <c r="C64" s="204" t="inlineStr">
        <is>
          <t>SWD</t>
        </is>
      </c>
      <c r="D64" s="204" t="inlineStr">
        <is>
          <t>1706/8</t>
        </is>
      </c>
      <c r="E64" s="205" t="n">
        <v>37712</v>
      </c>
      <c r="F64" s="206" t="n">
        <v>37714</v>
      </c>
      <c r="G64" s="207" t="inlineStr">
        <is>
          <t>David L. Wilson and Marilyn A. Wilson, JTWROS</t>
        </is>
      </c>
      <c r="H64" s="207" t="inlineStr">
        <is>
          <t>David L. Wilson and Marilyn A. Wilson, as Trustees of the Revocable Trust Agreement of David L. Wilson and Marilyn A. Wilson</t>
        </is>
      </c>
      <c r="I64" s="210" t="inlineStr">
        <is>
          <t>NW/4</t>
        </is>
      </c>
      <c r="J64" s="214" t="inlineStr">
        <is>
          <t xml:space="preserve">Surface rights only
</t>
        </is>
      </c>
      <c r="K64" s="149" t="n"/>
    </row>
    <row r="65" ht="48" customFormat="1" customHeight="1" s="51">
      <c r="A65" s="204" t="n"/>
      <c r="B65" s="204" t="n"/>
      <c r="C65" s="204" t="inlineStr">
        <is>
          <t>MD</t>
        </is>
      </c>
      <c r="D65" s="204" t="inlineStr">
        <is>
          <t>2401/517</t>
        </is>
      </c>
      <c r="E65" s="205" t="n">
        <v>38468</v>
      </c>
      <c r="F65" s="206" t="n">
        <v>43349</v>
      </c>
      <c r="G65" s="207" t="inlineStr">
        <is>
          <t>Terry R. Nichols, 
Doneta Faye Nichols</t>
        </is>
      </c>
      <c r="H65" s="207" t="inlineStr">
        <is>
          <t>Rawhide, LLC</t>
        </is>
      </c>
      <c r="I65" s="208" t="inlineStr">
        <is>
          <t>N/2 NE/4, SE/4 NE/4
(AOL)</t>
        </is>
      </c>
      <c r="J65" s="214" t="inlineStr">
        <is>
          <t>ARTI
UND 3.33 NMA in SE/4 SE/4 of 22-15N-24W, N/2 NE/4, SE/4 NE/4 of 27-15W-24W (2.5 nma in sec 27)
Corrected by 2401/519</t>
        </is>
      </c>
      <c r="K65" s="149" t="n"/>
    </row>
    <row r="66" ht="60" customFormat="1" customHeight="1" s="51">
      <c r="A66" s="204" t="n"/>
      <c r="B66" s="204" t="n"/>
      <c r="C66" s="204" t="inlineStr">
        <is>
          <t>POD&amp;H</t>
        </is>
      </c>
      <c r="D66" s="204" t="inlineStr">
        <is>
          <t>1820/558</t>
        </is>
      </c>
      <c r="E66" s="205" t="n">
        <v>38700</v>
      </c>
      <c r="F66" s="206" t="n">
        <v>38741</v>
      </c>
      <c r="G66" s="207" t="inlineStr">
        <is>
          <t>Pat Winkleblack</t>
        </is>
      </c>
      <c r="H66" s="207" t="inlineStr">
        <is>
          <t>The Public
RE: Lola M. Winkleblack, Deceased
Heirs:
Wendel Lee Winkleblack, 1/2, 
James Randal Winkleblack, 1/2</t>
        </is>
      </c>
      <c r="I66" s="208" t="inlineStr">
        <is>
          <t>E/2 NE/4, NW/4 NE/4, SE/4, E/2 SW/4, E/2 NW/4, SW/4 NE/4
(AOL)</t>
        </is>
      </c>
      <c r="J66" s="211" t="inlineStr">
        <is>
          <t>ARTI</t>
        </is>
      </c>
      <c r="K66" s="149" t="n"/>
    </row>
    <row r="67" ht="72" customFormat="1" customHeight="1" s="51">
      <c r="A67" s="204" t="n"/>
      <c r="B67" s="204" t="n"/>
      <c r="C67" s="204" t="inlineStr">
        <is>
          <t>POD&amp;H</t>
        </is>
      </c>
      <c r="D67" s="204" t="inlineStr">
        <is>
          <t>1826/56</t>
        </is>
      </c>
      <c r="E67" s="205" t="n">
        <v>38757</v>
      </c>
      <c r="F67" s="206" t="n">
        <v>38775</v>
      </c>
      <c r="G67" s="207" t="inlineStr">
        <is>
          <t>George W. Goin</t>
        </is>
      </c>
      <c r="H67" s="207" t="inlineStr">
        <is>
          <t>The Public
RE: James W. Goin, Jr., Deceased
Heirs:
Gary Dean Goin, 1/3, 
Vera Marlene Burroughs, 1/3, 
Candace Darlene Marsden, 1/3</t>
        </is>
      </c>
      <c r="I67" s="208" t="inlineStr">
        <is>
          <t>E/2 NE/4, NW/4 NE/4, SW/4 NE/4, E/2 W/2, SE/4</t>
        </is>
      </c>
      <c r="J67" s="211" t="inlineStr">
        <is>
          <t>ARTI</t>
        </is>
      </c>
      <c r="K67" s="149" t="n"/>
    </row>
    <row r="68" ht="24" customFormat="1" customHeight="1" s="51">
      <c r="A68" s="204" t="n"/>
      <c r="B68" s="204" t="n"/>
      <c r="C68" s="204" t="inlineStr">
        <is>
          <t>TMD</t>
        </is>
      </c>
      <c r="D68" s="204" t="inlineStr">
        <is>
          <t>1944/38</t>
        </is>
      </c>
      <c r="E68" s="205" t="n">
        <v>39803</v>
      </c>
      <c r="F68" s="206" t="n">
        <v>39805</v>
      </c>
      <c r="G68" s="207" t="inlineStr">
        <is>
          <t>Charles Ray O'Neill, Trustee under the Charles E. O'Neill 1984 Revocable Living Trust - Trust A</t>
        </is>
      </c>
      <c r="H68" s="207" t="inlineStr">
        <is>
          <t>Charles Ray O'Neill</t>
        </is>
      </c>
      <c r="I68" s="208" t="inlineStr">
        <is>
          <t>N/2 NE/4, SE/4 NE/4
(AOL)</t>
        </is>
      </c>
      <c r="J68" s="211" t="inlineStr">
        <is>
          <t>ARTI, 1/2 interest</t>
        </is>
      </c>
      <c r="K68" s="149" t="n"/>
    </row>
    <row r="69" ht="36" customFormat="1" customHeight="1" s="51">
      <c r="A69" s="204" t="n"/>
      <c r="B69" s="204" t="n"/>
      <c r="C69" s="204" t="inlineStr">
        <is>
          <t>AFF</t>
        </is>
      </c>
      <c r="D69" s="204" t="inlineStr">
        <is>
          <t>1963/265</t>
        </is>
      </c>
      <c r="E69" s="205" t="n">
        <v>39979</v>
      </c>
      <c r="F69" s="206" t="n">
        <v>40002</v>
      </c>
      <c r="G69" s="207" t="inlineStr">
        <is>
          <t>Charles Ray O'Neill</t>
        </is>
      </c>
      <c r="H69" s="207" t="inlineStr">
        <is>
          <t>The Public
RE: Charles Ray O'Neill, Successor Trustee of the Arlene H. O'Neill 1984 Revocable Living Trust</t>
        </is>
      </c>
      <c r="I69" s="208" t="inlineStr">
        <is>
          <t>N/2 NE/4, SE/4 NE/4
(AOL)</t>
        </is>
      </c>
      <c r="J69" s="211" t="inlineStr">
        <is>
          <t>ARTI, 1/2 interest</t>
        </is>
      </c>
      <c r="K69" s="149" t="n"/>
    </row>
    <row r="70" ht="24" customFormat="1" customHeight="1" s="51">
      <c r="A70" s="204" t="n"/>
      <c r="B70" s="204" t="n"/>
      <c r="C70" s="204" t="inlineStr">
        <is>
          <t>TMD</t>
        </is>
      </c>
      <c r="D70" s="204" t="inlineStr">
        <is>
          <t>1966/399</t>
        </is>
      </c>
      <c r="E70" s="205" t="n">
        <v>40018</v>
      </c>
      <c r="F70" s="206" t="n">
        <v>40024</v>
      </c>
      <c r="G70" s="207" t="inlineStr">
        <is>
          <t>Charles Ray O'Neill, Trustee under the Arlene H. O'Neill 1984 Revocable Living Trust</t>
        </is>
      </c>
      <c r="H70" s="207" t="inlineStr">
        <is>
          <t>Charles Ray O'Neill</t>
        </is>
      </c>
      <c r="I70" s="208" t="inlineStr">
        <is>
          <t>N/2 NE/4, SE/4 NE/4
(AOL)</t>
        </is>
      </c>
      <c r="J70" s="211" t="inlineStr">
        <is>
          <t>ARTI, 1/2 interest</t>
        </is>
      </c>
      <c r="K70" s="149" t="n"/>
    </row>
    <row r="71" ht="24" customFormat="1" customHeight="1" s="51">
      <c r="A71" s="204" t="n"/>
      <c r="B71" s="204" t="n"/>
      <c r="C71" s="204" t="inlineStr">
        <is>
          <t>MD</t>
        </is>
      </c>
      <c r="D71" s="204" t="inlineStr">
        <is>
          <t>1970/36</t>
        </is>
      </c>
      <c r="E71" s="205" t="n">
        <v>40060</v>
      </c>
      <c r="F71" s="206" t="n">
        <v>40066</v>
      </c>
      <c r="G71" s="207" t="inlineStr">
        <is>
          <t>Charles Ray O'Neill and Barbara A. O'Neill, HW</t>
        </is>
      </c>
      <c r="H71" s="207" t="inlineStr">
        <is>
          <t>Charles Ray O'Neill and Barbara A. O'Neill, Trustees of the Charles Ray O'Neill Living Trust dated February 24, 2004</t>
        </is>
      </c>
      <c r="I71" s="208" t="inlineStr">
        <is>
          <t>N/2 NE/4
(AOL)</t>
        </is>
      </c>
      <c r="J71" s="211" t="inlineStr">
        <is>
          <t>ARTI</t>
        </is>
      </c>
      <c r="K71" s="149" t="n"/>
    </row>
    <row r="72" ht="24" customFormat="1" customHeight="1" s="51">
      <c r="A72" s="204" t="n"/>
      <c r="B72" s="204" t="n"/>
      <c r="C72" s="204" t="inlineStr">
        <is>
          <t>MD</t>
        </is>
      </c>
      <c r="D72" s="204" t="inlineStr">
        <is>
          <t>1993/259</t>
        </is>
      </c>
      <c r="E72" s="205" t="n">
        <v>40149</v>
      </c>
      <c r="F72" s="206" t="n">
        <v>40205</v>
      </c>
      <c r="G72" s="207" t="inlineStr">
        <is>
          <t>Richard C. Goin</t>
        </is>
      </c>
      <c r="H72" s="207" t="inlineStr">
        <is>
          <t>Mary Jane Goin</t>
        </is>
      </c>
      <c r="I72" s="208" t="inlineStr">
        <is>
          <t>E/2, E/2 W/2
(AOL)</t>
        </is>
      </c>
      <c r="J72" s="214" t="inlineStr">
        <is>
          <t xml:space="preserve">ARTI
14.0625 NMA </t>
        </is>
      </c>
      <c r="K72" s="149" t="n"/>
    </row>
    <row r="73" ht="24" customFormat="1" customHeight="1" s="51">
      <c r="A73" s="204" t="n"/>
      <c r="B73" s="204" t="n"/>
      <c r="C73" s="204" t="inlineStr">
        <is>
          <t>MD</t>
        </is>
      </c>
      <c r="D73" s="204" t="inlineStr">
        <is>
          <t>1993/256</t>
        </is>
      </c>
      <c r="E73" s="205" t="n">
        <v>40149</v>
      </c>
      <c r="F73" s="206" t="n">
        <v>40205</v>
      </c>
      <c r="G73" s="207" t="inlineStr">
        <is>
          <t>David W. Goin</t>
        </is>
      </c>
      <c r="H73" s="207" t="inlineStr">
        <is>
          <t>Mary Jane Goin</t>
        </is>
      </c>
      <c r="I73" s="208" t="inlineStr">
        <is>
          <t>E/2, E/2 W/2
(AOL)</t>
        </is>
      </c>
      <c r="J73" s="214" t="inlineStr">
        <is>
          <t xml:space="preserve">ARTI, 14.0625 NMA
</t>
        </is>
      </c>
      <c r="K73" s="149" t="n"/>
    </row>
    <row r="74" ht="24" customFormat="1" customHeight="1" s="51">
      <c r="A74" s="204" t="n"/>
      <c r="B74" s="204" t="n"/>
      <c r="C74" s="204" t="inlineStr">
        <is>
          <t>MD</t>
        </is>
      </c>
      <c r="D74" s="204" t="inlineStr">
        <is>
          <t>1993/253</t>
        </is>
      </c>
      <c r="E74" s="205" t="n">
        <v>40149</v>
      </c>
      <c r="F74" s="206" t="n">
        <v>40205</v>
      </c>
      <c r="G74" s="207" t="inlineStr">
        <is>
          <t>Daniel J. Goin</t>
        </is>
      </c>
      <c r="H74" s="207" t="inlineStr">
        <is>
          <t>Mary Jane Goin</t>
        </is>
      </c>
      <c r="I74" s="208" t="inlineStr">
        <is>
          <t>E/2, E/2 W/2
(AOL)</t>
        </is>
      </c>
      <c r="J74" s="214" t="inlineStr">
        <is>
          <t xml:space="preserve">ARTI
14.0625 NMA </t>
        </is>
      </c>
      <c r="K74" s="149" t="n"/>
    </row>
    <row r="75" ht="24" customFormat="1" customHeight="1" s="51">
      <c r="A75" s="204" t="n"/>
      <c r="B75" s="204" t="n"/>
      <c r="C75" s="204" t="inlineStr">
        <is>
          <t>MD</t>
        </is>
      </c>
      <c r="D75" s="204" t="inlineStr">
        <is>
          <t>1993/250</t>
        </is>
      </c>
      <c r="E75" s="205" t="n">
        <v>40149</v>
      </c>
      <c r="F75" s="206" t="n">
        <v>40205</v>
      </c>
      <c r="G75" s="207" t="inlineStr">
        <is>
          <t>Dale E. Goin</t>
        </is>
      </c>
      <c r="H75" s="207" t="inlineStr">
        <is>
          <t>Mary Jane Goin</t>
        </is>
      </c>
      <c r="I75" s="208" t="inlineStr">
        <is>
          <t>E/2, E/2 W/2
(AOL)</t>
        </is>
      </c>
      <c r="J75" s="214" t="inlineStr">
        <is>
          <t xml:space="preserve">ARTI
14.0625 NMA </t>
        </is>
      </c>
      <c r="K75" s="149" t="n"/>
    </row>
    <row r="76" ht="24" customFormat="1" customHeight="1" s="51">
      <c r="A76" s="204" t="n"/>
      <c r="B76" s="204" t="n"/>
      <c r="C76" s="204" t="inlineStr">
        <is>
          <t>MD</t>
        </is>
      </c>
      <c r="D76" s="204" t="inlineStr">
        <is>
          <t>1993/262</t>
        </is>
      </c>
      <c r="E76" s="205" t="n">
        <v>40157</v>
      </c>
      <c r="F76" s="206" t="n">
        <v>40205</v>
      </c>
      <c r="G76" s="207" t="inlineStr">
        <is>
          <t>David W. Goin, 
Mary Jane Goin</t>
        </is>
      </c>
      <c r="H76" s="207" t="inlineStr">
        <is>
          <t>Arrowhead Resources, Inc.</t>
        </is>
      </c>
      <c r="I76" s="208" t="inlineStr">
        <is>
          <t>E/2, E/2 W/2
(AOL)</t>
        </is>
      </c>
      <c r="J76" s="211" t="inlineStr">
        <is>
          <t>ARTI</t>
        </is>
      </c>
      <c r="K76" s="149" t="n"/>
    </row>
    <row r="77" ht="48" customFormat="1" customHeight="1" s="51">
      <c r="A77" s="204" t="n"/>
      <c r="B77" s="204" t="n"/>
      <c r="C77" s="204" t="inlineStr">
        <is>
          <t>NOTICE OF DECREE</t>
        </is>
      </c>
      <c r="D77" s="204" t="inlineStr">
        <is>
          <t>1990/193</t>
        </is>
      </c>
      <c r="E77" s="205" t="n">
        <v>40169</v>
      </c>
      <c r="F77" s="206" t="n">
        <v>40191</v>
      </c>
      <c r="G77" s="207" t="inlineStr">
        <is>
          <t>Lee Ray Easter</t>
        </is>
      </c>
      <c r="H77" s="207" t="inlineStr">
        <is>
          <t xml:space="preserve">The Public
RE: Lee Ray Easter, Deceased
Heir: Jonny Mack Easter
</t>
        </is>
      </c>
      <c r="I77" s="208" t="inlineStr">
        <is>
          <t>N/2 NE/4, SE/4 NE/4
(AOL)</t>
        </is>
      </c>
      <c r="J77" s="211" t="n"/>
      <c r="K77" s="149" t="n"/>
    </row>
    <row r="78" ht="60" customFormat="1" customHeight="1" s="51">
      <c r="A78" s="204" t="n"/>
      <c r="B78" s="204" t="n"/>
      <c r="C78" s="204" t="inlineStr">
        <is>
          <t>JEJ</t>
        </is>
      </c>
      <c r="D78" s="204" t="inlineStr">
        <is>
          <t>1992/558</t>
        </is>
      </c>
      <c r="E78" s="205" t="n">
        <v>40204</v>
      </c>
      <c r="F78" s="206" t="n">
        <v>40204</v>
      </c>
      <c r="G78" s="207" t="inlineStr">
        <is>
          <t>Roger Mills County Court
RE: In the Matter of the Estate of Carol D. Goin, Deceased.</t>
        </is>
      </c>
      <c r="H78" s="207" t="inlineStr">
        <is>
          <t>Mary Jane Goin, 1/2, 
Dale E. Goin, 1/8, 
Daniel J. Goin, 1/8, 
David Wayne Goin, 1/8, 
Richard C. Goin, 1/8</t>
        </is>
      </c>
      <c r="I78" s="208" t="inlineStr">
        <is>
          <t>SW/4 NE/4, E/2 NW/4, NE/4 SW/4, SE/4, SE/4 SW/4, E/2 NE/4, NW/4 NE/4</t>
        </is>
      </c>
      <c r="J78" s="214" t="inlineStr">
        <is>
          <t>ARTI
UND 1/4th int. in the SW/4 NE/4, E/2 NW/4, NE/4 SW/4, SE/4, SE/4 SW/4, 3/16ths int. in the NW/4 NE/4</t>
        </is>
      </c>
      <c r="K78" s="149" t="n"/>
    </row>
    <row r="79" ht="24" customFormat="1" customHeight="1" s="51">
      <c r="A79" s="204" t="n"/>
      <c r="B79" s="204" t="n"/>
      <c r="C79" s="204" t="inlineStr">
        <is>
          <t>MD</t>
        </is>
      </c>
      <c r="D79" s="204" t="inlineStr">
        <is>
          <t>2002/172</t>
        </is>
      </c>
      <c r="E79" s="205" t="n">
        <v>40212</v>
      </c>
      <c r="F79" s="206" t="n">
        <v>40234</v>
      </c>
      <c r="G79" s="207" t="inlineStr">
        <is>
          <t>Johnny Mack Easter</t>
        </is>
      </c>
      <c r="H79" s="207" t="inlineStr">
        <is>
          <t>Gerald Eugene Easter and Christy Renee Easter, HW, JTWROS</t>
        </is>
      </c>
      <c r="I79" s="208" t="inlineStr">
        <is>
          <t>N/2 NE/4, SE/4 NE/4
(AOL)</t>
        </is>
      </c>
      <c r="J79" s="211" t="inlineStr">
        <is>
          <t>ARTI</t>
        </is>
      </c>
      <c r="K79" s="149" t="n"/>
    </row>
    <row r="80" ht="24" customFormat="1" customHeight="1" s="51">
      <c r="A80" s="204" t="n"/>
      <c r="B80" s="204" t="n"/>
      <c r="C80" s="204" t="inlineStr">
        <is>
          <t>MD</t>
        </is>
      </c>
      <c r="D80" s="204" t="inlineStr">
        <is>
          <t>1998/302</t>
        </is>
      </c>
      <c r="E80" s="205" t="n">
        <v>40219</v>
      </c>
      <c r="F80" s="206" t="n">
        <v>40226</v>
      </c>
      <c r="G80" s="207" t="inlineStr">
        <is>
          <t>Arrowhead Resources, Inc.</t>
        </is>
      </c>
      <c r="H80" s="207" t="inlineStr">
        <is>
          <t>Cordillera Energy Partners III, LLC</t>
        </is>
      </c>
      <c r="I80" s="208" t="inlineStr">
        <is>
          <t>E/2, E/2 W/2
(AOL)</t>
        </is>
      </c>
      <c r="J80" s="214" t="inlineStr">
        <is>
          <t>UND 112.5 NMA in the E/2, E/2 W/2 of 27-15N-24W
(AOL)</t>
        </is>
      </c>
      <c r="K80" s="149" t="n"/>
    </row>
    <row r="81" ht="24" customFormat="1" customHeight="1" s="51">
      <c r="A81" s="204" t="n"/>
      <c r="B81" s="204" t="n"/>
      <c r="C81" s="204" t="inlineStr">
        <is>
          <t>AFF</t>
        </is>
      </c>
      <c r="D81" s="204" t="inlineStr">
        <is>
          <t>1999/33</t>
        </is>
      </c>
      <c r="E81" s="205" t="n">
        <v>40224</v>
      </c>
      <c r="F81" s="206" t="n">
        <v>40227</v>
      </c>
      <c r="G81" s="207" t="inlineStr">
        <is>
          <t>John D. Parrish</t>
        </is>
      </c>
      <c r="H81" s="207" t="inlineStr">
        <is>
          <t>The Public
RE: Identity</t>
        </is>
      </c>
      <c r="I81" s="208" t="inlineStr">
        <is>
          <t>E/2, E/2 W/2
(AOL)</t>
        </is>
      </c>
      <c r="J81" s="211" t="inlineStr">
        <is>
          <t>David Wayne Goin, is a/k/a David W. Goin</t>
        </is>
      </c>
      <c r="K81" s="149" t="n"/>
    </row>
    <row r="82" ht="72" customFormat="1" customHeight="1" s="51">
      <c r="A82" s="204" t="n"/>
      <c r="B82" s="204" t="n"/>
      <c r="C82" s="204" t="inlineStr">
        <is>
          <t>AOH</t>
        </is>
      </c>
      <c r="D82" s="204" t="inlineStr">
        <is>
          <t>2020/335</t>
        </is>
      </c>
      <c r="E82" s="205" t="n">
        <v>40310</v>
      </c>
      <c r="F82" s="206" t="n">
        <v>40318</v>
      </c>
      <c r="G82" s="207" t="inlineStr">
        <is>
          <t>Gary Dean Goin</t>
        </is>
      </c>
      <c r="H82" s="207" t="inlineStr">
        <is>
          <t>The Public
RE: James W. Goin Jr., Deceased
Heirs: 
Vera Marlene Burroughs, 1/3, 
Gary D. Goin, 1/3, 
Candace D. Marsden, 1/3</t>
        </is>
      </c>
      <c r="I82" s="208" t="inlineStr">
        <is>
          <t xml:space="preserve">E/2 NE/4, SW/4 NE/4, NW/4 NE/4, SE/4, E/2 SW/4, E/2 NW/4
(AOL)
</t>
        </is>
      </c>
      <c r="J82" s="211" t="inlineStr">
        <is>
          <t>ARTI</t>
        </is>
      </c>
      <c r="K82" s="149" t="n"/>
    </row>
    <row r="83" ht="60" customFormat="1" customHeight="1" s="51">
      <c r="A83" s="204" t="n"/>
      <c r="B83" s="204" t="n"/>
      <c r="C83" s="204" t="inlineStr">
        <is>
          <t>AFF</t>
        </is>
      </c>
      <c r="D83" s="204" t="inlineStr">
        <is>
          <t>2021/311</t>
        </is>
      </c>
      <c r="E83" s="205" t="n">
        <v>40322</v>
      </c>
      <c r="F83" s="206" t="n">
        <v>40325</v>
      </c>
      <c r="G83" s="207" t="inlineStr">
        <is>
          <t>C. Josephine Lindsey</t>
        </is>
      </c>
      <c r="H83" s="207" t="inlineStr">
        <is>
          <t xml:space="preserve">The Public
RE: Rosetta M. Easter, Deceased
Heir:
Lee Ray Easter
</t>
        </is>
      </c>
      <c r="I83" s="208" t="inlineStr">
        <is>
          <t>N/2 NE/4, SE/4 NE/4
(AOL)</t>
        </is>
      </c>
      <c r="J83" s="211" t="n"/>
      <c r="K83" s="149" t="n"/>
    </row>
    <row r="84" ht="84" customFormat="1" customHeight="1" s="51">
      <c r="A84" s="204" t="n"/>
      <c r="B84" s="204" t="n"/>
      <c r="C84" s="204" t="inlineStr">
        <is>
          <t>TMD</t>
        </is>
      </c>
      <c r="D84" s="204" t="inlineStr">
        <is>
          <t>2100/7</t>
        </is>
      </c>
      <c r="E84" s="205" t="n">
        <v>40835</v>
      </c>
      <c r="F84" s="206" t="n">
        <v>40837</v>
      </c>
      <c r="G84" s="207" t="inlineStr">
        <is>
          <t>MidFirst Trust Co., Successor Trustee of The Bess Fell Green Revocable Trust Dated December 11, 1990</t>
        </is>
      </c>
      <c r="H84" s="207" t="inlineStr">
        <is>
          <t>Judith Fell Austin, as Trustee of the Judith Fell Austin Revocable Trust dated January 19, 2009, 1/4,
Vivian F. Sangunett, as Trustee of the Vivian F. Sangunett 1995 Trust, 1/4,
Jane Ann Fell, as Trustee of the Jane Ann Fell Trust, 1/4,
Melissa B. Fell, as Trustee of the Melissa B. Fell Revocable Trust, 1/4</t>
        </is>
      </c>
      <c r="I84" s="208" t="inlineStr">
        <is>
          <t>W/2 NW/4, W/2 SW/4</t>
        </is>
      </c>
      <c r="J84" s="211" t="inlineStr">
        <is>
          <t>ARTI, 20 NMA to each</t>
        </is>
      </c>
      <c r="K84" s="149" t="n"/>
    </row>
    <row r="85" ht="24" customFormat="1" customHeight="1" s="51">
      <c r="A85" s="204" t="n"/>
      <c r="B85" s="204" t="n"/>
      <c r="C85" s="204" t="inlineStr">
        <is>
          <t>MD</t>
        </is>
      </c>
      <c r="D85" s="204" t="inlineStr">
        <is>
          <t>2177/241</t>
        </is>
      </c>
      <c r="E85" s="205" t="n">
        <v>41061</v>
      </c>
      <c r="F85" s="206" t="n">
        <v>41306</v>
      </c>
      <c r="G85" s="207" t="inlineStr">
        <is>
          <t>Cordillera Energy Partners III, LLC</t>
        </is>
      </c>
      <c r="H85" s="207" t="inlineStr">
        <is>
          <t>Apache Corporation</t>
        </is>
      </c>
      <c r="I85" s="208" t="inlineStr">
        <is>
          <t>E/2, E/2 W/2
(AOL)</t>
        </is>
      </c>
      <c r="J85" s="211" t="inlineStr">
        <is>
          <t>ARTI</t>
        </is>
      </c>
      <c r="K85" s="149" t="n"/>
    </row>
    <row r="86" ht="24" customFormat="1" customHeight="1" s="51">
      <c r="A86" s="204" t="n"/>
      <c r="B86" s="204" t="n"/>
      <c r="C86" s="204" t="inlineStr">
        <is>
          <t>MD</t>
        </is>
      </c>
      <c r="D86" s="204" t="inlineStr">
        <is>
          <t>2165/330</t>
        </is>
      </c>
      <c r="E86" s="205" t="n">
        <v>41172</v>
      </c>
      <c r="F86" s="206" t="n">
        <v>41222</v>
      </c>
      <c r="G86" s="207" t="inlineStr">
        <is>
          <t>James Randal Winkleblack a/k/a James Randal Winkleblack and Patricia L. Winkleblack, HW</t>
        </is>
      </c>
      <c r="H86" s="207" t="inlineStr">
        <is>
          <t>Mountain Front Resources, LLC</t>
        </is>
      </c>
      <c r="I86" s="208" t="inlineStr">
        <is>
          <t xml:space="preserve">E/2 NE/4, NW/4 NE/4, SW/4 NE/4, E/2 W/2, SE/4 
</t>
        </is>
      </c>
      <c r="J86" s="211" t="inlineStr">
        <is>
          <t>ARTI, UND 56.25 NMA</t>
        </is>
      </c>
      <c r="K86" s="149" t="n"/>
    </row>
    <row r="87" ht="36" customFormat="1" customHeight="1" s="51">
      <c r="A87" s="204" t="n"/>
      <c r="B87" s="204" t="n"/>
      <c r="C87" s="204" t="inlineStr">
        <is>
          <t>FD</t>
        </is>
      </c>
      <c r="D87" s="204" t="inlineStr">
        <is>
          <t>2165/326</t>
        </is>
      </c>
      <c r="E87" s="205" t="n">
        <v>41221</v>
      </c>
      <c r="F87" s="206" t="n">
        <v>41222</v>
      </c>
      <c r="G87" s="207" t="inlineStr">
        <is>
          <t>Roger Mills County Court
RE: In the Matter of the Estates of F. F. Winkleblack Estate, and Lola Mae Winkleblack, Deceased.</t>
        </is>
      </c>
      <c r="H87" s="207" t="inlineStr">
        <is>
          <t>James Randal Winkleblack, 50%, 
Wendel Lee Winkleblack, 50%</t>
        </is>
      </c>
      <c r="I87" s="208" t="inlineStr">
        <is>
          <t xml:space="preserve">E/2 NE/4, NW/4 NE/4, SW/4 NE/4, E/2 W/2, SE/4 
</t>
        </is>
      </c>
      <c r="J87" s="214" t="inlineStr">
        <is>
          <t>ARTI
UND 112.5 NMA</t>
        </is>
      </c>
      <c r="K87" s="149" t="n"/>
    </row>
    <row r="88" ht="24" customFormat="1" customHeight="1" s="51">
      <c r="A88" s="204" t="n"/>
      <c r="B88" s="204" t="n"/>
      <c r="C88" s="204" t="inlineStr">
        <is>
          <t>MD</t>
        </is>
      </c>
      <c r="D88" s="204" t="inlineStr">
        <is>
          <t>2176/297</t>
        </is>
      </c>
      <c r="E88" s="205" t="n">
        <v>41296</v>
      </c>
      <c r="F88" s="206" t="n">
        <v>41302</v>
      </c>
      <c r="G88" s="207" t="inlineStr">
        <is>
          <t>Mountain Front Resources, LLC</t>
        </is>
      </c>
      <c r="H88" s="207" t="inlineStr">
        <is>
          <t>Piedra Minerals, LLC</t>
        </is>
      </c>
      <c r="I88" s="208" t="inlineStr">
        <is>
          <t xml:space="preserve">E/2 NE/4, NW/4 NE/4, SW/4 NE/4, E/2 W/2, SE/4 
</t>
        </is>
      </c>
      <c r="J88" s="214" t="inlineStr">
        <is>
          <t xml:space="preserve">UND 34 NMA
</t>
        </is>
      </c>
      <c r="K88" s="149" t="n"/>
    </row>
    <row r="89" ht="24" customFormat="1" customHeight="1" s="51">
      <c r="A89" s="204" t="n"/>
      <c r="B89" s="204" t="n"/>
      <c r="C89" s="204" t="inlineStr">
        <is>
          <t>MD</t>
        </is>
      </c>
      <c r="D89" s="204" t="inlineStr">
        <is>
          <t>2177/522</t>
        </is>
      </c>
      <c r="E89" s="205" t="n">
        <v>41305</v>
      </c>
      <c r="F89" s="206" t="n">
        <v>41310</v>
      </c>
      <c r="G89" s="207" t="inlineStr">
        <is>
          <t>Piedra Minerals, LLC</t>
        </is>
      </c>
      <c r="H89" s="207" t="inlineStr">
        <is>
          <t>EAW Energy Partners Fund II, LP</t>
        </is>
      </c>
      <c r="I89" s="208" t="inlineStr">
        <is>
          <t xml:space="preserve">E/2 NE/4, NW/4 NE/4, SW/4 NE/4, E/2 W/2, SE/4 
</t>
        </is>
      </c>
      <c r="J89" s="214" t="inlineStr">
        <is>
          <t xml:space="preserve">UND 25 NMA
</t>
        </is>
      </c>
      <c r="K89" s="149" t="n"/>
    </row>
    <row r="90" ht="24" customFormat="1" customHeight="1" s="51">
      <c r="A90" s="204" t="n"/>
      <c r="B90" s="204" t="n"/>
      <c r="C90" s="204" t="inlineStr">
        <is>
          <t>MD</t>
        </is>
      </c>
      <c r="D90" s="204" t="inlineStr">
        <is>
          <t>2177/521</t>
        </is>
      </c>
      <c r="E90" s="205" t="n">
        <v>41306</v>
      </c>
      <c r="F90" s="206" t="n">
        <v>41310</v>
      </c>
      <c r="G90" s="207" t="inlineStr">
        <is>
          <t>Piedra Minerals, LLC</t>
        </is>
      </c>
      <c r="H90" s="207" t="inlineStr">
        <is>
          <t>Dynasty Oil and Gas, LLC</t>
        </is>
      </c>
      <c r="I90" s="208" t="inlineStr">
        <is>
          <t xml:space="preserve">E/2 NE/4, NW/4 NE/4, SW/4 NE/4, E/2 W/2, SE/4 
</t>
        </is>
      </c>
      <c r="J90" s="211" t="inlineStr">
        <is>
          <t xml:space="preserve">UND 4.5 NMA </t>
        </is>
      </c>
      <c r="K90" s="149" t="n"/>
    </row>
    <row r="91" ht="48" customFormat="1" customHeight="1" s="51">
      <c r="A91" s="204" t="n"/>
      <c r="B91" s="204" t="n"/>
      <c r="C91" s="204" t="inlineStr">
        <is>
          <t>ORDER</t>
        </is>
      </c>
      <c r="D91" s="204" t="inlineStr">
        <is>
          <t>2207/406</t>
        </is>
      </c>
      <c r="E91" s="205" t="n">
        <v>41485</v>
      </c>
      <c r="F91" s="206" t="n">
        <v>41523</v>
      </c>
      <c r="G91" s="207" t="inlineStr">
        <is>
          <t xml:space="preserve">Oklahoma County Court
RE: In the Matter of the Estate of Lisa K. Keinen, Deceased.
</t>
        </is>
      </c>
      <c r="H91" s="207" t="inlineStr">
        <is>
          <t>Brice C. Heinen</t>
        </is>
      </c>
      <c r="I91" s="208" t="inlineStr">
        <is>
          <t>N/2 NE/4, SE/4 NE/4
(AOL)</t>
        </is>
      </c>
      <c r="J91" s="211" t="inlineStr">
        <is>
          <t>ARTI</t>
        </is>
      </c>
      <c r="K91" s="149" t="n"/>
    </row>
    <row r="92" ht="24" customFormat="1" customHeight="1" s="51">
      <c r="A92" s="204" t="n"/>
      <c r="B92" s="204" t="n"/>
      <c r="C92" s="204" t="inlineStr">
        <is>
          <t>MD</t>
        </is>
      </c>
      <c r="D92" s="204" t="inlineStr">
        <is>
          <t>2237/381</t>
        </is>
      </c>
      <c r="E92" s="205" t="n">
        <v>41687</v>
      </c>
      <c r="F92" s="206" t="n">
        <v>41691</v>
      </c>
      <c r="G92" s="207" t="inlineStr">
        <is>
          <t>Piedra Minerals, LLC</t>
        </is>
      </c>
      <c r="H92" s="207" t="inlineStr">
        <is>
          <t>Dynasty Oil and Gas, LLC, 1/2, 
Pagosa Resources, LLC, 1/2</t>
        </is>
      </c>
      <c r="I92" s="208" t="inlineStr">
        <is>
          <t>E/2 NE/4, NW/4 NE/4, SW/4 NE/4, E/2 W/2, SE/4 
(AOL)</t>
        </is>
      </c>
      <c r="J92" s="211" t="inlineStr">
        <is>
          <t>ARTI</t>
        </is>
      </c>
      <c r="K92" s="149" t="n"/>
    </row>
    <row r="93" ht="24" customFormat="1" customHeight="1" s="51">
      <c r="A93" s="204" t="n"/>
      <c r="B93" s="204" t="n"/>
      <c r="C93" s="204" t="inlineStr">
        <is>
          <t>QCMD</t>
        </is>
      </c>
      <c r="D93" s="204" t="inlineStr">
        <is>
          <t>2304/252</t>
        </is>
      </c>
      <c r="E93" s="205" t="n">
        <v>42222</v>
      </c>
      <c r="F93" s="206" t="n">
        <v>42226</v>
      </c>
      <c r="G93" s="207" t="inlineStr">
        <is>
          <t>Frances Ann Dearing</t>
        </is>
      </c>
      <c r="H93" s="207" t="inlineStr">
        <is>
          <t>Franie Annie, LLC</t>
        </is>
      </c>
      <c r="I93" s="208" t="inlineStr">
        <is>
          <t>N/2 NE/4, SE/4 NE/4
(AOL)</t>
        </is>
      </c>
      <c r="J93" s="209" t="inlineStr">
        <is>
          <t>ARTI</t>
        </is>
      </c>
      <c r="K93" s="149" t="n"/>
    </row>
    <row r="94" customFormat="1" s="51">
      <c r="A94" s="204" t="n"/>
      <c r="B94" s="204" t="n"/>
      <c r="C94" s="204" t="inlineStr">
        <is>
          <t>WD</t>
        </is>
      </c>
      <c r="D94" s="204" t="inlineStr">
        <is>
          <t>2388/159</t>
        </is>
      </c>
      <c r="E94" s="205" t="n">
        <v>42445</v>
      </c>
      <c r="F94" s="206" t="n">
        <v>43175</v>
      </c>
      <c r="G94" s="207" t="inlineStr">
        <is>
          <t>James Randal Winkleblack</t>
        </is>
      </c>
      <c r="H94" s="207" t="inlineStr">
        <is>
          <t>John G. Goin</t>
        </is>
      </c>
      <c r="I94" s="208" t="inlineStr">
        <is>
          <t>SW/4</t>
        </is>
      </c>
      <c r="J94" s="209" t="inlineStr">
        <is>
          <t>ARTI</t>
        </is>
      </c>
      <c r="K94" s="149" t="n"/>
    </row>
    <row r="95" ht="48" customFormat="1" customHeight="1" s="51">
      <c r="A95" s="204" t="n"/>
      <c r="B95" s="204" t="n"/>
      <c r="C95" s="204" t="inlineStr">
        <is>
          <t>AFF</t>
        </is>
      </c>
      <c r="D95" s="204" t="inlineStr">
        <is>
          <t>2334/41</t>
        </is>
      </c>
      <c r="E95" s="205" t="n">
        <v>42521</v>
      </c>
      <c r="F95" s="206" t="n">
        <v>42529</v>
      </c>
      <c r="G95" s="207" t="inlineStr">
        <is>
          <t xml:space="preserve">Pagosa Resources, LLC
</t>
        </is>
      </c>
      <c r="H95" s="207" t="inlineStr">
        <is>
          <t>The Public
RE: Change of Address</t>
        </is>
      </c>
      <c r="I95" s="208" t="inlineStr">
        <is>
          <t>All</t>
        </is>
      </c>
      <c r="J95" s="214" t="inlineStr">
        <is>
          <t>New Address
Pagosa Resources, LLC
5025 Gaillardia Corporate Place, Suite D
Oklahoma City, OK 73142</t>
        </is>
      </c>
      <c r="K95" s="149" t="n"/>
    </row>
    <row r="96" ht="36" customFormat="1" customHeight="1" s="51">
      <c r="A96" s="204" t="n"/>
      <c r="B96" s="204" t="n"/>
      <c r="C96" s="204" t="inlineStr">
        <is>
          <t>MD</t>
        </is>
      </c>
      <c r="D96" s="204" t="inlineStr">
        <is>
          <t>2345/525</t>
        </is>
      </c>
      <c r="E96" s="205" t="n">
        <v>42613</v>
      </c>
      <c r="F96" s="206" t="n">
        <v>42615</v>
      </c>
      <c r="G96" s="207" t="inlineStr">
        <is>
          <t>Georgia Sue Jones, a/k/a Georgia S. Jones and Jerry W. Jones, HW</t>
        </is>
      </c>
      <c r="H96" s="207" t="inlineStr">
        <is>
          <t>Jones Wagonhill Family Revocable Trust</t>
        </is>
      </c>
      <c r="I96" s="208" t="inlineStr">
        <is>
          <t>E/2 W/2, N/2 NE/4, SE/4 NE/4
(AOL)</t>
        </is>
      </c>
      <c r="J96" s="214" t="inlineStr">
        <is>
          <t xml:space="preserve">ARTI, (1/2 of UND 1/4th int. in the E/2 W/2,and UND 3/16ths int. in the N/2 NE/4, SE/4 NE/4)
 </t>
        </is>
      </c>
      <c r="K96" s="149" t="n"/>
    </row>
    <row r="97" ht="36" customFormat="1" customHeight="1" s="51">
      <c r="A97" s="204" t="n"/>
      <c r="B97" s="204" t="n"/>
      <c r="C97" s="204" t="inlineStr">
        <is>
          <t>MD</t>
        </is>
      </c>
      <c r="D97" s="204" t="inlineStr">
        <is>
          <t>2423/220</t>
        </is>
      </c>
      <c r="E97" s="205" t="n">
        <v>43435</v>
      </c>
      <c r="F97" s="206" t="n">
        <v>43668</v>
      </c>
      <c r="G97" s="207" t="inlineStr">
        <is>
          <t>Apache Corporation, Cordillera Energy Partners III, LLC, 
Granite Operating</t>
        </is>
      </c>
      <c r="H97" s="207" t="inlineStr">
        <is>
          <t>Presidio WAB, LLC</t>
        </is>
      </c>
      <c r="I97" s="208" t="inlineStr">
        <is>
          <t>E/2, E/2 W/2</t>
        </is>
      </c>
      <c r="J97" s="211" t="inlineStr">
        <is>
          <t>ARTI</t>
        </is>
      </c>
      <c r="K97" s="149" t="n"/>
    </row>
    <row r="98" ht="156" customFormat="1" customHeight="1" s="51">
      <c r="A98" s="204" t="n"/>
      <c r="B98" s="204" t="n"/>
      <c r="C98" s="204" t="inlineStr">
        <is>
          <t>AFF</t>
        </is>
      </c>
      <c r="D98" s="204" t="inlineStr">
        <is>
          <t>2425/36</t>
        </is>
      </c>
      <c r="E98" s="205" t="n">
        <v>43683</v>
      </c>
      <c r="F98" s="206" t="n">
        <v>43689</v>
      </c>
      <c r="G98" s="207" t="inlineStr">
        <is>
          <t>Riviera Upstream, LLC</t>
        </is>
      </c>
      <c r="H98" s="207" t="inlineStr">
        <is>
          <t xml:space="preserve">The Public
RE: Mergers and Name Change
</t>
        </is>
      </c>
      <c r="I98" s="208" t="inlineStr">
        <is>
          <t>All</t>
        </is>
      </c>
      <c r="J98" s="214" t="inlineStr">
        <is>
          <t>Riviera Upstream, LLC, f/k/a Linn Energy Holdings, LLC.
Linn Energy Mid-Continent Holdings, LLC merged with and into Linn Energy Holdings, LLC.
BBX Oil Corp. merged with and into Gladstone Royalties, LLC.
Gladstone Royalties, LLC merged with and into Linn Energy Holdings, LLC.
Linn Exchange Properties, LLC and Linn Exchange Properties II, LLC merged with and into Linn Energy Holdings, LLC.
Mid-Continent I, LLC, Mid-Continent II, LLC, Mid-Continent Holdings I, LLC, Mid-Continent Holdings II, LLC, and Linn Exploration Midcontinent, LLC merged and into Linn Energy Holdings, LLC.
Linn Energy Holdings, LLC changed its name to Riviera Upstream, LLC.</t>
        </is>
      </c>
      <c r="K98" s="149" t="n"/>
    </row>
    <row r="99" ht="36" customFormat="1" customHeight="1" s="51">
      <c r="A99" s="204" t="n"/>
      <c r="B99" s="204" t="n"/>
      <c r="C99" s="204" t="inlineStr">
        <is>
          <t>FD</t>
        </is>
      </c>
      <c r="D99" s="204" t="inlineStr">
        <is>
          <t>2445/523</t>
        </is>
      </c>
      <c r="E99" s="205" t="n">
        <v>43991</v>
      </c>
      <c r="F99" s="206" t="n">
        <v>44028</v>
      </c>
      <c r="G99" s="207" t="inlineStr">
        <is>
          <t>Roger Mills County Court
RE: In the Matter of the Estates of James Randal Estate Winkleblack, Deceased.</t>
        </is>
      </c>
      <c r="H99" s="207" t="inlineStr">
        <is>
          <t>The Public
Heirs:
Patricia Lea Winkleblack</t>
        </is>
      </c>
      <c r="I99" s="208" t="inlineStr">
        <is>
          <t>SW/4, E/2 NE/4, NW/4 NE/4, SE/4 NE/4, E/2 NE/4 NE/4
(AOL)</t>
        </is>
      </c>
      <c r="J99" s="214" t="inlineStr">
        <is>
          <t>ARTI</t>
        </is>
      </c>
      <c r="K99" s="149" t="n"/>
    </row>
    <row r="100" ht="48" customFormat="1" customHeight="1" s="51">
      <c r="A100" s="204" t="n"/>
      <c r="B100" s="204" t="n"/>
      <c r="C100" s="204" t="inlineStr">
        <is>
          <t>AFF</t>
        </is>
      </c>
      <c r="D100" s="204" t="inlineStr">
        <is>
          <t>2479/578</t>
        </is>
      </c>
      <c r="E100" s="205" t="n">
        <v>44197</v>
      </c>
      <c r="F100" s="206" t="n">
        <v>44469</v>
      </c>
      <c r="G100" s="207" t="inlineStr">
        <is>
          <t>Pagosa Resources, LLC</t>
        </is>
      </c>
      <c r="H100" s="207" t="inlineStr">
        <is>
          <t>The Public
RE: Change of Address</t>
        </is>
      </c>
      <c r="I100" s="208" t="inlineStr">
        <is>
          <t>All</t>
        </is>
      </c>
      <c r="J100" s="214" t="inlineStr">
        <is>
          <t>New Address:
Pagosa Resources, LLC
PO Box 7446
Edmond, OK 73083-7446</t>
        </is>
      </c>
      <c r="K100" s="149" t="n"/>
    </row>
    <row r="101" ht="48" customFormat="1" customHeight="1" s="51">
      <c r="A101" s="204" t="n"/>
      <c r="B101" s="204" t="n"/>
      <c r="C101" s="204" t="inlineStr">
        <is>
          <t>AFF</t>
        </is>
      </c>
      <c r="D101" s="204" t="inlineStr">
        <is>
          <t>2479/574</t>
        </is>
      </c>
      <c r="E101" s="205" t="n">
        <v>44197</v>
      </c>
      <c r="F101" s="206" t="n">
        <v>44469</v>
      </c>
      <c r="G101" s="207" t="inlineStr">
        <is>
          <t>Dynasty Oil &amp; Gas, LLC</t>
        </is>
      </c>
      <c r="H101" s="207" t="inlineStr">
        <is>
          <t>The Public
RE: Change of Address</t>
        </is>
      </c>
      <c r="I101" s="208" t="inlineStr">
        <is>
          <t>All</t>
        </is>
      </c>
      <c r="J101" s="214" t="inlineStr">
        <is>
          <t>New Address:
Dynasty Oil &amp; Gas, LLC
PO Box 7446
Edmond, OK 73083-7446</t>
        </is>
      </c>
      <c r="K101" s="149" t="n"/>
    </row>
    <row r="102" ht="24" customFormat="1" customHeight="1" s="51">
      <c r="A102" s="204" t="n"/>
      <c r="B102" s="204" t="n"/>
      <c r="C102" s="204" t="inlineStr">
        <is>
          <t>Operating Agreement</t>
        </is>
      </c>
      <c r="D102" s="204" t="inlineStr">
        <is>
          <t>2478/1</t>
        </is>
      </c>
      <c r="E102" s="205" t="n">
        <v>44407</v>
      </c>
      <c r="F102" s="206" t="n">
        <v>44462</v>
      </c>
      <c r="G102" s="207" t="inlineStr">
        <is>
          <t>Presidio Petroleum, LLC</t>
        </is>
      </c>
      <c r="H102" s="207" t="inlineStr">
        <is>
          <t>Presidio Finance, 
Presidio Finance Nominee</t>
        </is>
      </c>
      <c r="I102" s="208" t="inlineStr">
        <is>
          <t>All</t>
        </is>
      </c>
      <c r="J102" s="211" t="n"/>
      <c r="K102" s="149" t="n"/>
    </row>
    <row r="103" ht="72" customFormat="1" customHeight="1" s="51">
      <c r="A103" s="204" t="n"/>
      <c r="B103" s="204" t="n">
        <v>15</v>
      </c>
      <c r="C103" s="204" t="inlineStr">
        <is>
          <t>OGL</t>
        </is>
      </c>
      <c r="D103" s="204" t="inlineStr">
        <is>
          <t>2569/489</t>
        </is>
      </c>
      <c r="E103" s="205" t="n">
        <v>45295</v>
      </c>
      <c r="F103" s="206" t="n">
        <v>45419</v>
      </c>
      <c r="G103" s="207" t="inlineStr">
        <is>
          <t>Morris B. Fell Revocable Trust, c/o Midfirst Bank, Trustee</t>
        </is>
      </c>
      <c r="H103" s="207" t="inlineStr">
        <is>
          <t>Kunu Land Company</t>
        </is>
      </c>
      <c r="I103" s="210" t="inlineStr">
        <is>
          <t>W/2 W/2</t>
        </is>
      </c>
      <c r="J103" s="214" t="inlineStr">
        <is>
          <t xml:space="preserve">160 gross acres
3 years, 3/16ths royalty
Pugh clause
Depth clause: Releases all rights 50 feet and more below the SE of the deepest producing formation
</t>
        </is>
      </c>
      <c r="K103" s="149" t="n"/>
    </row>
    <row r="104" ht="36" customFormat="1" customHeight="1" s="51">
      <c r="A104" s="204" t="n"/>
      <c r="B104" s="204" t="n"/>
      <c r="C104" s="204" t="inlineStr">
        <is>
          <t>MD</t>
        </is>
      </c>
      <c r="D104" s="204" t="inlineStr">
        <is>
          <t>2557/327</t>
        </is>
      </c>
      <c r="E104" s="205" t="n">
        <v>45313</v>
      </c>
      <c r="F104" s="206" t="n">
        <v>45343</v>
      </c>
      <c r="G104" s="207" t="inlineStr">
        <is>
          <t>Vivian F. Sangunett, individually and as Trustee of the Vivian F. Sangunett 1995 Trust</t>
        </is>
      </c>
      <c r="H104" s="207" t="inlineStr">
        <is>
          <t>Mountain Front Resources, LLC</t>
        </is>
      </c>
      <c r="I104" s="208" t="inlineStr">
        <is>
          <t>W/2 NW/4, W/2 SW/4</t>
        </is>
      </c>
      <c r="J104" s="214" t="inlineStr">
        <is>
          <t xml:space="preserve">ARTI, UND 20 NMA
</t>
        </is>
      </c>
      <c r="K104" s="149" t="n"/>
    </row>
    <row r="105" ht="36" customFormat="1" customHeight="1" s="51">
      <c r="A105" s="204" t="n"/>
      <c r="B105" s="204" t="n">
        <v>19</v>
      </c>
      <c r="C105" s="204" t="inlineStr">
        <is>
          <t>OGL</t>
        </is>
      </c>
      <c r="D105" s="204" t="inlineStr">
        <is>
          <t>2563/73</t>
        </is>
      </c>
      <c r="E105" s="205" t="n">
        <v>45316</v>
      </c>
      <c r="F105" s="206" t="n">
        <v>45380</v>
      </c>
      <c r="G105" s="207" t="inlineStr">
        <is>
          <t>Vera Marlene Burroughs</t>
        </is>
      </c>
      <c r="H105" s="207" t="inlineStr">
        <is>
          <t>Greenhead Resources, LLC</t>
        </is>
      </c>
      <c r="I105" s="208" t="inlineStr">
        <is>
          <t>E/2, E/2 W/2</t>
        </is>
      </c>
      <c r="J105" s="214" t="inlineStr">
        <is>
          <t xml:space="preserve">480 gross acres
3 years, 3/16ths royalty
</t>
        </is>
      </c>
      <c r="K105" s="149" t="n"/>
    </row>
    <row r="106" ht="36" customHeight="1" s="267">
      <c r="A106" s="204" t="n"/>
      <c r="B106" s="204" t="n">
        <v>20</v>
      </c>
      <c r="C106" s="204" t="inlineStr">
        <is>
          <t>OGL</t>
        </is>
      </c>
      <c r="D106" s="204" t="inlineStr">
        <is>
          <t>2563/70</t>
        </is>
      </c>
      <c r="E106" s="205" t="n">
        <v>45316</v>
      </c>
      <c r="F106" s="206" t="n">
        <v>45380</v>
      </c>
      <c r="G106" s="207" t="inlineStr">
        <is>
          <t>Gary Dean Goin</t>
        </is>
      </c>
      <c r="H106" s="207" t="inlineStr">
        <is>
          <t>Greenhead Resources, LLC</t>
        </is>
      </c>
      <c r="I106" s="208" t="inlineStr">
        <is>
          <t>E/2, E/2 W/2</t>
        </is>
      </c>
      <c r="J106" s="214" t="inlineStr">
        <is>
          <t xml:space="preserve">480 gross acres
3 years, 3/16ths royalty
</t>
        </is>
      </c>
      <c r="K106" s="252" t="n"/>
    </row>
    <row r="107" ht="36" customHeight="1" s="267">
      <c r="A107" s="204" t="n"/>
      <c r="B107" s="204" t="n"/>
      <c r="C107" s="204" t="inlineStr">
        <is>
          <t>MD</t>
        </is>
      </c>
      <c r="D107" s="204" t="inlineStr">
        <is>
          <t>2557/331</t>
        </is>
      </c>
      <c r="E107" s="205" t="n">
        <v>45328</v>
      </c>
      <c r="F107" s="206" t="n">
        <v>45343</v>
      </c>
      <c r="G107" s="207" t="inlineStr">
        <is>
          <t>Melissa B. Fell, individually and as Trustee of the Melissa B. Fell Revocable Trust</t>
        </is>
      </c>
      <c r="H107" s="207" t="inlineStr">
        <is>
          <t>Mountain Front Resources, LLC</t>
        </is>
      </c>
      <c r="I107" s="208" t="inlineStr">
        <is>
          <t>W/2 NW/4, W/2 SW/4</t>
        </is>
      </c>
      <c r="J107" s="214" t="inlineStr">
        <is>
          <t xml:space="preserve">ARTI, UND 20 NMA
</t>
        </is>
      </c>
      <c r="K107" s="252" t="n"/>
    </row>
    <row r="108" ht="36" customHeight="1" s="267">
      <c r="A108" s="204" t="n"/>
      <c r="B108" s="204" t="n"/>
      <c r="C108" s="204" t="inlineStr">
        <is>
          <t>MD</t>
        </is>
      </c>
      <c r="D108" s="204" t="inlineStr">
        <is>
          <t>2557/329</t>
        </is>
      </c>
      <c r="E108" s="205" t="n">
        <v>45330</v>
      </c>
      <c r="F108" s="206" t="n">
        <v>45343</v>
      </c>
      <c r="G108" s="207" t="inlineStr">
        <is>
          <t>Judith Fell Austin, individually and as Trustee of the Judith Fell Austin Revocable Trust Dated January 19, 2009</t>
        </is>
      </c>
      <c r="H108" s="207" t="inlineStr">
        <is>
          <t>Mountain Front Resources, LLC</t>
        </is>
      </c>
      <c r="I108" s="208" t="inlineStr">
        <is>
          <t>W/2 NW/4, W/2 SW/4</t>
        </is>
      </c>
      <c r="J108" s="214" t="inlineStr">
        <is>
          <t xml:space="preserve">ARTI, UND 20 NMA
</t>
        </is>
      </c>
      <c r="K108" s="252" t="n"/>
    </row>
    <row r="109" ht="24" customHeight="1" s="267">
      <c r="A109" s="204" t="n"/>
      <c r="B109" s="204" t="n"/>
      <c r="C109" s="204" t="inlineStr">
        <is>
          <t>MD</t>
        </is>
      </c>
      <c r="D109" s="204" t="inlineStr">
        <is>
          <t>2558/276</t>
        </is>
      </c>
      <c r="E109" s="205" t="n">
        <v>45344</v>
      </c>
      <c r="F109" s="206" t="n">
        <v>45348</v>
      </c>
      <c r="G109" s="207" t="inlineStr">
        <is>
          <t>Mountain Front Resources, LLC</t>
        </is>
      </c>
      <c r="H109" s="207" t="inlineStr">
        <is>
          <t>Michael W. Muncy, Trustee of the Michael W. Muncy 2001 Revocable Trust UTA Dated 08/22/2001</t>
        </is>
      </c>
      <c r="I109" s="208" t="inlineStr">
        <is>
          <t>W/2 NW/4, W/2 SW/4</t>
        </is>
      </c>
      <c r="J109" s="214" t="inlineStr">
        <is>
          <t xml:space="preserve">UND 5 NMA
</t>
        </is>
      </c>
      <c r="K109" s="252" t="n"/>
    </row>
    <row r="110" ht="24" customHeight="1" s="267">
      <c r="A110" s="204" t="n"/>
      <c r="B110" s="204" t="n"/>
      <c r="C110" s="204" t="inlineStr">
        <is>
          <t>MD</t>
        </is>
      </c>
      <c r="D110" s="204" t="inlineStr">
        <is>
          <t>2558/273</t>
        </is>
      </c>
      <c r="E110" s="205" t="n">
        <v>45344</v>
      </c>
      <c r="F110" s="206" t="n">
        <v>45348</v>
      </c>
      <c r="G110" s="207" t="inlineStr">
        <is>
          <t>Mountain Front Resources, LLC</t>
        </is>
      </c>
      <c r="H110" s="207" t="inlineStr">
        <is>
          <t>L.P. Venture Capital, Inc.</t>
        </is>
      </c>
      <c r="I110" s="208" t="inlineStr">
        <is>
          <t xml:space="preserve">W/2 NW/4, W/2 SW/4
(AOL) </t>
        </is>
      </c>
      <c r="J110" s="214" t="inlineStr">
        <is>
          <t xml:space="preserve">UND 10 NMA
</t>
        </is>
      </c>
      <c r="K110" s="252" t="n"/>
    </row>
    <row r="111" ht="24" customHeight="1" s="267">
      <c r="A111" s="204" t="n"/>
      <c r="B111" s="204" t="n"/>
      <c r="C111" s="204" t="inlineStr">
        <is>
          <t>MD</t>
        </is>
      </c>
      <c r="D111" s="204" t="inlineStr">
        <is>
          <t>2558/275</t>
        </is>
      </c>
      <c r="E111" s="205" t="n">
        <v>45344</v>
      </c>
      <c r="F111" s="206" t="n">
        <v>45348</v>
      </c>
      <c r="G111" s="207" t="inlineStr">
        <is>
          <t>Mountain Front Resources, LLC</t>
        </is>
      </c>
      <c r="H111" s="207" t="inlineStr">
        <is>
          <t>GB Energy, Inc.</t>
        </is>
      </c>
      <c r="I111" s="208" t="inlineStr">
        <is>
          <t>W/2 NW/4, W/2 SW/4</t>
        </is>
      </c>
      <c r="J111" s="214" t="inlineStr">
        <is>
          <t xml:space="preserve">UND 5 NMA
</t>
        </is>
      </c>
      <c r="K111" s="252" t="n"/>
    </row>
    <row r="112" ht="36" customHeight="1" s="267">
      <c r="A112" s="204" t="n"/>
      <c r="B112" s="204" t="n"/>
      <c r="C112" s="204" t="inlineStr">
        <is>
          <t>MD</t>
        </is>
      </c>
      <c r="D112" s="204" t="inlineStr">
        <is>
          <t>2558/271</t>
        </is>
      </c>
      <c r="E112" s="205" t="n">
        <v>45344</v>
      </c>
      <c r="F112" s="206" t="n">
        <v>45348</v>
      </c>
      <c r="G112" s="207" t="inlineStr">
        <is>
          <t>Mountain Front Resources, LLC</t>
        </is>
      </c>
      <c r="H112" s="207" t="inlineStr">
        <is>
          <t>Dustin Deal, LLC</t>
        </is>
      </c>
      <c r="I112" s="208" t="inlineStr">
        <is>
          <t xml:space="preserve">W/2 NW/4, W/2 SW/4
(AOL) </t>
        </is>
      </c>
      <c r="J112" s="214" t="inlineStr">
        <is>
          <t xml:space="preserve">UND 30 NMA Total, being:
20 NMA in 27-15N-24W and 10 NMA in 6-12N-25W
</t>
        </is>
      </c>
      <c r="K112" s="252" t="n"/>
    </row>
    <row r="113" ht="36" customHeight="1" s="267">
      <c r="A113" s="204" t="n"/>
      <c r="B113" s="204" t="n"/>
      <c r="C113" s="204" t="inlineStr">
        <is>
          <t>MD</t>
        </is>
      </c>
      <c r="D113" s="204" t="inlineStr">
        <is>
          <t>2558/277</t>
        </is>
      </c>
      <c r="E113" s="205" t="n">
        <v>45344</v>
      </c>
      <c r="F113" s="206" t="n">
        <v>45348</v>
      </c>
      <c r="G113" s="207" t="inlineStr">
        <is>
          <t>Mountain Front Resources, LLC</t>
        </is>
      </c>
      <c r="H113" s="207" t="inlineStr">
        <is>
          <t>Lakewind, LLC</t>
        </is>
      </c>
      <c r="I113" s="208" t="inlineStr">
        <is>
          <t>W/2 NW/4, W/2 SW/4</t>
        </is>
      </c>
      <c r="J113" s="214" t="inlineStr">
        <is>
          <t xml:space="preserve">UND 5 NMA
</t>
        </is>
      </c>
      <c r="K113" s="252" t="n"/>
    </row>
    <row r="114" ht="36" customHeight="1" s="267">
      <c r="A114" s="204" t="n"/>
      <c r="B114" s="204" t="n"/>
      <c r="C114" s="204" t="inlineStr">
        <is>
          <t>MD</t>
        </is>
      </c>
      <c r="D114" s="204" t="inlineStr">
        <is>
          <t>2558/278</t>
        </is>
      </c>
      <c r="E114" s="205" t="n">
        <v>45344</v>
      </c>
      <c r="F114" s="206" t="n">
        <v>45348</v>
      </c>
      <c r="G114" s="207" t="inlineStr">
        <is>
          <t>Mountain Front Resources, LLC</t>
        </is>
      </c>
      <c r="H114" s="207" t="inlineStr">
        <is>
          <t>Anchura Energy, LLC</t>
        </is>
      </c>
      <c r="I114" s="208" t="inlineStr">
        <is>
          <t>W/2 NW/4, W/2 SW/4</t>
        </is>
      </c>
      <c r="J114" s="214" t="inlineStr">
        <is>
          <t xml:space="preserve">UND 5 NMA
</t>
        </is>
      </c>
      <c r="K114" s="252" t="n"/>
    </row>
    <row r="115" ht="36" customHeight="1" s="267">
      <c r="A115" s="204" t="n"/>
      <c r="B115" s="204" t="n">
        <v>9</v>
      </c>
      <c r="C115" s="204" t="inlineStr">
        <is>
          <t>OGL</t>
        </is>
      </c>
      <c r="D115" s="204" t="inlineStr">
        <is>
          <t>2575/595</t>
        </is>
      </c>
      <c r="E115" s="205" t="n">
        <v>45350</v>
      </c>
      <c r="F115" s="206" t="n">
        <v>45460</v>
      </c>
      <c r="G115" s="207" t="inlineStr">
        <is>
          <t>L.P. Venture Capital, Inc.</t>
        </is>
      </c>
      <c r="H115" s="207" t="inlineStr">
        <is>
          <t>Greenhead Resources, LLC</t>
        </is>
      </c>
      <c r="I115" s="208" t="inlineStr">
        <is>
          <t>W/2 NW/4, W/2 SW/4</t>
        </is>
      </c>
      <c r="J115" s="214" t="inlineStr">
        <is>
          <t>160 gross acres
3 years, 1/5th royalty
Pugh clause</t>
        </is>
      </c>
      <c r="K115" s="252" t="n"/>
    </row>
    <row r="116" ht="48" customHeight="1" s="267">
      <c r="A116" s="204" t="n"/>
      <c r="B116" s="204" t="n">
        <v>16</v>
      </c>
      <c r="C116" s="204" t="inlineStr">
        <is>
          <t>OGL</t>
        </is>
      </c>
      <c r="D116" s="204" t="inlineStr">
        <is>
          <t>2565/498</t>
        </is>
      </c>
      <c r="E116" s="205" t="n">
        <v>45350</v>
      </c>
      <c r="F116" s="206" t="n">
        <v>45394</v>
      </c>
      <c r="G116" s="207" t="inlineStr">
        <is>
          <t>Mountain Front Resources, LLC</t>
        </is>
      </c>
      <c r="H116" s="207" t="inlineStr">
        <is>
          <t>Greenhead Resources, LLC</t>
        </is>
      </c>
      <c r="I116" s="208" t="inlineStr">
        <is>
          <t>E/2 NE/4, NW/4 NE/4, E/2 W/2, SE/4, W/2 NW/4, W/2 SW/4</t>
        </is>
      </c>
      <c r="J116" s="214" t="inlineStr">
        <is>
          <t>640 gross acres
3 years, 1/5th royalty
Pugh Clause
Limited to the Cherokee formation</t>
        </is>
      </c>
      <c r="K116" s="252" t="n"/>
    </row>
    <row r="117" ht="48" customHeight="1" s="267">
      <c r="A117" s="204" t="n"/>
      <c r="B117" s="204" t="n">
        <v>17</v>
      </c>
      <c r="C117" s="204" t="inlineStr">
        <is>
          <t>OGL</t>
        </is>
      </c>
      <c r="D117" s="204" t="inlineStr">
        <is>
          <t>2565/486</t>
        </is>
      </c>
      <c r="E117" s="205" t="n">
        <v>45350</v>
      </c>
      <c r="F117" s="206" t="n">
        <v>45394</v>
      </c>
      <c r="G117" s="207" t="inlineStr">
        <is>
          <t>Dustin Deal, LLC</t>
        </is>
      </c>
      <c r="H117" s="207" t="inlineStr">
        <is>
          <t>Greenhead Resources, LLC</t>
        </is>
      </c>
      <c r="I117" s="208" t="inlineStr">
        <is>
          <t>W/2 W/2</t>
        </is>
      </c>
      <c r="J117" s="214" t="inlineStr">
        <is>
          <t>160 gross acres
3 years, 1/5th royalty
Pugh Clause
Limited to the Cherokee formation</t>
        </is>
      </c>
      <c r="K117" s="252" t="n"/>
    </row>
    <row r="118" ht="24" customHeight="1" s="267">
      <c r="A118" s="204" t="n"/>
      <c r="B118" s="204" t="n">
        <v>16</v>
      </c>
      <c r="C118" s="204" t="inlineStr">
        <is>
          <t>MD</t>
        </is>
      </c>
      <c r="D118" s="204" t="inlineStr">
        <is>
          <t>2560/36</t>
        </is>
      </c>
      <c r="E118" s="205" t="n">
        <v>45355</v>
      </c>
      <c r="F118" s="206" t="n">
        <v>45358</v>
      </c>
      <c r="G118" s="207" t="inlineStr">
        <is>
          <t>Mountain Front Resources, LLC</t>
        </is>
      </c>
      <c r="H118" s="207" t="inlineStr">
        <is>
          <t>Fleshman Agency, Inc.</t>
        </is>
      </c>
      <c r="I118" s="208" t="inlineStr">
        <is>
          <t>W/2 NW/4, W/2 SW/4</t>
        </is>
      </c>
      <c r="J118" s="214" t="inlineStr">
        <is>
          <t xml:space="preserve">UND 5 NMA
</t>
        </is>
      </c>
      <c r="K118" s="252" t="n"/>
    </row>
    <row r="119" ht="24" customHeight="1" s="267">
      <c r="A119" s="204" t="n"/>
      <c r="B119" s="204" t="n">
        <v>6</v>
      </c>
      <c r="C119" s="204" t="inlineStr">
        <is>
          <t>OGL</t>
        </is>
      </c>
      <c r="D119" s="204" t="inlineStr">
        <is>
          <t>2586/518</t>
        </is>
      </c>
      <c r="E119" s="205" t="n">
        <v>45356</v>
      </c>
      <c r="F119" s="206" t="n">
        <v>45527</v>
      </c>
      <c r="G119" s="207" t="inlineStr">
        <is>
          <t>John G. Goin</t>
        </is>
      </c>
      <c r="H119" s="207" t="inlineStr">
        <is>
          <t>Greenhead Resources, LLC</t>
        </is>
      </c>
      <c r="I119" s="208" t="inlineStr">
        <is>
          <t>E/2 NE/4, NW/4 NE/4, E/2 W/2, SE/4</t>
        </is>
      </c>
      <c r="J119" s="214" t="inlineStr">
        <is>
          <t>440 gross acres
3 years, 3/16ths royalty</t>
        </is>
      </c>
      <c r="K119" s="252" t="n"/>
    </row>
    <row r="120" ht="60" customHeight="1" s="267">
      <c r="A120" s="204" t="n"/>
      <c r="B120" s="204" t="n">
        <v>18</v>
      </c>
      <c r="C120" s="204" t="inlineStr">
        <is>
          <t>OGL</t>
        </is>
      </c>
      <c r="D120" s="204" t="inlineStr">
        <is>
          <t>2565/483</t>
        </is>
      </c>
      <c r="E120" s="205" t="n">
        <v>45360</v>
      </c>
      <c r="F120" s="206" t="n">
        <v>45394</v>
      </c>
      <c r="G120" s="207" t="inlineStr">
        <is>
          <t>Fleshman Agency, Inc.</t>
        </is>
      </c>
      <c r="H120" s="207" t="inlineStr">
        <is>
          <t>Greenhead Resources, LLC</t>
        </is>
      </c>
      <c r="I120" s="208" t="inlineStr">
        <is>
          <t>W/2 W/2</t>
        </is>
      </c>
      <c r="J120" s="214" t="inlineStr">
        <is>
          <t xml:space="preserve">160 gross acres
3 years, 1/5th royalty
Depth Clause: Releases all rights 100 feet and more below the SE of the deepest producing formation
</t>
        </is>
      </c>
      <c r="K120" s="252" t="n"/>
    </row>
    <row r="121" ht="24" customHeight="1" s="267">
      <c r="A121" s="204" t="n"/>
      <c r="B121" s="204" t="n">
        <v>7</v>
      </c>
      <c r="C121" s="204" t="inlineStr">
        <is>
          <t>OGL</t>
        </is>
      </c>
      <c r="D121" s="204" t="inlineStr">
        <is>
          <t>2582/229</t>
        </is>
      </c>
      <c r="E121" s="205" t="n">
        <v>45365</v>
      </c>
      <c r="F121" s="206" t="n">
        <v>45497</v>
      </c>
      <c r="G121" s="207" t="inlineStr">
        <is>
          <t>The Jones Wagonhill Family Revocable Trust, Georgia S. Jones and Jerry W. Jones, Trustees</t>
        </is>
      </c>
      <c r="H121" s="207" t="inlineStr">
        <is>
          <t>Aztek Petroleum Company, LLC</t>
        </is>
      </c>
      <c r="I121" s="208" t="inlineStr">
        <is>
          <t>E/2 NE/4, NW/4 NE/4, E/2 W/2, SE/4</t>
        </is>
      </c>
      <c r="J121" s="214" t="inlineStr">
        <is>
          <t>440 gross acres
3 years, 3/16ths royalty</t>
        </is>
      </c>
      <c r="K121" s="252" t="n"/>
    </row>
    <row r="122" ht="48" customHeight="1" s="267">
      <c r="A122" s="204" t="n"/>
      <c r="B122" s="204" t="n">
        <v>10</v>
      </c>
      <c r="C122" s="204" t="inlineStr">
        <is>
          <t>OGL</t>
        </is>
      </c>
      <c r="D122" s="204" t="inlineStr">
        <is>
          <t>2573/447</t>
        </is>
      </c>
      <c r="E122" s="205" t="n">
        <v>45365</v>
      </c>
      <c r="F122" s="206" t="n">
        <v>45442</v>
      </c>
      <c r="G122" s="207" t="inlineStr">
        <is>
          <t>Franie Annie, LLC</t>
        </is>
      </c>
      <c r="H122" s="207" t="inlineStr">
        <is>
          <t>Aztek Petroleum Company, LLC</t>
        </is>
      </c>
      <c r="I122" s="208" t="inlineStr">
        <is>
          <t>N/2 NE/4, SE/4 NE/4</t>
        </is>
      </c>
      <c r="J122" s="214" t="inlineStr">
        <is>
          <t>120 gross acres
3 years, 3/16ths royalty
Depth clause: Releases all rights 100 feet and more below the SE of the deepest penetrated formation</t>
        </is>
      </c>
      <c r="K122" s="252" t="n"/>
    </row>
    <row r="123" ht="36" customHeight="1" s="267">
      <c r="A123" s="204" t="n"/>
      <c r="B123" s="204" t="n">
        <v>11</v>
      </c>
      <c r="C123" s="204" t="inlineStr">
        <is>
          <t>OGL</t>
        </is>
      </c>
      <c r="D123" s="204" t="inlineStr">
        <is>
          <t>2573/433</t>
        </is>
      </c>
      <c r="E123" s="205" t="n">
        <v>45365</v>
      </c>
      <c r="F123" s="206" t="n">
        <v>45442</v>
      </c>
      <c r="G123" s="207" t="inlineStr">
        <is>
          <t>Rawhide Farms, LLC</t>
        </is>
      </c>
      <c r="H123" s="207" t="inlineStr">
        <is>
          <t>Aztek Petroleum Company, LLC</t>
        </is>
      </c>
      <c r="I123" s="208" t="inlineStr">
        <is>
          <t>N/2 NE/4, SE/4 NE/4</t>
        </is>
      </c>
      <c r="J123" s="214" t="inlineStr">
        <is>
          <t xml:space="preserve">120 gross acres
3 years, 3/16ths royalty
</t>
        </is>
      </c>
      <c r="K123" s="252" t="n"/>
    </row>
    <row r="124" ht="72" customHeight="1" s="267">
      <c r="A124" s="204" t="n"/>
      <c r="B124" s="204" t="n">
        <v>15</v>
      </c>
      <c r="C124" s="204" t="inlineStr">
        <is>
          <t>NOTICE OF DECREE</t>
        </is>
      </c>
      <c r="D124" s="204" t="inlineStr">
        <is>
          <t>2569/482</t>
        </is>
      </c>
      <c r="E124" s="205" t="n">
        <v>45406</v>
      </c>
      <c r="F124" s="206" t="n">
        <v>45419</v>
      </c>
      <c r="G124" s="207" t="inlineStr">
        <is>
          <t>Parrish Whitaker</t>
        </is>
      </c>
      <c r="H124" s="207" t="inlineStr">
        <is>
          <t xml:space="preserve">The Public
RE: Morris Bortel Fell, a/k/a Morris B. Fell, deceased
Heir: 
Toby R. Fell, Trustee of the Trustee of the Morris B. Fell Revocable Trust Dated November 1, 1991
</t>
        </is>
      </c>
      <c r="I124" s="210" t="inlineStr">
        <is>
          <t>W/2 W/2</t>
        </is>
      </c>
      <c r="J124" s="211" t="inlineStr">
        <is>
          <t>ARTI</t>
        </is>
      </c>
      <c r="K124" s="252" t="n"/>
    </row>
    <row r="125" ht="24" customHeight="1" s="267">
      <c r="A125" s="204" t="n"/>
      <c r="B125" s="204" t="n">
        <v>15</v>
      </c>
      <c r="C125" s="204" t="inlineStr">
        <is>
          <t>MOT</t>
        </is>
      </c>
      <c r="D125" s="204" t="inlineStr">
        <is>
          <t>2569/488</t>
        </is>
      </c>
      <c r="E125" s="205" t="n">
        <v>45406</v>
      </c>
      <c r="F125" s="206" t="n">
        <v>45419</v>
      </c>
      <c r="G125" s="207" t="inlineStr">
        <is>
          <t xml:space="preserve">Midfirst Bank, Trustee of the Morris B. Fell Revocable Trust dated November 1, 1991 </t>
        </is>
      </c>
      <c r="H125" s="207" t="inlineStr">
        <is>
          <t>The Public</t>
        </is>
      </c>
      <c r="I125" s="210" t="inlineStr">
        <is>
          <t>W/2 W/2</t>
        </is>
      </c>
      <c r="J125" s="211" t="inlineStr">
        <is>
          <t>TRUST</t>
        </is>
      </c>
      <c r="K125" s="252" t="n"/>
    </row>
    <row r="126" ht="48" customHeight="1" s="267">
      <c r="A126" s="204" t="n"/>
      <c r="B126" s="204" t="n">
        <v>8</v>
      </c>
      <c r="C126" s="204" t="inlineStr">
        <is>
          <t>OGL</t>
        </is>
      </c>
      <c r="D126" s="204" t="inlineStr">
        <is>
          <t>2581/541</t>
        </is>
      </c>
      <c r="E126" s="205" t="n">
        <v>45421</v>
      </c>
      <c r="F126" s="206" t="n">
        <v>45495</v>
      </c>
      <c r="G126" s="207" t="inlineStr">
        <is>
          <t>Brice C. Heinen</t>
        </is>
      </c>
      <c r="H126" s="207" t="inlineStr">
        <is>
          <t>Anevay Resources, LLC</t>
        </is>
      </c>
      <c r="I126" s="208" t="inlineStr">
        <is>
          <t>N/2 NE/4, SE/4 NE/4</t>
        </is>
      </c>
      <c r="J126" s="214" t="inlineStr">
        <is>
          <t>120 gross acres
3 years, 3/16ths royalty
Depth clause: Releases all rights 100 feet and more below the SE of the deepest penetrated formation</t>
        </is>
      </c>
      <c r="K126" s="252" t="n"/>
    </row>
    <row r="127" ht="60" customHeight="1" s="267">
      <c r="A127" s="204" t="n"/>
      <c r="B127" s="204" t="n">
        <v>12</v>
      </c>
      <c r="C127" s="204" t="inlineStr">
        <is>
          <t>OGL</t>
        </is>
      </c>
      <c r="D127" s="204" t="inlineStr">
        <is>
          <t>2573/377</t>
        </is>
      </c>
      <c r="E127" s="205" t="n">
        <v>45428</v>
      </c>
      <c r="F127" s="206" t="n">
        <v>45441</v>
      </c>
      <c r="G127" s="207" t="inlineStr">
        <is>
          <t>EAW Energy Partners Fund I, LP</t>
        </is>
      </c>
      <c r="H127" s="207" t="inlineStr">
        <is>
          <t>Anevay Resources, LLC</t>
        </is>
      </c>
      <c r="I127" s="208" t="inlineStr">
        <is>
          <t>E/2 NE/4, NW/4 NE/4, E/2 W/2, SE/4</t>
        </is>
      </c>
      <c r="J127" s="214" t="inlineStr">
        <is>
          <t>440 gross acres
3 years, 1/5th royalty
Pugh clause
Depth clause: Releases all rights below the SE of the base of the deepest penetrated formation</t>
        </is>
      </c>
      <c r="K127" s="252" t="n"/>
    </row>
    <row r="128" ht="60" customHeight="1" s="267">
      <c r="A128" s="204" t="n"/>
      <c r="B128" s="204" t="n">
        <v>14</v>
      </c>
      <c r="C128" s="204" t="inlineStr">
        <is>
          <t>OGL</t>
        </is>
      </c>
      <c r="D128" s="204" t="inlineStr">
        <is>
          <t>2573/340</t>
        </is>
      </c>
      <c r="E128" s="205" t="n">
        <v>45428</v>
      </c>
      <c r="F128" s="206" t="n">
        <v>45440</v>
      </c>
      <c r="G128" s="207" t="inlineStr">
        <is>
          <t>Pagosa Resources, LLC</t>
        </is>
      </c>
      <c r="H128" s="207" t="inlineStr">
        <is>
          <t>Anevay Resources, LLC</t>
        </is>
      </c>
      <c r="I128" s="208" t="inlineStr">
        <is>
          <t>E/2 NE/4, NW/4 NE/4, E/2 W/2, SE/4</t>
        </is>
      </c>
      <c r="J128" s="214" t="inlineStr">
        <is>
          <t>440 gross acres
3 years, 1/5th royalty
Pugh clause
Depth clause: Releases all rights below the SE of the base of the deepest penetrated formation</t>
        </is>
      </c>
      <c r="K128" s="252" t="n"/>
    </row>
    <row r="129" ht="60" customHeight="1" s="267">
      <c r="A129" s="204" t="n"/>
      <c r="B129" s="204" t="n">
        <v>13</v>
      </c>
      <c r="C129" s="204" t="inlineStr">
        <is>
          <t>OGL</t>
        </is>
      </c>
      <c r="D129" s="204" t="inlineStr">
        <is>
          <t>2573/337</t>
        </is>
      </c>
      <c r="E129" s="205" t="n">
        <v>45432</v>
      </c>
      <c r="F129" s="206" t="n">
        <v>45440</v>
      </c>
      <c r="G129" s="207" t="inlineStr">
        <is>
          <t>Dynasty Oil and Gas, LLC</t>
        </is>
      </c>
      <c r="H129" s="207" t="inlineStr">
        <is>
          <t>Anevay Resources, LLC</t>
        </is>
      </c>
      <c r="I129" s="208" t="inlineStr">
        <is>
          <t>E/2 NE/4, NW/4 NE/4, E/2 W/2, SE/4</t>
        </is>
      </c>
      <c r="J129" s="214" t="inlineStr">
        <is>
          <t>440 gross acres
3 years, 1/5th royalty
Pugh clause
Depth clause: Releases all rights below the SE of the base of the deepest penetrated formation</t>
        </is>
      </c>
      <c r="K129" s="252" t="n"/>
    </row>
    <row r="130" ht="24" customHeight="1" s="267">
      <c r="A130" s="204" t="n"/>
      <c r="B130" s="204" t="n">
        <v>12</v>
      </c>
      <c r="C130" s="204" t="inlineStr">
        <is>
          <t>QCMD</t>
        </is>
      </c>
      <c r="D130" s="204" t="inlineStr">
        <is>
          <t>2572/490</t>
        </is>
      </c>
      <c r="E130" s="205" t="n">
        <v>45433</v>
      </c>
      <c r="F130" s="206" t="n">
        <v>45436</v>
      </c>
      <c r="G130" s="207" t="inlineStr">
        <is>
          <t>EAW Energy Partners Fund II, LP</t>
        </is>
      </c>
      <c r="H130" s="207" t="inlineStr">
        <is>
          <t>EAW Energy Partners Fund I, LP</t>
        </is>
      </c>
      <c r="I130" s="208" t="inlineStr">
        <is>
          <t>E/2 NE/4, NW/4 NE/4, E/2 W/2, SE/4</t>
        </is>
      </c>
      <c r="J130" s="214" t="inlineStr">
        <is>
          <t>ARTI
Effective 1/31/2013</t>
        </is>
      </c>
      <c r="K130" s="252" t="n"/>
    </row>
    <row r="131">
      <c r="A131" s="204" t="n"/>
      <c r="B131" s="204" t="inlineStr">
        <is>
          <t>12-14</t>
        </is>
      </c>
      <c r="C131" s="204" t="inlineStr">
        <is>
          <t>ASSN</t>
        </is>
      </c>
      <c r="D131" s="204" t="inlineStr">
        <is>
          <t>2574/74</t>
        </is>
      </c>
      <c r="E131" s="205" t="n">
        <v>45442</v>
      </c>
      <c r="F131" s="206" t="n">
        <v>45447</v>
      </c>
      <c r="G131" s="207" t="inlineStr">
        <is>
          <t>Anevay Resources, LLC</t>
        </is>
      </c>
      <c r="H131" s="207" t="inlineStr">
        <is>
          <t>Yukon Trading Company, LLC</t>
        </is>
      </c>
      <c r="I131" s="208" t="inlineStr">
        <is>
          <t>SE/4, E/2 W/2, E/2 NE/4, NW/4 NE/4, SW/4 NE/4</t>
        </is>
      </c>
      <c r="J131" s="211" t="inlineStr">
        <is>
          <t>ARTI in OGL's at 2573/337, 2573/340, 2573/377</t>
        </is>
      </c>
      <c r="K131" s="252" t="n"/>
    </row>
    <row r="132" ht="48" customHeight="1" s="267">
      <c r="A132" s="204" t="n"/>
      <c r="B132" s="204" t="n">
        <v>4</v>
      </c>
      <c r="C132" s="204" t="inlineStr">
        <is>
          <t>OGL</t>
        </is>
      </c>
      <c r="D132" s="204" t="inlineStr">
        <is>
          <t>2593/247</t>
        </is>
      </c>
      <c r="E132" s="205" t="n">
        <v>45444</v>
      </c>
      <c r="F132" s="206" t="n">
        <v>45569</v>
      </c>
      <c r="G132" s="207" t="inlineStr">
        <is>
          <t>Wendel Lee Winkleblack, Jr.</t>
        </is>
      </c>
      <c r="H132" s="207" t="inlineStr">
        <is>
          <t>White Sail Energy, LLC</t>
        </is>
      </c>
      <c r="I132" s="208" t="inlineStr">
        <is>
          <t>E/2 W/2, E/2</t>
        </is>
      </c>
      <c r="J132" s="214" t="inlineStr">
        <is>
          <t>480 gross acres
3 years, 3/16ths royalty
Depth clause: Releases all rights 100 feet and more below the SE of the deepest penetrated formation</t>
        </is>
      </c>
      <c r="K132" s="252" t="n"/>
    </row>
    <row r="133" ht="48" customHeight="1" s="267">
      <c r="A133" s="204" t="n"/>
      <c r="B133" s="204" t="n">
        <v>3</v>
      </c>
      <c r="C133" s="204" t="inlineStr">
        <is>
          <t>OGL</t>
        </is>
      </c>
      <c r="D133" s="204" t="inlineStr">
        <is>
          <t>2593/244</t>
        </is>
      </c>
      <c r="E133" s="205" t="n">
        <v>45444</v>
      </c>
      <c r="F133" s="206" t="n">
        <v>45569</v>
      </c>
      <c r="G133" s="207" t="inlineStr">
        <is>
          <t>Ashlee N. Davis and Keenan Davis, wife and husband</t>
        </is>
      </c>
      <c r="H133" s="207" t="inlineStr">
        <is>
          <t>White Sail Energy, LLC</t>
        </is>
      </c>
      <c r="I133" s="208" t="inlineStr">
        <is>
          <t>E/2 W/2, E/2</t>
        </is>
      </c>
      <c r="J133" s="214" t="inlineStr">
        <is>
          <t>480 gross acres
3 years, 3/16ths royalty
Depth clause: Releases all rights 100 feet and more below the SE of the deepest penetrated formation</t>
        </is>
      </c>
      <c r="K133" s="252" t="n"/>
    </row>
    <row r="134" ht="48" customHeight="1" s="267">
      <c r="A134" s="204" t="n"/>
      <c r="B134" s="204" t="n">
        <v>2</v>
      </c>
      <c r="C134" s="204" t="inlineStr">
        <is>
          <t>OGL</t>
        </is>
      </c>
      <c r="D134" s="204" t="inlineStr">
        <is>
          <t>2593/241</t>
        </is>
      </c>
      <c r="E134" s="205" t="n">
        <v>45444</v>
      </c>
      <c r="F134" s="206" t="n">
        <v>45569</v>
      </c>
      <c r="G134" s="207" t="inlineStr">
        <is>
          <t>Wendy A. Henderson, 
Mark Henderson</t>
        </is>
      </c>
      <c r="H134" s="207" t="inlineStr">
        <is>
          <t>White Sail Energy, LLC</t>
        </is>
      </c>
      <c r="I134" s="208" t="inlineStr">
        <is>
          <t>E/2 W/2, E/2</t>
        </is>
      </c>
      <c r="J134" s="214" t="inlineStr">
        <is>
          <t>480 gross acres
3 years, 3/16ths royalty
Depth clause: Releases all rights 100 feet and more below the SE of the deepest penetrated formation</t>
        </is>
      </c>
      <c r="K134" s="252" t="n"/>
    </row>
    <row r="135">
      <c r="A135" s="204" t="n"/>
      <c r="B135" s="204" t="inlineStr">
        <is>
          <t>16-20</t>
        </is>
      </c>
      <c r="C135" s="204" t="inlineStr">
        <is>
          <t>ASSN</t>
        </is>
      </c>
      <c r="D135" s="204" t="inlineStr">
        <is>
          <t>2575/576</t>
        </is>
      </c>
      <c r="E135" s="205" t="n">
        <v>45457</v>
      </c>
      <c r="F135" s="206" t="n">
        <v>45460</v>
      </c>
      <c r="G135" s="207" t="inlineStr">
        <is>
          <t>Greenhead Resources, LLC</t>
        </is>
      </c>
      <c r="H135" s="207" t="inlineStr">
        <is>
          <t>Crawley Petroleum Corporation</t>
        </is>
      </c>
      <c r="I135" s="208" t="inlineStr">
        <is>
          <t>E/2, E/2 NE/4, W/2 W/2, W/2 SW/4, SE/4, E/2 W/2, W/2 NW/4</t>
        </is>
      </c>
      <c r="J135" s="214" t="inlineStr">
        <is>
          <t>ARTI in OGL's at 2563/70, 2563/73, 2565/483, 2565/486, 2565/498</t>
        </is>
      </c>
      <c r="K135" s="252" t="n"/>
    </row>
    <row r="136">
      <c r="A136" s="204" t="n"/>
      <c r="B136" s="204" t="n">
        <v>2</v>
      </c>
      <c r="C136" s="204" t="inlineStr">
        <is>
          <t>ASSN</t>
        </is>
      </c>
      <c r="D136" s="204" t="inlineStr">
        <is>
          <t>2607/439</t>
        </is>
      </c>
      <c r="E136" s="205" t="n">
        <v>45499</v>
      </c>
      <c r="F136" s="206" t="n">
        <v>45667</v>
      </c>
      <c r="G136" s="207" t="inlineStr">
        <is>
          <t>White Sail Energy, LLC</t>
        </is>
      </c>
      <c r="H136" s="207" t="inlineStr">
        <is>
          <t>Journey Oil &amp; Gas, Inc.</t>
        </is>
      </c>
      <c r="I136" s="208" t="inlineStr">
        <is>
          <t>E/2 W/2, E/2</t>
        </is>
      </c>
      <c r="J136" s="211" t="inlineStr">
        <is>
          <t>ARTI, reserving an ORRI</t>
        </is>
      </c>
      <c r="K136" s="252" t="n"/>
    </row>
    <row r="137" ht="36" customHeight="1" s="267">
      <c r="A137" s="204" t="n"/>
      <c r="B137" s="204" t="n">
        <v>5</v>
      </c>
      <c r="C137" s="204" t="inlineStr">
        <is>
          <t>OGL</t>
        </is>
      </c>
      <c r="D137" s="204" t="inlineStr">
        <is>
          <t>2591/205</t>
        </is>
      </c>
      <c r="E137" s="205" t="n">
        <v>45531</v>
      </c>
      <c r="F137" s="206" t="n">
        <v>45555</v>
      </c>
      <c r="G137" s="207" t="inlineStr">
        <is>
          <t>The Charles Ray O'Neill Living Trust dated February 24, 2004, Charles Ray O'Neill and Barbara A. O'Neil, Trustees</t>
        </is>
      </c>
      <c r="H137" s="207" t="inlineStr">
        <is>
          <t>Grayton Energy, LLC</t>
        </is>
      </c>
      <c r="I137" s="208" t="inlineStr">
        <is>
          <t>N/2 NE/4, SE/4 NE/4</t>
        </is>
      </c>
      <c r="J137" s="214" t="inlineStr">
        <is>
          <t>3 years, 3/16ths royalty
Depth clause: Releases all rights 100 feet below the base of the deepest penetrated formation</t>
        </is>
      </c>
      <c r="K137" s="252" t="n"/>
    </row>
    <row r="138">
      <c r="A138" s="204" t="n"/>
      <c r="B138" s="204" t="n">
        <v>15</v>
      </c>
      <c r="C138" s="204" t="inlineStr">
        <is>
          <t>ASSN</t>
        </is>
      </c>
      <c r="D138" s="204" t="inlineStr">
        <is>
          <t>2590/564</t>
        </is>
      </c>
      <c r="E138" s="205" t="n">
        <v>45544</v>
      </c>
      <c r="F138" s="206" t="n">
        <v>45553</v>
      </c>
      <c r="G138" s="207" t="inlineStr">
        <is>
          <t>Kunu, LLC, d/b/a Kunu Land Company</t>
        </is>
      </c>
      <c r="H138" s="207" t="inlineStr">
        <is>
          <t>J. Kirk Ary</t>
        </is>
      </c>
      <c r="I138" s="208" t="inlineStr">
        <is>
          <t>W/2 W/2</t>
        </is>
      </c>
      <c r="J138" s="211" t="inlineStr">
        <is>
          <t>ARTI in OGL at 2569/489 reserving an ORRI</t>
        </is>
      </c>
      <c r="K138" s="252" t="n"/>
    </row>
    <row r="139" ht="132" customHeight="1" s="267">
      <c r="A139" s="204" t="n"/>
      <c r="B139" s="244" t="inlineStr">
        <is>
          <t>2-4</t>
        </is>
      </c>
      <c r="C139" s="204" t="inlineStr">
        <is>
          <t>FD</t>
        </is>
      </c>
      <c r="D139" s="204" t="inlineStr">
        <is>
          <t>2592/371</t>
        </is>
      </c>
      <c r="E139" s="205" t="n">
        <v>45561</v>
      </c>
      <c r="F139" s="206" t="n">
        <v>45561</v>
      </c>
      <c r="G139" s="207" t="inlineStr">
        <is>
          <t>Roger Mills County Court
RE: In the Matter of the Estates of Wendel Lee Winkleblack, Deceased, Linda Ann Winkleblack, Deceased, Douglas W. Winkleblack, Deceased.</t>
        </is>
      </c>
      <c r="H139" s="207" t="inlineStr">
        <is>
          <t>Wendel Lee Winkleblack, Jr., a/k/a Wendel Winkleblack, 33.333%
Wendy A. Henderson, 33.333%, 
Ashlee N. Davis, 33.333%</t>
        </is>
      </c>
      <c r="I139" s="208" t="inlineStr">
        <is>
          <t xml:space="preserve">E/2 W/2, E/2, E/2 NE/4 NE/4, SE/4 NE/4
</t>
        </is>
      </c>
      <c r="J139" s="214" t="inlineStr">
        <is>
          <t xml:space="preserve">ARTI
Wendel Lee Winkleblack's interest:
Linda Ann Winkleblack, 100%
Linda Ann Winkleblack's interest:
Wendel Lee Winkleblack, Jr. aka Wendel Winkleblack, 33.333%, 
Wendy A. Henderson, 33.333%, 
Ashlee N. Davis, by representation as the daughter of Douglas W. Winkleblack, 33.333%
Douglas W. Winkleblack's interest:
Ashlee N. Davis, 100%
</t>
        </is>
      </c>
      <c r="K139" s="252" t="n"/>
    </row>
    <row r="140" ht="72" customHeight="1" s="267">
      <c r="A140" s="204" t="n"/>
      <c r="B140" s="204" t="n">
        <v>1</v>
      </c>
      <c r="C140" s="204" t="inlineStr">
        <is>
          <t>OGL</t>
        </is>
      </c>
      <c r="D140" s="204" t="inlineStr">
        <is>
          <t>2600/366</t>
        </is>
      </c>
      <c r="E140" s="205" t="n">
        <v>45604</v>
      </c>
      <c r="F140" s="206" t="n">
        <v>45621</v>
      </c>
      <c r="G140" s="207" t="inlineStr">
        <is>
          <t>Jane Ann Fell, Trustee of the Jane Ann Fell Trust, dated June 20, 2006</t>
        </is>
      </c>
      <c r="H140" s="207" t="inlineStr">
        <is>
          <t>Bear Energy Partners, LLC</t>
        </is>
      </c>
      <c r="I140" s="210" t="inlineStr">
        <is>
          <t>W/2 W/2</t>
        </is>
      </c>
      <c r="J140" s="214" t="inlineStr">
        <is>
          <t>160 gross acres
3 years, 1/5th royalty 
Pugh clause
Depth clause: Releases all rights 100 feet and more below the SE of the deepest penetrated formation
Top Lease Clause</t>
        </is>
      </c>
      <c r="K140" s="252" t="n"/>
    </row>
    <row r="141">
      <c r="A141" s="204" t="n"/>
      <c r="B141" s="204" t="n">
        <v>8</v>
      </c>
      <c r="C141" s="204" t="inlineStr">
        <is>
          <t>ASSN</t>
        </is>
      </c>
      <c r="D141" s="204" t="inlineStr">
        <is>
          <t>2604/139</t>
        </is>
      </c>
      <c r="E141" s="205" t="n">
        <v>45627</v>
      </c>
      <c r="F141" s="206" t="n">
        <v>45642</v>
      </c>
      <c r="G141" s="207" t="inlineStr">
        <is>
          <t xml:space="preserve">Anevay Resources, LLC </t>
        </is>
      </c>
      <c r="H141" s="207" t="inlineStr">
        <is>
          <t>JMJ Ventures, LLC</t>
        </is>
      </c>
      <c r="I141" s="208" t="inlineStr">
        <is>
          <t>N/2 NE/4, SE/4 NE/4</t>
        </is>
      </c>
      <c r="J141" s="211" t="inlineStr">
        <is>
          <t>ARTI, reserving an ORRI in OGL 2581/541</t>
        </is>
      </c>
      <c r="K141" s="252" t="n"/>
    </row>
    <row r="142">
      <c r="A142" s="204" t="n"/>
      <c r="B142" s="204" t="n">
        <v>16</v>
      </c>
      <c r="C142" s="204" t="inlineStr">
        <is>
          <t>MD</t>
        </is>
      </c>
      <c r="D142" s="204" t="inlineStr">
        <is>
          <t>2605/193</t>
        </is>
      </c>
      <c r="E142" s="205" t="n">
        <v>45644</v>
      </c>
      <c r="F142" s="206" t="n">
        <v>45646</v>
      </c>
      <c r="G142" s="207" t="inlineStr">
        <is>
          <t>Mountain Front Resources, LLC</t>
        </is>
      </c>
      <c r="H142" s="207" t="inlineStr">
        <is>
          <t>Fleshman Agency, Inc.</t>
        </is>
      </c>
      <c r="I142" s="208" t="inlineStr">
        <is>
          <t>W/2 NW/4, W/2 SW/4</t>
        </is>
      </c>
      <c r="J142" s="214" t="inlineStr">
        <is>
          <t xml:space="preserve">UND 10 NMA </t>
        </is>
      </c>
      <c r="K142" s="252" t="n"/>
    </row>
    <row r="143" ht="24" customHeight="1" s="267">
      <c r="A143" s="204" t="n"/>
      <c r="B143" s="204" t="n">
        <v>5</v>
      </c>
      <c r="C143" s="204" t="inlineStr">
        <is>
          <t>ASSN</t>
        </is>
      </c>
      <c r="D143" s="204" t="inlineStr">
        <is>
          <t>2595/345</t>
        </is>
      </c>
      <c r="E143" s="205" t="n">
        <v>45573</v>
      </c>
      <c r="F143" s="206" t="n">
        <v>45583</v>
      </c>
      <c r="G143" s="207" t="inlineStr">
        <is>
          <t>Grayton Energy, LLC</t>
        </is>
      </c>
      <c r="H143" s="207" t="inlineStr">
        <is>
          <t>Mako Resources, LLC</t>
        </is>
      </c>
      <c r="I143" s="208" t="inlineStr">
        <is>
          <t>N/2 NE/4, SE/4 NE/4
(AOL)</t>
        </is>
      </c>
      <c r="J143" s="211" t="inlineStr">
        <is>
          <t>ARTI, reserving an ORRI in OGL at 2591/205</t>
        </is>
      </c>
      <c r="K143" s="252" t="n"/>
    </row>
    <row r="144">
      <c r="A144" s="204" t="n"/>
      <c r="B144" s="204" t="n">
        <v>16</v>
      </c>
      <c r="C144" s="204" t="inlineStr">
        <is>
          <t>MD</t>
        </is>
      </c>
      <c r="D144" s="204" t="inlineStr">
        <is>
          <t>2610/574</t>
        </is>
      </c>
      <c r="E144" s="205" t="n">
        <v>45686</v>
      </c>
      <c r="F144" s="206" t="inlineStr">
        <is>
          <t xml:space="preserve"> 2/03/2025</t>
        </is>
      </c>
      <c r="G144" s="207" t="inlineStr">
        <is>
          <t>Mountain Front Resources, LLC</t>
        </is>
      </c>
      <c r="H144" s="207" t="inlineStr">
        <is>
          <t>Fleshman Agency, Inc.</t>
        </is>
      </c>
      <c r="I144" s="208" t="inlineStr">
        <is>
          <t>E/2 NE/4, NW/4 NE/4, SW/4 NE/4, E/2 W/2, SE/4</t>
        </is>
      </c>
      <c r="J144" s="214" t="inlineStr">
        <is>
          <t>UND 10 NMA (10/480 int)</t>
        </is>
      </c>
      <c r="K144" s="252" t="n"/>
    </row>
    <row r="145">
      <c r="A145" s="245" t="n"/>
      <c r="B145" s="245" t="n"/>
      <c r="C145" s="245" t="n"/>
      <c r="D145" s="246" t="n"/>
      <c r="E145" s="247" t="n"/>
      <c r="F145" s="248" t="n"/>
      <c r="G145" s="249" t="n"/>
      <c r="H145" s="249" t="n"/>
      <c r="I145" s="250" t="n"/>
      <c r="J145" s="251" t="n"/>
    </row>
  </sheetData>
  <pageMargins left="0.25" right="0.25" top="0.5" bottom="0.5" header="0.5" footer="0.5"/>
  <pageSetup orientation="landscape" paperSize="5" scale="64" fitToHeight="0"/>
  <rowBreaks count="7" manualBreakCount="7">
    <brk id="26" min="0" max="10" man="1"/>
    <brk id="41" min="0" max="10" man="1"/>
    <brk id="69" min="0" max="10" man="1"/>
    <brk id="93" min="0" max="10" man="1"/>
    <brk id="112" min="0" max="10" man="1"/>
    <brk id="131" min="0" max="10" man="1"/>
    <brk id="138" min="0" max="10" man="1"/>
  </rowBreaks>
</worksheet>
</file>

<file path=xl/worksheets/sheet6.xml><?xml version="1.0" encoding="utf-8"?>
<worksheet xmlns="http://schemas.openxmlformats.org/spreadsheetml/2006/main">
  <sheetPr>
    <outlinePr summaryBelow="1" summaryRight="1"/>
    <pageSetUpPr/>
  </sheetPr>
  <dimension ref="A1:GF208"/>
  <sheetViews>
    <sheetView topLeftCell="A3" zoomScaleNormal="120" workbookViewId="0">
      <pane xSplit="6" topLeftCell="G1" activePane="topRight" state="frozen"/>
      <selection pane="topRight" activeCell="K19" sqref="K19"/>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 bestFit="1" customWidth="1" style="61" min="8" max="8"/>
    <col width="10.7109375" bestFit="1" customWidth="1" style="61" min="9" max="12"/>
    <col width="10.85546875" bestFit="1" customWidth="1" style="169" min="13" max="15"/>
    <col width="9.28515625" bestFit="1" customWidth="1" style="169" min="16" max="17"/>
    <col width="11.5703125" bestFit="1" customWidth="1" style="169" min="18" max="18"/>
    <col width="9.140625" bestFit="1" customWidth="1" style="169" min="19" max="19"/>
    <col width="9.28515625" bestFit="1" customWidth="1" style="169" min="20" max="20"/>
    <col width="10.140625" bestFit="1" customWidth="1" style="169" min="21" max="21"/>
    <col width="12.140625" bestFit="1" customWidth="1" style="169" min="22" max="22"/>
    <col width="9.28515625" bestFit="1" customWidth="1" style="169" min="23" max="27"/>
    <col width="10.140625" bestFit="1" customWidth="1" style="169" min="28" max="28"/>
    <col width="9.28515625" bestFit="1" customWidth="1" style="169" min="29" max="29"/>
    <col width="10.140625" bestFit="1" customWidth="1" style="169" min="30" max="30"/>
    <col width="9.28515625" bestFit="1" customWidth="1" style="169" min="31" max="31"/>
    <col width="10.140625" bestFit="1" customWidth="1" style="169" min="32" max="32"/>
    <col width="9.28515625" bestFit="1" customWidth="1" style="169" min="33" max="39"/>
    <col width="14.42578125" customWidth="1" style="169" min="40" max="40"/>
    <col width="10" bestFit="1" customWidth="1" style="169" min="41" max="41"/>
    <col width="10" customWidth="1" style="169" min="42" max="42"/>
    <col width="19" bestFit="1" customWidth="1" style="169" min="43" max="43"/>
    <col width="9.140625" bestFit="1" customWidth="1" style="169" min="44" max="44"/>
    <col width="9.28515625" bestFit="1" customWidth="1" style="169" min="45" max="45"/>
    <col width="14.5703125" bestFit="1" customWidth="1" style="169" min="46" max="46"/>
    <col width="9.140625" bestFit="1" customWidth="1" style="169" min="47" max="47"/>
    <col width="11.7109375" bestFit="1" customWidth="1" style="169" min="48" max="48"/>
    <col width="10.7109375" bestFit="1" customWidth="1" style="169" min="49" max="49"/>
    <col width="9.85546875" bestFit="1" customWidth="1" style="169" min="50" max="51"/>
    <col width="9.28515625" bestFit="1" customWidth="1" style="169" min="52" max="55"/>
    <col width="9.5703125" bestFit="1" customWidth="1" style="169" min="56" max="56"/>
    <col width="9" bestFit="1" customWidth="1" style="169" min="57" max="58"/>
    <col width="14.42578125" customWidth="1" style="169" min="59" max="188"/>
    <col width="3" customWidth="1" style="62" min="189" max="189"/>
    <col width="14.42578125" customWidth="1" style="61" min="190" max="16384"/>
  </cols>
  <sheetData>
    <row r="1" ht="13.5" customHeight="1" s="267" thickBot="1">
      <c r="E1" s="298" t="inlineStr">
        <is>
          <t>Instrument</t>
        </is>
      </c>
      <c r="F1" s="507" t="n"/>
      <c r="G1" s="111" t="n"/>
      <c r="H1" s="217" t="inlineStr">
        <is>
          <t>PAT</t>
        </is>
      </c>
      <c r="I1" s="217" t="inlineStr">
        <is>
          <t>SD</t>
        </is>
      </c>
      <c r="J1" s="217" t="inlineStr">
        <is>
          <t>SD</t>
        </is>
      </c>
      <c r="K1" s="217" t="inlineStr">
        <is>
          <t>DEED</t>
        </is>
      </c>
      <c r="L1" s="217" t="inlineStr">
        <is>
          <t>DEED</t>
        </is>
      </c>
      <c r="M1" s="218" t="inlineStr">
        <is>
          <t>DEED</t>
        </is>
      </c>
      <c r="N1" s="218" t="inlineStr">
        <is>
          <t>DEED</t>
        </is>
      </c>
      <c r="O1" s="218" t="inlineStr">
        <is>
          <t>ORDER</t>
        </is>
      </c>
      <c r="P1" s="218" t="inlineStr">
        <is>
          <t>QCMD</t>
        </is>
      </c>
      <c r="Q1" s="218" t="inlineStr">
        <is>
          <t>WD</t>
        </is>
      </c>
      <c r="R1" s="218" t="inlineStr">
        <is>
          <t>QCMD</t>
        </is>
      </c>
      <c r="S1" s="218" t="inlineStr">
        <is>
          <t>ASSN</t>
        </is>
      </c>
      <c r="T1" s="218" t="inlineStr">
        <is>
          <t>ASSN</t>
        </is>
      </c>
      <c r="U1" s="218" t="inlineStr">
        <is>
          <t>WD</t>
        </is>
      </c>
      <c r="V1" s="218" t="inlineStr">
        <is>
          <t>WD</t>
        </is>
      </c>
      <c r="W1" s="218" t="inlineStr">
        <is>
          <t>ORDER</t>
        </is>
      </c>
      <c r="X1" s="218" t="inlineStr">
        <is>
          <t>MD</t>
        </is>
      </c>
      <c r="Y1" s="218" t="inlineStr">
        <is>
          <t>DEED</t>
        </is>
      </c>
      <c r="Z1" s="218" t="inlineStr">
        <is>
          <t>MD</t>
        </is>
      </c>
      <c r="AA1" s="218" t="inlineStr">
        <is>
          <t>PROB</t>
        </is>
      </c>
      <c r="AB1" s="218" t="inlineStr">
        <is>
          <t>MD</t>
        </is>
      </c>
      <c r="AC1" s="218" t="inlineStr">
        <is>
          <t>AOH</t>
        </is>
      </c>
      <c r="AD1" s="218" t="inlineStr">
        <is>
          <t>AOD&amp;H</t>
        </is>
      </c>
      <c r="AE1" s="218" t="n"/>
      <c r="AF1" s="218" t="n"/>
      <c r="AG1" s="218" t="n"/>
      <c r="AH1" s="218" t="n"/>
      <c r="AI1" s="218" t="n"/>
      <c r="AJ1" s="218" t="n"/>
      <c r="AK1" s="218" t="n"/>
      <c r="AL1" s="218" t="n"/>
      <c r="AM1" s="218" t="n"/>
      <c r="AN1" s="218" t="n"/>
      <c r="AO1" s="218" t="n"/>
      <c r="AP1" s="218" t="n"/>
      <c r="AQ1" s="218" t="n"/>
      <c r="AR1" s="218" t="n"/>
      <c r="AS1" s="218" t="n"/>
      <c r="AT1" s="218" t="n"/>
      <c r="AU1" s="218" t="n"/>
      <c r="AV1" s="218" t="n"/>
      <c r="AW1" s="218" t="n"/>
      <c r="AX1" s="218" t="n"/>
      <c r="AY1" s="218" t="n"/>
      <c r="AZ1" s="218" t="n"/>
      <c r="BA1" s="218" t="n"/>
      <c r="BB1" s="218" t="n"/>
      <c r="BC1" s="218" t="n"/>
      <c r="BD1" s="218" t="n"/>
      <c r="BE1" s="218" t="n"/>
      <c r="BF1" s="218" t="n"/>
      <c r="BG1" s="218" t="n"/>
      <c r="BH1" s="218" t="n"/>
      <c r="BI1" s="218" t="n"/>
      <c r="BJ1" s="218" t="n"/>
      <c r="BK1" s="218" t="n"/>
      <c r="BL1" s="218" t="n"/>
      <c r="BM1" s="218" t="n"/>
      <c r="BN1" s="218" t="n"/>
      <c r="BO1" s="218" t="n"/>
      <c r="BP1" s="218" t="n"/>
      <c r="BQ1" s="218" t="n"/>
      <c r="BR1" s="218" t="n"/>
      <c r="BS1" s="218" t="n"/>
      <c r="BT1" s="218" t="n"/>
      <c r="BU1" s="218" t="n"/>
      <c r="BV1" s="218" t="n"/>
      <c r="BW1" s="218" t="n"/>
      <c r="BX1" s="218" t="n"/>
      <c r="BY1" s="218" t="n"/>
      <c r="BZ1" s="218" t="n"/>
      <c r="CA1" s="218" t="n"/>
      <c r="CB1" s="218" t="n"/>
      <c r="CC1" s="218" t="n"/>
      <c r="CD1" s="218" t="n"/>
      <c r="CE1" s="218" t="n"/>
      <c r="CF1" s="218" t="n"/>
      <c r="CG1" s="218" t="n"/>
      <c r="CH1" s="218" t="n"/>
      <c r="CI1" s="218" t="n"/>
      <c r="CJ1" s="218" t="n"/>
      <c r="CK1" s="218" t="n"/>
      <c r="CL1" s="218" t="n"/>
      <c r="CM1" s="218" t="n"/>
      <c r="CN1" s="218" t="n"/>
      <c r="CO1" s="218" t="n"/>
      <c r="CP1" s="218" t="n"/>
      <c r="CQ1" s="218" t="n"/>
      <c r="CR1" s="218" t="n"/>
      <c r="CS1" s="218" t="n"/>
      <c r="CT1" s="218" t="n"/>
    </row>
    <row r="2" ht="12.75" customFormat="1" customHeight="1" s="110" thickTop="1">
      <c r="A2" s="534" t="inlineStr">
        <is>
          <t>1</t>
        </is>
      </c>
      <c r="B2" s="535" t="inlineStr">
        <is>
          <t>TRACT</t>
        </is>
      </c>
      <c r="C2" s="536" t="n"/>
      <c r="D2" s="537" t="inlineStr">
        <is>
          <t>N/2 NE/4, containing 80 acres</t>
        </is>
      </c>
      <c r="E2" s="538" t="inlineStr">
        <is>
          <t>Image Number</t>
        </is>
      </c>
      <c r="F2" s="539" t="n"/>
      <c r="G2" s="111" t="n"/>
      <c r="H2" s="219" t="inlineStr">
        <is>
          <t>1930-002914</t>
        </is>
      </c>
      <c r="I2" s="219" t="inlineStr">
        <is>
          <t>I-1915-000349</t>
        </is>
      </c>
      <c r="J2" s="219" t="inlineStr">
        <is>
          <t>I-1916-000206</t>
        </is>
      </c>
      <c r="K2" s="219" t="inlineStr">
        <is>
          <t>1916-000332</t>
        </is>
      </c>
      <c r="L2" s="219" t="inlineStr">
        <is>
          <t>1921-000501</t>
        </is>
      </c>
      <c r="M2" s="220" t="inlineStr">
        <is>
          <t>1921-000502</t>
        </is>
      </c>
      <c r="N2" s="220" t="inlineStr">
        <is>
          <t>1927-000712</t>
        </is>
      </c>
      <c r="O2" s="220" t="inlineStr">
        <is>
          <t>2005-008386</t>
        </is>
      </c>
      <c r="P2" s="220" t="inlineStr">
        <is>
          <t>1935-000201</t>
        </is>
      </c>
      <c r="Q2" s="220" t="inlineStr">
        <is>
          <t>1937-000416</t>
        </is>
      </c>
      <c r="R2" s="220" t="inlineStr">
        <is>
          <t>1939-001120</t>
        </is>
      </c>
      <c r="S2" s="220" t="inlineStr">
        <is>
          <t>1939-000083</t>
        </is>
      </c>
      <c r="T2" s="220" t="inlineStr">
        <is>
          <t>1939-000083</t>
        </is>
      </c>
      <c r="U2" s="220" t="inlineStr">
        <is>
          <t>1949-000814</t>
        </is>
      </c>
      <c r="V2" s="220" t="inlineStr">
        <is>
          <t>1950-000383</t>
        </is>
      </c>
      <c r="W2" s="220" t="n"/>
      <c r="X2" s="220" t="inlineStr">
        <is>
          <t>1979-005655</t>
        </is>
      </c>
      <c r="Y2" s="220" t="inlineStr">
        <is>
          <t>1988-004185</t>
        </is>
      </c>
      <c r="Z2" s="220" t="inlineStr">
        <is>
          <t>1992-003373</t>
        </is>
      </c>
      <c r="AA2" s="220" t="inlineStr">
        <is>
          <t>2013-000518</t>
        </is>
      </c>
      <c r="AB2" s="220" t="inlineStr">
        <is>
          <t>2024-007338</t>
        </is>
      </c>
      <c r="AC2" s="220" t="inlineStr">
        <is>
          <t>2026-002509</t>
        </is>
      </c>
      <c r="AD2" s="220" t="inlineStr">
        <is>
          <t>2026-003142</t>
        </is>
      </c>
      <c r="AE2" s="220" t="n"/>
      <c r="AF2" s="220" t="n"/>
      <c r="AG2" s="220" t="n"/>
      <c r="AH2" s="220" t="n"/>
      <c r="AI2" s="220" t="n"/>
      <c r="AJ2" s="220" t="n"/>
      <c r="AK2" s="220" t="n"/>
      <c r="AL2" s="220" t="n"/>
      <c r="AM2" s="220" t="n"/>
      <c r="AN2" s="220" t="n"/>
      <c r="AO2" s="220" t="n"/>
      <c r="AP2" s="220" t="n"/>
      <c r="AQ2" s="220" t="n"/>
      <c r="AR2" s="220" t="n"/>
      <c r="AS2" s="220" t="n"/>
      <c r="AT2" s="220" t="n"/>
      <c r="AU2" s="220" t="n"/>
      <c r="AV2" s="220" t="n"/>
      <c r="AW2" s="220" t="n"/>
      <c r="AX2" s="220" t="n"/>
      <c r="AY2" s="220" t="n"/>
      <c r="AZ2" s="220" t="n"/>
      <c r="BA2" s="220" t="n"/>
      <c r="BB2" s="220" t="n"/>
      <c r="BC2" s="220" t="n"/>
      <c r="BD2" s="220" t="n"/>
      <c r="BE2" s="220" t="n"/>
      <c r="BF2" s="220" t="n"/>
      <c r="BG2" s="220" t="n"/>
      <c r="BH2" s="220" t="n"/>
      <c r="BI2" s="220" t="n"/>
      <c r="BJ2" s="220" t="n"/>
      <c r="BK2" s="220" t="n"/>
      <c r="BL2" s="220" t="n"/>
      <c r="BM2" s="220" t="n"/>
      <c r="BN2" s="220" t="n"/>
      <c r="BO2" s="220" t="n"/>
      <c r="BP2" s="220" t="n"/>
      <c r="BQ2" s="220" t="n"/>
      <c r="BR2" s="220" t="n"/>
      <c r="BS2" s="220" t="n"/>
      <c r="BT2" s="220" t="n"/>
      <c r="BU2" s="220" t="n"/>
      <c r="BV2" s="220" t="n"/>
      <c r="BW2" s="220" t="n"/>
      <c r="BX2" s="220" t="n"/>
      <c r="BY2" s="220" t="n"/>
      <c r="BZ2" s="220" t="n"/>
      <c r="CA2" s="220" t="n"/>
      <c r="CB2" s="220" t="n"/>
      <c r="CC2" s="220" t="n"/>
      <c r="CD2" s="220" t="n"/>
      <c r="CE2" s="220" t="n"/>
      <c r="CF2" s="220" t="n"/>
      <c r="CG2" s="220" t="n"/>
      <c r="CH2" s="220" t="n"/>
      <c r="CI2" s="220" t="n"/>
      <c r="CJ2" s="220" t="n"/>
      <c r="CK2" s="220" t="n"/>
      <c r="CL2" s="220" t="n"/>
      <c r="CM2" s="220" t="n"/>
      <c r="CN2" s="220" t="n"/>
      <c r="CO2" s="220" t="n"/>
      <c r="CP2" s="220" t="n"/>
      <c r="CQ2" s="220" t="n"/>
      <c r="CR2" s="220" t="n"/>
      <c r="CS2" s="220" t="n"/>
      <c r="CT2" s="22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70" t="n"/>
      <c r="FZ2" s="170" t="n"/>
      <c r="GA2" s="170" t="n"/>
      <c r="GB2" s="170" t="n"/>
      <c r="GC2" s="170" t="n"/>
      <c r="GD2" s="170" t="n"/>
      <c r="GE2" s="170" t="n"/>
      <c r="GF2" s="170" t="n"/>
    </row>
    <row r="3" ht="23.1" customFormat="1" customHeight="1" s="110">
      <c r="A3" s="540" t="n"/>
      <c r="B3" s="541" t="inlineStr">
        <is>
          <t>DESCRIPTION</t>
        </is>
      </c>
      <c r="C3" s="536" t="n"/>
      <c r="D3" s="542" t="n"/>
      <c r="E3" s="543" t="inlineStr">
        <is>
          <t xml:space="preserve">Book / Page </t>
        </is>
      </c>
      <c r="F3" s="539" t="n"/>
      <c r="G3" s="111" t="n"/>
      <c r="H3" s="54" t="inlineStr">
        <is>
          <t>PAT10/234</t>
        </is>
      </c>
      <c r="I3" s="54" t="inlineStr">
        <is>
          <t>D21/463</t>
        </is>
      </c>
      <c r="J3" s="54" t="inlineStr">
        <is>
          <t>D21/507</t>
        </is>
      </c>
      <c r="K3" s="54" t="inlineStr">
        <is>
          <t>D22/248</t>
        </is>
      </c>
      <c r="L3" s="52" t="inlineStr">
        <is>
          <t>D31/387</t>
        </is>
      </c>
      <c r="M3" s="221" t="inlineStr">
        <is>
          <t>D31/388</t>
        </is>
      </c>
      <c r="N3" s="54" t="inlineStr">
        <is>
          <t>D38/173</t>
        </is>
      </c>
      <c r="O3" s="53" t="inlineStr">
        <is>
          <t>1816/41</t>
        </is>
      </c>
      <c r="P3" s="54" t="inlineStr">
        <is>
          <t>D45/395</t>
        </is>
      </c>
      <c r="Q3" s="54" t="inlineStr">
        <is>
          <t>D48/72</t>
        </is>
      </c>
      <c r="R3" s="54" t="inlineStr">
        <is>
          <t>QCD3/491</t>
        </is>
      </c>
      <c r="S3" s="54" t="inlineStr">
        <is>
          <t>ASN13/186</t>
        </is>
      </c>
      <c r="T3" s="54" t="inlineStr">
        <is>
          <t>ASN13/186</t>
        </is>
      </c>
      <c r="U3" s="54" t="inlineStr">
        <is>
          <t>D59/251</t>
        </is>
      </c>
      <c r="V3" s="54" t="inlineStr">
        <is>
          <t>D59/410</t>
        </is>
      </c>
      <c r="W3" s="54" t="inlineStr">
        <is>
          <t>MIS86/33</t>
        </is>
      </c>
      <c r="X3" s="54" t="inlineStr">
        <is>
          <t>277/64</t>
        </is>
      </c>
      <c r="Y3" s="54" t="inlineStr">
        <is>
          <t>981/2</t>
        </is>
      </c>
      <c r="Z3" s="54" t="inlineStr">
        <is>
          <t>1294/169</t>
        </is>
      </c>
      <c r="AA3" s="54" t="inlineStr">
        <is>
          <t>2177/33</t>
        </is>
      </c>
      <c r="AB3" s="54" t="inlineStr">
        <is>
          <t>2600/472</t>
        </is>
      </c>
      <c r="AC3" s="54" t="inlineStr">
        <is>
          <t>2697/517</t>
        </is>
      </c>
      <c r="AD3" s="54" t="inlineStr">
        <is>
          <t>2702/500</t>
        </is>
      </c>
      <c r="AE3" s="54" t="n"/>
      <c r="AF3" s="54" t="n"/>
      <c r="AG3" s="54" t="n"/>
      <c r="AH3" s="54" t="n"/>
      <c r="AI3" s="54" t="n"/>
      <c r="AJ3" s="54" t="n"/>
      <c r="AK3" s="54" t="n"/>
      <c r="AL3" s="54" t="n"/>
      <c r="AM3" s="220" t="n"/>
      <c r="AN3" s="220" t="n"/>
      <c r="AO3" s="54" t="n"/>
      <c r="AP3" s="54" t="n"/>
      <c r="AQ3" s="220" t="n"/>
      <c r="AR3" s="53" t="n"/>
      <c r="AS3" s="54" t="n"/>
      <c r="AT3" s="54" t="n"/>
      <c r="AU3" s="54" t="n"/>
      <c r="AV3" s="54" t="n"/>
      <c r="AW3" s="54" t="n"/>
      <c r="AX3" s="54" t="n"/>
      <c r="AY3" s="54" t="n"/>
      <c r="AZ3" s="54" t="n"/>
      <c r="BA3" s="220" t="n"/>
      <c r="BB3" s="220" t="n"/>
      <c r="BC3" s="220" t="n"/>
      <c r="BD3" s="53" t="n"/>
      <c r="BE3" s="220" t="n"/>
      <c r="BF3" s="220" t="n"/>
      <c r="BG3" s="220" t="n"/>
      <c r="BH3" s="220" t="n"/>
      <c r="BI3" s="220" t="n"/>
      <c r="BJ3" s="220" t="n"/>
      <c r="BK3" s="220" t="n"/>
      <c r="BL3" s="220" t="n"/>
      <c r="BM3" s="220" t="n"/>
      <c r="BN3" s="220" t="n"/>
      <c r="BO3" s="220" t="n"/>
      <c r="BP3" s="220" t="n"/>
      <c r="BQ3" s="220" t="n"/>
      <c r="BR3" s="220" t="n"/>
      <c r="BS3" s="220" t="n"/>
      <c r="BT3" s="220" t="n"/>
      <c r="BU3" s="220" t="n"/>
      <c r="BV3" s="220" t="n"/>
      <c r="BW3" s="220" t="n"/>
      <c r="BX3" s="220" t="n"/>
      <c r="BY3" s="220" t="n"/>
      <c r="BZ3" s="220" t="n"/>
      <c r="CA3" s="220" t="n"/>
      <c r="CB3" s="220" t="n"/>
      <c r="CC3" s="220" t="n"/>
      <c r="CD3" s="220" t="n"/>
      <c r="CE3" s="220" t="n"/>
      <c r="CF3" s="220" t="n"/>
      <c r="CG3" s="220" t="n"/>
      <c r="CH3" s="220" t="n"/>
      <c r="CI3" s="220" t="n"/>
      <c r="CJ3" s="220" t="n"/>
      <c r="CK3" s="220" t="n"/>
      <c r="CL3" s="220" t="n"/>
      <c r="CM3" s="220" t="n"/>
      <c r="CN3" s="220" t="n"/>
      <c r="CO3" s="220" t="n"/>
      <c r="CP3" s="220" t="n"/>
      <c r="CQ3" s="220" t="n"/>
      <c r="CR3" s="220" t="n"/>
      <c r="CS3" s="220" t="n"/>
      <c r="CT3" s="22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70" t="n"/>
      <c r="FZ3" s="170" t="n"/>
      <c r="GA3" s="170" t="n"/>
      <c r="GB3" s="170" t="n"/>
      <c r="GC3" s="170" t="n"/>
      <c r="GD3" s="170" t="n"/>
      <c r="GE3" s="170" t="n"/>
      <c r="GF3" s="170" t="n"/>
    </row>
    <row r="4" ht="12.75" customFormat="1" customHeight="1" s="110">
      <c r="A4" s="540" t="n"/>
      <c r="B4" s="544" t="n"/>
      <c r="C4" s="536" t="n"/>
      <c r="D4" s="545" t="n"/>
      <c r="E4" s="312" t="inlineStr">
        <is>
          <t xml:space="preserve">Date </t>
        </is>
      </c>
      <c r="F4" s="539" t="n"/>
      <c r="G4" s="111" t="n"/>
      <c r="H4" s="53" t="n">
        <v>3320</v>
      </c>
      <c r="I4" s="55" t="n">
        <v>5794</v>
      </c>
      <c r="J4" s="55" t="n">
        <v>5911</v>
      </c>
      <c r="K4" s="53" t="n">
        <v>5920</v>
      </c>
      <c r="L4" s="53" t="n">
        <v>7682</v>
      </c>
      <c r="M4" s="53" t="n">
        <v>7733</v>
      </c>
      <c r="N4" s="53" t="n">
        <v>10069</v>
      </c>
      <c r="O4" s="53" t="n">
        <v>12655</v>
      </c>
      <c r="P4" s="53" t="n">
        <v>12836</v>
      </c>
      <c r="Q4" s="53" t="n">
        <v>13545</v>
      </c>
      <c r="R4" s="53" t="n">
        <v>14235</v>
      </c>
      <c r="S4" s="53" t="n">
        <v>12577</v>
      </c>
      <c r="T4" s="53" t="n">
        <v>12577</v>
      </c>
      <c r="U4" s="53" t="n">
        <v>17950</v>
      </c>
      <c r="V4" s="53" t="n">
        <v>18420</v>
      </c>
      <c r="W4" s="53" t="n">
        <v>24709</v>
      </c>
      <c r="X4" s="222" t="n">
        <v>29126</v>
      </c>
      <c r="Y4" s="222" t="n">
        <v>32216</v>
      </c>
      <c r="Z4" s="53" t="n">
        <v>33857</v>
      </c>
      <c r="AA4" s="53" t="n">
        <v>41290</v>
      </c>
      <c r="AB4" s="53" t="n">
        <v>45608</v>
      </c>
      <c r="AC4" s="53" t="n">
        <v>46106</v>
      </c>
      <c r="AD4" s="53" t="n">
        <v>46162</v>
      </c>
      <c r="AE4" s="53" t="n"/>
      <c r="AF4" s="53" t="n"/>
      <c r="AG4" s="53" t="n"/>
      <c r="AH4" s="53" t="n"/>
      <c r="AI4" s="53" t="n"/>
      <c r="AJ4" s="53" t="n"/>
      <c r="AK4" s="53" t="n"/>
      <c r="AL4" s="53" t="n"/>
      <c r="AM4" s="222" t="n"/>
      <c r="AN4" s="222" t="n"/>
      <c r="AO4" s="53" t="n"/>
      <c r="AP4" s="53" t="n"/>
      <c r="AQ4" s="222" t="n"/>
      <c r="AR4" s="53" t="n"/>
      <c r="AS4" s="53" t="n"/>
      <c r="AT4" s="53" t="n"/>
      <c r="AU4" s="53" t="n"/>
      <c r="AV4" s="53" t="n"/>
      <c r="AW4" s="53" t="n"/>
      <c r="AX4" s="53" t="n"/>
      <c r="AY4" s="53" t="n"/>
      <c r="AZ4" s="53" t="n"/>
      <c r="BA4" s="222" t="n"/>
      <c r="BB4" s="222" t="n"/>
      <c r="BC4" s="222" t="n"/>
      <c r="BD4" s="53" t="n"/>
      <c r="BE4" s="222" t="n"/>
      <c r="BF4" s="222" t="n"/>
      <c r="BG4" s="222" t="n"/>
      <c r="BH4" s="222" t="n"/>
      <c r="BI4" s="222" t="n"/>
      <c r="BJ4" s="222" t="n"/>
      <c r="BK4" s="222" t="n"/>
      <c r="BL4" s="222" t="n"/>
      <c r="BM4" s="222" t="n"/>
      <c r="BN4" s="222" t="n"/>
      <c r="BO4" s="222" t="n"/>
      <c r="BP4" s="222" t="n"/>
      <c r="BQ4" s="222" t="n"/>
      <c r="BR4" s="222" t="n"/>
      <c r="BS4" s="222" t="n"/>
      <c r="BT4" s="222" t="n"/>
      <c r="BU4" s="222" t="n"/>
      <c r="BV4" s="222" t="n"/>
      <c r="BW4" s="222" t="n"/>
      <c r="BX4" s="222" t="n"/>
      <c r="BY4" s="222" t="n"/>
      <c r="BZ4" s="222" t="n"/>
      <c r="CA4" s="222" t="n"/>
      <c r="CB4" s="222" t="n"/>
      <c r="CC4" s="222" t="n"/>
      <c r="CD4" s="222" t="n"/>
      <c r="CE4" s="222" t="n"/>
      <c r="CF4" s="222" t="n"/>
      <c r="CG4" s="222" t="n"/>
      <c r="CH4" s="222" t="n"/>
      <c r="CI4" s="222" t="n"/>
      <c r="CJ4" s="222" t="n"/>
      <c r="CK4" s="222" t="n"/>
      <c r="CL4" s="222" t="n"/>
      <c r="CM4" s="222" t="n"/>
      <c r="CN4" s="222" t="n"/>
      <c r="CO4" s="222" t="n"/>
      <c r="CP4" s="222" t="n"/>
      <c r="CQ4" s="222" t="n"/>
      <c r="CR4" s="222" t="n"/>
      <c r="CS4" s="222" t="n"/>
      <c r="CT4" s="222"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71" t="n"/>
      <c r="FZ4" s="171" t="n"/>
      <c r="GA4" s="171" t="n"/>
      <c r="GB4" s="171" t="n"/>
      <c r="GC4" s="171" t="n"/>
      <c r="GD4" s="171" t="n"/>
      <c r="GE4" s="171" t="n"/>
      <c r="GF4" s="171" t="n"/>
    </row>
    <row r="5" ht="27.75" customFormat="1" customHeight="1" s="105">
      <c r="A5" s="540" t="n"/>
      <c r="B5" s="546" t="inlineStr">
        <is>
          <t>TRACT ACRES</t>
        </is>
      </c>
      <c r="C5" s="547" t="n"/>
      <c r="D5" s="548" t="n">
        <v>80</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20" t="inlineStr">
        <is>
          <t>ARTI</t>
        </is>
      </c>
      <c r="N5" s="220" t="inlineStr">
        <is>
          <t>UND 1/2</t>
        </is>
      </c>
      <c r="O5" s="220" t="inlineStr">
        <is>
          <t>ARTI</t>
        </is>
      </c>
      <c r="P5" s="220" t="inlineStr">
        <is>
          <t>ARTI</t>
        </is>
      </c>
      <c r="Q5" s="220" t="inlineStr">
        <is>
          <t>ARTI</t>
        </is>
      </c>
      <c r="R5" s="220" t="inlineStr">
        <is>
          <t>ARTI</t>
        </is>
      </c>
      <c r="S5" s="220" t="inlineStr">
        <is>
          <t>UND 1/8</t>
        </is>
      </c>
      <c r="T5" s="220" t="inlineStr">
        <is>
          <t>UND 1/8</t>
        </is>
      </c>
      <c r="U5" s="220" t="inlineStr">
        <is>
          <t>UND 1/2</t>
        </is>
      </c>
      <c r="V5" s="220" t="inlineStr">
        <is>
          <t>UND 1/2</t>
        </is>
      </c>
      <c r="W5" s="220" t="inlineStr">
        <is>
          <t>ARTI</t>
        </is>
      </c>
      <c r="X5" s="220" t="inlineStr">
        <is>
          <t>ARTI</t>
        </is>
      </c>
      <c r="Y5" s="220" t="inlineStr">
        <is>
          <t>UND 1/8</t>
        </is>
      </c>
      <c r="Z5" s="220" t="inlineStr">
        <is>
          <t>ARTI</t>
        </is>
      </c>
      <c r="AA5" s="220" t="inlineStr">
        <is>
          <t>ARTI</t>
        </is>
      </c>
      <c r="AB5" s="220" t="inlineStr">
        <is>
          <t>ARTI</t>
        </is>
      </c>
      <c r="AC5" s="220" t="inlineStr">
        <is>
          <t>ARTI</t>
        </is>
      </c>
      <c r="AD5" s="220" t="inlineStr">
        <is>
          <t>ARTI</t>
        </is>
      </c>
      <c r="AE5" s="220" t="n"/>
      <c r="AF5" s="220" t="n"/>
      <c r="AG5" s="220" t="n"/>
      <c r="AH5" s="220" t="n"/>
      <c r="AI5" s="220" t="n"/>
      <c r="AJ5" s="220" t="n"/>
      <c r="AK5" s="220" t="n"/>
      <c r="AL5" s="220" t="n"/>
      <c r="AM5" s="220" t="n"/>
      <c r="AN5" s="220" t="n"/>
      <c r="AO5" s="220" t="n"/>
      <c r="AP5" s="220" t="n"/>
      <c r="AQ5" s="220" t="n"/>
      <c r="AR5" s="220" t="n"/>
      <c r="AS5" s="220" t="n"/>
      <c r="AT5" s="220" t="n"/>
      <c r="AU5" s="220" t="n"/>
      <c r="AV5" s="220" t="n"/>
      <c r="AW5" s="220" t="n"/>
      <c r="AX5" s="220" t="n"/>
      <c r="AY5" s="220" t="n"/>
      <c r="AZ5" s="220" t="n"/>
      <c r="BA5" s="220" t="n"/>
      <c r="BB5" s="220" t="n"/>
      <c r="BC5" s="220" t="n"/>
      <c r="BD5" s="220" t="n"/>
      <c r="BE5" s="220" t="n"/>
      <c r="BF5" s="220" t="n"/>
      <c r="BG5" s="220" t="n"/>
      <c r="BH5" s="220" t="n"/>
      <c r="BI5" s="220" t="n"/>
      <c r="BJ5" s="220" t="n"/>
      <c r="BK5" s="220" t="n"/>
      <c r="BL5" s="220" t="n"/>
      <c r="BM5" s="220" t="n"/>
      <c r="BN5" s="220" t="n"/>
      <c r="BO5" s="220" t="n"/>
      <c r="BP5" s="220" t="n"/>
      <c r="BQ5" s="220" t="n"/>
      <c r="BR5" s="220" t="n"/>
      <c r="BS5" s="220" t="n"/>
      <c r="BT5" s="220" t="n"/>
      <c r="BU5" s="220" t="n"/>
      <c r="BV5" s="220" t="n"/>
      <c r="BW5" s="220" t="n"/>
      <c r="BX5" s="220" t="n"/>
      <c r="BY5" s="220" t="n"/>
      <c r="BZ5" s="220" t="n"/>
      <c r="CA5" s="220" t="n"/>
      <c r="CB5" s="220" t="n"/>
      <c r="CC5" s="220" t="n"/>
      <c r="CD5" s="220" t="n"/>
      <c r="CE5" s="220" t="n"/>
      <c r="CF5" s="220" t="n"/>
      <c r="CG5" s="220" t="n"/>
      <c r="CH5" s="220" t="n"/>
      <c r="CI5" s="220" t="n"/>
      <c r="CJ5" s="220" t="n"/>
      <c r="CK5" s="220" t="n"/>
      <c r="CL5" s="220" t="n"/>
      <c r="CM5" s="220" t="n"/>
      <c r="CN5" s="220" t="n"/>
      <c r="CO5" s="220" t="n"/>
      <c r="CP5" s="220" t="n"/>
      <c r="CQ5" s="220" t="n"/>
      <c r="CR5" s="220" t="n"/>
      <c r="CS5" s="220" t="n"/>
      <c r="CT5" s="22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70" t="n"/>
      <c r="FZ5" s="170" t="n"/>
      <c r="GA5" s="170" t="n"/>
      <c r="GB5" s="170" t="n"/>
      <c r="GC5" s="170" t="n"/>
      <c r="GD5" s="170" t="n"/>
      <c r="GE5" s="170" t="n"/>
      <c r="GF5" s="170" t="n"/>
    </row>
    <row r="6" ht="14.25" customFormat="1" customHeight="1" s="103" thickBot="1">
      <c r="A6" s="551" t="n"/>
      <c r="B6" s="552" t="inlineStr">
        <is>
          <t>BASE OGL</t>
        </is>
      </c>
      <c r="C6" s="553" t="inlineStr">
        <is>
          <t>289, 292, 294</t>
        </is>
      </c>
      <c r="D6" s="554" t="inlineStr">
        <is>
          <t>Tract 1</t>
        </is>
      </c>
      <c r="E6" s="553">
        <f>SUBTOTAL(9,E9:E205)</f>
        <v/>
      </c>
      <c r="F6" s="295" t="inlineStr">
        <is>
          <t>SURFACE</t>
        </is>
      </c>
      <c r="G6" s="112" t="n"/>
      <c r="H6" s="112" t="n"/>
      <c r="I6" s="112">
        <f>IF(I7=0,"","RECHECK")</f>
        <v/>
      </c>
      <c r="J6" s="112" t="n"/>
      <c r="K6" s="112" t="n"/>
      <c r="L6" s="112" t="n"/>
      <c r="M6" s="172">
        <f>IF(M7=0,"","RECHECK")</f>
        <v/>
      </c>
      <c r="N6" s="172">
        <f>IF(N7=0,"","RECHECK")</f>
        <v/>
      </c>
      <c r="O6" s="172">
        <f>IF(O7=0,"","RECHECK")</f>
        <v/>
      </c>
      <c r="P6" s="172">
        <f>IF(P7=0,"","RECHECK")</f>
        <v/>
      </c>
      <c r="Q6" s="172">
        <f>IF(Q7=0,"","RECHECK")</f>
        <v/>
      </c>
      <c r="R6" s="172">
        <f>IF(R7=0,"","RECHECK")</f>
        <v/>
      </c>
      <c r="S6" s="172" t="n"/>
      <c r="T6" s="172">
        <f>IF(T7=0,"","RECHECK")</f>
        <v/>
      </c>
      <c r="U6" s="172">
        <f>IF(U7=0,"","RECHECK")</f>
        <v/>
      </c>
      <c r="V6" s="172">
        <f>IF(V7=0,"","RECHECK")</f>
        <v/>
      </c>
      <c r="W6" s="172">
        <f>IF(W7=0,"","RECHECK")</f>
        <v/>
      </c>
      <c r="X6" s="172">
        <f>IF(X7=0,"","RECHECK")</f>
        <v/>
      </c>
      <c r="Y6" s="172">
        <f>IF(Y7=0,"","RECHECK")</f>
        <v/>
      </c>
      <c r="Z6" s="172">
        <f>IF(Z7=0,"","RECHECK")</f>
        <v/>
      </c>
      <c r="AA6" s="172">
        <f>IF(AA7=0,"","RECHECK")</f>
        <v/>
      </c>
      <c r="AB6" s="172">
        <f>IF(AB7=0,"","RECHECK")</f>
        <v/>
      </c>
      <c r="AC6" s="172">
        <f>IF(AC7=0,"","RECHECK")</f>
        <v/>
      </c>
      <c r="AD6" s="172">
        <f>IF(AD7=0,"","RECHECK")</f>
        <v/>
      </c>
      <c r="AE6" s="172">
        <f>IF(AE7=0,"","RECHECK")</f>
        <v/>
      </c>
      <c r="AF6" s="172">
        <f>IF(AF7=0,"","RECHECK")</f>
        <v/>
      </c>
      <c r="AG6" s="172">
        <f>IF(AG7=0,"","RECHECK")</f>
        <v/>
      </c>
      <c r="AH6" s="172">
        <f>IF(AH7=0,"","RECHECK")</f>
        <v/>
      </c>
      <c r="AI6" s="172">
        <f>IF(AI7=0,"","RECHECK")</f>
        <v/>
      </c>
      <c r="AJ6" s="172">
        <f>IF(AJ7=0,"","RECHECK")</f>
        <v/>
      </c>
      <c r="AK6" s="172">
        <f>IF(AK7=0,"","RECHECK")</f>
        <v/>
      </c>
      <c r="AL6" s="172">
        <f>IF(AL7=0,"","RECHECK")</f>
        <v/>
      </c>
      <c r="AM6" s="172">
        <f>IF(AM7=0,"","RECHECK")</f>
        <v/>
      </c>
      <c r="AN6" s="172">
        <f>IF(AN7=0,"","RECHECK")</f>
        <v/>
      </c>
      <c r="AO6" s="172" t="n"/>
      <c r="AP6" s="172" t="n"/>
      <c r="AQ6" s="172" t="n"/>
      <c r="AR6" s="172">
        <f>IF(AR7=0,"","RECHECK")</f>
        <v/>
      </c>
      <c r="AS6" s="172">
        <f>IF(AS7=0,"","RECHECK")</f>
        <v/>
      </c>
      <c r="AT6" s="172">
        <f>IF(AT7=0,"","RECHECK")</f>
        <v/>
      </c>
      <c r="AU6" s="172">
        <f>IF(AU7=0,"","RECHECK")</f>
        <v/>
      </c>
      <c r="AV6" s="172" t="n"/>
      <c r="AW6" s="172" t="n"/>
      <c r="AX6" s="172">
        <f>IF(AX7=0,"","RECHECK")</f>
        <v/>
      </c>
      <c r="AY6" s="172">
        <f>IF(AY7=0,"","RECHECK")</f>
        <v/>
      </c>
      <c r="AZ6" s="172">
        <f>IF(AZ7=0,"","RECHECK")</f>
        <v/>
      </c>
      <c r="BA6" s="172">
        <f>IF(BA7=0,"","RECHECK")</f>
        <v/>
      </c>
      <c r="BB6" s="172">
        <f>IF(BB7=0,"","RECHECK")</f>
        <v/>
      </c>
      <c r="BC6" s="172">
        <f>IF(BC7=0,"","RECHECK")</f>
        <v/>
      </c>
      <c r="BD6" s="172">
        <f>IF(BD7=0,"","RECHECK")</f>
        <v/>
      </c>
      <c r="BE6" s="172">
        <f>IF(BE7=0,"","RECHECK")</f>
        <v/>
      </c>
      <c r="BF6" s="172">
        <f>IF(BF7=0,"","RECHECK")</f>
        <v/>
      </c>
      <c r="BG6" s="172">
        <f>IF(BG7=0,"","RECHECK")</f>
        <v/>
      </c>
      <c r="BH6" s="172">
        <f>IF(BH7=0,"","RECHECK")</f>
        <v/>
      </c>
      <c r="BI6" s="172">
        <f>IF(BI7=0,"","RECHECK")</f>
        <v/>
      </c>
      <c r="BJ6" s="172">
        <f>IF(BJ7=0,"","RECHECK")</f>
        <v/>
      </c>
      <c r="BK6" s="172">
        <f>IF(BK7=0,"","RECHECK")</f>
        <v/>
      </c>
      <c r="BL6" s="172">
        <f>IF(BL7=0,"","RECHECK")</f>
        <v/>
      </c>
      <c r="BM6" s="172">
        <f>IF(BM7=0,"","RECHECK")</f>
        <v/>
      </c>
      <c r="BN6" s="172">
        <f>IF(BN7=0,"","RECHECK")</f>
        <v/>
      </c>
      <c r="BO6" s="172">
        <f>IF(BO7=0,"","RECHECK")</f>
        <v/>
      </c>
      <c r="BP6" s="172">
        <f>IF(BP7=0,"","RECHECK")</f>
        <v/>
      </c>
      <c r="BQ6" s="172">
        <f>IF(BQ7=0,"","RECHECK")</f>
        <v/>
      </c>
      <c r="BR6" s="172">
        <f>IF(BR7=0,"","RECHECK")</f>
        <v/>
      </c>
      <c r="BS6" s="172">
        <f>IF(BS7=0,"","RECHECK")</f>
        <v/>
      </c>
      <c r="BT6" s="172">
        <f>IF(BT7=0,"","RECHECK")</f>
        <v/>
      </c>
      <c r="BU6" s="172">
        <f>IF(BU7=0,"","RECHECK")</f>
        <v/>
      </c>
      <c r="BV6" s="172">
        <f>IF(BV7=0,"","RECHECK")</f>
        <v/>
      </c>
      <c r="BW6" s="172">
        <f>IF(BW7=0,"","RECHECK")</f>
        <v/>
      </c>
      <c r="BX6" s="172">
        <f>IF(BX7=0,"","RECHECK")</f>
        <v/>
      </c>
      <c r="BY6" s="172">
        <f>IF(BY7=0,"","RECHECK")</f>
        <v/>
      </c>
      <c r="BZ6" s="172">
        <f>IF(BZ7=0,"","RECHECK")</f>
        <v/>
      </c>
      <c r="CA6" s="172">
        <f>IF(CA7=0,"","RECHECK")</f>
        <v/>
      </c>
      <c r="CB6" s="172">
        <f>IF(CB7=0,"","RECHECK")</f>
        <v/>
      </c>
      <c r="CC6" s="172">
        <f>IF(CC7=0,"","RECHECK")</f>
        <v/>
      </c>
      <c r="CD6" s="172">
        <f>IF(CD7=0,"","RECHECK")</f>
        <v/>
      </c>
      <c r="CE6" s="172">
        <f>IF(CE7=0,"","RECHECK")</f>
        <v/>
      </c>
      <c r="CF6" s="172">
        <f>IF(CF7=0,"","RECHECK")</f>
        <v/>
      </c>
      <c r="CG6" s="172">
        <f>IF(CG7=0,"","RECHECK")</f>
        <v/>
      </c>
      <c r="CH6" s="172">
        <f>IF(CH7=0,"","RECHECK")</f>
        <v/>
      </c>
      <c r="CI6" s="172">
        <f>IF(CI7=0,"","RECHECK")</f>
        <v/>
      </c>
      <c r="CJ6" s="172">
        <f>IF(CJ7=0,"","RECHECK")</f>
        <v/>
      </c>
      <c r="CK6" s="172">
        <f>IF(CK7=0,"","RECHECK")</f>
        <v/>
      </c>
      <c r="CL6" s="172">
        <f>IF(CL7=0,"","RECHECK")</f>
        <v/>
      </c>
      <c r="CM6" s="172">
        <f>IF(CM7=0,"","RECHECK")</f>
        <v/>
      </c>
      <c r="CN6" s="172">
        <f>IF(CN7=0,"","RECHECK")</f>
        <v/>
      </c>
      <c r="CO6" s="172">
        <f>IF(CO7=0,"","RECHECK")</f>
        <v/>
      </c>
      <c r="CP6" s="172">
        <f>IF(CP7=0,"","RECHECK")</f>
        <v/>
      </c>
      <c r="CQ6" s="172">
        <f>IF(CQ7=0,"","RECHECK")</f>
        <v/>
      </c>
      <c r="CR6" s="172">
        <f>IF(CR7=0,"","RECHECK")</f>
        <v/>
      </c>
      <c r="CS6" s="172">
        <f>IF(CS7=0,"","RECHECK")</f>
        <v/>
      </c>
      <c r="CT6" s="172">
        <f>IF(CT7=0,"","RECHECK")</f>
        <v/>
      </c>
      <c r="CU6" s="172">
        <f>IF(CU7=0,"","RECHECK")</f>
        <v/>
      </c>
      <c r="CV6" s="172">
        <f>IF(CV7=0,"","RECHECK")</f>
        <v/>
      </c>
      <c r="CW6" s="172">
        <f>IF(CW7=0,"","RECHECK")</f>
        <v/>
      </c>
      <c r="CX6" s="172">
        <f>IF(CX7=0,"","RECHECK")</f>
        <v/>
      </c>
      <c r="CY6" s="172">
        <f>IF(CY7=0,"","RECHECK")</f>
        <v/>
      </c>
      <c r="CZ6" s="172">
        <f>IF(CZ7=0,"","RECHECK")</f>
        <v/>
      </c>
      <c r="DA6" s="172">
        <f>IF(DA7=0,"","RECHECK")</f>
        <v/>
      </c>
      <c r="DB6" s="172">
        <f>IF(DB7=0,"","RECHECK")</f>
        <v/>
      </c>
      <c r="DC6" s="172">
        <f>IF(DC7=0,"","RECHECK")</f>
        <v/>
      </c>
      <c r="DD6" s="172">
        <f>IF(DD7=0,"","RECHECK")</f>
        <v/>
      </c>
      <c r="DE6" s="172">
        <f>IF(DE7=0,"","RECHECK")</f>
        <v/>
      </c>
      <c r="DF6" s="172">
        <f>IF(DF7=0,"","RECHECK")</f>
        <v/>
      </c>
      <c r="DG6" s="172">
        <f>IF(DG7=0,"","RECHECK")</f>
        <v/>
      </c>
      <c r="DH6" s="172">
        <f>IF(DH7=0,"","RECHECK")</f>
        <v/>
      </c>
      <c r="DI6" s="172">
        <f>IF(DI7=0,"","RECHECK")</f>
        <v/>
      </c>
      <c r="DJ6" s="172">
        <f>IF(DJ7=0,"","RECHECK")</f>
        <v/>
      </c>
      <c r="DK6" s="172">
        <f>IF(DK7=0,"","RECHECK")</f>
        <v/>
      </c>
      <c r="DL6" s="172">
        <f>IF(DL7=0,"","RECHECK")</f>
        <v/>
      </c>
      <c r="DM6" s="172">
        <f>IF(DM7=0,"","RECHECK")</f>
        <v/>
      </c>
      <c r="DN6" s="172">
        <f>IF(DN7=0,"","RECHECK")</f>
        <v/>
      </c>
      <c r="DO6" s="172">
        <f>IF(DO7=0,"","RECHECK")</f>
        <v/>
      </c>
      <c r="DP6" s="172">
        <f>IF(DP7=0,"","RECHECK")</f>
        <v/>
      </c>
      <c r="DQ6" s="172">
        <f>IF(DQ7=0,"","RECHECK")</f>
        <v/>
      </c>
      <c r="DR6" s="172">
        <f>IF(DR7=0,"","RECHECK")</f>
        <v/>
      </c>
      <c r="DS6" s="172">
        <f>IF(DS7=0,"","RECHECK")</f>
        <v/>
      </c>
      <c r="DT6" s="172">
        <f>IF(DT7=0,"","RECHECK")</f>
        <v/>
      </c>
      <c r="DU6" s="172">
        <f>IF(DU7=0,"","RECHECK")</f>
        <v/>
      </c>
      <c r="DV6" s="172">
        <f>IF(DV7=0,"","RECHECK")</f>
        <v/>
      </c>
      <c r="DW6" s="172">
        <f>IF(DW7=0,"","RECHECK")</f>
        <v/>
      </c>
      <c r="DX6" s="172">
        <f>IF(DX7=0,"","RECHECK")</f>
        <v/>
      </c>
      <c r="DY6" s="172">
        <f>IF(DY7=0,"","RECHECK")</f>
        <v/>
      </c>
      <c r="DZ6" s="172">
        <f>IF(DZ7=0,"","RECHECK")</f>
        <v/>
      </c>
      <c r="EA6" s="172">
        <f>IF(EA7=0,"","RECHECK")</f>
        <v/>
      </c>
      <c r="EB6" s="172">
        <f>IF(EB7=0,"","RECHECK")</f>
        <v/>
      </c>
      <c r="EC6" s="172">
        <f>IF(EC7=0,"","RECHECK")</f>
        <v/>
      </c>
      <c r="ED6" s="172">
        <f>IF(ED7=0,"","RECHECK")</f>
        <v/>
      </c>
      <c r="EE6" s="172">
        <f>IF(EE7=0,"","RECHECK")</f>
        <v/>
      </c>
      <c r="EF6" s="172">
        <f>IF(EF7=0,"","RECHECK")</f>
        <v/>
      </c>
      <c r="EG6" s="172">
        <f>IF(EG7=0,"","RECHECK")</f>
        <v/>
      </c>
      <c r="EH6" s="172">
        <f>IF(EH7=0,"","RECHECK")</f>
        <v/>
      </c>
      <c r="EI6" s="172">
        <f>IF(EI7=0,"","RECHECK")</f>
        <v/>
      </c>
      <c r="EJ6" s="172">
        <f>IF(EJ7=0,"","RECHECK")</f>
        <v/>
      </c>
      <c r="EK6" s="172">
        <f>IF(EK7=0,"","RECHECK")</f>
        <v/>
      </c>
      <c r="EL6" s="172">
        <f>IF(EL7=0,"","RECHECK")</f>
        <v/>
      </c>
      <c r="EM6" s="172">
        <f>IF(EM7=0,"","RECHECK")</f>
        <v/>
      </c>
      <c r="EN6" s="172">
        <f>IF(EN7=0,"","RECHECK")</f>
        <v/>
      </c>
      <c r="EO6" s="172">
        <f>IF(EO7=0,"","RECHECK")</f>
        <v/>
      </c>
      <c r="EP6" s="172">
        <f>IF(EP7=0,"","RECHECK")</f>
        <v/>
      </c>
      <c r="EQ6" s="172">
        <f>IF(EQ7=0,"","RECHECK")</f>
        <v/>
      </c>
      <c r="ER6" s="172">
        <f>IF(ER7=0,"","RECHECK")</f>
        <v/>
      </c>
      <c r="ES6" s="172">
        <f>IF(ES7=0,"","RECHECK")</f>
        <v/>
      </c>
      <c r="ET6" s="172">
        <f>IF(ET7=0,"","RECHECK")</f>
        <v/>
      </c>
      <c r="EU6" s="172">
        <f>IF(EU7=0,"","RECHECK")</f>
        <v/>
      </c>
      <c r="EV6" s="172">
        <f>IF(EV7=0,"","RECHECK")</f>
        <v/>
      </c>
      <c r="EW6" s="172">
        <f>IF(EW7=0,"","RECHECK")</f>
        <v/>
      </c>
      <c r="EX6" s="172">
        <f>IF(EX7=0,"","RECHECK")</f>
        <v/>
      </c>
      <c r="EY6" s="172">
        <f>IF(EY7=0,"","RECHECK")</f>
        <v/>
      </c>
      <c r="EZ6" s="172">
        <f>IF(EZ7=0,"","RECHECK")</f>
        <v/>
      </c>
      <c r="FA6" s="172">
        <f>IF(FA7=0,"","RECHECK")</f>
        <v/>
      </c>
      <c r="FB6" s="172">
        <f>IF(FB7=0,"","RECHECK")</f>
        <v/>
      </c>
      <c r="FC6" s="172">
        <f>IF(FC7=0,"","RECHECK")</f>
        <v/>
      </c>
      <c r="FD6" s="172">
        <f>IF(FD7=0,"","RECHECK")</f>
        <v/>
      </c>
      <c r="FE6" s="172">
        <f>IF(FE7=0,"","RECHECK")</f>
        <v/>
      </c>
      <c r="FF6" s="172">
        <f>IF(FF7=0,"","RECHECK")</f>
        <v/>
      </c>
      <c r="FG6" s="172">
        <f>IF(FG7=0,"","RECHECK")</f>
        <v/>
      </c>
      <c r="FH6" s="172">
        <f>IF(FH7=0,"","RECHECK")</f>
        <v/>
      </c>
      <c r="FI6" s="172">
        <f>IF(FI7=0,"","RECHECK")</f>
        <v/>
      </c>
      <c r="FJ6" s="172">
        <f>IF(FJ7=0,"","RECHECK")</f>
        <v/>
      </c>
      <c r="FK6" s="172">
        <f>IF(FK7=0,"","RECHECK")</f>
        <v/>
      </c>
      <c r="FL6" s="172">
        <f>IF(FL7=0,"","RECHECK")</f>
        <v/>
      </c>
      <c r="FM6" s="172">
        <f>IF(FM7=0,"","RECHECK")</f>
        <v/>
      </c>
      <c r="FN6" s="172">
        <f>IF(FN7=0,"","RECHECK")</f>
        <v/>
      </c>
      <c r="FO6" s="172">
        <f>IF(FO7=0,"","RECHECK")</f>
        <v/>
      </c>
      <c r="FP6" s="172">
        <f>IF(FP7=0,"","RECHECK")</f>
        <v/>
      </c>
      <c r="FQ6" s="172">
        <f>IF(FQ7=0,"","RECHECK")</f>
        <v/>
      </c>
      <c r="FR6" s="172">
        <f>IF(FR7=0,"","RECHECK")</f>
        <v/>
      </c>
      <c r="FS6" s="172">
        <f>IF(FS7=0,"","RECHECK")</f>
        <v/>
      </c>
      <c r="FT6" s="172">
        <f>IF(FT7=0,"","RECHECK")</f>
        <v/>
      </c>
      <c r="FU6" s="172">
        <f>IF(FU7=0,"","RECHECK")</f>
        <v/>
      </c>
      <c r="FV6" s="172">
        <f>IF(FV7=0,"","RECHECK")</f>
        <v/>
      </c>
      <c r="FW6" s="172">
        <f>IF(FW7=0,"","RECHECK")</f>
        <v/>
      </c>
      <c r="FX6" s="172">
        <f>IF(FX7=0,"","RECHECK")</f>
        <v/>
      </c>
      <c r="FY6" s="172">
        <f>IF(FY7=0,"","RECHECK")</f>
        <v/>
      </c>
      <c r="FZ6" s="172">
        <f>IF(FZ7=0,"","RECHECK")</f>
        <v/>
      </c>
      <c r="GA6" s="172">
        <f>IF(GA7=0,"","RECHECK")</f>
        <v/>
      </c>
      <c r="GB6" s="172">
        <f>IF(GB7=0,"","RECHECK")</f>
        <v/>
      </c>
      <c r="GC6" s="172">
        <f>IF(GC7=0,"","RECHECK")</f>
        <v/>
      </c>
      <c r="GD6" s="172">
        <f>IF(GD7=0,"","RECHECK")</f>
        <v/>
      </c>
      <c r="GE6" s="172">
        <f>IF(GE7=0,"","RECHECK")</f>
        <v/>
      </c>
      <c r="GF6" s="172">
        <f>IF(GF7=0,"","RECHECK")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8">
        <f>SUBTOTAL(9,M10:M206)</f>
        <v/>
      </c>
      <c r="N7" s="558">
        <f>SUBTOTAL(9,N10:N206)</f>
        <v/>
      </c>
      <c r="O7" s="558">
        <f>SUBTOTAL(9,O10:O206)</f>
        <v/>
      </c>
      <c r="P7" s="558">
        <f>SUBTOTAL(9,P10:P206)</f>
        <v/>
      </c>
      <c r="Q7" s="558">
        <f>SUBTOTAL(9,Q10:Q206)</f>
        <v/>
      </c>
      <c r="R7" s="558">
        <f>SUBTOTAL(9,R10:R206)</f>
        <v/>
      </c>
      <c r="S7" s="558">
        <f>SUBTOTAL(9,S10:S206)</f>
        <v/>
      </c>
      <c r="T7" s="558">
        <f>SUBTOTAL(9,T10:T206)</f>
        <v/>
      </c>
      <c r="U7" s="558">
        <f>SUBTOTAL(9,U10:U206)</f>
        <v/>
      </c>
      <c r="V7" s="558">
        <f>SUBTOTAL(9,V10:V206)</f>
        <v/>
      </c>
      <c r="W7" s="558">
        <f>SUBTOTAL(9,W10:W206)</f>
        <v/>
      </c>
      <c r="X7" s="558">
        <f>SUBTOTAL(9,X10:X206)</f>
        <v/>
      </c>
      <c r="Y7" s="558">
        <f>SUBTOTAL(9,Y10:Y206)</f>
        <v/>
      </c>
      <c r="Z7" s="558">
        <f>SUBTOTAL(9,Z10:Z206)</f>
        <v/>
      </c>
      <c r="AA7" s="558">
        <f>SUBTOTAL(9,AA10:AA206)</f>
        <v/>
      </c>
      <c r="AB7" s="558">
        <f>SUBTOTAL(9,AB10:AB206)</f>
        <v/>
      </c>
      <c r="AC7" s="558">
        <f>SUBTOTAL(9,AC10:AC206)</f>
        <v/>
      </c>
      <c r="AD7" s="558">
        <f>SUBTOTAL(9,AD10:AD206)</f>
        <v/>
      </c>
      <c r="AE7" s="558">
        <f>SUBTOTAL(9,AE10:AE206)</f>
        <v/>
      </c>
      <c r="AF7" s="558">
        <f>SUBTOTAL(9,AF10:AF206)</f>
        <v/>
      </c>
      <c r="AG7" s="558">
        <f>SUBTOTAL(9,AG10:AG206)</f>
        <v/>
      </c>
      <c r="AH7" s="558">
        <f>SUBTOTAL(9,AH10:AH206)</f>
        <v/>
      </c>
      <c r="AI7" s="558">
        <f>SUBTOTAL(9,AI10:AI206)</f>
        <v/>
      </c>
      <c r="AJ7" s="558">
        <f>SUBTOTAL(9,AJ10:AJ206)</f>
        <v/>
      </c>
      <c r="AK7" s="558">
        <f>SUBTOTAL(9,AK10:AK206)</f>
        <v/>
      </c>
      <c r="AL7" s="558">
        <f>SUBTOTAL(9,AL10:AL206)</f>
        <v/>
      </c>
      <c r="AM7" s="558">
        <f>SUBTOTAL(9,AM10:AM206)</f>
        <v/>
      </c>
      <c r="AN7" s="558">
        <f>SUBTOTAL(9,AN10:AN206)</f>
        <v/>
      </c>
      <c r="AO7" s="558">
        <f>SUBTOTAL(9,AO10:AO206)</f>
        <v/>
      </c>
      <c r="AP7" s="558">
        <f>SUBTOTAL(9,AP10:AP206)</f>
        <v/>
      </c>
      <c r="AQ7" s="558">
        <f>SUBTOTAL(9,AQ10:AQ206)</f>
        <v/>
      </c>
      <c r="AR7" s="558">
        <f>SUBTOTAL(9,AR10:AR206)</f>
        <v/>
      </c>
      <c r="AS7" s="558" t="n">
        <v>0</v>
      </c>
      <c r="AT7" s="558">
        <f>SUBTOTAL(9,AT10:AT206)</f>
        <v/>
      </c>
      <c r="AU7" s="558">
        <f>SUBTOTAL(9,AU10:AU206)</f>
        <v/>
      </c>
      <c r="AV7" s="558">
        <f>SUBTOTAL(9,AV10:AV201)</f>
        <v/>
      </c>
      <c r="AW7" s="558">
        <f>SUBTOTAL(9,AW10:AW195)</f>
        <v/>
      </c>
      <c r="AX7" s="558">
        <f>SUBTOTAL(9,AX10:AX195)</f>
        <v/>
      </c>
      <c r="AY7" s="558">
        <f>SUBTOTAL(9,AY10:AY195)</f>
        <v/>
      </c>
      <c r="AZ7" s="558">
        <f>SUBTOTAL(9,AZ10:AZ195)</f>
        <v/>
      </c>
      <c r="BA7" s="558">
        <f>SUBTOTAL(9,BA10:BA206)</f>
        <v/>
      </c>
      <c r="BB7" s="558">
        <f>SUBTOTAL(9,BB10:BB206)</f>
        <v/>
      </c>
      <c r="BC7" s="558">
        <f>SUBTOTAL(9,BC10:BC206)</f>
        <v/>
      </c>
      <c r="BD7" s="558">
        <f>SUBTOTAL(9,BD10:BD202)</f>
        <v/>
      </c>
      <c r="BE7" s="558">
        <f>SUBTOTAL(9,BE10:BE206)</f>
        <v/>
      </c>
      <c r="BF7" s="558">
        <f>SUBTOTAL(9,BF10:BF206)</f>
        <v/>
      </c>
      <c r="BG7" s="558">
        <f>SUBTOTAL(9,BG10:BG206)</f>
        <v/>
      </c>
      <c r="BH7" s="558">
        <f>SUBTOTAL(9,BH10:BH206)</f>
        <v/>
      </c>
      <c r="BI7" s="558">
        <f>SUBTOTAL(9,BI10:BI206)</f>
        <v/>
      </c>
      <c r="BJ7" s="558">
        <f>SUBTOTAL(9,BJ10:BJ206)</f>
        <v/>
      </c>
      <c r="BK7" s="558">
        <f>SUBTOTAL(9,BK10:BK206)</f>
        <v/>
      </c>
      <c r="BL7" s="558">
        <f>SUBTOTAL(9,BL10:BL206)</f>
        <v/>
      </c>
      <c r="BM7" s="558">
        <f>SUBTOTAL(9,BM10:BM206)</f>
        <v/>
      </c>
      <c r="BN7" s="558">
        <f>SUBTOTAL(9,BN10:BN206)</f>
        <v/>
      </c>
      <c r="BO7" s="558">
        <f>SUBTOTAL(9,BO10:BO206)</f>
        <v/>
      </c>
      <c r="BP7" s="558">
        <f>SUBTOTAL(9,BP10:BP206)</f>
        <v/>
      </c>
      <c r="BQ7" s="558">
        <f>SUBTOTAL(9,BQ10:BQ206)</f>
        <v/>
      </c>
      <c r="BR7" s="558">
        <f>SUBTOTAL(9,BR10:BR206)</f>
        <v/>
      </c>
      <c r="BS7" s="558">
        <f>SUBTOTAL(9,BS10:BS206)</f>
        <v/>
      </c>
      <c r="BT7" s="558">
        <f>SUBTOTAL(9,BT10:BT206)</f>
        <v/>
      </c>
      <c r="BU7" s="558">
        <f>SUBTOTAL(9,BU10:BU206)</f>
        <v/>
      </c>
      <c r="BV7" s="558">
        <f>SUBTOTAL(9,BV10:BV206)</f>
        <v/>
      </c>
      <c r="BW7" s="558">
        <f>SUBTOTAL(9,BW10:BW206)</f>
        <v/>
      </c>
      <c r="BX7" s="558">
        <f>SUBTOTAL(9,BX10:BX206)</f>
        <v/>
      </c>
      <c r="BY7" s="558">
        <f>SUBTOTAL(9,BY10:BY206)</f>
        <v/>
      </c>
      <c r="BZ7" s="558">
        <f>SUBTOTAL(9,BZ10:BZ206)</f>
        <v/>
      </c>
      <c r="CA7" s="558">
        <f>SUBTOTAL(9,CA10:CA206)</f>
        <v/>
      </c>
      <c r="CB7" s="558">
        <f>SUBTOTAL(9,CB10:CB206)</f>
        <v/>
      </c>
      <c r="CC7" s="558">
        <f>SUBTOTAL(9,CC10:CC206)</f>
        <v/>
      </c>
      <c r="CD7" s="558">
        <f>SUBTOTAL(9,CD10:CD206)</f>
        <v/>
      </c>
      <c r="CE7" s="558">
        <f>SUBTOTAL(9,CE10:CE206)</f>
        <v/>
      </c>
      <c r="CF7" s="558">
        <f>SUBTOTAL(9,CF10:CF206)</f>
        <v/>
      </c>
      <c r="CG7" s="558">
        <f>SUBTOTAL(9,CG10:CG206)</f>
        <v/>
      </c>
      <c r="CH7" s="558">
        <f>SUBTOTAL(9,CH10:CH206)</f>
        <v/>
      </c>
      <c r="CI7" s="558">
        <f>SUBTOTAL(9,CI10:CI206)</f>
        <v/>
      </c>
      <c r="CJ7" s="558">
        <f>SUBTOTAL(9,CJ10:CJ206)</f>
        <v/>
      </c>
      <c r="CK7" s="558">
        <f>SUBTOTAL(9,CK10:CK206)</f>
        <v/>
      </c>
      <c r="CL7" s="558">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c r="GB7" s="558">
        <f>SUBTOTAL(9,GB10:GB206)</f>
        <v/>
      </c>
      <c r="GC7" s="558">
        <f>SUBTOTAL(9,GC10:GC206)</f>
        <v/>
      </c>
      <c r="GD7" s="558">
        <f>SUBTOTAL(9,GD10:GD206)</f>
        <v/>
      </c>
      <c r="GE7" s="558">
        <f>SUBTOTAL(9,GE10:GE206)</f>
        <v/>
      </c>
      <c r="GF7" s="558">
        <f>SUBTOTAL(9,GF10:GF206)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c r="GB8" s="561" t="n"/>
      <c r="GC8" s="561" t="n"/>
      <c r="GD8" s="561" t="n"/>
      <c r="GE8" s="561" t="n"/>
      <c r="GF8" s="561" t="n"/>
    </row>
    <row r="9" ht="12.75" customFormat="1" customHeight="1" s="88" thickTop="1">
      <c r="A9" s="96" t="n"/>
      <c r="B9" s="95" t="n"/>
      <c r="C9" s="93" t="n"/>
      <c r="D9" s="94" t="n"/>
      <c r="E9" s="93" t="n"/>
      <c r="F9" s="562" t="n"/>
      <c r="G9" s="563" t="n"/>
      <c r="H9" s="564" t="n"/>
      <c r="I9" s="565" t="n"/>
      <c r="J9" s="565" t="n"/>
      <c r="K9" s="565" t="n"/>
      <c r="L9" s="565" t="n"/>
      <c r="M9" s="566" t="n"/>
      <c r="N9" s="566" t="n"/>
      <c r="O9" s="566" t="n"/>
      <c r="P9" s="566" t="n"/>
      <c r="Q9" s="566" t="n"/>
      <c r="R9" s="566" t="n"/>
      <c r="S9" s="566" t="n"/>
      <c r="T9" s="566" t="n"/>
      <c r="U9" s="566" t="n"/>
      <c r="V9" s="566" t="n"/>
      <c r="W9" s="566" t="n"/>
      <c r="X9" s="566" t="n"/>
      <c r="Y9" s="566" t="n"/>
      <c r="Z9" s="566" t="n"/>
      <c r="AA9" s="566" t="n"/>
      <c r="AB9" s="566" t="n"/>
      <c r="AC9" s="566" t="n"/>
      <c r="AD9" s="566" t="n"/>
      <c r="AE9" s="566" t="n"/>
      <c r="AF9" s="566" t="n"/>
      <c r="AG9" s="566" t="n"/>
      <c r="AH9" s="566" t="n"/>
      <c r="AI9" s="566" t="n"/>
      <c r="AJ9" s="566" t="n"/>
      <c r="AK9" s="566" t="n"/>
      <c r="AL9" s="566" t="n"/>
      <c r="AM9" s="566" t="n"/>
      <c r="AN9" s="566" t="n"/>
      <c r="AO9" s="567" t="n"/>
      <c r="AP9" s="567" t="n"/>
      <c r="AQ9" s="566" t="n"/>
      <c r="AR9" s="566" t="n"/>
      <c r="AS9" s="566" t="n"/>
      <c r="AT9" s="566" t="n"/>
      <c r="AU9" s="566" t="n"/>
      <c r="AV9" s="566" t="n"/>
      <c r="AW9" s="566" t="n"/>
      <c r="AX9" s="566" t="n"/>
      <c r="AY9" s="566" t="n"/>
      <c r="AZ9" s="566" t="n"/>
      <c r="BA9" s="566" t="n"/>
      <c r="BB9" s="566" t="n"/>
      <c r="BC9" s="566" t="n"/>
      <c r="BD9" s="566" t="n"/>
      <c r="BE9" s="566" t="n"/>
      <c r="BF9" s="566" t="n"/>
      <c r="BG9" s="566" t="n"/>
      <c r="BH9" s="566" t="n"/>
      <c r="BI9" s="566" t="n"/>
      <c r="BJ9" s="566" t="n"/>
      <c r="BK9" s="566" t="n"/>
      <c r="BL9" s="566" t="n"/>
      <c r="BM9" s="566" t="n"/>
      <c r="BN9" s="566" t="n"/>
      <c r="BO9" s="566" t="n"/>
      <c r="BP9" s="566" t="n"/>
      <c r="BQ9" s="566" t="n"/>
      <c r="BR9" s="566" t="n"/>
      <c r="BS9" s="566" t="n"/>
      <c r="BT9" s="566" t="n"/>
      <c r="BU9" s="566" t="n"/>
      <c r="BV9" s="566" t="n"/>
      <c r="BW9" s="566" t="n"/>
      <c r="BX9" s="566" t="n"/>
      <c r="BY9" s="566" t="n"/>
      <c r="BZ9" s="566" t="n"/>
      <c r="CA9" s="566" t="n"/>
      <c r="CB9" s="566" t="n"/>
      <c r="CC9" s="566" t="n"/>
      <c r="CD9" s="566" t="n"/>
      <c r="CE9" s="566" t="n"/>
      <c r="CF9" s="566" t="n"/>
      <c r="CG9" s="566" t="n"/>
      <c r="CH9" s="566" t="n"/>
      <c r="CI9" s="566" t="n"/>
      <c r="CJ9" s="566" t="n"/>
      <c r="CK9" s="566" t="n"/>
      <c r="CL9" s="566" t="n"/>
      <c r="CM9" s="566" t="n"/>
      <c r="CN9" s="566" t="n"/>
      <c r="CO9" s="566" t="n"/>
      <c r="CP9" s="566" t="n"/>
      <c r="CQ9" s="566" t="n"/>
      <c r="CR9" s="566" t="n"/>
      <c r="CS9" s="566" t="n"/>
      <c r="CT9" s="566" t="n"/>
      <c r="CU9" s="566" t="n"/>
      <c r="CV9" s="566" t="n"/>
      <c r="CW9" s="566" t="n"/>
      <c r="CX9" s="566" t="n"/>
      <c r="CY9" s="566" t="n"/>
      <c r="CZ9" s="566" t="n"/>
      <c r="DA9" s="566" t="n"/>
      <c r="DB9" s="566" t="n"/>
      <c r="DC9" s="566" t="n"/>
      <c r="DD9" s="566" t="n"/>
      <c r="DE9" s="566" t="n"/>
      <c r="DF9" s="566" t="n"/>
      <c r="DG9" s="566" t="n"/>
      <c r="DH9" s="566" t="n"/>
      <c r="DI9" s="566" t="n"/>
      <c r="DJ9" s="566" t="n"/>
      <c r="DK9" s="566" t="n"/>
      <c r="DL9" s="566" t="n"/>
      <c r="DM9" s="566" t="n"/>
      <c r="DN9" s="566" t="n"/>
      <c r="DO9" s="566" t="n"/>
      <c r="DP9" s="566" t="n"/>
      <c r="DQ9" s="566" t="n"/>
      <c r="DR9" s="566" t="n"/>
      <c r="DS9" s="566" t="n"/>
      <c r="DT9" s="566" t="n"/>
      <c r="DU9" s="566" t="n"/>
      <c r="DV9" s="566" t="n"/>
      <c r="DW9" s="566" t="n"/>
      <c r="DX9" s="566" t="n"/>
      <c r="DY9" s="566" t="n"/>
      <c r="DZ9" s="566" t="n"/>
      <c r="EA9" s="566" t="n"/>
      <c r="EB9" s="566" t="n"/>
      <c r="EC9" s="566" t="n"/>
      <c r="ED9" s="566" t="n"/>
      <c r="EE9" s="566" t="n"/>
      <c r="EF9" s="566" t="n"/>
      <c r="EG9" s="566" t="n"/>
      <c r="EH9" s="566" t="n"/>
      <c r="EI9" s="566" t="n"/>
      <c r="EJ9" s="566" t="n"/>
      <c r="EK9" s="566" t="n"/>
      <c r="EL9" s="566" t="n"/>
      <c r="EM9" s="566" t="n"/>
      <c r="EN9" s="566" t="n"/>
      <c r="EO9" s="566" t="n"/>
      <c r="EP9" s="566" t="n"/>
      <c r="EQ9" s="566" t="n"/>
      <c r="ER9" s="566" t="n"/>
      <c r="ES9" s="566" t="n"/>
      <c r="ET9" s="566" t="n"/>
      <c r="EU9" s="566" t="n"/>
      <c r="EV9" s="566" t="n"/>
      <c r="EW9" s="566" t="n"/>
      <c r="EX9" s="566" t="n"/>
      <c r="EY9" s="566" t="n"/>
      <c r="EZ9" s="566" t="n"/>
      <c r="FA9" s="566" t="n"/>
      <c r="FB9" s="566" t="n"/>
      <c r="FC9" s="566" t="n"/>
      <c r="FD9" s="566" t="n"/>
      <c r="FE9" s="566" t="n"/>
      <c r="FF9" s="566" t="n"/>
      <c r="FG9" s="566" t="n"/>
      <c r="FH9" s="566" t="n"/>
      <c r="FI9" s="566" t="n"/>
      <c r="FJ9" s="566" t="n"/>
      <c r="FK9" s="566" t="n"/>
      <c r="FL9" s="566" t="n"/>
      <c r="FM9" s="566" t="n"/>
      <c r="FN9" s="566" t="n"/>
      <c r="FO9" s="566" t="n"/>
      <c r="FP9" s="566" t="n"/>
      <c r="FQ9" s="566" t="n"/>
      <c r="FR9" s="566" t="n"/>
      <c r="FS9" s="566" t="n"/>
      <c r="FT9" s="566" t="n"/>
      <c r="FU9" s="566" t="n"/>
      <c r="FV9" s="566" t="n"/>
      <c r="FW9" s="566" t="n"/>
      <c r="FX9" s="566" t="n"/>
      <c r="FY9" s="566" t="n"/>
      <c r="FZ9" s="566" t="n"/>
      <c r="GA9" s="566" t="n"/>
      <c r="GB9" s="566" t="n"/>
      <c r="GC9" s="566" t="n"/>
      <c r="GD9" s="566" t="n"/>
      <c r="GE9" s="566" t="n"/>
      <c r="GF9" s="566" t="n"/>
    </row>
    <row r="10" customFormat="1" s="568">
      <c r="A10" s="86" t="n"/>
      <c r="B10" s="85" t="n"/>
      <c r="C10" s="485">
        <f>IFERROR(IF(AND($E10&gt;0,$D10&lt;&gt;"The Public"),$E10/SUMIFS($E$10:$E$205,$E$10:$E$205,"&gt;0",$D$10:$D$205,"&lt;&gt;The Public")*$D$5,""),"")</f>
        <v/>
      </c>
      <c r="D10" s="486" t="inlineStr">
        <is>
          <t>United States of America</t>
        </is>
      </c>
      <c r="E10" s="485">
        <f>SUM(G10:HY10)</f>
        <v/>
      </c>
      <c r="F10" s="569">
        <f>IFERROR(IF($E10&gt;0.0000005,$E10/SUMIF($E$11:$E$140,"&gt;0.0000005"),""),"")</f>
        <v/>
      </c>
      <c r="G10" s="570" t="n"/>
      <c r="H10" s="570" t="n">
        <v>-1</v>
      </c>
      <c r="I10" s="571" t="n"/>
      <c r="J10" s="570" t="n"/>
      <c r="K10" s="570" t="n"/>
      <c r="L10" s="570"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2" t="n"/>
      <c r="AK10" s="572" t="n"/>
      <c r="AL10" s="572" t="n"/>
      <c r="AM10" s="572" t="n"/>
      <c r="AN10" s="572" t="n"/>
      <c r="AO10" s="573" t="n"/>
      <c r="AP10" s="573" t="n"/>
      <c r="AQ10" s="572" t="n"/>
      <c r="AR10" s="572" t="n"/>
      <c r="AS10" s="572" t="n"/>
      <c r="AT10" s="572" t="n"/>
      <c r="AU10" s="572" t="n"/>
      <c r="AV10" s="572" t="n"/>
      <c r="AW10" s="572" t="n"/>
      <c r="AX10" s="572" t="n"/>
      <c r="AY10" s="572" t="n"/>
      <c r="AZ10" s="572" t="n"/>
      <c r="BA10" s="572" t="n"/>
      <c r="BB10" s="572" t="n"/>
      <c r="BC10" s="572" t="n"/>
      <c r="BD10" s="572" t="n"/>
      <c r="BE10" s="572" t="n"/>
      <c r="BF10" s="572" t="n"/>
      <c r="BG10" s="572" t="n"/>
      <c r="BH10" s="572"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c r="FQ10" s="574" t="n"/>
      <c r="FR10" s="574" t="n"/>
      <c r="FS10" s="574" t="n"/>
      <c r="FT10" s="574" t="n"/>
      <c r="FU10" s="574" t="n"/>
      <c r="FV10" s="574" t="n"/>
      <c r="FW10" s="574" t="n"/>
      <c r="FX10" s="574" t="n"/>
      <c r="FY10" s="574" t="n"/>
      <c r="FZ10" s="574" t="n"/>
      <c r="GA10" s="574" t="n"/>
      <c r="GB10" s="574" t="n"/>
      <c r="GC10" s="574" t="n"/>
      <c r="GD10" s="574" t="n"/>
      <c r="GE10" s="574" t="n"/>
      <c r="GF10" s="574" t="n"/>
    </row>
    <row r="11" customFormat="1" s="568">
      <c r="A11" s="68" t="n"/>
      <c r="B11" s="85" t="n"/>
      <c r="C11" s="137">
        <f>IFERROR(IF(AND($E11&gt;0,$D11&lt;&gt;"The Public"),$E11/SUMIFS($E$10:$E$205,$E$10:$E$205,"&gt;0",$D$10:$D$205,"&lt;&gt;The Public")*$D$5,""),"")</f>
        <v/>
      </c>
      <c r="D11" s="322" t="inlineStr">
        <is>
          <t>Roy A. Garrison</t>
        </is>
      </c>
      <c r="E11" s="137">
        <f>SUM(G11:HY11)</f>
        <v/>
      </c>
      <c r="F11" s="569">
        <f>IFERROR(IF($E11&gt;0.0000005,$E11/SUMIF($E$11:$E$140,"&gt;0.0000005"),""),"")</f>
        <v/>
      </c>
      <c r="G11" s="570" t="n"/>
      <c r="H11" s="570" t="n">
        <v>1</v>
      </c>
      <c r="I11" s="570" t="n">
        <v>-1</v>
      </c>
      <c r="J11" s="570" t="n"/>
      <c r="K11" s="570" t="n"/>
      <c r="L11" s="570"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2" t="n"/>
      <c r="AO11" s="573" t="n"/>
      <c r="AP11" s="573" t="n"/>
      <c r="AQ11" s="572" t="n"/>
      <c r="AR11" s="572" t="n"/>
      <c r="AS11" s="573" t="n"/>
      <c r="AT11" s="572" t="n"/>
      <c r="AU11" s="572" t="n"/>
      <c r="AV11" s="572" t="n"/>
      <c r="AW11" s="572" t="n"/>
      <c r="AX11" s="572" t="n"/>
      <c r="AY11" s="572" t="n"/>
      <c r="AZ11" s="572" t="n"/>
      <c r="BA11" s="572" t="n"/>
      <c r="BB11" s="572" t="n"/>
      <c r="BC11" s="572" t="n"/>
      <c r="BD11" s="572" t="n"/>
      <c r="BE11" s="572" t="n"/>
      <c r="BF11" s="572" t="n"/>
      <c r="BG11" s="572" t="n"/>
      <c r="BH11" s="572"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c r="FQ11" s="574" t="n"/>
      <c r="FR11" s="574" t="n"/>
      <c r="FS11" s="574" t="n"/>
      <c r="FT11" s="574" t="n"/>
      <c r="FU11" s="574" t="n"/>
      <c r="FV11" s="574" t="n"/>
      <c r="FW11" s="574" t="n"/>
      <c r="FX11" s="574" t="n"/>
      <c r="FY11" s="574" t="n"/>
      <c r="FZ11" s="574" t="n"/>
      <c r="GA11" s="574" t="n"/>
      <c r="GB11" s="574" t="n"/>
      <c r="GC11" s="574" t="n"/>
      <c r="GD11" s="574" t="n"/>
      <c r="GE11" s="574" t="n"/>
      <c r="GF11" s="574" t="n"/>
    </row>
    <row r="12" ht="24" customFormat="1" customHeight="1" s="568">
      <c r="A12" s="68" t="n"/>
      <c r="B12" s="85" t="n"/>
      <c r="C12" s="137">
        <f>IFERROR(IF(AND($E12&gt;0,$D12&lt;&gt;"The Public"),$E12/SUMIFS($E$10:$E$205,$E$10:$E$205,"&gt;0",$D$10:$D$205,"&lt;&gt;The Public")*$D$5,""),"")</f>
        <v/>
      </c>
      <c r="D12" s="322" t="inlineStr">
        <is>
          <t>R. L. Trammell, as sheriff of Roger Mills County, State of Oklahoma</t>
        </is>
      </c>
      <c r="E12" s="137">
        <f>SUM(G12:HY12)</f>
        <v/>
      </c>
      <c r="F12" s="569">
        <f>IFERROR(IF($E12&gt;0.0000005,$E12/SUMIF($E$11:$E$140,"&gt;0.0000005"),""),"")</f>
        <v/>
      </c>
      <c r="G12" s="570" t="n"/>
      <c r="H12" s="570" t="n"/>
      <c r="I12" s="570" t="n">
        <v>0</v>
      </c>
      <c r="J12" s="570" t="n">
        <v>0</v>
      </c>
      <c r="K12" s="570" t="n"/>
      <c r="L12" s="570"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2" t="n"/>
      <c r="AK12" s="572" t="n"/>
      <c r="AL12" s="572" t="n"/>
      <c r="AM12" s="572" t="n"/>
      <c r="AN12" s="572" t="n"/>
      <c r="AO12" s="572" t="n"/>
      <c r="AP12" s="572" t="n"/>
      <c r="AQ12" s="572" t="n"/>
      <c r="AR12" s="572" t="n"/>
      <c r="AS12" s="573" t="n"/>
      <c r="AT12" s="572" t="n"/>
      <c r="AU12" s="572" t="n"/>
      <c r="AV12" s="572" t="n"/>
      <c r="AW12" s="572" t="n"/>
      <c r="AX12" s="572" t="n"/>
      <c r="AY12" s="572" t="n"/>
      <c r="AZ12" s="572" t="n"/>
      <c r="BA12" s="572" t="n"/>
      <c r="BB12" s="572" t="n"/>
      <c r="BC12" s="572" t="n"/>
      <c r="BD12" s="573" t="n"/>
      <c r="BE12" s="572" t="n"/>
      <c r="BF12" s="572" t="n"/>
      <c r="BG12" s="572" t="n"/>
      <c r="BH12" s="572"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c r="FQ12" s="574" t="n"/>
      <c r="FR12" s="574" t="n"/>
      <c r="FS12" s="574" t="n"/>
      <c r="FT12" s="574" t="n"/>
      <c r="FU12" s="574" t="n"/>
      <c r="FV12" s="574" t="n"/>
      <c r="FW12" s="574" t="n"/>
      <c r="FX12" s="574" t="n"/>
      <c r="FY12" s="574" t="n"/>
      <c r="FZ12" s="574" t="n"/>
      <c r="GA12" s="574" t="n"/>
      <c r="GB12" s="574" t="n"/>
      <c r="GC12" s="574" t="n"/>
      <c r="GD12" s="574" t="n"/>
      <c r="GE12" s="574" t="n"/>
      <c r="GF12" s="574" t="n"/>
    </row>
    <row r="13" customFormat="1" s="568">
      <c r="B13" s="575" t="n"/>
      <c r="C13" s="84">
        <f>IFERROR(IF(AND($E13&gt;0,$D13&lt;&gt;"The Public"),$E13/SUMIFS($E$10:$E$205,$E$10:$E$205,"&gt;0",$D$10:$D$205,"&lt;&gt;The Public")*$D$5,""),"")</f>
        <v/>
      </c>
      <c r="D13" s="322" t="inlineStr">
        <is>
          <t>W. D. Wilson</t>
        </is>
      </c>
      <c r="E13" s="84">
        <f>SUM(G13:HY13)</f>
        <v/>
      </c>
      <c r="F13" s="569">
        <f>IFERROR(IF($E13&gt;0.0000005,$E13/SUMIF($E$11:$E$140,"&gt;0.0000005"),""),"")</f>
        <v/>
      </c>
      <c r="G13" s="570" t="n"/>
      <c r="H13" s="571" t="n"/>
      <c r="I13" s="570" t="n">
        <v>1</v>
      </c>
      <c r="J13" s="570" t="n">
        <v>-1</v>
      </c>
      <c r="K13" s="570" t="n"/>
      <c r="L13" s="570" t="n"/>
      <c r="M13" s="572" t="n"/>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2" t="n"/>
      <c r="AK13" s="572" t="n"/>
      <c r="AL13" s="572" t="n"/>
      <c r="AM13" s="572" t="n"/>
      <c r="AN13" s="572" t="n"/>
      <c r="AO13" s="572" t="n"/>
      <c r="AP13" s="572" t="n"/>
      <c r="AQ13" s="572" t="n"/>
      <c r="AR13" s="572" t="n"/>
      <c r="AS13" s="572" t="n"/>
      <c r="AT13" s="572" t="n"/>
      <c r="AU13" s="572" t="n"/>
      <c r="AV13" s="573" t="n"/>
      <c r="AW13" s="572" t="n"/>
      <c r="AX13" s="572" t="n"/>
      <c r="AY13" s="572" t="n"/>
      <c r="AZ13" s="572" t="n"/>
      <c r="BA13" s="572" t="n"/>
      <c r="BB13" s="572" t="n"/>
      <c r="BC13" s="572" t="n"/>
      <c r="BD13" s="572" t="n"/>
      <c r="BE13" s="572" t="n"/>
      <c r="BF13" s="572" t="n"/>
      <c r="BG13" s="572" t="n"/>
      <c r="BH13" s="572"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c r="FQ13" s="574" t="n"/>
      <c r="FR13" s="574" t="n"/>
      <c r="FS13" s="574" t="n"/>
      <c r="FT13" s="574" t="n"/>
      <c r="FU13" s="574" t="n"/>
      <c r="FV13" s="574" t="n"/>
      <c r="FW13" s="574" t="n"/>
      <c r="FX13" s="574" t="n"/>
      <c r="FY13" s="574" t="n"/>
      <c r="FZ13" s="574" t="n"/>
      <c r="GA13" s="574" t="n"/>
      <c r="GB13" s="574" t="n"/>
      <c r="GC13" s="574" t="n"/>
      <c r="GD13" s="574" t="n"/>
      <c r="GE13" s="574" t="n"/>
      <c r="GF13" s="574" t="n"/>
    </row>
    <row r="14" customFormat="1" s="568">
      <c r="A14" s="127" t="n"/>
      <c r="B14" s="127" t="n"/>
      <c r="C14" s="84">
        <f>IFERROR(IF(AND($E14&gt;0,$D14&lt;&gt;"The Public"),$E14/SUMIFS($E$10:$E$205,$E$10:$E$205,"&gt;0",$D$10:$D$205,"&lt;&gt;The Public")*$D$5,""),"")</f>
        <v/>
      </c>
      <c r="D14" s="322" t="inlineStr">
        <is>
          <t>H. L. Rowley and Myrtie Rowley, HW</t>
        </is>
      </c>
      <c r="E14" s="84">
        <f>SUM(G14:HY14)</f>
        <v/>
      </c>
      <c r="F14" s="569">
        <f>IFERROR(IF($E14&gt;0.0000005,$E14/SUMIF($E$11:$E$140,"&gt;0.0000005"),""),"")</f>
        <v/>
      </c>
      <c r="G14" s="570" t="n"/>
      <c r="H14" s="570" t="n"/>
      <c r="I14" s="570" t="n"/>
      <c r="J14" s="570" t="n">
        <v>1</v>
      </c>
      <c r="K14" s="570" t="n">
        <v>-1</v>
      </c>
      <c r="L14" s="570" t="n"/>
      <c r="M14" s="572" t="n"/>
      <c r="N14" s="572" t="n"/>
      <c r="O14" s="572"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2" t="n"/>
      <c r="AK14" s="572" t="n"/>
      <c r="AL14" s="572" t="n"/>
      <c r="AM14" s="572" t="n"/>
      <c r="AN14" s="572" t="n"/>
      <c r="AO14" s="572" t="n"/>
      <c r="AP14" s="572" t="n"/>
      <c r="AQ14" s="572" t="n"/>
      <c r="AR14" s="572" t="n"/>
      <c r="AS14" s="572" t="n"/>
      <c r="AT14" s="572" t="n"/>
      <c r="AU14" s="572" t="n"/>
      <c r="AV14" s="573" t="n"/>
      <c r="AW14" s="571" t="n"/>
      <c r="AX14" s="571" t="n"/>
      <c r="AY14" s="571" t="n"/>
      <c r="AZ14" s="571" t="n"/>
      <c r="BA14" s="572" t="n"/>
      <c r="BB14" s="572" t="n"/>
      <c r="BC14" s="572" t="n"/>
      <c r="BD14" s="572" t="n"/>
      <c r="BE14" s="572" t="n"/>
      <c r="BF14" s="572" t="n"/>
      <c r="BG14" s="572" t="n"/>
      <c r="BH14" s="572"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c r="FQ14" s="574" t="n"/>
      <c r="FR14" s="574" t="n"/>
      <c r="FS14" s="574" t="n"/>
      <c r="FT14" s="574" t="n"/>
      <c r="FU14" s="574" t="n"/>
      <c r="FV14" s="574" t="n"/>
      <c r="FW14" s="574" t="n"/>
      <c r="FX14" s="574" t="n"/>
      <c r="FY14" s="574" t="n"/>
      <c r="FZ14" s="574" t="n"/>
      <c r="GA14" s="574" t="n"/>
      <c r="GB14" s="574" t="n"/>
      <c r="GC14" s="574" t="n"/>
      <c r="GD14" s="574" t="n"/>
      <c r="GE14" s="574" t="n"/>
      <c r="GF14" s="574" t="n"/>
    </row>
    <row r="15" customFormat="1" s="568">
      <c r="A15" s="86" t="n"/>
      <c r="B15" s="85" t="n"/>
      <c r="C15" s="84">
        <f>IFERROR(IF(AND($E15&gt;0,$D15&lt;&gt;"The Public"),$E15/SUMIFS($E$10:$E$205,$E$10:$E$205,"&gt;0",$D$10:$D$205,"&lt;&gt;The Public")*$D$5,""),"")</f>
        <v/>
      </c>
      <c r="D15" s="322" t="inlineStr">
        <is>
          <t>H. E. Rupp</t>
        </is>
      </c>
      <c r="E15" s="84">
        <f>SUM(G15:HY15)</f>
        <v/>
      </c>
      <c r="F15" s="569">
        <f>IFERROR(IF($E15&gt;0.0000005,$E15/SUMIF($E$11:$E$140,"&gt;0.0000005"),""),"")</f>
        <v/>
      </c>
      <c r="G15" s="570" t="n"/>
      <c r="H15" s="571" t="n"/>
      <c r="I15" s="570" t="n"/>
      <c r="J15" s="570" t="n"/>
      <c r="K15" s="570" t="n">
        <v>1</v>
      </c>
      <c r="L15" s="570" t="n">
        <v>-1</v>
      </c>
      <c r="M15" s="572" t="n"/>
      <c r="N15" s="572" t="n"/>
      <c r="O15" s="572"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2" t="n"/>
      <c r="AK15" s="572" t="n"/>
      <c r="AL15" s="572" t="n"/>
      <c r="AM15" s="572" t="n"/>
      <c r="AN15" s="572" t="n"/>
      <c r="AO15" s="572" t="n"/>
      <c r="AP15" s="572" t="n"/>
      <c r="AQ15" s="572" t="n"/>
      <c r="AR15" s="572" t="n"/>
      <c r="AS15" s="572" t="n"/>
      <c r="AT15" s="572" t="n"/>
      <c r="AU15" s="572" t="n"/>
      <c r="AV15" s="572" t="n"/>
      <c r="AW15" s="571" t="n"/>
      <c r="AX15" s="571" t="n"/>
      <c r="AY15" s="571" t="n"/>
      <c r="AZ15" s="571" t="n"/>
      <c r="BA15" s="572" t="n"/>
      <c r="BB15" s="572" t="n"/>
      <c r="BC15" s="572" t="n"/>
      <c r="BD15" s="572" t="n"/>
      <c r="BE15" s="572" t="n"/>
      <c r="BF15" s="572" t="n"/>
      <c r="BG15" s="572" t="n"/>
      <c r="BH15" s="572"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c r="FQ15" s="574" t="n"/>
      <c r="FR15" s="574" t="n"/>
      <c r="FS15" s="574" t="n"/>
      <c r="FT15" s="574" t="n"/>
      <c r="FU15" s="574" t="n"/>
      <c r="FV15" s="574" t="n"/>
      <c r="FW15" s="574" t="n"/>
      <c r="FX15" s="574" t="n"/>
      <c r="FY15" s="574" t="n"/>
      <c r="FZ15" s="574" t="n"/>
      <c r="GA15" s="574" t="n"/>
      <c r="GB15" s="574" t="n"/>
      <c r="GC15" s="574" t="n"/>
      <c r="GD15" s="574" t="n"/>
      <c r="GE15" s="574" t="n"/>
      <c r="GF15" s="574" t="n"/>
    </row>
    <row r="16" customFormat="1" s="568">
      <c r="A16" s="86" t="n"/>
      <c r="B16" s="85" t="n"/>
      <c r="C16" s="137">
        <f>IFERROR(IF(AND($E16&gt;0,$D16&lt;&gt;"The Public"),$E16/SUMIFS($E$10:$E$205,$E$10:$E$205,"&gt;0",$D$10:$D$205,"&lt;&gt;The Public")*$D$5,""),"")</f>
        <v/>
      </c>
      <c r="D16" s="322" t="inlineStr">
        <is>
          <t>E. C. Winford</t>
        </is>
      </c>
      <c r="E16" s="137">
        <f>SUM(G16:HY16)</f>
        <v/>
      </c>
      <c r="F16" s="569">
        <f>IFERROR(IF($E16&gt;0.0000005,$E16/SUMIF($E$11:$E$140,"&gt;0.0000005"),""),"")</f>
        <v/>
      </c>
      <c r="G16" s="570" t="n"/>
      <c r="H16" s="571" t="n"/>
      <c r="I16" s="570" t="n"/>
      <c r="J16" s="570" t="n"/>
      <c r="K16" s="570" t="n"/>
      <c r="L16" s="570" t="n">
        <v>1</v>
      </c>
      <c r="M16" s="572" t="n">
        <v>-1</v>
      </c>
      <c r="N16" s="572"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2" t="n"/>
      <c r="AK16" s="572" t="n"/>
      <c r="AL16" s="572" t="n"/>
      <c r="AM16" s="572" t="n"/>
      <c r="AN16" s="572" t="n"/>
      <c r="AO16" s="180" t="n"/>
      <c r="AP16" s="180" t="n"/>
      <c r="AQ16" s="572" t="n"/>
      <c r="AR16" s="572" t="n"/>
      <c r="AS16" s="572" t="n"/>
      <c r="AT16" s="572" t="n"/>
      <c r="AU16" s="572" t="n"/>
      <c r="AV16" s="572" t="n"/>
      <c r="AW16" s="571" t="n"/>
      <c r="AX16" s="571" t="n"/>
      <c r="AY16" s="571" t="n"/>
      <c r="AZ16" s="571" t="n"/>
      <c r="BA16" s="572" t="n"/>
      <c r="BB16" s="572" t="n"/>
      <c r="BC16" s="572" t="n"/>
      <c r="BD16" s="572" t="n"/>
      <c r="BE16" s="572" t="n"/>
      <c r="BF16" s="572" t="n"/>
      <c r="BG16" s="572" t="n"/>
      <c r="BH16" s="572"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c r="FQ16" s="574" t="n"/>
      <c r="FR16" s="574" t="n"/>
      <c r="FS16" s="574" t="n"/>
      <c r="FT16" s="574" t="n"/>
      <c r="FU16" s="574" t="n"/>
      <c r="FV16" s="574" t="n"/>
      <c r="FW16" s="574" t="n"/>
      <c r="FX16" s="574" t="n"/>
      <c r="FY16" s="574" t="n"/>
      <c r="FZ16" s="574" t="n"/>
      <c r="GA16" s="574" t="n"/>
      <c r="GB16" s="574" t="n"/>
      <c r="GC16" s="574" t="n"/>
      <c r="GD16" s="574" t="n"/>
      <c r="GE16" s="574" t="n"/>
      <c r="GF16" s="574" t="n"/>
    </row>
    <row r="17" customFormat="1" s="568">
      <c r="A17" s="86" t="n"/>
      <c r="B17" s="87" t="n"/>
      <c r="C17" s="84">
        <f>IFERROR(IF(AND($E17&gt;0,$D17&lt;&gt;"The Public"),$E17/SUMIFS($E$10:$E$205,$E$10:$E$205,"&gt;0",$D$10:$D$205,"&lt;&gt;The Public")*$D$5,""),"")</f>
        <v/>
      </c>
      <c r="D17" s="322" t="inlineStr">
        <is>
          <t>Louis E. Jaques</t>
        </is>
      </c>
      <c r="E17" s="84">
        <f>SUM(G17:HY17)</f>
        <v/>
      </c>
      <c r="F17" s="569">
        <f>IFERROR(IF($E17&gt;0.0000005,$E17/SUMIF($E$11:$E$140,"&gt;0.0000005"),""),"")</f>
        <v/>
      </c>
      <c r="G17" s="570" t="n"/>
      <c r="H17" s="570" t="n"/>
      <c r="I17" s="570" t="n"/>
      <c r="J17" s="570" t="n"/>
      <c r="K17" s="570" t="n"/>
      <c r="L17" s="570" t="n"/>
      <c r="M17" s="572" t="n">
        <v>1</v>
      </c>
      <c r="N17" s="572" t="n">
        <v>-0.5</v>
      </c>
      <c r="O17" s="572" t="n">
        <v>-0.5</v>
      </c>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2" t="n"/>
      <c r="AK17" s="572" t="n"/>
      <c r="AL17" s="572" t="n"/>
      <c r="AM17" s="572" t="n"/>
      <c r="AN17" s="572" t="n"/>
      <c r="AO17" s="572" t="n"/>
      <c r="AP17" s="572" t="n"/>
      <c r="AQ17" s="572" t="n"/>
      <c r="AR17" s="572" t="n"/>
      <c r="AS17" s="572" t="n"/>
      <c r="AT17" s="572" t="n"/>
      <c r="AU17" s="572" t="n"/>
      <c r="AV17" s="572" t="n"/>
      <c r="AW17" s="571" t="n"/>
      <c r="AX17" s="571" t="n"/>
      <c r="AY17" s="571" t="n"/>
      <c r="AZ17" s="571" t="n"/>
      <c r="BA17" s="572" t="n"/>
      <c r="BB17" s="572" t="n"/>
      <c r="BC17" s="572" t="n"/>
      <c r="BD17" s="572" t="n"/>
      <c r="BE17" s="572" t="n"/>
      <c r="BF17" s="572" t="n"/>
      <c r="BG17" s="572" t="n"/>
      <c r="BH17" s="572"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c r="FQ17" s="574" t="n"/>
      <c r="FR17" s="574" t="n"/>
      <c r="FS17" s="574" t="n"/>
      <c r="FT17" s="574" t="n"/>
      <c r="FU17" s="574" t="n"/>
      <c r="FV17" s="574" t="n"/>
      <c r="FW17" s="574" t="n"/>
      <c r="FX17" s="574" t="n"/>
      <c r="FY17" s="574" t="n"/>
      <c r="FZ17" s="574" t="n"/>
      <c r="GA17" s="574" t="n"/>
      <c r="GB17" s="574" t="n"/>
      <c r="GC17" s="574" t="n"/>
      <c r="GD17" s="574" t="n"/>
      <c r="GE17" s="574" t="n"/>
      <c r="GF17" s="574" t="n"/>
    </row>
    <row r="18" customFormat="1" s="568">
      <c r="A18" s="86" t="n"/>
      <c r="B18" s="85" t="n"/>
      <c r="C18" s="137">
        <f>IFERROR(IF(AND($E18&gt;0,$D18&lt;&gt;"The Public"),$E18/SUMIFS($E$10:$E$205,$E$10:$E$205,"&gt;0",$D$10:$D$205,"&lt;&gt;The Public")*$D$5,""),"")</f>
        <v/>
      </c>
      <c r="D18" s="322" t="inlineStr">
        <is>
          <t>Panhandle Co-operative Royalty Co.</t>
        </is>
      </c>
      <c r="E18" s="137">
        <f>SUM(G18:HY18)</f>
        <v/>
      </c>
      <c r="F18" s="569">
        <f>IFERROR(IF($E18&gt;0.0000005,$E18/SUMIF($E$11:$E$140,"&gt;0.0000005"),""),"")</f>
        <v/>
      </c>
      <c r="G18" s="570" t="n"/>
      <c r="H18" s="570" t="n"/>
      <c r="I18" s="570" t="n"/>
      <c r="J18" s="570" t="n"/>
      <c r="K18" s="570" t="n"/>
      <c r="L18" s="570" t="n"/>
      <c r="M18" s="572" t="n"/>
      <c r="N18" s="572" t="n">
        <v>0.5</v>
      </c>
      <c r="O18" s="572" t="n"/>
      <c r="P18" s="573" t="n"/>
      <c r="Q18" s="572" t="n"/>
      <c r="R18" s="572" t="n"/>
      <c r="S18" s="572" t="n">
        <v>-0.125</v>
      </c>
      <c r="T18" s="572" t="n">
        <v>-0.125</v>
      </c>
      <c r="U18" s="572" t="n"/>
      <c r="V18" s="572" t="n"/>
      <c r="W18" s="572" t="n"/>
      <c r="X18" s="573" t="n">
        <v>-0.25</v>
      </c>
      <c r="Y18" s="573" t="n"/>
      <c r="Z18" s="572" t="n"/>
      <c r="AA18" s="572" t="n"/>
      <c r="AB18" s="572" t="n"/>
      <c r="AC18" s="572" t="n"/>
      <c r="AD18" s="572" t="n"/>
      <c r="AE18" s="572" t="n"/>
      <c r="AF18" s="572" t="n"/>
      <c r="AG18" s="572" t="n"/>
      <c r="AH18" s="572" t="n"/>
      <c r="AI18" s="572" t="n"/>
      <c r="AJ18" s="572" t="n"/>
      <c r="AK18" s="572" t="n"/>
      <c r="AL18" s="572" t="n"/>
      <c r="AM18" s="572" t="n"/>
      <c r="AN18" s="572" t="n"/>
      <c r="AO18" s="572" t="n"/>
      <c r="AP18" s="572" t="n"/>
      <c r="AQ18" s="572" t="n"/>
      <c r="AR18" s="572" t="n"/>
      <c r="AS18" s="572" t="n"/>
      <c r="AT18" s="572" t="n"/>
      <c r="AU18" s="572" t="n"/>
      <c r="AV18" s="572" t="n"/>
      <c r="AW18" s="571" t="n"/>
      <c r="AX18" s="571" t="n"/>
      <c r="AY18" s="571" t="n"/>
      <c r="AZ18" s="571" t="n"/>
      <c r="BA18" s="572" t="n"/>
      <c r="BB18" s="572" t="n"/>
      <c r="BC18" s="572" t="n"/>
      <c r="BD18" s="573" t="n"/>
      <c r="BE18" s="572" t="n"/>
      <c r="BF18" s="572" t="n"/>
      <c r="BG18" s="572" t="n"/>
      <c r="BH18" s="572"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c r="FQ18" s="574" t="n"/>
      <c r="FR18" s="574" t="n"/>
      <c r="FS18" s="574" t="n"/>
      <c r="FT18" s="574" t="n"/>
      <c r="FU18" s="574" t="n"/>
      <c r="FV18" s="574" t="n"/>
      <c r="FW18" s="574" t="n"/>
      <c r="FX18" s="574" t="n"/>
      <c r="FY18" s="574" t="n"/>
      <c r="FZ18" s="574" t="n"/>
      <c r="GA18" s="574" t="n"/>
      <c r="GB18" s="574" t="n"/>
      <c r="GC18" s="574" t="n"/>
      <c r="GD18" s="574" t="n"/>
      <c r="GE18" s="574" t="n"/>
      <c r="GF18" s="574" t="n"/>
    </row>
    <row r="19" customFormat="1" s="568">
      <c r="A19" s="86" t="n"/>
      <c r="B19" s="85" t="n"/>
      <c r="C19" s="137">
        <f>IFERROR(IF(AND($E19&gt;0,$D19&lt;&gt;"The Public"),$E19/SUMIFS($E$10:$E$205,$E$10:$E$205,"&gt;0",$D$10:$D$205,"&lt;&gt;The Public")*$D$5,""),"")</f>
        <v/>
      </c>
      <c r="D19" s="322" t="inlineStr">
        <is>
          <t>Virginia Jaques</t>
        </is>
      </c>
      <c r="E19" s="137">
        <f>SUM(G19:HY19)</f>
        <v/>
      </c>
      <c r="F19" s="569">
        <f>IFERROR(IF($E19&gt;0.0000005,$E19/SUMIF($E$11:$E$140,"&gt;0.0000005"),""),"")</f>
        <v/>
      </c>
      <c r="G19" s="570" t="n"/>
      <c r="H19" s="570" t="n"/>
      <c r="I19" s="570" t="n"/>
      <c r="J19" s="570" t="n"/>
      <c r="K19" s="570" t="n"/>
      <c r="L19" s="570" t="n"/>
      <c r="M19" s="572" t="n"/>
      <c r="N19" s="572" t="n"/>
      <c r="O19" s="572" t="n">
        <v>0.25</v>
      </c>
      <c r="P19" s="573" t="n">
        <v>0.25</v>
      </c>
      <c r="Q19" s="572" t="n">
        <v>-0.5</v>
      </c>
      <c r="R19" s="572" t="n">
        <v>0</v>
      </c>
      <c r="S19" s="572" t="n"/>
      <c r="T19" s="572" t="n"/>
      <c r="U19" s="572" t="n"/>
      <c r="V19" s="572" t="n"/>
      <c r="W19" s="572" t="n"/>
      <c r="X19" s="572" t="n"/>
      <c r="Y19" s="572" t="n"/>
      <c r="Z19" s="572" t="n"/>
      <c r="AA19" s="572" t="n"/>
      <c r="AB19" s="572" t="n"/>
      <c r="AC19" s="572" t="n"/>
      <c r="AD19" s="572" t="n"/>
      <c r="AE19" s="572" t="n"/>
      <c r="AF19" s="572" t="n"/>
      <c r="AG19" s="572" t="n"/>
      <c r="AH19" s="572" t="n"/>
      <c r="AI19" s="572" t="n"/>
      <c r="AJ19" s="572" t="n"/>
      <c r="AK19" s="572" t="n"/>
      <c r="AL19" s="572" t="n"/>
      <c r="AM19" s="572" t="n"/>
      <c r="AN19" s="572" t="n"/>
      <c r="AO19" s="572" t="n"/>
      <c r="AP19" s="572" t="n"/>
      <c r="AQ19" s="572" t="n"/>
      <c r="AR19" s="572" t="n"/>
      <c r="AS19" s="572" t="n"/>
      <c r="AT19" s="572" t="n"/>
      <c r="AU19" s="572" t="n"/>
      <c r="AV19" s="572" t="n"/>
      <c r="AW19" s="571" t="n"/>
      <c r="AX19" s="571" t="n"/>
      <c r="AY19" s="571" t="n"/>
      <c r="AZ19" s="571" t="n"/>
      <c r="BA19" s="572" t="n"/>
      <c r="BB19" s="572" t="n"/>
      <c r="BC19" s="572" t="n"/>
      <c r="BD19" s="572" t="n"/>
      <c r="BE19" s="572" t="n"/>
      <c r="BF19" s="572" t="n"/>
      <c r="BG19" s="572" t="n"/>
      <c r="BH19" s="572"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c r="FQ19" s="574" t="n"/>
      <c r="FR19" s="574" t="n"/>
      <c r="FS19" s="574" t="n"/>
      <c r="FT19" s="574" t="n"/>
      <c r="FU19" s="574" t="n"/>
      <c r="FV19" s="574" t="n"/>
      <c r="FW19" s="574" t="n"/>
      <c r="FX19" s="574" t="n"/>
      <c r="FY19" s="574" t="n"/>
      <c r="FZ19" s="574" t="n"/>
      <c r="GA19" s="574" t="n"/>
      <c r="GB19" s="574" t="n"/>
      <c r="GC19" s="574" t="n"/>
      <c r="GD19" s="574" t="n"/>
      <c r="GE19" s="574" t="n"/>
      <c r="GF19" s="574" t="n"/>
    </row>
    <row r="20" customFormat="1" s="568">
      <c r="A20" s="86" t="n"/>
      <c r="B20" s="85" t="n"/>
      <c r="C20" s="137">
        <f>IFERROR(IF(AND($E20&gt;0,$D20&lt;&gt;"The Public"),$E20/SUMIFS($E$10:$E$205,$E$10:$E$205,"&gt;0",$D$10:$D$205,"&lt;&gt;The Public")*$D$5,""),"")</f>
        <v/>
      </c>
      <c r="D20" s="322" t="inlineStr">
        <is>
          <t>Ethel Brister</t>
        </is>
      </c>
      <c r="E20" s="137">
        <f>SUM(G20:HY20)</f>
        <v/>
      </c>
      <c r="F20" s="569">
        <f>IFERROR(IF($E20&gt;0.0000005,$E20/SUMIF($E$11:$E$140,"&gt;0.0000005"),""),"")</f>
        <v/>
      </c>
      <c r="G20" s="570" t="n"/>
      <c r="H20" s="570" t="n"/>
      <c r="I20" s="570" t="n"/>
      <c r="J20" s="570" t="n"/>
      <c r="K20" s="570" t="n"/>
      <c r="L20" s="570" t="n"/>
      <c r="M20" s="572" t="n"/>
      <c r="N20" s="572" t="n"/>
      <c r="O20" s="572" t="n">
        <v>0.25</v>
      </c>
      <c r="P20" s="573" t="n">
        <v>-0.25</v>
      </c>
      <c r="Q20" s="572" t="n"/>
      <c r="R20" s="572" t="n">
        <v>0</v>
      </c>
      <c r="S20" s="572" t="n"/>
      <c r="T20" s="573" t="n"/>
      <c r="U20" s="572" t="n"/>
      <c r="V20" s="572" t="n"/>
      <c r="W20" s="572" t="n"/>
      <c r="X20" s="572" t="n"/>
      <c r="Y20" s="572" t="n"/>
      <c r="Z20" s="572" t="n"/>
      <c r="AA20" s="572" t="n"/>
      <c r="AB20" s="572" t="n"/>
      <c r="AC20" s="572" t="n"/>
      <c r="AD20" s="572" t="n"/>
      <c r="AE20" s="572" t="n"/>
      <c r="AF20" s="572" t="n"/>
      <c r="AG20" s="572" t="n"/>
      <c r="AH20" s="572" t="n"/>
      <c r="AI20" s="572" t="n"/>
      <c r="AJ20" s="572" t="n"/>
      <c r="AK20" s="572" t="n"/>
      <c r="AL20" s="572" t="n"/>
      <c r="AM20" s="572" t="n"/>
      <c r="AN20" s="572" t="n"/>
      <c r="AO20" s="572" t="n"/>
      <c r="AP20" s="572" t="n"/>
      <c r="AQ20" s="572" t="n"/>
      <c r="AR20" s="572" t="n"/>
      <c r="AS20" s="572" t="n"/>
      <c r="AT20" s="572" t="n"/>
      <c r="AU20" s="572" t="n"/>
      <c r="AV20" s="572" t="n"/>
      <c r="AW20" s="572" t="n"/>
      <c r="AX20" s="572" t="n"/>
      <c r="AY20" s="572" t="n"/>
      <c r="AZ20" s="572" t="n"/>
      <c r="BA20" s="572" t="n"/>
      <c r="BB20" s="572" t="n"/>
      <c r="BC20" s="572" t="n"/>
      <c r="BD20" s="572" t="n"/>
      <c r="BE20" s="572" t="n"/>
      <c r="BF20" s="572" t="n"/>
      <c r="BG20" s="572" t="n"/>
      <c r="BH20" s="572"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c r="FQ20" s="574" t="n"/>
      <c r="FR20" s="574" t="n"/>
      <c r="FS20" s="574" t="n"/>
      <c r="FT20" s="574" t="n"/>
      <c r="FU20" s="574" t="n"/>
      <c r="FV20" s="574" t="n"/>
      <c r="FW20" s="574" t="n"/>
      <c r="FX20" s="574" t="n"/>
      <c r="FY20" s="574" t="n"/>
      <c r="FZ20" s="574" t="n"/>
      <c r="GA20" s="574" t="n"/>
      <c r="GB20" s="574" t="n"/>
      <c r="GC20" s="574" t="n"/>
      <c r="GD20" s="574" t="n"/>
      <c r="GE20" s="574" t="n"/>
      <c r="GF20" s="574" t="n"/>
    </row>
    <row r="21" customFormat="1" s="568">
      <c r="A21" s="86" t="n"/>
      <c r="B21" s="87" t="n"/>
      <c r="C21" s="84">
        <f>IFERROR(IF(AND($E21&gt;0,$D21&lt;&gt;"The Public"),$E21/SUMIFS($E$10:$E$205,$E$10:$E$205,"&gt;0",$D$10:$D$205,"&lt;&gt;The Public")*$D$5,""),"")</f>
        <v/>
      </c>
      <c r="D21" s="322" t="inlineStr">
        <is>
          <t>Flag Oil Company of Oklahoma</t>
        </is>
      </c>
      <c r="E21" s="84">
        <f>SUM(G21:HY21)</f>
        <v/>
      </c>
      <c r="F21" s="569">
        <f>IFERROR(IF($E21&gt;0.0000005,$E21/SUMIF($E$11:$E$140,"&gt;0.0000005"),""),"")</f>
        <v/>
      </c>
      <c r="G21" s="570" t="n"/>
      <c r="H21" s="570" t="n"/>
      <c r="I21" s="570" t="n"/>
      <c r="J21" s="570" t="n"/>
      <c r="K21" s="570" t="n"/>
      <c r="L21" s="570" t="n"/>
      <c r="M21" s="572" t="n"/>
      <c r="N21" s="572" t="n"/>
      <c r="O21" s="572" t="n"/>
      <c r="P21" s="572" t="n"/>
      <c r="Q21" s="573" t="n"/>
      <c r="R21" s="572" t="n"/>
      <c r="S21" s="572" t="n">
        <v>0.125</v>
      </c>
      <c r="T21" s="572" t="n">
        <v>0.125</v>
      </c>
      <c r="U21" s="572" t="n"/>
      <c r="V21" s="572" t="n"/>
      <c r="W21" s="573" t="n"/>
      <c r="X21" s="572" t="n"/>
      <c r="Y21" s="572" t="n">
        <v>-0.25</v>
      </c>
      <c r="Z21" s="572" t="n"/>
      <c r="AA21" s="572" t="n"/>
      <c r="AB21" s="572" t="n"/>
      <c r="AC21" s="572" t="n"/>
      <c r="AD21" s="572" t="n"/>
      <c r="AE21" s="572" t="n"/>
      <c r="AF21" s="572" t="n"/>
      <c r="AG21" s="572" t="n"/>
      <c r="AH21" s="572" t="n"/>
      <c r="AI21" s="572" t="n"/>
      <c r="AJ21" s="572" t="n"/>
      <c r="AK21" s="572" t="n"/>
      <c r="AL21" s="572" t="n"/>
      <c r="AM21" s="572" t="n"/>
      <c r="AN21" s="572" t="n"/>
      <c r="AO21" s="572" t="n"/>
      <c r="AP21" s="572" t="n"/>
      <c r="AQ21" s="572" t="n"/>
      <c r="AR21" s="572" t="n"/>
      <c r="AS21" s="572" t="n"/>
      <c r="AT21" s="572" t="n"/>
      <c r="AU21" s="572" t="n"/>
      <c r="AV21" s="572" t="n"/>
      <c r="AW21" s="572" t="n"/>
      <c r="AX21" s="572" t="n"/>
      <c r="AY21" s="572" t="n"/>
      <c r="AZ21" s="572" t="n"/>
      <c r="BA21" s="572" t="n"/>
      <c r="BB21" s="572" t="n"/>
      <c r="BC21" s="572" t="n"/>
      <c r="BD21" s="572" t="n"/>
      <c r="BE21" s="572" t="n"/>
      <c r="BF21" s="572" t="n"/>
      <c r="BG21" s="572" t="n"/>
      <c r="BH21" s="572"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c r="FQ21" s="574" t="n"/>
      <c r="FR21" s="574" t="n"/>
      <c r="FS21" s="574" t="n"/>
      <c r="FT21" s="574" t="n"/>
      <c r="FU21" s="574" t="n"/>
      <c r="FV21" s="574" t="n"/>
      <c r="FW21" s="574" t="n"/>
      <c r="FX21" s="574" t="n"/>
      <c r="FY21" s="574" t="n"/>
      <c r="FZ21" s="574" t="n"/>
      <c r="GA21" s="574" t="n"/>
      <c r="GB21" s="574" t="n"/>
      <c r="GC21" s="574" t="n"/>
      <c r="GD21" s="574" t="n"/>
      <c r="GE21" s="574" t="n"/>
      <c r="GF21" s="574" t="n"/>
    </row>
    <row r="22" customFormat="1" s="568">
      <c r="A22" s="86" t="n"/>
      <c r="B22" s="87" t="n"/>
      <c r="C22" s="137">
        <f>IFERROR(IF(AND($E22&gt;0,$D22&lt;&gt;"The Public"),$E22/SUMIFS($E$10:$E$205,$E$10:$E$205,"&gt;0",$D$10:$D$205,"&lt;&gt;The Public")*$D$5,""),"")</f>
        <v/>
      </c>
      <c r="D22" s="322" t="inlineStr">
        <is>
          <t>H. M. Carter</t>
        </is>
      </c>
      <c r="E22" s="137">
        <f>SUM(G22:HY22)</f>
        <v/>
      </c>
      <c r="F22" s="569">
        <f>IFERROR(IF($E22&gt;0.0000005,$E22/SUMIF($E$11:$E$140,"&gt;0.0000005"),""),"")</f>
        <v/>
      </c>
      <c r="G22" s="570" t="n"/>
      <c r="H22" s="571" t="n"/>
      <c r="I22" s="570" t="n"/>
      <c r="J22" s="570" t="n"/>
      <c r="K22" s="570" t="n"/>
      <c r="L22" s="570" t="n"/>
      <c r="M22" s="572" t="n"/>
      <c r="N22" s="572" t="n"/>
      <c r="O22" s="572" t="n"/>
      <c r="P22" s="572" t="n"/>
      <c r="Q22" s="573" t="n">
        <v>0.5</v>
      </c>
      <c r="R22" s="573" t="n"/>
      <c r="S22" s="572" t="n"/>
      <c r="T22" s="572" t="n"/>
      <c r="U22" s="572" t="n">
        <v>-0.5</v>
      </c>
      <c r="V22" s="572" t="n">
        <v>0</v>
      </c>
      <c r="W22" s="573" t="n"/>
      <c r="X22" s="572" t="n"/>
      <c r="Y22" s="572" t="n"/>
      <c r="Z22" s="572" t="n"/>
      <c r="AA22" s="572" t="n"/>
      <c r="AB22" s="572" t="n"/>
      <c r="AC22" s="572" t="n"/>
      <c r="AD22" s="572" t="n"/>
      <c r="AE22" s="572" t="n"/>
      <c r="AF22" s="572" t="n"/>
      <c r="AG22" s="572" t="n"/>
      <c r="AH22" s="572" t="n"/>
      <c r="AI22" s="572" t="n"/>
      <c r="AJ22" s="572" t="n"/>
      <c r="AK22" s="572" t="n"/>
      <c r="AL22" s="572" t="n"/>
      <c r="AM22" s="572" t="n"/>
      <c r="AN22" s="572" t="n"/>
      <c r="AO22" s="572" t="n"/>
      <c r="AP22" s="572" t="n"/>
      <c r="AQ22" s="572" t="n"/>
      <c r="AR22" s="572" t="n"/>
      <c r="AS22" s="572" t="n"/>
      <c r="AT22" s="572" t="n"/>
      <c r="AU22" s="572" t="n"/>
      <c r="AV22" s="572" t="n"/>
      <c r="AW22" s="572" t="n"/>
      <c r="AX22" s="572" t="n"/>
      <c r="AY22" s="572" t="n"/>
      <c r="AZ22" s="572" t="n"/>
      <c r="BA22" s="572" t="n"/>
      <c r="BB22" s="572" t="n"/>
      <c r="BC22" s="572" t="n"/>
      <c r="BD22" s="572" t="n"/>
      <c r="BE22" s="572" t="n"/>
      <c r="BF22" s="572" t="n"/>
      <c r="BG22" s="572" t="n"/>
      <c r="BH22" s="572"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c r="FQ22" s="574" t="n"/>
      <c r="FR22" s="574" t="n"/>
      <c r="FS22" s="574" t="n"/>
      <c r="FT22" s="574" t="n"/>
      <c r="FU22" s="574" t="n"/>
      <c r="FV22" s="574" t="n"/>
      <c r="FW22" s="574" t="n"/>
      <c r="FX22" s="574" t="n"/>
      <c r="FY22" s="574" t="n"/>
      <c r="FZ22" s="574" t="n"/>
      <c r="GA22" s="574" t="n"/>
      <c r="GB22" s="574" t="n"/>
      <c r="GC22" s="574" t="n"/>
      <c r="GD22" s="574" t="n"/>
      <c r="GE22" s="574" t="n"/>
      <c r="GF22" s="574" t="n"/>
    </row>
    <row r="23" customFormat="1" s="568">
      <c r="A23" s="86" t="n"/>
      <c r="B23" s="85" t="n"/>
      <c r="C23" s="84">
        <f>IFERROR(IF(AND($E23&gt;0,$D23&lt;&gt;"The Public"),$E23/SUMIFS($E$10:$E$205,$E$10:$E$205,"&gt;0",$D$10:$D$205,"&lt;&gt;The Public")*$D$5,""),"")</f>
        <v/>
      </c>
      <c r="D23" s="322" t="inlineStr">
        <is>
          <t>Marvin G. Mitchell and Carrie Lou Mitchell, HW, JTWROS</t>
        </is>
      </c>
      <c r="E23" s="84">
        <f>SUM(G23:HY23)</f>
        <v/>
      </c>
      <c r="F23" s="569">
        <f>IFERROR(IF($E23&gt;0.0000005,$E23/SUMIF($E$11:$E$140,"&gt;0.0000005"),""),"")</f>
        <v/>
      </c>
      <c r="G23" s="570" t="n"/>
      <c r="H23" s="570" t="n"/>
      <c r="I23" s="570" t="n"/>
      <c r="J23" s="570" t="n"/>
      <c r="K23" s="570" t="n"/>
      <c r="L23" s="570" t="n"/>
      <c r="M23" s="572" t="n"/>
      <c r="N23" s="572" t="n"/>
      <c r="O23" s="572" t="n"/>
      <c r="P23" s="572" t="n"/>
      <c r="Q23" s="573" t="n"/>
      <c r="R23" s="573" t="n"/>
      <c r="S23" s="572" t="n"/>
      <c r="T23" s="572" t="n"/>
      <c r="U23" s="572" t="n">
        <v>0.5</v>
      </c>
      <c r="V23" s="572" t="n">
        <v>0</v>
      </c>
      <c r="W23" s="573" t="n">
        <v>-0.5</v>
      </c>
      <c r="X23" s="572" t="n"/>
      <c r="Y23" s="572" t="n"/>
      <c r="Z23" s="572" t="n"/>
      <c r="AA23" s="572" t="n"/>
      <c r="AB23" s="572" t="n"/>
      <c r="AC23" s="572" t="n"/>
      <c r="AD23" s="572" t="n"/>
      <c r="AE23" s="572" t="n"/>
      <c r="AF23" s="572" t="n"/>
      <c r="AG23" s="572" t="n"/>
      <c r="AH23" s="572" t="n"/>
      <c r="AI23" s="572" t="n"/>
      <c r="AJ23" s="572" t="n"/>
      <c r="AK23" s="572" t="n"/>
      <c r="AL23" s="572" t="n"/>
      <c r="AM23" s="572" t="n"/>
      <c r="AN23" s="572" t="n"/>
      <c r="AO23" s="572" t="n"/>
      <c r="AP23" s="572" t="n"/>
      <c r="AQ23" s="572" t="n"/>
      <c r="AR23" s="572" t="n"/>
      <c r="AS23" s="572" t="n"/>
      <c r="AT23" s="572" t="n"/>
      <c r="AU23" s="572" t="n"/>
      <c r="AV23" s="572" t="n"/>
      <c r="AW23" s="572" t="n"/>
      <c r="AX23" s="572" t="n"/>
      <c r="AY23" s="572" t="n"/>
      <c r="AZ23" s="572" t="n"/>
      <c r="BA23" s="572" t="n"/>
      <c r="BB23" s="572" t="n"/>
      <c r="BC23" s="572" t="n"/>
      <c r="BD23" s="572" t="n"/>
      <c r="BE23" s="572" t="n"/>
      <c r="BF23" s="572" t="n"/>
      <c r="BG23" s="572" t="n"/>
      <c r="BH23" s="572"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c r="FQ23" s="574" t="n"/>
      <c r="FR23" s="574" t="n"/>
      <c r="FS23" s="574" t="n"/>
      <c r="FT23" s="574" t="n"/>
      <c r="FU23" s="574" t="n"/>
      <c r="FV23" s="574" t="n"/>
      <c r="FW23" s="574" t="n"/>
      <c r="FX23" s="574" t="n"/>
      <c r="FY23" s="574" t="n"/>
      <c r="FZ23" s="574" t="n"/>
      <c r="GA23" s="574" t="n"/>
      <c r="GB23" s="574" t="n"/>
      <c r="GC23" s="574" t="n"/>
      <c r="GD23" s="574" t="n"/>
      <c r="GE23" s="574" t="n"/>
      <c r="GF23" s="574" t="n"/>
    </row>
    <row r="24" customFormat="1" s="568">
      <c r="A24" s="86" t="n"/>
      <c r="B24" s="85" t="n"/>
      <c r="C24" s="137">
        <f>IFERROR(IF(AND($E24&gt;0,$D24&lt;&gt;"The Public"),$E24/SUMIFS($E$10:$E$205,$E$10:$E$205,"&gt;0",$D$10:$D$205,"&lt;&gt;The Public")*$D$5,""),"")</f>
        <v/>
      </c>
      <c r="D24" s="322" t="inlineStr">
        <is>
          <t>Marvin Mitchell Williams</t>
        </is>
      </c>
      <c r="E24" s="137">
        <f>SUM(G24:HY24)</f>
        <v/>
      </c>
      <c r="F24" s="569">
        <f>IFERROR(IF($E24&gt;0.0000005,$E24/SUMIF($E$11:$E$140,"&gt;0.0000005"),""),"")</f>
        <v/>
      </c>
      <c r="G24" s="570" t="n"/>
      <c r="H24" s="570" t="n"/>
      <c r="I24" s="570" t="n"/>
      <c r="J24" s="570" t="n"/>
      <c r="K24" s="570" t="n"/>
      <c r="L24" s="570" t="n"/>
      <c r="M24" s="572" t="n"/>
      <c r="N24" s="572" t="n"/>
      <c r="O24" s="572" t="n"/>
      <c r="P24" s="572" t="n"/>
      <c r="Q24" s="573" t="n"/>
      <c r="R24" s="573" t="n"/>
      <c r="S24" s="572" t="n"/>
      <c r="T24" s="572" t="n"/>
      <c r="U24" s="572" t="n"/>
      <c r="V24" s="572" t="n"/>
      <c r="W24" s="573" t="n">
        <v>0.125</v>
      </c>
      <c r="X24" s="572" t="n"/>
      <c r="Y24" s="572" t="n"/>
      <c r="Z24" s="572" t="n">
        <v>-0.125</v>
      </c>
      <c r="AA24" s="572" t="n"/>
      <c r="AB24" s="572" t="n"/>
      <c r="AC24" s="572" t="n"/>
      <c r="AD24" s="572" t="n"/>
      <c r="AE24" s="572" t="n"/>
      <c r="AF24" s="572" t="n"/>
      <c r="AG24" s="572" t="n"/>
      <c r="AH24" s="572" t="n"/>
      <c r="AI24" s="572" t="n"/>
      <c r="AJ24" s="572" t="n"/>
      <c r="AK24" s="572" t="n"/>
      <c r="AL24" s="572" t="n"/>
      <c r="AM24" s="572" t="n"/>
      <c r="AN24" s="572" t="n"/>
      <c r="AO24" s="572" t="n"/>
      <c r="AP24" s="572" t="n"/>
      <c r="AQ24" s="572" t="n"/>
      <c r="AR24" s="572" t="n"/>
      <c r="AS24" s="572" t="n"/>
      <c r="AT24" s="572" t="n"/>
      <c r="AU24" s="572" t="n"/>
      <c r="AV24" s="572" t="n"/>
      <c r="AW24" s="572" t="n"/>
      <c r="AX24" s="572" t="n"/>
      <c r="AY24" s="572" t="n"/>
      <c r="AZ24" s="572" t="n"/>
      <c r="BA24" s="572" t="n"/>
      <c r="BB24" s="572" t="n"/>
      <c r="BC24" s="572" t="n"/>
      <c r="BD24" s="572" t="n"/>
      <c r="BE24" s="572" t="n"/>
      <c r="BF24" s="572" t="n"/>
      <c r="BG24" s="572" t="n"/>
      <c r="BH24" s="572"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c r="FQ24" s="574" t="n"/>
      <c r="FR24" s="574" t="n"/>
      <c r="FS24" s="574" t="n"/>
      <c r="FT24" s="574" t="n"/>
      <c r="FU24" s="574" t="n"/>
      <c r="FV24" s="574" t="n"/>
      <c r="FW24" s="574" t="n"/>
      <c r="FX24" s="574" t="n"/>
      <c r="FY24" s="574" t="n"/>
      <c r="FZ24" s="574" t="n"/>
      <c r="GA24" s="574" t="n"/>
      <c r="GB24" s="574" t="n"/>
      <c r="GC24" s="574" t="n"/>
      <c r="GD24" s="574" t="n"/>
      <c r="GE24" s="574" t="n"/>
      <c r="GF24" s="574" t="n"/>
    </row>
    <row r="25" customFormat="1" s="568">
      <c r="A25" s="86" t="n"/>
      <c r="B25" s="85" t="n"/>
      <c r="C25" s="137">
        <f>IFERROR(IF(AND($E25&gt;0,$D25&lt;&gt;"The Public"),$E25/SUMIFS($E$10:$E$205,$E$10:$E$205,"&gt;0",$D$10:$D$205,"&lt;&gt;The Public")*$D$5,""),"")</f>
        <v/>
      </c>
      <c r="D25" s="322" t="inlineStr">
        <is>
          <t>Gena Williams</t>
        </is>
      </c>
      <c r="E25" s="137">
        <f>SUM(G25:HY25)</f>
        <v/>
      </c>
      <c r="F25" s="569">
        <f>IFERROR(IF($E25&gt;0.0000005,$E25/SUMIF($E$11:$E$140,"&gt;0.0000005"),""),"")</f>
        <v/>
      </c>
      <c r="G25" s="570" t="n"/>
      <c r="H25" s="570" t="n"/>
      <c r="I25" s="570" t="n"/>
      <c r="J25" s="570" t="n"/>
      <c r="K25" s="570" t="n"/>
      <c r="L25" s="570" t="n"/>
      <c r="M25" s="572" t="n"/>
      <c r="N25" s="572" t="n"/>
      <c r="O25" s="572" t="n"/>
      <c r="P25" s="572" t="n"/>
      <c r="Q25" s="573" t="n"/>
      <c r="R25" s="573" t="n"/>
      <c r="S25" s="572" t="n"/>
      <c r="T25" s="572" t="n"/>
      <c r="U25" s="572" t="n"/>
      <c r="V25" s="572" t="n"/>
      <c r="W25" s="573" t="n">
        <v>0.125</v>
      </c>
      <c r="X25" s="572" t="n"/>
      <c r="Y25" s="572" t="n"/>
      <c r="Z25" s="572" t="n"/>
      <c r="AA25" s="572" t="n"/>
      <c r="AB25" s="573" t="n"/>
      <c r="AC25" s="572" t="n"/>
      <c r="AD25" s="572" t="n">
        <v>-0.125</v>
      </c>
      <c r="AE25" s="572" t="n"/>
      <c r="AF25" s="572" t="n"/>
      <c r="AG25" s="572" t="n"/>
      <c r="AH25" s="572" t="n"/>
      <c r="AI25" s="572" t="n"/>
      <c r="AJ25" s="572" t="n"/>
      <c r="AK25" s="572" t="n"/>
      <c r="AL25" s="572" t="n"/>
      <c r="AM25" s="572" t="n"/>
      <c r="AN25" s="572" t="n"/>
      <c r="AO25" s="572" t="n"/>
      <c r="AP25" s="572" t="n"/>
      <c r="AQ25" s="572" t="n"/>
      <c r="AR25" s="572" t="n"/>
      <c r="AS25" s="572" t="n"/>
      <c r="AT25" s="572" t="n"/>
      <c r="AU25" s="572" t="n"/>
      <c r="AV25" s="572" t="n"/>
      <c r="AW25" s="572" t="n"/>
      <c r="AX25" s="572" t="n"/>
      <c r="AY25" s="54" t="n"/>
      <c r="AZ25" s="572" t="n"/>
      <c r="BA25" s="572" t="n"/>
      <c r="BB25" s="572" t="n"/>
      <c r="BC25" s="572" t="n"/>
      <c r="BD25" s="572" t="n"/>
      <c r="BE25" s="572" t="n"/>
      <c r="BF25" s="572" t="n"/>
      <c r="BG25" s="572" t="n"/>
      <c r="BH25" s="572"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c r="FQ25" s="574" t="n"/>
      <c r="FR25" s="574" t="n"/>
      <c r="FS25" s="574" t="n"/>
      <c r="FT25" s="574" t="n"/>
      <c r="FU25" s="574" t="n"/>
      <c r="FV25" s="574" t="n"/>
      <c r="FW25" s="574" t="n"/>
      <c r="FX25" s="574" t="n"/>
      <c r="FY25" s="574" t="n"/>
      <c r="FZ25" s="574" t="n"/>
      <c r="GA25" s="574" t="n"/>
      <c r="GB25" s="574" t="n"/>
      <c r="GC25" s="574" t="n"/>
      <c r="GD25" s="574" t="n"/>
      <c r="GE25" s="574" t="n"/>
      <c r="GF25" s="574" t="n"/>
    </row>
    <row r="26" customFormat="1" s="568">
      <c r="A26" s="86" t="n"/>
      <c r="B26" s="85" t="n"/>
      <c r="C26" s="84">
        <f>IFERROR(IF(AND($E26&gt;0,$D26&lt;&gt;"The Public"),$E26/SUMIFS($E$10:$E$205,$E$10:$E$205,"&gt;0",$D$10:$D$205,"&lt;&gt;The Public")*$D$5,""),"")</f>
        <v/>
      </c>
      <c r="D26" s="322" t="inlineStr">
        <is>
          <t>Carrie Leeann Williams</t>
        </is>
      </c>
      <c r="E26" s="84">
        <f>SUM(G26:HY26)</f>
        <v/>
      </c>
      <c r="F26" s="569">
        <f>IFERROR(IF($E26&gt;0.0000005,$E26/SUMIF($E$11:$E$140,"&gt;0.0000005"),""),"")</f>
        <v/>
      </c>
      <c r="G26" s="570" t="n"/>
      <c r="H26" s="570" t="n"/>
      <c r="I26" s="570" t="n"/>
      <c r="J26" s="570" t="n"/>
      <c r="K26" s="570" t="n"/>
      <c r="L26" s="570" t="n"/>
      <c r="M26" s="572" t="n"/>
      <c r="N26" s="54" t="n"/>
      <c r="O26" s="572" t="n"/>
      <c r="P26" s="572" t="n"/>
      <c r="Q26" s="572" t="n"/>
      <c r="R26" s="572" t="n"/>
      <c r="S26" s="572" t="n"/>
      <c r="T26" s="573" t="n"/>
      <c r="U26" s="572" t="n"/>
      <c r="V26" s="572" t="n"/>
      <c r="W26" s="572" t="n">
        <v>0.125</v>
      </c>
      <c r="X26" s="572" t="n"/>
      <c r="Y26" s="572" t="n"/>
      <c r="Z26" s="573" t="n"/>
      <c r="AA26" s="572" t="n"/>
      <c r="AB26" s="572" t="n">
        <v>-0.125</v>
      </c>
      <c r="AC26" s="572" t="n"/>
      <c r="AD26" s="572" t="n"/>
      <c r="AE26" s="572" t="n"/>
      <c r="AF26" s="572" t="n"/>
      <c r="AG26" s="572" t="n"/>
      <c r="AH26" s="572" t="n"/>
      <c r="AI26" s="572" t="n"/>
      <c r="AJ26" s="572" t="n"/>
      <c r="AK26" s="572" t="n"/>
      <c r="AL26" s="572" t="n"/>
      <c r="AM26" s="572" t="n"/>
      <c r="AN26" s="572" t="n"/>
      <c r="AO26" s="572" t="n"/>
      <c r="AP26" s="572" t="n"/>
      <c r="AQ26" s="572" t="n"/>
      <c r="AR26" s="572" t="n"/>
      <c r="AS26" s="572" t="n"/>
      <c r="AT26" s="572" t="n"/>
      <c r="AU26" s="572" t="n"/>
      <c r="AV26" s="572" t="n"/>
      <c r="AW26" s="572" t="n"/>
      <c r="AX26" s="572" t="n"/>
      <c r="AY26" s="53" t="n"/>
      <c r="AZ26" s="572" t="n"/>
      <c r="BA26" s="572" t="n"/>
      <c r="BB26" s="572" t="n"/>
      <c r="BC26" s="572" t="n"/>
      <c r="BD26" s="572" t="n"/>
      <c r="BE26" s="572" t="n"/>
      <c r="BF26" s="572" t="n"/>
      <c r="BG26" s="572" t="n"/>
      <c r="BH26" s="572"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c r="FQ26" s="574" t="n"/>
      <c r="FR26" s="574" t="n"/>
      <c r="FS26" s="574" t="n"/>
      <c r="FT26" s="574" t="n"/>
      <c r="FU26" s="574" t="n"/>
      <c r="FV26" s="574" t="n"/>
      <c r="FW26" s="574" t="n"/>
      <c r="FX26" s="574" t="n"/>
      <c r="FY26" s="574" t="n"/>
      <c r="FZ26" s="574" t="n"/>
      <c r="GA26" s="574" t="n"/>
      <c r="GB26" s="574" t="n"/>
      <c r="GC26" s="574" t="n"/>
      <c r="GD26" s="574" t="n"/>
      <c r="GE26" s="574" t="n"/>
      <c r="GF26" s="574" t="n"/>
    </row>
    <row r="27" customFormat="1" s="568">
      <c r="A27" s="86" t="n"/>
      <c r="B27" s="85" t="n"/>
      <c r="C27" s="84">
        <f>IFERROR(IF(AND($E27&gt;0,$D27&lt;&gt;"The Public"),$E27/SUMIFS($E$10:$E$205,$E$10:$E$205,"&gt;0",$D$10:$D$205,"&lt;&gt;The Public")*$D$5,""),"")</f>
        <v/>
      </c>
      <c r="D27" s="322" t="inlineStr">
        <is>
          <t>Nancy Susan Mitchell</t>
        </is>
      </c>
      <c r="E27" s="84">
        <f>SUM(G27:HY27)</f>
        <v/>
      </c>
      <c r="F27" s="569">
        <f>IFERROR(IF($E27&gt;0.0000005,$E27/SUMIF($E$11:$E$140,"&gt;0.0000005"),""),"")</f>
        <v/>
      </c>
      <c r="G27" s="570" t="n"/>
      <c r="H27" s="570" t="n"/>
      <c r="I27" s="570" t="n"/>
      <c r="J27" s="570" t="n"/>
      <c r="K27" s="570" t="n"/>
      <c r="L27" s="570" t="n"/>
      <c r="M27" s="572" t="n"/>
      <c r="N27" s="53" t="n"/>
      <c r="O27" s="572" t="n"/>
      <c r="P27" s="572" t="n"/>
      <c r="Q27" s="572" t="n"/>
      <c r="R27" s="572" t="n"/>
      <c r="S27" s="572" t="n"/>
      <c r="T27" s="573" t="n"/>
      <c r="U27" s="573" t="n"/>
      <c r="V27" s="572" t="n"/>
      <c r="W27" s="572" t="n">
        <v>0.125</v>
      </c>
      <c r="X27" s="572" t="n"/>
      <c r="Y27" s="572" t="n"/>
      <c r="Z27" s="572" t="n"/>
      <c r="AA27" s="572" t="n"/>
      <c r="AB27" s="572" t="n"/>
      <c r="AC27" s="572" t="n">
        <v>-0.125</v>
      </c>
      <c r="AD27" s="572" t="n"/>
      <c r="AE27" s="572" t="n"/>
      <c r="AF27" s="572" t="n"/>
      <c r="AG27" s="572" t="n"/>
      <c r="AH27" s="572" t="n"/>
      <c r="AI27" s="572" t="n"/>
      <c r="AJ27" s="572" t="n"/>
      <c r="AK27" s="572" t="n"/>
      <c r="AL27" s="572" t="n"/>
      <c r="AM27" s="572" t="n"/>
      <c r="AN27" s="572" t="n"/>
      <c r="AO27" s="572" t="n"/>
      <c r="AP27" s="572" t="n"/>
      <c r="AQ27" s="572" t="n"/>
      <c r="AR27" s="572" t="n"/>
      <c r="AS27" s="572" t="n"/>
      <c r="AT27" s="572" t="n"/>
      <c r="AU27" s="572" t="n"/>
      <c r="AV27" s="572" t="n"/>
      <c r="AW27" s="572" t="n"/>
      <c r="AX27" s="572" t="n"/>
      <c r="AY27" s="53" t="n"/>
      <c r="AZ27" s="572" t="n"/>
      <c r="BA27" s="572" t="n"/>
      <c r="BB27" s="572" t="n"/>
      <c r="BC27" s="572" t="n"/>
      <c r="BD27" s="572" t="n"/>
      <c r="BE27" s="572" t="n"/>
      <c r="BF27" s="572" t="n"/>
      <c r="BG27" s="572" t="n"/>
      <c r="BH27" s="572"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c r="FQ27" s="574" t="n"/>
      <c r="FR27" s="574" t="n"/>
      <c r="FS27" s="574" t="n"/>
      <c r="FT27" s="574" t="n"/>
      <c r="FU27" s="574" t="n"/>
      <c r="FV27" s="574" t="n"/>
      <c r="FW27" s="574" t="n"/>
      <c r="FX27" s="574" t="n"/>
      <c r="FY27" s="574" t="n"/>
      <c r="FZ27" s="574" t="n"/>
      <c r="GA27" s="574" t="n"/>
      <c r="GB27" s="574" t="n"/>
      <c r="GC27" s="574" t="n"/>
      <c r="GD27" s="574" t="n"/>
      <c r="GE27" s="574" t="n"/>
      <c r="GF27" s="574" t="n"/>
    </row>
    <row r="28" customFormat="1" s="568">
      <c r="A28" s="86" t="n"/>
      <c r="B28" s="85" t="n"/>
      <c r="C28" s="137">
        <f>IFERROR(IF(AND($E28&gt;0,$D28&lt;&gt;"The Public"),$E28/SUMIFS($E$10:$E$205,$E$10:$E$205,"&gt;0",$D$10:$D$205,"&lt;&gt;The Public")*$D$5,""),"")</f>
        <v/>
      </c>
      <c r="D28" s="323" t="inlineStr">
        <is>
          <t>Panhandle Royalty Company</t>
        </is>
      </c>
      <c r="E28" s="137">
        <f>SUM(G28:HY28)</f>
        <v/>
      </c>
      <c r="F28" s="569">
        <f>IFERROR(IF($E28&gt;0.0000005,$E28/SUMIF($E$11:$E$140,"&gt;0.0000005"),""),"")</f>
        <v/>
      </c>
      <c r="G28" s="570" t="n"/>
      <c r="H28" s="570" t="n"/>
      <c r="I28" s="570" t="n"/>
      <c r="J28" s="570" t="n"/>
      <c r="K28" s="570" t="n"/>
      <c r="L28" s="570" t="n"/>
      <c r="M28" s="572" t="n"/>
      <c r="N28" s="53" t="n"/>
      <c r="O28" s="572" t="n"/>
      <c r="P28" s="572" t="n"/>
      <c r="Q28" s="572" t="n"/>
      <c r="R28" s="572" t="n"/>
      <c r="S28" s="572" t="n"/>
      <c r="T28" s="572" t="n"/>
      <c r="U28" s="573" t="n"/>
      <c r="V28" s="573" t="n"/>
      <c r="W28" s="572" t="n"/>
      <c r="X28" s="572" t="n">
        <v>0.25</v>
      </c>
      <c r="Y28" s="572" t="n"/>
      <c r="Z28" s="572" t="n"/>
      <c r="AA28" s="572" t="n"/>
      <c r="AB28" s="572" t="n"/>
      <c r="AC28" s="573" t="n"/>
      <c r="AD28" s="572" t="n"/>
      <c r="AE28" s="572" t="n"/>
      <c r="AF28" s="572" t="n"/>
      <c r="AG28" s="572" t="n"/>
      <c r="AH28" s="572" t="n"/>
      <c r="AI28" s="572" t="n"/>
      <c r="AJ28" s="572" t="n"/>
      <c r="AK28" s="572" t="n"/>
      <c r="AL28" s="572" t="n"/>
      <c r="AM28" s="572" t="n"/>
      <c r="AN28" s="572" t="n"/>
      <c r="AO28" s="572" t="n"/>
      <c r="AP28" s="572" t="n"/>
      <c r="AQ28" s="572" t="n"/>
      <c r="AR28" s="572" t="n"/>
      <c r="AS28" s="572" t="n"/>
      <c r="AT28" s="572" t="n"/>
      <c r="AU28" s="572" t="n"/>
      <c r="AV28" s="572" t="n"/>
      <c r="AW28" s="572" t="n"/>
      <c r="AX28" s="572" t="n"/>
      <c r="AY28" s="53" t="n"/>
      <c r="AZ28" s="572" t="n"/>
      <c r="BA28" s="572" t="n"/>
      <c r="BB28" s="572" t="n"/>
      <c r="BC28" s="572" t="n"/>
      <c r="BD28" s="572" t="n"/>
      <c r="BE28" s="572" t="n"/>
      <c r="BF28" s="572" t="n"/>
      <c r="BG28" s="572" t="n"/>
      <c r="BH28" s="572"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c r="FQ28" s="574" t="n"/>
      <c r="FR28" s="574" t="n"/>
      <c r="FS28" s="574" t="n"/>
      <c r="FT28" s="574" t="n"/>
      <c r="FU28" s="574" t="n"/>
      <c r="FV28" s="574" t="n"/>
      <c r="FW28" s="574" t="n"/>
      <c r="FX28" s="574" t="n"/>
      <c r="FY28" s="574" t="n"/>
      <c r="FZ28" s="574" t="n"/>
      <c r="GA28" s="574" t="n"/>
      <c r="GB28" s="574" t="n"/>
      <c r="GC28" s="574" t="n"/>
      <c r="GD28" s="574" t="n"/>
      <c r="GE28" s="574" t="n"/>
      <c r="GF28" s="574" t="n"/>
    </row>
    <row r="29" ht="24" customFormat="1" customHeight="1" s="568">
      <c r="A29" s="86" t="n"/>
      <c r="B29" s="85" t="n"/>
      <c r="C29" s="137">
        <f>IFERROR(IF(AND($E29&gt;0,$D29&lt;&gt;"The Public"),$E29/SUMIFS($E$10:$E$205,$E$10:$E$205,"&gt;0",$D$10:$D$205,"&lt;&gt;The Public")*$D$5,""),"")</f>
        <v/>
      </c>
      <c r="D29" s="323" t="inlineStr">
        <is>
          <t>First City National Bank of Midland, Trustee of the ETA-Flag Royalty Trust</t>
        </is>
      </c>
      <c r="E29" s="137">
        <f>SUM(G29:HY29)</f>
        <v/>
      </c>
      <c r="F29" s="569">
        <f>IFERROR(IF($E29&gt;0.0000005,$E29/SUMIF($E$11:$E$140,"&gt;0.0000005"),""),"")</f>
        <v/>
      </c>
      <c r="G29" s="570" t="n"/>
      <c r="H29" s="570" t="n"/>
      <c r="I29" s="570" t="n"/>
      <c r="J29" s="570" t="n"/>
      <c r="K29" s="570" t="n"/>
      <c r="L29" s="570" t="n"/>
      <c r="M29" s="572" t="n"/>
      <c r="N29" s="53" t="n"/>
      <c r="O29" s="572" t="n"/>
      <c r="P29" s="572" t="n"/>
      <c r="Q29" s="572" t="n"/>
      <c r="R29" s="572" t="n"/>
      <c r="S29" s="572" t="n"/>
      <c r="T29" s="572" t="n"/>
      <c r="U29" s="573" t="n"/>
      <c r="V29" s="573" t="n"/>
      <c r="W29" s="572" t="n"/>
      <c r="X29" s="572" t="n"/>
      <c r="Y29" s="572" t="n">
        <v>0.25</v>
      </c>
      <c r="Z29" s="572" t="n"/>
      <c r="AA29" s="572" t="n"/>
      <c r="AB29" s="572" t="n"/>
      <c r="AC29" s="572" t="n"/>
      <c r="AD29" s="572" t="n"/>
      <c r="AE29" s="572" t="n"/>
      <c r="AF29" s="572" t="n"/>
      <c r="AG29" s="572" t="n"/>
      <c r="AH29" s="572" t="n"/>
      <c r="AI29" s="572" t="n"/>
      <c r="AJ29" s="572" t="n"/>
      <c r="AK29" s="572" t="n"/>
      <c r="AL29" s="572" t="n"/>
      <c r="AM29" s="572" t="n"/>
      <c r="AN29" s="572" t="n"/>
      <c r="AO29" s="572" t="n"/>
      <c r="AP29" s="572" t="n"/>
      <c r="AQ29" s="572" t="n"/>
      <c r="AR29" s="572" t="n"/>
      <c r="AS29" s="572" t="n"/>
      <c r="AT29" s="572" t="n"/>
      <c r="AU29" s="572" t="n"/>
      <c r="AV29" s="572" t="n"/>
      <c r="AW29" s="572" t="n"/>
      <c r="AX29" s="572" t="n"/>
      <c r="AY29" s="53" t="n"/>
      <c r="AZ29" s="572" t="n"/>
      <c r="BA29" s="572" t="n"/>
      <c r="BB29" s="572" t="n"/>
      <c r="BC29" s="572" t="n"/>
      <c r="BD29" s="572" t="n"/>
      <c r="BE29" s="572" t="n"/>
      <c r="BF29" s="572" t="n"/>
      <c r="BG29" s="572" t="n"/>
      <c r="BH29" s="572"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c r="FQ29" s="574" t="n"/>
      <c r="FR29" s="574" t="n"/>
      <c r="FS29" s="574" t="n"/>
      <c r="FT29" s="574" t="n"/>
      <c r="FU29" s="574" t="n"/>
      <c r="FV29" s="574" t="n"/>
      <c r="FW29" s="574" t="n"/>
      <c r="FX29" s="574" t="n"/>
      <c r="FY29" s="574" t="n"/>
      <c r="FZ29" s="574" t="n"/>
      <c r="GA29" s="574" t="n"/>
      <c r="GB29" s="574" t="n"/>
      <c r="GC29" s="574" t="n"/>
      <c r="GD29" s="574" t="n"/>
      <c r="GE29" s="574" t="n"/>
      <c r="GF29" s="574" t="n"/>
    </row>
    <row r="30" customFormat="1" s="568">
      <c r="A30" s="86" t="n"/>
      <c r="B30" s="85" t="n"/>
      <c r="C30" s="137">
        <f>IFERROR(IF(AND($E30&gt;0,$D30&lt;&gt;"The Public"),$E30/SUMIFS($E$10:$E$205,$E$10:$E$205,"&gt;0",$D$10:$D$205,"&lt;&gt;The Public")*$D$5,""),"")</f>
        <v/>
      </c>
      <c r="D30" s="322" t="inlineStr">
        <is>
          <t>Nancy Mitchell Williams</t>
        </is>
      </c>
      <c r="E30" s="137">
        <f>SUM(G30:HY30)</f>
        <v/>
      </c>
      <c r="F30" s="569">
        <f>IFERROR(IF($E30&gt;0.0000005,$E30/SUMIF($E$11:$E$140,"&gt;0.0000005"),""),"")</f>
        <v/>
      </c>
      <c r="G30" s="570" t="n"/>
      <c r="H30" s="570" t="n"/>
      <c r="I30" s="570" t="n"/>
      <c r="J30" s="570" t="n"/>
      <c r="K30" s="570" t="n"/>
      <c r="L30" s="570" t="n"/>
      <c r="M30" s="572" t="n"/>
      <c r="N30" s="53" t="n"/>
      <c r="O30" s="572" t="n"/>
      <c r="P30" s="572" t="n"/>
      <c r="Q30" s="572" t="n"/>
      <c r="R30" s="572" t="n"/>
      <c r="S30" s="572" t="n"/>
      <c r="T30" s="572" t="n"/>
      <c r="U30" s="573" t="n"/>
      <c r="V30" s="573" t="n"/>
      <c r="W30" s="572" t="n"/>
      <c r="X30" s="572" t="n"/>
      <c r="Y30" s="572" t="n"/>
      <c r="Z30" s="572" t="n">
        <v>0.125</v>
      </c>
      <c r="AA30" s="572" t="n">
        <v>-0.125</v>
      </c>
      <c r="AB30" s="572" t="n"/>
      <c r="AC30" s="572" t="n"/>
      <c r="AD30" s="572" t="n"/>
      <c r="AE30" s="572" t="n"/>
      <c r="AF30" s="572" t="n"/>
      <c r="AG30" s="572" t="n"/>
      <c r="AH30" s="572" t="n"/>
      <c r="AI30" s="572" t="n"/>
      <c r="AJ30" s="572" t="n"/>
      <c r="AK30" s="572" t="n"/>
      <c r="AL30" s="572" t="n"/>
      <c r="AM30" s="572" t="n"/>
      <c r="AN30" s="572" t="n"/>
      <c r="AO30" s="572" t="n"/>
      <c r="AP30" s="572" t="n"/>
      <c r="AQ30" s="572" t="n"/>
      <c r="AR30" s="572" t="n"/>
      <c r="AS30" s="572" t="n"/>
      <c r="AT30" s="572" t="n"/>
      <c r="AU30" s="572" t="n"/>
      <c r="AV30" s="572" t="n"/>
      <c r="AW30" s="572" t="n"/>
      <c r="AX30" s="572" t="n"/>
      <c r="AY30" s="220" t="n"/>
      <c r="AZ30" s="572" t="n"/>
      <c r="BA30" s="572" t="n"/>
      <c r="BB30" s="572" t="n"/>
      <c r="BC30" s="572" t="n"/>
      <c r="BD30" s="572" t="n"/>
      <c r="BE30" s="572" t="n"/>
      <c r="BF30" s="572" t="n"/>
      <c r="BG30" s="572" t="n"/>
      <c r="BH30" s="572"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c r="FQ30" s="574" t="n"/>
      <c r="FR30" s="574" t="n"/>
      <c r="FS30" s="574" t="n"/>
      <c r="FT30" s="574" t="n"/>
      <c r="FU30" s="574" t="n"/>
      <c r="FV30" s="574" t="n"/>
      <c r="FW30" s="574" t="n"/>
      <c r="FX30" s="574" t="n"/>
      <c r="FY30" s="574" t="n"/>
      <c r="FZ30" s="574" t="n"/>
      <c r="GA30" s="574" t="n"/>
      <c r="GB30" s="574" t="n"/>
      <c r="GC30" s="574" t="n"/>
      <c r="GD30" s="574" t="n"/>
      <c r="GE30" s="574" t="n"/>
      <c r="GF30" s="574" t="n"/>
    </row>
    <row r="31" customFormat="1" s="568">
      <c r="A31" s="227" t="n"/>
      <c r="B31" s="87" t="n"/>
      <c r="C31" s="84">
        <f>IFERROR(IF(AND($E31&gt;0,$D31&lt;&gt;"The Public"),$E31/SUMIFS($E$10:$E$205,$E$10:$E$205,"&gt;0",$D$10:$D$205,"&lt;&gt;The Public")*$D$5,""),"")</f>
        <v/>
      </c>
      <c r="D31" s="323" t="inlineStr">
        <is>
          <t>Gene G. Williams</t>
        </is>
      </c>
      <c r="E31" s="84">
        <f>SUM(G31:HY31)</f>
        <v/>
      </c>
      <c r="F31" s="569">
        <f>IFERROR(IF($E31&gt;0.0000005,$E31/SUMIF($E$11:$E$140,"&gt;0.0000005"),""),"")</f>
        <v/>
      </c>
      <c r="G31" s="570" t="n"/>
      <c r="H31" s="570" t="n"/>
      <c r="I31" s="570" t="n"/>
      <c r="J31" s="570" t="n"/>
      <c r="K31" s="570" t="n"/>
      <c r="L31" s="570" t="n"/>
      <c r="M31" s="572" t="n"/>
      <c r="N31" s="220" t="n"/>
      <c r="O31" s="572" t="n"/>
      <c r="P31" s="572" t="n"/>
      <c r="Q31" s="572" t="n"/>
      <c r="R31" s="572" t="n"/>
      <c r="S31" s="572" t="n"/>
      <c r="T31" s="572" t="n"/>
      <c r="U31" s="572" t="n"/>
      <c r="V31" s="572" t="n"/>
      <c r="W31" s="572" t="n"/>
      <c r="X31" s="573" t="n"/>
      <c r="Y31" s="572" t="n"/>
      <c r="Z31" s="572" t="n"/>
      <c r="AA31" s="572" t="n">
        <v>0.125</v>
      </c>
      <c r="AB31" s="572" t="n"/>
      <c r="AC31" s="572" t="n"/>
      <c r="AD31" s="572" t="n"/>
      <c r="AE31" s="572" t="n"/>
      <c r="AF31" s="573" t="n"/>
      <c r="AG31" s="572" t="n"/>
      <c r="AH31" s="572" t="n"/>
      <c r="AI31" s="572" t="n"/>
      <c r="AJ31" s="572" t="n"/>
      <c r="AK31" s="572" t="n"/>
      <c r="AL31" s="572" t="n"/>
      <c r="AM31" s="572" t="n"/>
      <c r="AN31" s="572" t="n"/>
      <c r="AO31" s="572" t="n"/>
      <c r="AP31" s="572" t="n"/>
      <c r="AQ31" s="572" t="n"/>
      <c r="AR31" s="572" t="n"/>
      <c r="AS31" s="572" t="n"/>
      <c r="AT31" s="572" t="n"/>
      <c r="AU31" s="572" t="n"/>
      <c r="AV31" s="572" t="n"/>
      <c r="AW31" s="572" t="n"/>
      <c r="AX31" s="572" t="n"/>
      <c r="AY31" s="220" t="n"/>
      <c r="AZ31" s="572" t="n"/>
      <c r="BA31" s="572" t="n"/>
      <c r="BB31" s="572" t="n"/>
      <c r="BC31" s="572" t="n"/>
      <c r="BD31" s="572" t="n"/>
      <c r="BE31" s="572" t="n"/>
      <c r="BF31" s="572" t="n"/>
      <c r="BG31" s="572" t="n"/>
      <c r="BH31" s="572"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c r="FQ31" s="574" t="n"/>
      <c r="FR31" s="574" t="n"/>
      <c r="FS31" s="574" t="n"/>
      <c r="FT31" s="574" t="n"/>
      <c r="FU31" s="574" t="n"/>
      <c r="FV31" s="574" t="n"/>
      <c r="FW31" s="574" t="n"/>
      <c r="FX31" s="574" t="n"/>
      <c r="FY31" s="574" t="n"/>
      <c r="FZ31" s="574" t="n"/>
      <c r="GA31" s="574" t="n"/>
      <c r="GB31" s="574" t="n"/>
      <c r="GC31" s="574" t="n"/>
      <c r="GD31" s="574" t="n"/>
      <c r="GE31" s="574" t="n"/>
      <c r="GF31" s="574" t="n"/>
    </row>
    <row r="32" ht="36" customFormat="1" customHeight="1" s="568">
      <c r="A32" s="227" t="n"/>
      <c r="B32" s="87" t="n"/>
      <c r="C32" s="137">
        <f>IFERROR(IF(AND($E32&gt;0,$D32&lt;&gt;"The Public"),$E32/SUMIFS($E$10:$E$205,$E$10:$E$205,"&gt;0",$D$10:$D$205,"&lt;&gt;The Public")*$D$5,""),"")</f>
        <v/>
      </c>
      <c r="D32" s="324" t="inlineStr">
        <is>
          <t>James Gerard Buonaccorsi,
Mitchell-Buonaccorsi Living Trust,
Carrie Leeann Mitchell, Trustee</t>
        </is>
      </c>
      <c r="E32" s="137">
        <f>SUM(G32:HY32)</f>
        <v/>
      </c>
      <c r="F32" s="569">
        <f>IFERROR(IF($E32&gt;0.0000005,$E32/SUMIF($E$11:$E$140,"&gt;0.0000005"),""),"")</f>
        <v/>
      </c>
      <c r="G32" s="570" t="n"/>
      <c r="H32" s="570" t="n"/>
      <c r="I32" s="570" t="n"/>
      <c r="J32" s="570" t="n"/>
      <c r="K32" s="570" t="n"/>
      <c r="L32" s="570" t="n"/>
      <c r="M32" s="572" t="n"/>
      <c r="N32" s="220" t="n"/>
      <c r="O32" s="572" t="n"/>
      <c r="P32" s="572" t="n"/>
      <c r="Q32" s="572" t="n"/>
      <c r="R32" s="572" t="n"/>
      <c r="S32" s="572" t="n"/>
      <c r="T32" s="572" t="n"/>
      <c r="U32" s="572" t="n"/>
      <c r="V32" s="572" t="n"/>
      <c r="W32" s="572" t="n"/>
      <c r="X32" s="572" t="n"/>
      <c r="Y32" s="573" t="n"/>
      <c r="Z32" s="572" t="n"/>
      <c r="AA32" s="572" t="n"/>
      <c r="AB32" s="572" t="n">
        <v>0.125</v>
      </c>
      <c r="AC32" s="572" t="n"/>
      <c r="AD32" s="572" t="n"/>
      <c r="AE32" s="572" t="n"/>
      <c r="AF32" s="572" t="n"/>
      <c r="AG32" s="573" t="n"/>
      <c r="AH32" s="572" t="n"/>
      <c r="AI32" s="572" t="n"/>
      <c r="AJ32" s="572" t="n"/>
      <c r="AK32" s="572" t="n"/>
      <c r="AL32" s="572" t="n"/>
      <c r="AM32" s="572" t="n"/>
      <c r="AN32" s="572" t="n"/>
      <c r="AO32" s="572" t="n"/>
      <c r="AP32" s="572" t="n"/>
      <c r="AQ32" s="572" t="n"/>
      <c r="AR32" s="572" t="n"/>
      <c r="AS32" s="572" t="n"/>
      <c r="AT32" s="572" t="n"/>
      <c r="AU32" s="572" t="n"/>
      <c r="AV32" s="572" t="n"/>
      <c r="AW32" s="572" t="n"/>
      <c r="AX32" s="572" t="n"/>
      <c r="AY32" s="220" t="n"/>
      <c r="AZ32" s="572" t="n"/>
      <c r="BA32" s="572" t="n"/>
      <c r="BB32" s="572" t="n"/>
      <c r="BC32" s="572" t="n"/>
      <c r="BD32" s="572" t="n"/>
      <c r="BE32" s="572" t="n"/>
      <c r="BF32" s="572" t="n"/>
      <c r="BG32" s="572" t="n"/>
      <c r="BH32" s="572" t="n"/>
      <c r="BI32" s="574" t="n"/>
      <c r="BJ32" s="574" t="n"/>
      <c r="BK32" s="574" t="n"/>
      <c r="BL32" s="574" t="n"/>
      <c r="BM32" s="574" t="n"/>
      <c r="BN32" s="574" t="n"/>
      <c r="BO32" s="574" t="n"/>
      <c r="BP32" s="574" t="n"/>
      <c r="BQ32" s="574" t="n"/>
      <c r="BR32" s="574" t="n"/>
      <c r="BS32" s="574" t="n"/>
      <c r="BT32" s="574" t="n"/>
      <c r="BU32" s="574" t="n"/>
      <c r="BV32" s="574" t="n"/>
      <c r="BW32" s="574" t="n"/>
      <c r="BX32" s="574" t="n"/>
      <c r="BY32" s="574" t="n"/>
      <c r="BZ32" s="574" t="n"/>
      <c r="CA32" s="574" t="n"/>
      <c r="CB32" s="574" t="n"/>
      <c r="CC32" s="574" t="n"/>
      <c r="CD32" s="574" t="n"/>
      <c r="CE32" s="574" t="n"/>
      <c r="CF32" s="574" t="n"/>
      <c r="CG32" s="574" t="n"/>
      <c r="CH32" s="574" t="n"/>
      <c r="CI32" s="574" t="n"/>
      <c r="CJ32" s="574" t="n"/>
      <c r="CK32" s="574" t="n"/>
      <c r="CL32" s="574" t="n"/>
      <c r="CM32" s="574" t="n"/>
      <c r="CN32" s="574" t="n"/>
      <c r="CO32" s="574" t="n"/>
      <c r="CP32" s="574" t="n"/>
      <c r="CQ32" s="574" t="n"/>
      <c r="CR32" s="574" t="n"/>
      <c r="CS32" s="574" t="n"/>
      <c r="CT32" s="574" t="n"/>
      <c r="CU32" s="574" t="n"/>
      <c r="CV32" s="574" t="n"/>
      <c r="CW32" s="574" t="n"/>
      <c r="CX32" s="574" t="n"/>
      <c r="CY32" s="574" t="n"/>
      <c r="CZ32" s="574" t="n"/>
      <c r="DA32" s="574" t="n"/>
      <c r="DB32" s="574" t="n"/>
      <c r="DC32" s="574" t="n"/>
      <c r="DD32" s="574" t="n"/>
      <c r="DE32" s="574" t="n"/>
      <c r="DF32" s="574" t="n"/>
      <c r="DG32" s="574" t="n"/>
      <c r="DH32" s="574" t="n"/>
      <c r="DI32" s="574" t="n"/>
      <c r="DJ32" s="574" t="n"/>
      <c r="DK32" s="574" t="n"/>
      <c r="DL32" s="574" t="n"/>
      <c r="DM32" s="574" t="n"/>
      <c r="DN32" s="574" t="n"/>
      <c r="DO32" s="574" t="n"/>
      <c r="DP32" s="574" t="n"/>
      <c r="DQ32" s="574" t="n"/>
      <c r="DR32" s="574" t="n"/>
      <c r="DS32" s="574" t="n"/>
      <c r="DT32" s="574" t="n"/>
      <c r="DU32" s="574" t="n"/>
      <c r="DV32" s="574" t="n"/>
      <c r="DW32" s="574" t="n"/>
      <c r="DX32" s="574" t="n"/>
      <c r="DY32" s="574" t="n"/>
      <c r="DZ32" s="574" t="n"/>
      <c r="EA32" s="574" t="n"/>
      <c r="EB32" s="574" t="n"/>
      <c r="EC32" s="574" t="n"/>
      <c r="ED32" s="574" t="n"/>
      <c r="EE32" s="574" t="n"/>
      <c r="EF32" s="574" t="n"/>
      <c r="EG32" s="574" t="n"/>
      <c r="EH32" s="574" t="n"/>
      <c r="EI32" s="574" t="n"/>
      <c r="EJ32" s="574" t="n"/>
      <c r="EK32" s="574" t="n"/>
      <c r="EL32" s="574" t="n"/>
      <c r="EM32" s="574" t="n"/>
      <c r="EN32" s="574" t="n"/>
      <c r="EO32" s="574" t="n"/>
      <c r="EP32" s="574" t="n"/>
      <c r="EQ32" s="574" t="n"/>
      <c r="ER32" s="574" t="n"/>
      <c r="ES32" s="574" t="n"/>
      <c r="ET32" s="574" t="n"/>
      <c r="EU32" s="574" t="n"/>
      <c r="EV32" s="574" t="n"/>
      <c r="EW32" s="574" t="n"/>
      <c r="EX32" s="574" t="n"/>
      <c r="EY32" s="574" t="n"/>
      <c r="EZ32" s="574" t="n"/>
      <c r="FA32" s="574" t="n"/>
      <c r="FB32" s="574" t="n"/>
      <c r="FC32" s="574" t="n"/>
      <c r="FD32" s="574" t="n"/>
      <c r="FE32" s="574" t="n"/>
      <c r="FF32" s="574" t="n"/>
      <c r="FG32" s="574" t="n"/>
      <c r="FH32" s="574" t="n"/>
      <c r="FI32" s="574" t="n"/>
      <c r="FJ32" s="574" t="n"/>
      <c r="FK32" s="574" t="n"/>
      <c r="FL32" s="574" t="n"/>
      <c r="FM32" s="574" t="n"/>
      <c r="FN32" s="574" t="n"/>
      <c r="FO32" s="574" t="n"/>
      <c r="FP32" s="574" t="n"/>
      <c r="FQ32" s="574" t="n"/>
      <c r="FR32" s="574" t="n"/>
      <c r="FS32" s="574" t="n"/>
      <c r="FT32" s="574" t="n"/>
      <c r="FU32" s="574" t="n"/>
      <c r="FV32" s="574" t="n"/>
      <c r="FW32" s="574" t="n"/>
      <c r="FX32" s="574" t="n"/>
      <c r="FY32" s="574" t="n"/>
      <c r="FZ32" s="574" t="n"/>
      <c r="GA32" s="574" t="n"/>
      <c r="GB32" s="574" t="n"/>
      <c r="GC32" s="574" t="n"/>
      <c r="GD32" s="574" t="n"/>
      <c r="GE32" s="574" t="n"/>
      <c r="GF32" s="574" t="n"/>
    </row>
    <row r="33" customFormat="1" s="568">
      <c r="A33" s="227" t="n"/>
      <c r="B33" s="87" t="n"/>
      <c r="C33" s="137">
        <f>IFERROR(IF(AND($E33&gt;0,$D33&lt;&gt;"The Public"),$E33/SUMIFS($E$10:$E$205,$E$10:$E$205,"&gt;0",$D$10:$D$205,"&lt;&gt;The Public")*$D$5,""),"")</f>
        <v/>
      </c>
      <c r="D33" s="323" t="inlineStr">
        <is>
          <t>Ronald Paul Dold</t>
        </is>
      </c>
      <c r="E33" s="137">
        <f>SUM(G33:HY33)</f>
        <v/>
      </c>
      <c r="F33" s="569">
        <f>IFERROR(IF($E33&gt;0.0000005,$E33/SUMIF($E$11:$E$140,"&gt;0.0000005"),""),"")</f>
        <v/>
      </c>
      <c r="G33" s="570" t="n"/>
      <c r="H33" s="570" t="n"/>
      <c r="I33" s="570" t="n"/>
      <c r="J33" s="570" t="n"/>
      <c r="K33" s="570" t="n"/>
      <c r="L33" s="570" t="n"/>
      <c r="M33" s="572" t="n"/>
      <c r="N33" s="220" t="n"/>
      <c r="O33" s="572" t="n"/>
      <c r="P33" s="572" t="n"/>
      <c r="Q33" s="572" t="n"/>
      <c r="R33" s="572" t="n"/>
      <c r="S33" s="572" t="n"/>
      <c r="T33" s="572" t="n"/>
      <c r="U33" s="572" t="n"/>
      <c r="V33" s="572" t="n"/>
      <c r="W33" s="572" t="n"/>
      <c r="X33" s="572" t="n"/>
      <c r="Y33" s="572" t="n"/>
      <c r="Z33" s="573" t="n"/>
      <c r="AA33" s="572" t="n"/>
      <c r="AB33" s="572" t="n"/>
      <c r="AC33" s="572" t="n">
        <v>0.125</v>
      </c>
      <c r="AD33" s="572" t="n"/>
      <c r="AE33" s="572" t="n"/>
      <c r="AF33" s="572" t="n"/>
      <c r="AG33" s="572" t="n"/>
      <c r="AH33" s="572" t="n"/>
      <c r="AI33" s="572" t="n"/>
      <c r="AJ33" s="572" t="n"/>
      <c r="AK33" s="572" t="n"/>
      <c r="AL33" s="572" t="n"/>
      <c r="AM33" s="572" t="n"/>
      <c r="AN33" s="572" t="n"/>
      <c r="AO33" s="572" t="n"/>
      <c r="AP33" s="572" t="n"/>
      <c r="AQ33" s="572" t="n"/>
      <c r="AR33" s="572" t="n"/>
      <c r="AS33" s="572" t="n"/>
      <c r="AT33" s="572" t="n"/>
      <c r="AU33" s="572" t="n"/>
      <c r="AV33" s="572" t="n"/>
      <c r="AW33" s="572" t="n"/>
      <c r="AX33" s="572" t="n"/>
      <c r="AY33" s="572" t="n"/>
      <c r="AZ33" s="572" t="n"/>
      <c r="BA33" s="572" t="n"/>
      <c r="BB33" s="572" t="n"/>
      <c r="BC33" s="572" t="n"/>
      <c r="BD33" s="572" t="n"/>
      <c r="BE33" s="572" t="n"/>
      <c r="BF33" s="572" t="n"/>
      <c r="BG33" s="572" t="n"/>
      <c r="BH33" s="572" t="n"/>
      <c r="BI33" s="574" t="n"/>
      <c r="BJ33" s="574" t="n"/>
      <c r="BK33" s="574" t="n"/>
      <c r="BL33" s="574" t="n"/>
      <c r="BM33" s="574" t="n"/>
      <c r="BN33" s="574" t="n"/>
      <c r="BO33" s="574" t="n"/>
      <c r="BP33" s="574" t="n"/>
      <c r="BQ33" s="574" t="n"/>
      <c r="BR33" s="574" t="n"/>
      <c r="BS33" s="574" t="n"/>
      <c r="BT33" s="574" t="n"/>
      <c r="BU33" s="574" t="n"/>
      <c r="BV33" s="574" t="n"/>
      <c r="BW33" s="574" t="n"/>
      <c r="BX33" s="574" t="n"/>
      <c r="BY33" s="574" t="n"/>
      <c r="BZ33" s="574" t="n"/>
      <c r="CA33" s="574" t="n"/>
      <c r="CB33" s="574" t="n"/>
      <c r="CC33" s="574" t="n"/>
      <c r="CD33" s="574" t="n"/>
      <c r="CE33" s="574" t="n"/>
      <c r="CF33" s="574" t="n"/>
      <c r="CG33" s="574" t="n"/>
      <c r="CH33" s="574" t="n"/>
      <c r="CI33" s="574" t="n"/>
      <c r="CJ33" s="574" t="n"/>
      <c r="CK33" s="574" t="n"/>
      <c r="CL33" s="574" t="n"/>
      <c r="CM33" s="574" t="n"/>
      <c r="CN33" s="574" t="n"/>
      <c r="CO33" s="574" t="n"/>
      <c r="CP33" s="574" t="n"/>
      <c r="CQ33" s="574" t="n"/>
      <c r="CR33" s="574" t="n"/>
      <c r="CS33" s="574" t="n"/>
      <c r="CT33" s="574" t="n"/>
      <c r="CU33" s="574" t="n"/>
      <c r="CV33" s="574" t="n"/>
      <c r="CW33" s="574" t="n"/>
      <c r="CX33" s="574" t="n"/>
      <c r="CY33" s="574" t="n"/>
      <c r="CZ33" s="574" t="n"/>
      <c r="DA33" s="574" t="n"/>
      <c r="DB33" s="574" t="n"/>
      <c r="DC33" s="574" t="n"/>
      <c r="DD33" s="574" t="n"/>
      <c r="DE33" s="574" t="n"/>
      <c r="DF33" s="574" t="n"/>
      <c r="DG33" s="574" t="n"/>
      <c r="DH33" s="574" t="n"/>
      <c r="DI33" s="574" t="n"/>
      <c r="DJ33" s="574" t="n"/>
      <c r="DK33" s="574" t="n"/>
      <c r="DL33" s="574" t="n"/>
      <c r="DM33" s="574" t="n"/>
      <c r="DN33" s="574" t="n"/>
      <c r="DO33" s="574" t="n"/>
      <c r="DP33" s="574" t="n"/>
      <c r="DQ33" s="574" t="n"/>
      <c r="DR33" s="574" t="n"/>
      <c r="DS33" s="574" t="n"/>
      <c r="DT33" s="574" t="n"/>
      <c r="DU33" s="574" t="n"/>
      <c r="DV33" s="574" t="n"/>
      <c r="DW33" s="574" t="n"/>
      <c r="DX33" s="574" t="n"/>
      <c r="DY33" s="574" t="n"/>
      <c r="DZ33" s="574" t="n"/>
      <c r="EA33" s="574" t="n"/>
      <c r="EB33" s="574" t="n"/>
      <c r="EC33" s="574" t="n"/>
      <c r="ED33" s="574" t="n"/>
      <c r="EE33" s="574" t="n"/>
      <c r="EF33" s="574" t="n"/>
      <c r="EG33" s="574" t="n"/>
      <c r="EH33" s="574" t="n"/>
      <c r="EI33" s="574" t="n"/>
      <c r="EJ33" s="574" t="n"/>
      <c r="EK33" s="574" t="n"/>
      <c r="EL33" s="574" t="n"/>
      <c r="EM33" s="574" t="n"/>
      <c r="EN33" s="574" t="n"/>
      <c r="EO33" s="574" t="n"/>
      <c r="EP33" s="574" t="n"/>
      <c r="EQ33" s="574" t="n"/>
      <c r="ER33" s="574" t="n"/>
      <c r="ES33" s="574" t="n"/>
      <c r="ET33" s="574" t="n"/>
      <c r="EU33" s="574" t="n"/>
      <c r="EV33" s="574" t="n"/>
      <c r="EW33" s="574" t="n"/>
      <c r="EX33" s="574" t="n"/>
      <c r="EY33" s="574" t="n"/>
      <c r="EZ33" s="574" t="n"/>
      <c r="FA33" s="574" t="n"/>
      <c r="FB33" s="574" t="n"/>
      <c r="FC33" s="574" t="n"/>
      <c r="FD33" s="574" t="n"/>
      <c r="FE33" s="574" t="n"/>
      <c r="FF33" s="574" t="n"/>
      <c r="FG33" s="574" t="n"/>
      <c r="FH33" s="574" t="n"/>
      <c r="FI33" s="574" t="n"/>
      <c r="FJ33" s="574" t="n"/>
      <c r="FK33" s="574" t="n"/>
      <c r="FL33" s="574" t="n"/>
      <c r="FM33" s="574" t="n"/>
      <c r="FN33" s="574" t="n"/>
      <c r="FO33" s="574" t="n"/>
      <c r="FP33" s="574" t="n"/>
      <c r="FQ33" s="574" t="n"/>
      <c r="FR33" s="574" t="n"/>
      <c r="FS33" s="574" t="n"/>
      <c r="FT33" s="574" t="n"/>
      <c r="FU33" s="574" t="n"/>
      <c r="FV33" s="574" t="n"/>
      <c r="FW33" s="574" t="n"/>
      <c r="FX33" s="574" t="n"/>
      <c r="FY33" s="574" t="n"/>
      <c r="FZ33" s="574" t="n"/>
      <c r="GA33" s="574" t="n"/>
      <c r="GB33" s="574" t="n"/>
      <c r="GC33" s="574" t="n"/>
      <c r="GD33" s="574" t="n"/>
      <c r="GE33" s="574" t="n"/>
      <c r="GF33" s="574" t="n"/>
    </row>
    <row r="34" ht="36" customFormat="1" customHeight="1" s="568">
      <c r="A34" s="227" t="n"/>
      <c r="B34" s="87" t="n"/>
      <c r="C34" s="84">
        <f>IFERROR(IF(AND($E34&gt;0,$D34&lt;&gt;"The Public"),$E34/SUMIFS($E$10:$E$205,$E$10:$E$205,"&gt;0",$D$10:$D$205,"&lt;&gt;The Public")*$D$5,""),"")</f>
        <v/>
      </c>
      <c r="D34" s="323" t="inlineStr">
        <is>
          <t>Gena W. Moore, a/k/a Gena Mitchell
William, a/k/a Gena Williams, a/k/a
Gena Willams Moore</t>
        </is>
      </c>
      <c r="E34" s="84">
        <f>SUM(G34:HY34)</f>
        <v/>
      </c>
      <c r="F34" s="569">
        <f>IFERROR(IF($E34&gt;0.0000005,$E34/SUMIF($E$11:$E$140,"&gt;0.0000005"),""),"")</f>
        <v/>
      </c>
      <c r="G34" s="570" t="n"/>
      <c r="H34" s="570" t="n"/>
      <c r="I34" s="570" t="n"/>
      <c r="J34" s="570" t="n"/>
      <c r="K34" s="570" t="n"/>
      <c r="L34" s="570" t="n"/>
      <c r="M34" s="572" t="n"/>
      <c r="N34" s="572" t="n"/>
      <c r="O34" s="572" t="n"/>
      <c r="P34" s="572" t="n"/>
      <c r="Q34" s="572" t="n"/>
      <c r="R34" s="572" t="n"/>
      <c r="S34" s="572" t="n"/>
      <c r="T34" s="572" t="n"/>
      <c r="U34" s="572" t="n"/>
      <c r="V34" s="572" t="n"/>
      <c r="W34" s="572" t="n"/>
      <c r="X34" s="572" t="n"/>
      <c r="Y34" s="572" t="n"/>
      <c r="Z34" s="572" t="n"/>
      <c r="AA34" s="572" t="n"/>
      <c r="AB34" s="572" t="n"/>
      <c r="AC34" s="572" t="n"/>
      <c r="AD34" s="572" t="n">
        <v>0.125</v>
      </c>
      <c r="AE34" s="572" t="n"/>
      <c r="AF34" s="572" t="n"/>
      <c r="AG34" s="572" t="n"/>
      <c r="AH34" s="572" t="n"/>
      <c r="AI34" s="572" t="n"/>
      <c r="AJ34" s="572" t="n"/>
      <c r="AK34" s="572" t="n"/>
      <c r="AL34" s="572" t="n"/>
      <c r="AM34" s="572" t="n"/>
      <c r="AN34" s="572" t="n"/>
      <c r="AO34" s="572" t="n"/>
      <c r="AP34" s="572" t="n"/>
      <c r="AQ34" s="572" t="n"/>
      <c r="AR34" s="572" t="n"/>
      <c r="AS34" s="572" t="n"/>
      <c r="AT34" s="572" t="n"/>
      <c r="AU34" s="572" t="n"/>
      <c r="AV34" s="572" t="n"/>
      <c r="AW34" s="572" t="n"/>
      <c r="AX34" s="572" t="n"/>
      <c r="AY34" s="572" t="n"/>
      <c r="AZ34" s="572" t="n"/>
      <c r="BA34" s="572" t="n"/>
      <c r="BB34" s="572" t="n"/>
      <c r="BC34" s="572" t="n"/>
      <c r="BD34" s="572" t="n"/>
      <c r="BE34" s="572" t="n"/>
      <c r="BF34" s="572" t="n"/>
      <c r="BG34" s="572" t="n"/>
      <c r="BH34" s="572" t="n"/>
      <c r="BI34" s="574" t="n"/>
      <c r="BJ34" s="574" t="n"/>
      <c r="BK34" s="574" t="n"/>
      <c r="BL34" s="574" t="n"/>
      <c r="BM34" s="574" t="n"/>
      <c r="BN34" s="574" t="n"/>
      <c r="BO34" s="574" t="n"/>
      <c r="BP34" s="574" t="n"/>
      <c r="BQ34" s="574" t="n"/>
      <c r="BR34" s="574" t="n"/>
      <c r="BS34" s="574" t="n"/>
      <c r="BT34" s="574" t="n"/>
      <c r="BU34" s="574" t="n"/>
      <c r="BV34" s="574" t="n"/>
      <c r="BW34" s="574" t="n"/>
      <c r="BX34" s="574" t="n"/>
      <c r="BY34" s="574" t="n"/>
      <c r="BZ34" s="574" t="n"/>
      <c r="CA34" s="574" t="n"/>
      <c r="CB34" s="574" t="n"/>
      <c r="CC34" s="574" t="n"/>
      <c r="CD34" s="574" t="n"/>
      <c r="CE34" s="574" t="n"/>
      <c r="CF34" s="574" t="n"/>
      <c r="CG34" s="574" t="n"/>
      <c r="CH34" s="574" t="n"/>
      <c r="CI34" s="574" t="n"/>
      <c r="CJ34" s="574" t="n"/>
      <c r="CK34" s="574" t="n"/>
      <c r="CL34" s="574" t="n"/>
      <c r="CM34" s="574" t="n"/>
      <c r="CN34" s="574" t="n"/>
      <c r="CO34" s="574" t="n"/>
      <c r="CP34" s="574" t="n"/>
      <c r="CQ34" s="574" t="n"/>
      <c r="CR34" s="574" t="n"/>
      <c r="CS34" s="574" t="n"/>
      <c r="CT34" s="574" t="n"/>
      <c r="CU34" s="574" t="n"/>
      <c r="CV34" s="574" t="n"/>
      <c r="CW34" s="574" t="n"/>
      <c r="CX34" s="574" t="n"/>
      <c r="CY34" s="574" t="n"/>
      <c r="CZ34" s="574" t="n"/>
      <c r="DA34" s="574" t="n"/>
      <c r="DB34" s="574" t="n"/>
      <c r="DC34" s="574" t="n"/>
      <c r="DD34" s="574" t="n"/>
      <c r="DE34" s="574" t="n"/>
      <c r="DF34" s="574" t="n"/>
      <c r="DG34" s="574" t="n"/>
      <c r="DH34" s="574" t="n"/>
      <c r="DI34" s="574" t="n"/>
      <c r="DJ34" s="574" t="n"/>
      <c r="DK34" s="574" t="n"/>
      <c r="DL34" s="574" t="n"/>
      <c r="DM34" s="574" t="n"/>
      <c r="DN34" s="574" t="n"/>
      <c r="DO34" s="574" t="n"/>
      <c r="DP34" s="574" t="n"/>
      <c r="DQ34" s="574" t="n"/>
      <c r="DR34" s="574" t="n"/>
      <c r="DS34" s="574" t="n"/>
      <c r="DT34" s="574" t="n"/>
      <c r="DU34" s="574" t="n"/>
      <c r="DV34" s="574" t="n"/>
      <c r="DW34" s="574" t="n"/>
      <c r="DX34" s="574" t="n"/>
      <c r="DY34" s="574" t="n"/>
      <c r="DZ34" s="574" t="n"/>
      <c r="EA34" s="574" t="n"/>
      <c r="EB34" s="574" t="n"/>
      <c r="EC34" s="574" t="n"/>
      <c r="ED34" s="574" t="n"/>
      <c r="EE34" s="574" t="n"/>
      <c r="EF34" s="574" t="n"/>
      <c r="EG34" s="574" t="n"/>
      <c r="EH34" s="574" t="n"/>
      <c r="EI34" s="574" t="n"/>
      <c r="EJ34" s="574" t="n"/>
      <c r="EK34" s="574" t="n"/>
      <c r="EL34" s="574" t="n"/>
      <c r="EM34" s="574" t="n"/>
      <c r="EN34" s="574" t="n"/>
      <c r="EO34" s="574" t="n"/>
      <c r="EP34" s="574" t="n"/>
      <c r="EQ34" s="574" t="n"/>
      <c r="ER34" s="574" t="n"/>
      <c r="ES34" s="574" t="n"/>
      <c r="ET34" s="574" t="n"/>
      <c r="EU34" s="574" t="n"/>
      <c r="EV34" s="574" t="n"/>
      <c r="EW34" s="574" t="n"/>
      <c r="EX34" s="574" t="n"/>
      <c r="EY34" s="574" t="n"/>
      <c r="EZ34" s="574" t="n"/>
      <c r="FA34" s="574" t="n"/>
      <c r="FB34" s="574" t="n"/>
      <c r="FC34" s="574" t="n"/>
      <c r="FD34" s="574" t="n"/>
      <c r="FE34" s="574" t="n"/>
      <c r="FF34" s="574" t="n"/>
      <c r="FG34" s="574" t="n"/>
      <c r="FH34" s="574" t="n"/>
      <c r="FI34" s="574" t="n"/>
      <c r="FJ34" s="574" t="n"/>
      <c r="FK34" s="574" t="n"/>
      <c r="FL34" s="574" t="n"/>
      <c r="FM34" s="574" t="n"/>
      <c r="FN34" s="574" t="n"/>
      <c r="FO34" s="574" t="n"/>
      <c r="FP34" s="574" t="n"/>
      <c r="FQ34" s="574" t="n"/>
      <c r="FR34" s="574" t="n"/>
      <c r="FS34" s="574" t="n"/>
      <c r="FT34" s="574" t="n"/>
      <c r="FU34" s="574" t="n"/>
      <c r="FV34" s="574" t="n"/>
      <c r="FW34" s="574" t="n"/>
      <c r="FX34" s="574" t="n"/>
      <c r="FY34" s="574" t="n"/>
      <c r="FZ34" s="574" t="n"/>
      <c r="GA34" s="574" t="n"/>
      <c r="GB34" s="574" t="n"/>
      <c r="GC34" s="574" t="n"/>
      <c r="GD34" s="574" t="n"/>
      <c r="GE34" s="574" t="n"/>
      <c r="GF34" s="574" t="n"/>
    </row>
    <row r="35" customFormat="1" s="568">
      <c r="A35" s="227" t="n"/>
      <c r="B35" s="87" t="n"/>
      <c r="C35" s="84">
        <f>IFERROR(IF(AND($E35&gt;0,$D35&lt;&gt;"The Public"),$E35/SUMIFS($E$10:$E$205,$E$10:$E$205,"&gt;0",$D$10:$D$205,"&lt;&gt;The Public")*$D$5,""),"")</f>
        <v/>
      </c>
      <c r="D35" s="52" t="n"/>
      <c r="E35" s="84">
        <f>SUM(G35:HY35)</f>
        <v/>
      </c>
      <c r="F35" s="569">
        <f>IFERROR(IF($E35&gt;0.0000005,$E35/SUMIF($E$11:$E$140,"&gt;0.0000005"),""),"")</f>
        <v/>
      </c>
      <c r="G35" s="570" t="n"/>
      <c r="H35" s="570" t="n"/>
      <c r="I35" s="570" t="n"/>
      <c r="J35" s="570" t="n"/>
      <c r="K35" s="570" t="n"/>
      <c r="L35" s="570" t="n"/>
      <c r="M35" s="572" t="n"/>
      <c r="N35" s="572" t="n"/>
      <c r="O35" s="572" t="n"/>
      <c r="P35" s="572" t="n"/>
      <c r="Q35" s="572" t="n"/>
      <c r="R35" s="572" t="n"/>
      <c r="S35" s="572" t="n"/>
      <c r="T35" s="572" t="n"/>
      <c r="U35" s="572" t="n"/>
      <c r="V35" s="572" t="n"/>
      <c r="W35" s="572" t="n"/>
      <c r="X35" s="572" t="n"/>
      <c r="Y35" s="572" t="n"/>
      <c r="Z35" s="572" t="n"/>
      <c r="AA35" s="572" t="n"/>
      <c r="AB35" s="573" t="n"/>
      <c r="AC35" s="572" t="n"/>
      <c r="AD35" s="572" t="n"/>
      <c r="AE35" s="572" t="n"/>
      <c r="AF35" s="572" t="n"/>
      <c r="AG35" s="572" t="n"/>
      <c r="AH35" s="572" t="n"/>
      <c r="AI35" s="572" t="n"/>
      <c r="AJ35" s="572" t="n"/>
      <c r="AK35" s="572" t="n"/>
      <c r="AL35" s="572" t="n"/>
      <c r="AM35" s="572" t="n"/>
      <c r="AN35" s="572" t="n"/>
      <c r="AO35" s="572" t="n"/>
      <c r="AP35" s="572" t="n"/>
      <c r="AQ35" s="572" t="n"/>
      <c r="AR35" s="572" t="n"/>
      <c r="AS35" s="572" t="n"/>
      <c r="AT35" s="572" t="n"/>
      <c r="AU35" s="572" t="n"/>
      <c r="AV35" s="572" t="n"/>
      <c r="AW35" s="572" t="n"/>
      <c r="AX35" s="572" t="n"/>
      <c r="AY35" s="572" t="n"/>
      <c r="AZ35" s="572" t="n"/>
      <c r="BA35" s="572" t="n"/>
      <c r="BB35" s="572" t="n"/>
      <c r="BC35" s="572" t="n"/>
      <c r="BD35" s="572" t="n"/>
      <c r="BE35" s="572" t="n"/>
      <c r="BF35" s="572" t="n"/>
      <c r="BG35" s="572" t="n"/>
      <c r="BH35" s="572"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c r="C36" s="84">
        <f>IFERROR(IF(AND($E36&gt;0,$D36&lt;&gt;"The Public"),$E36/SUMIFS($E$10:$E$205,$E$10:$E$205,"&gt;0",$D$10:$D$205,"&lt;&gt;The Public")*$D$5,""),"")</f>
        <v/>
      </c>
      <c r="D36" s="177" t="n"/>
      <c r="E36" s="84">
        <f>SUM(G36:HY36)</f>
        <v/>
      </c>
      <c r="F36" s="569">
        <f>IFERROR(IF($E36&gt;0.0000005,$E36/SUMIF($E$11:$E$140,"&gt;0.0000005"),""),"")</f>
        <v/>
      </c>
      <c r="G36" s="570" t="n"/>
      <c r="H36" s="570" t="n"/>
      <c r="I36" s="570" t="n"/>
      <c r="J36" s="570" t="n"/>
      <c r="K36" s="570" t="n"/>
      <c r="L36" s="570" t="n"/>
      <c r="M36" s="572" t="n"/>
      <c r="N36" s="572" t="n"/>
      <c r="O36" s="572" t="n"/>
      <c r="P36" s="572" t="n"/>
      <c r="Q36" s="572" t="n"/>
      <c r="R36" s="572" t="n"/>
      <c r="S36" s="572" t="n"/>
      <c r="T36" s="572" t="n"/>
      <c r="U36" s="572" t="n"/>
      <c r="V36" s="572" t="n"/>
      <c r="W36" s="572" t="n"/>
      <c r="X36" s="572" t="n"/>
      <c r="Y36" s="572" t="n"/>
      <c r="Z36" s="572" t="n"/>
      <c r="AA36" s="572" t="n"/>
      <c r="AB36" s="573" t="n"/>
      <c r="AC36" s="572" t="n"/>
      <c r="AD36" s="572" t="n"/>
      <c r="AE36" s="572" t="n"/>
      <c r="AF36" s="572" t="n"/>
      <c r="AG36" s="572" t="n"/>
      <c r="AH36" s="572" t="n"/>
      <c r="AI36" s="572" t="n"/>
      <c r="AJ36" s="572" t="n"/>
      <c r="AK36" s="572" t="n"/>
      <c r="AL36" s="572" t="n"/>
      <c r="AM36" s="572" t="n"/>
      <c r="AN36" s="572" t="n"/>
      <c r="AO36" s="572" t="n"/>
      <c r="AP36" s="572" t="n"/>
      <c r="AQ36" s="572" t="n"/>
      <c r="AR36" s="572" t="n"/>
      <c r="AS36" s="572" t="n"/>
      <c r="AT36" s="572" t="n"/>
      <c r="AU36" s="572" t="n"/>
      <c r="AV36" s="572" t="n"/>
      <c r="AW36" s="572" t="n"/>
      <c r="AX36" s="572" t="n"/>
      <c r="AY36" s="572" t="n"/>
      <c r="AZ36" s="572" t="n"/>
      <c r="BA36" s="572" t="n"/>
      <c r="BB36" s="572" t="n"/>
      <c r="BC36" s="572" t="n"/>
      <c r="BD36" s="572" t="n"/>
      <c r="BE36" s="572" t="n"/>
      <c r="BF36" s="572" t="n"/>
      <c r="BG36" s="572" t="n"/>
      <c r="BH36" s="572" t="n"/>
      <c r="BI36" s="574" t="n"/>
      <c r="BJ36" s="574" t="n"/>
      <c r="BK36" s="574" t="n"/>
      <c r="BL36" s="574" t="n"/>
      <c r="BM36" s="574" t="n"/>
      <c r="BN36" s="574" t="n"/>
      <c r="BO36" s="574" t="n"/>
      <c r="BP36" s="574" t="n"/>
      <c r="BQ36" s="574" t="n"/>
      <c r="BR36" s="574" t="n"/>
      <c r="BS36" s="574" t="n"/>
      <c r="BT36" s="574" t="n"/>
      <c r="BU36" s="574" t="n"/>
      <c r="BV36" s="574" t="n"/>
      <c r="BW36" s="574" t="n"/>
      <c r="BX36" s="574" t="n"/>
      <c r="BY36" s="574" t="n"/>
      <c r="BZ36" s="574" t="n"/>
      <c r="CA36" s="574" t="n"/>
      <c r="CB36" s="574" t="n"/>
      <c r="CC36" s="574" t="n"/>
      <c r="CD36" s="574" t="n"/>
      <c r="CE36" s="574" t="n"/>
      <c r="CF36" s="574" t="n"/>
      <c r="CG36" s="574" t="n"/>
      <c r="CH36" s="574" t="n"/>
      <c r="CI36" s="574" t="n"/>
      <c r="CJ36" s="574" t="n"/>
      <c r="CK36" s="574" t="n"/>
      <c r="CL36" s="574" t="n"/>
      <c r="CM36" s="574" t="n"/>
      <c r="CN36" s="574" t="n"/>
      <c r="CO36" s="574" t="n"/>
      <c r="CP36" s="574" t="n"/>
      <c r="CQ36" s="574" t="n"/>
      <c r="CR36" s="574" t="n"/>
      <c r="CS36" s="574" t="n"/>
      <c r="CT36" s="574" t="n"/>
      <c r="CU36" s="574" t="n"/>
      <c r="CV36" s="574" t="n"/>
      <c r="CW36" s="574" t="n"/>
      <c r="CX36" s="574" t="n"/>
      <c r="CY36" s="574" t="n"/>
      <c r="CZ36" s="574" t="n"/>
      <c r="DA36" s="574" t="n"/>
      <c r="DB36" s="574" t="n"/>
      <c r="DC36" s="574" t="n"/>
      <c r="DD36" s="574" t="n"/>
      <c r="DE36" s="574" t="n"/>
      <c r="DF36" s="574" t="n"/>
      <c r="DG36" s="574" t="n"/>
      <c r="DH36" s="574" t="n"/>
      <c r="DI36" s="574" t="n"/>
      <c r="DJ36" s="574" t="n"/>
      <c r="DK36" s="574" t="n"/>
      <c r="DL36" s="574" t="n"/>
      <c r="DM36" s="574" t="n"/>
      <c r="DN36" s="574" t="n"/>
      <c r="DO36" s="574" t="n"/>
      <c r="DP36" s="574" t="n"/>
      <c r="DQ36" s="574" t="n"/>
      <c r="DR36" s="574" t="n"/>
      <c r="DS36" s="574" t="n"/>
      <c r="DT36" s="574" t="n"/>
      <c r="DU36" s="574" t="n"/>
      <c r="DV36" s="574" t="n"/>
      <c r="DW36" s="574" t="n"/>
      <c r="DX36" s="574" t="n"/>
      <c r="DY36" s="574" t="n"/>
      <c r="DZ36" s="574" t="n"/>
      <c r="EA36" s="574" t="n"/>
      <c r="EB36" s="574" t="n"/>
      <c r="EC36" s="574" t="n"/>
      <c r="ED36" s="574" t="n"/>
      <c r="EE36" s="574" t="n"/>
      <c r="EF36" s="574" t="n"/>
      <c r="EG36" s="574" t="n"/>
      <c r="EH36" s="574" t="n"/>
      <c r="EI36" s="574" t="n"/>
      <c r="EJ36" s="574" t="n"/>
      <c r="EK36" s="574" t="n"/>
      <c r="EL36" s="574" t="n"/>
      <c r="EM36" s="574" t="n"/>
      <c r="EN36" s="574" t="n"/>
      <c r="EO36" s="574" t="n"/>
      <c r="EP36" s="574" t="n"/>
      <c r="EQ36" s="574" t="n"/>
      <c r="ER36" s="574" t="n"/>
      <c r="ES36" s="574" t="n"/>
      <c r="ET36" s="574" t="n"/>
      <c r="EU36" s="574" t="n"/>
      <c r="EV36" s="574" t="n"/>
      <c r="EW36" s="574" t="n"/>
      <c r="EX36" s="574" t="n"/>
      <c r="EY36" s="574" t="n"/>
      <c r="EZ36" s="574" t="n"/>
      <c r="FA36" s="574" t="n"/>
      <c r="FB36" s="574" t="n"/>
      <c r="FC36" s="574" t="n"/>
      <c r="FD36" s="574" t="n"/>
      <c r="FE36" s="574" t="n"/>
      <c r="FF36" s="574" t="n"/>
      <c r="FG36" s="574" t="n"/>
      <c r="FH36" s="574" t="n"/>
      <c r="FI36" s="574" t="n"/>
      <c r="FJ36" s="574" t="n"/>
      <c r="FK36" s="574" t="n"/>
      <c r="FL36" s="574" t="n"/>
      <c r="FM36" s="574" t="n"/>
      <c r="FN36" s="574" t="n"/>
      <c r="FO36" s="574" t="n"/>
      <c r="FP36" s="574" t="n"/>
      <c r="FQ36" s="574" t="n"/>
      <c r="FR36" s="574" t="n"/>
      <c r="FS36" s="574" t="n"/>
      <c r="FT36" s="574" t="n"/>
      <c r="FU36" s="574" t="n"/>
      <c r="FV36" s="574" t="n"/>
      <c r="FW36" s="574" t="n"/>
      <c r="FX36" s="574" t="n"/>
      <c r="FY36" s="574" t="n"/>
      <c r="FZ36" s="574" t="n"/>
      <c r="GA36" s="574" t="n"/>
      <c r="GB36" s="574" t="n"/>
      <c r="GC36" s="574" t="n"/>
      <c r="GD36" s="574" t="n"/>
      <c r="GE36" s="574" t="n"/>
      <c r="GF36" s="574" t="n"/>
    </row>
    <row r="37" customFormat="1" s="568">
      <c r="A37" s="227" t="n"/>
      <c r="B37" s="87" t="n"/>
      <c r="C37" s="84">
        <f>IFERROR(IF(AND($E37&gt;0,$D37&lt;&gt;"The Public"),$E37/SUMIFS($E$10:$E$205,$E$10:$E$205,"&gt;0",$D$10:$D$205,"&lt;&gt;The Public")*$D$5,""),"")</f>
        <v/>
      </c>
      <c r="D37" s="52" t="n"/>
      <c r="E37" s="84">
        <f>SUM(G37:HY37)</f>
        <v/>
      </c>
      <c r="F37" s="569">
        <f>IFERROR(IF($E37&gt;0.0000005,$E37/SUMIF($E$11:$E$140,"&gt;0.0000005"),""),"")</f>
        <v/>
      </c>
      <c r="G37" s="570" t="n"/>
      <c r="H37" s="570" t="n"/>
      <c r="I37" s="570" t="n"/>
      <c r="J37" s="570" t="n"/>
      <c r="K37" s="570" t="n"/>
      <c r="L37" s="570" t="n"/>
      <c r="M37" s="572" t="n"/>
      <c r="N37" s="572" t="n"/>
      <c r="O37" s="572" t="n"/>
      <c r="P37" s="572" t="n"/>
      <c r="Q37" s="572" t="n"/>
      <c r="R37" s="572" t="n"/>
      <c r="S37" s="572" t="n"/>
      <c r="T37" s="572" t="n"/>
      <c r="U37" s="572" t="n"/>
      <c r="V37" s="572" t="n"/>
      <c r="W37" s="572" t="n"/>
      <c r="X37" s="572" t="n"/>
      <c r="Y37" s="572" t="n"/>
      <c r="Z37" s="572" t="n"/>
      <c r="AA37" s="572" t="n"/>
      <c r="AB37" s="572" t="n"/>
      <c r="AC37" s="572" t="n"/>
      <c r="AD37" s="572" t="n"/>
      <c r="AE37" s="572" t="n"/>
      <c r="AF37" s="572" t="n"/>
      <c r="AG37" s="572" t="n"/>
      <c r="AH37" s="572" t="n"/>
      <c r="AI37" s="572" t="n"/>
      <c r="AJ37" s="572" t="n"/>
      <c r="AK37" s="572" t="n"/>
      <c r="AL37" s="572" t="n"/>
      <c r="AM37" s="572" t="n"/>
      <c r="AN37" s="572" t="n"/>
      <c r="AO37" s="572" t="n"/>
      <c r="AP37" s="572" t="n"/>
      <c r="AQ37" s="572" t="n"/>
      <c r="AR37" s="572" t="n"/>
      <c r="AS37" s="572" t="n"/>
      <c r="AT37" s="572" t="n"/>
      <c r="AU37" s="572" t="n"/>
      <c r="AV37" s="572" t="n"/>
      <c r="AW37" s="572" t="n"/>
      <c r="AX37" s="572" t="n"/>
      <c r="AY37" s="572" t="n"/>
      <c r="AZ37" s="572" t="n"/>
      <c r="BA37" s="572" t="n"/>
      <c r="BB37" s="572" t="n"/>
      <c r="BC37" s="572" t="n"/>
      <c r="BD37" s="572" t="n"/>
      <c r="BE37" s="572" t="n"/>
      <c r="BF37" s="572" t="n"/>
      <c r="BG37" s="572" t="n"/>
      <c r="BH37" s="572"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c r="C38" s="137">
        <f>IFERROR(IF(AND($E38&gt;0,$D38&lt;&gt;"The Public"),$E38/SUMIFS($E$10:$E$205,$E$10:$E$205,"&gt;0",$D$10:$D$205,"&lt;&gt;The Public")*$D$5,""),"")</f>
        <v/>
      </c>
      <c r="D38" s="177" t="n"/>
      <c r="E38" s="137">
        <f>SUM(G38:HY38)</f>
        <v/>
      </c>
      <c r="F38" s="569">
        <f>IFERROR(IF($E38&gt;0.0000005,$E38/SUMIF($E$11:$E$140,"&gt;0.0000005"),""),"")</f>
        <v/>
      </c>
      <c r="G38" s="570" t="n"/>
      <c r="H38" s="570" t="n"/>
      <c r="I38" s="570" t="n"/>
      <c r="J38" s="570" t="n"/>
      <c r="K38" s="570" t="n"/>
      <c r="L38" s="570" t="n"/>
      <c r="M38" s="572" t="n"/>
      <c r="N38" s="572" t="n"/>
      <c r="O38" s="572" t="n"/>
      <c r="P38" s="572" t="n"/>
      <c r="Q38" s="572" t="n"/>
      <c r="R38" s="572" t="n"/>
      <c r="S38" s="572" t="n"/>
      <c r="T38" s="572" t="n"/>
      <c r="U38" s="572" t="n"/>
      <c r="V38" s="572" t="n"/>
      <c r="W38" s="572" t="n"/>
      <c r="X38" s="572" t="n"/>
      <c r="Y38" s="572" t="n"/>
      <c r="Z38" s="572" t="n"/>
      <c r="AA38" s="572" t="n"/>
      <c r="AB38" s="572" t="n"/>
      <c r="AC38" s="572" t="n"/>
      <c r="AD38" s="573" t="n"/>
      <c r="AE38" s="572" t="n"/>
      <c r="AF38" s="572" t="n"/>
      <c r="AG38" s="572" t="n"/>
      <c r="AH38" s="572" t="n"/>
      <c r="AI38" s="572" t="n"/>
      <c r="AJ38" s="572" t="n"/>
      <c r="AK38" s="572" t="n"/>
      <c r="AL38" s="572" t="n"/>
      <c r="AM38" s="572" t="n"/>
      <c r="AN38" s="572" t="n"/>
      <c r="AO38" s="572" t="n"/>
      <c r="AP38" s="572" t="n"/>
      <c r="AQ38" s="572" t="n"/>
      <c r="AR38" s="572" t="n"/>
      <c r="AS38" s="572" t="n"/>
      <c r="AT38" s="572" t="n"/>
      <c r="AU38" s="572" t="n"/>
      <c r="AV38" s="572" t="n"/>
      <c r="AW38" s="572" t="n"/>
      <c r="AX38" s="572" t="n"/>
      <c r="AY38" s="572" t="n"/>
      <c r="AZ38" s="572" t="n"/>
      <c r="BA38" s="572" t="n"/>
      <c r="BB38" s="572" t="n"/>
      <c r="BC38" s="572" t="n"/>
      <c r="BD38" s="572" t="n"/>
      <c r="BE38" s="572" t="n"/>
      <c r="BF38" s="572" t="n"/>
      <c r="BG38" s="572" t="n"/>
      <c r="BH38" s="572" t="n"/>
      <c r="BI38" s="574" t="n"/>
      <c r="BJ38" s="574" t="n"/>
      <c r="BK38" s="574" t="n"/>
      <c r="BL38" s="574" t="n"/>
      <c r="BM38" s="574" t="n"/>
      <c r="BN38" s="574" t="n"/>
      <c r="BO38" s="574" t="n"/>
      <c r="BP38" s="574" t="n"/>
      <c r="BQ38" s="574" t="n"/>
      <c r="BR38" s="574" t="n"/>
      <c r="BS38" s="574" t="n"/>
      <c r="BT38" s="574" t="n"/>
      <c r="BU38" s="574" t="n"/>
      <c r="BV38" s="574" t="n"/>
      <c r="BW38" s="574" t="n"/>
      <c r="BX38" s="574" t="n"/>
      <c r="BY38" s="574" t="n"/>
      <c r="BZ38" s="574" t="n"/>
      <c r="CA38" s="574" t="n"/>
      <c r="CB38" s="574" t="n"/>
      <c r="CC38" s="574" t="n"/>
      <c r="CD38" s="574" t="n"/>
      <c r="CE38" s="574" t="n"/>
      <c r="CF38" s="574" t="n"/>
      <c r="CG38" s="574" t="n"/>
      <c r="CH38" s="574" t="n"/>
      <c r="CI38" s="574" t="n"/>
      <c r="CJ38" s="574" t="n"/>
      <c r="CK38" s="574" t="n"/>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74" t="n"/>
      <c r="FQ38" s="574" t="n"/>
      <c r="FR38" s="574" t="n"/>
      <c r="FS38" s="574" t="n"/>
      <c r="FT38" s="574" t="n"/>
      <c r="FU38" s="574" t="n"/>
      <c r="FV38" s="574" t="n"/>
      <c r="FW38" s="574" t="n"/>
      <c r="FX38" s="574" t="n"/>
      <c r="FY38" s="574" t="n"/>
      <c r="FZ38" s="574" t="n"/>
      <c r="GA38" s="574" t="n"/>
      <c r="GB38" s="574" t="n"/>
      <c r="GC38" s="574" t="n"/>
      <c r="GD38" s="574" t="n"/>
      <c r="GE38" s="574" t="n"/>
      <c r="GF38" s="574" t="n"/>
    </row>
    <row r="39" customFormat="1" s="568">
      <c r="A39" s="227" t="n"/>
      <c r="B39" s="87" t="n"/>
      <c r="C39" s="137">
        <f>IFERROR(IF(AND($E39&gt;0,$D39&lt;&gt;"The Public"),$E39/SUMIFS($E$10:$E$205,$E$10:$E$205,"&gt;0",$D$10:$D$205,"&lt;&gt;The Public")*$D$5,""),"")</f>
        <v/>
      </c>
      <c r="D39" s="177" t="n"/>
      <c r="E39" s="137">
        <f>SUM(G39:HY39)</f>
        <v/>
      </c>
      <c r="F39" s="569">
        <f>IFERROR(IF($E39&gt;0.0000005,$E39/SUMIF($E$11:$E$140,"&gt;0.0000005"),""),"")</f>
        <v/>
      </c>
      <c r="G39" s="570" t="n"/>
      <c r="H39" s="570" t="n"/>
      <c r="I39" s="570" t="n"/>
      <c r="J39" s="570" t="n"/>
      <c r="K39" s="570" t="n"/>
      <c r="L39" s="570"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2" t="n"/>
      <c r="AF39" s="572" t="n"/>
      <c r="AG39" s="572" t="n"/>
      <c r="AH39" s="572" t="n"/>
      <c r="AI39" s="572" t="n"/>
      <c r="AJ39" s="572" t="n"/>
      <c r="AK39" s="572" t="n"/>
      <c r="AL39" s="572" t="n"/>
      <c r="AM39" s="572" t="n"/>
      <c r="AN39" s="572" t="n"/>
      <c r="AO39" s="572" t="n"/>
      <c r="AP39" s="572" t="n"/>
      <c r="AQ39" s="572" t="n"/>
      <c r="AR39" s="572" t="n"/>
      <c r="AS39" s="572" t="n"/>
      <c r="AT39" s="572" t="n"/>
      <c r="AU39" s="572" t="n"/>
      <c r="AV39" s="572" t="n"/>
      <c r="AW39" s="572" t="n"/>
      <c r="AX39" s="572" t="n"/>
      <c r="AY39" s="572" t="n"/>
      <c r="AZ39" s="572" t="n"/>
      <c r="BA39" s="572" t="n"/>
      <c r="BB39" s="572" t="n"/>
      <c r="BC39" s="572" t="n"/>
      <c r="BD39" s="572" t="n"/>
      <c r="BE39" s="572" t="n"/>
      <c r="BF39" s="572" t="n"/>
      <c r="BG39" s="572" t="n"/>
      <c r="BH39" s="572"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74" t="n"/>
      <c r="FQ39" s="574" t="n"/>
      <c r="FR39" s="574" t="n"/>
      <c r="FS39" s="574" t="n"/>
      <c r="FT39" s="574" t="n"/>
      <c r="FU39" s="574" t="n"/>
      <c r="FV39" s="574" t="n"/>
      <c r="FW39" s="574" t="n"/>
      <c r="FX39" s="574" t="n"/>
      <c r="FY39" s="574" t="n"/>
      <c r="FZ39" s="574" t="n"/>
      <c r="GA39" s="574" t="n"/>
      <c r="GB39" s="574" t="n"/>
      <c r="GC39" s="574" t="n"/>
      <c r="GD39" s="574" t="n"/>
      <c r="GE39" s="574" t="n"/>
      <c r="GF39" s="574" t="n"/>
    </row>
    <row r="40" customFormat="1" s="568">
      <c r="A40" s="227" t="n"/>
      <c r="B40" s="87" t="n"/>
      <c r="C40" s="137">
        <f>IFERROR(IF(AND($E40&gt;0,$D40&lt;&gt;"The Public"),$E40/SUMIFS($E$10:$E$205,$E$10:$E$205,"&gt;0",$D$10:$D$205,"&lt;&gt;The Public")*$D$5,""),"")</f>
        <v/>
      </c>
      <c r="D40" s="51" t="n"/>
      <c r="E40" s="137">
        <f>SUM(G40:HY40)</f>
        <v/>
      </c>
      <c r="F40" s="569">
        <f>IFERROR(IF($E40&gt;0.0000005,$E40/SUMIF($E$11:$E$140,"&gt;0.0000005"),""),"")</f>
        <v/>
      </c>
      <c r="G40" s="570" t="n"/>
      <c r="H40" s="570" t="n"/>
      <c r="I40" s="570" t="n"/>
      <c r="J40" s="570" t="n"/>
      <c r="K40" s="570" t="n"/>
      <c r="L40" s="570"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3" t="n"/>
      <c r="AF40" s="573" t="n"/>
      <c r="AG40" s="572" t="n"/>
      <c r="AH40" s="572" t="n"/>
      <c r="AI40" s="572" t="n"/>
      <c r="AJ40" s="572" t="n"/>
      <c r="AK40" s="572" t="n"/>
      <c r="AL40" s="572" t="n"/>
      <c r="AM40" s="572" t="n"/>
      <c r="AN40" s="572" t="n"/>
      <c r="AO40" s="572" t="n"/>
      <c r="AP40" s="572" t="n"/>
      <c r="AQ40" s="572" t="n"/>
      <c r="AR40" s="572" t="n"/>
      <c r="AS40" s="572" t="n"/>
      <c r="AT40" s="572" t="n"/>
      <c r="AU40" s="572" t="n"/>
      <c r="AV40" s="572" t="n"/>
      <c r="AW40" s="572" t="n"/>
      <c r="AX40" s="572" t="n"/>
      <c r="AY40" s="572" t="n"/>
      <c r="AZ40" s="572" t="n"/>
      <c r="BA40" s="572" t="n"/>
      <c r="BB40" s="572" t="n"/>
      <c r="BC40" s="572" t="n"/>
      <c r="BD40" s="572" t="n"/>
      <c r="BE40" s="572" t="n"/>
      <c r="BF40" s="572" t="n"/>
      <c r="BG40" s="572" t="n"/>
      <c r="BH40" s="572"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74" t="n"/>
      <c r="FQ40" s="574" t="n"/>
      <c r="FR40" s="574" t="n"/>
      <c r="FS40" s="574" t="n"/>
      <c r="FT40" s="574" t="n"/>
      <c r="FU40" s="574" t="n"/>
      <c r="FV40" s="574" t="n"/>
      <c r="FW40" s="574" t="n"/>
      <c r="FX40" s="574" t="n"/>
      <c r="FY40" s="574" t="n"/>
      <c r="FZ40" s="574" t="n"/>
      <c r="GA40" s="574" t="n"/>
      <c r="GB40" s="574" t="n"/>
      <c r="GC40" s="574" t="n"/>
      <c r="GD40" s="574" t="n"/>
      <c r="GE40" s="574" t="n"/>
      <c r="GF40" s="574" t="n"/>
    </row>
    <row r="41" customFormat="1" s="568">
      <c r="A41" s="227" t="n"/>
      <c r="B41" s="87" t="n"/>
      <c r="C41" s="84">
        <f>IFERROR(IF(AND($E41&gt;0,$D41&lt;&gt;"The Public"),$E41/SUMIFS($E$10:$E$205,$E$10:$E$205,"&gt;0",$D$10:$D$205,"&lt;&gt;The Public")*$D$5,""),"")</f>
        <v/>
      </c>
      <c r="D41" s="52" t="n"/>
      <c r="E41" s="84">
        <f>SUM(G41:HY41)</f>
        <v/>
      </c>
      <c r="F41" s="569">
        <f>IFERROR(IF($E41&gt;0.0000005,$E41/SUMIF($E$11:$E$140,"&gt;0.0000005"),""),"")</f>
        <v/>
      </c>
      <c r="G41" s="570" t="n"/>
      <c r="H41" s="570" t="n"/>
      <c r="I41" s="570" t="n"/>
      <c r="J41" s="570" t="n"/>
      <c r="K41" s="570" t="n"/>
      <c r="L41" s="570"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3" t="n"/>
      <c r="AF41" s="573" t="n"/>
      <c r="AG41" s="572" t="n"/>
      <c r="AH41" s="572" t="n"/>
      <c r="AI41" s="572" t="n"/>
      <c r="AJ41" s="572" t="n"/>
      <c r="AK41" s="572" t="n"/>
      <c r="AL41" s="572" t="n"/>
      <c r="AM41" s="572" t="n"/>
      <c r="AN41" s="572" t="n"/>
      <c r="AO41" s="572" t="n"/>
      <c r="AP41" s="572" t="n"/>
      <c r="AQ41" s="572" t="n"/>
      <c r="AR41" s="572" t="n"/>
      <c r="AS41" s="572" t="n"/>
      <c r="AT41" s="572" t="n"/>
      <c r="AU41" s="572" t="n"/>
      <c r="AV41" s="572" t="n"/>
      <c r="AW41" s="572" t="n"/>
      <c r="AX41" s="572" t="n"/>
      <c r="AY41" s="572" t="n"/>
      <c r="AZ41" s="572" t="n"/>
      <c r="BA41" s="572" t="n"/>
      <c r="BB41" s="572" t="n"/>
      <c r="BC41" s="572" t="n"/>
      <c r="BD41" s="572" t="n"/>
      <c r="BE41" s="572" t="n"/>
      <c r="BF41" s="572" t="n"/>
      <c r="BG41" s="572" t="n"/>
      <c r="BH41" s="572"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74" t="n"/>
      <c r="FQ41" s="574" t="n"/>
      <c r="FR41" s="574" t="n"/>
      <c r="FS41" s="574" t="n"/>
      <c r="FT41" s="574" t="n"/>
      <c r="FU41" s="574" t="n"/>
      <c r="FV41" s="574" t="n"/>
      <c r="FW41" s="574" t="n"/>
      <c r="FX41" s="574" t="n"/>
      <c r="FY41" s="574" t="n"/>
      <c r="FZ41" s="574" t="n"/>
      <c r="GA41" s="574" t="n"/>
      <c r="GB41" s="574" t="n"/>
      <c r="GC41" s="574" t="n"/>
      <c r="GD41" s="574" t="n"/>
      <c r="GE41" s="574" t="n"/>
      <c r="GF41" s="574" t="n"/>
    </row>
    <row r="42" customFormat="1" s="568">
      <c r="A42" s="227" t="n"/>
      <c r="B42" s="87" t="n"/>
      <c r="C42" s="84">
        <f>IFERROR(IF(AND($E42&gt;0,$D42&lt;&gt;"The Public"),$E42/SUMIFS($E$10:$E$205,$E$10:$E$205,"&gt;0",$D$10:$D$205,"&lt;&gt;The Public")*$D$5,""),"")</f>
        <v/>
      </c>
      <c r="D42" s="52" t="n"/>
      <c r="E42" s="84">
        <f>SUM(G42:HY42)</f>
        <v/>
      </c>
      <c r="F42" s="569">
        <f>IFERROR(IF($E42&gt;0.0000005,$E42/SUMIF($E$11:$E$140,"&gt;0.0000005"),""),"")</f>
        <v/>
      </c>
      <c r="G42" s="570" t="n"/>
      <c r="H42" s="570" t="n"/>
      <c r="I42" s="570" t="n"/>
      <c r="J42" s="570" t="n"/>
      <c r="K42" s="570" t="n"/>
      <c r="L42" s="570" t="n"/>
      <c r="M42" s="572" t="n"/>
      <c r="N42" s="572" t="n"/>
      <c r="O42" s="572" t="n"/>
      <c r="P42" s="572" t="n"/>
      <c r="Q42" s="572" t="n"/>
      <c r="R42" s="572" t="n"/>
      <c r="S42" s="572" t="n"/>
      <c r="T42" s="572" t="n"/>
      <c r="U42" s="572" t="n"/>
      <c r="V42" s="572" t="n"/>
      <c r="W42" s="572" t="n"/>
      <c r="X42" s="572" t="n"/>
      <c r="Y42" s="572" t="n"/>
      <c r="Z42" s="572" t="n"/>
      <c r="AA42" s="572" t="n"/>
      <c r="AB42" s="572" t="n"/>
      <c r="AC42" s="572" t="n"/>
      <c r="AD42" s="572" t="n"/>
      <c r="AE42" s="573" t="n"/>
      <c r="AF42" s="573" t="n"/>
      <c r="AG42" s="572" t="n"/>
      <c r="AH42" s="572" t="n"/>
      <c r="AI42" s="572" t="n"/>
      <c r="AJ42" s="572" t="n"/>
      <c r="AK42" s="572" t="n"/>
      <c r="AL42" s="572" t="n"/>
      <c r="AM42" s="572" t="n"/>
      <c r="AN42" s="572" t="n"/>
      <c r="AO42" s="572" t="n"/>
      <c r="AP42" s="572" t="n"/>
      <c r="AQ42" s="572" t="n"/>
      <c r="AR42" s="572" t="n"/>
      <c r="AS42" s="572" t="n"/>
      <c r="AT42" s="572" t="n"/>
      <c r="AU42" s="572" t="n"/>
      <c r="AV42" s="572" t="n"/>
      <c r="AW42" s="572" t="n"/>
      <c r="AX42" s="572" t="n"/>
      <c r="AY42" s="572" t="n"/>
      <c r="AZ42" s="572" t="n"/>
      <c r="BA42" s="572" t="n"/>
      <c r="BB42" s="572" t="n"/>
      <c r="BC42" s="572" t="n"/>
      <c r="BD42" s="572" t="n"/>
      <c r="BE42" s="572" t="n"/>
      <c r="BF42" s="572" t="n"/>
      <c r="BG42" s="572" t="n"/>
      <c r="BH42" s="572"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c r="FP42" s="574" t="n"/>
      <c r="FQ42" s="574" t="n"/>
      <c r="FR42" s="574" t="n"/>
      <c r="FS42" s="574" t="n"/>
      <c r="FT42" s="574" t="n"/>
      <c r="FU42" s="574" t="n"/>
      <c r="FV42" s="574" t="n"/>
      <c r="FW42" s="574" t="n"/>
      <c r="FX42" s="574" t="n"/>
      <c r="FY42" s="574" t="n"/>
      <c r="FZ42" s="574" t="n"/>
      <c r="GA42" s="574" t="n"/>
      <c r="GB42" s="574" t="n"/>
      <c r="GC42" s="574" t="n"/>
      <c r="GD42" s="574" t="n"/>
      <c r="GE42" s="574" t="n"/>
      <c r="GF42" s="574" t="n"/>
    </row>
    <row r="43" customFormat="1" s="568">
      <c r="A43" s="227" t="n"/>
      <c r="B43" s="87" t="n"/>
      <c r="C43" s="84">
        <f>IFERROR(IF(AND($E43&gt;0,$D43&lt;&gt;"The Public"),$E43/SUMIFS($E$10:$E$205,$E$10:$E$205,"&gt;0",$D$10:$D$205,"&lt;&gt;The Public")*$D$5,""),"")</f>
        <v/>
      </c>
      <c r="D43" s="177" t="n"/>
      <c r="E43" s="84">
        <f>SUM(G43:HY43)</f>
        <v/>
      </c>
      <c r="F43" s="569">
        <f>IFERROR(IF($E43&gt;0.0000005,$E43/SUMIF($E$11:$E$140,"&gt;0.0000005"),""),"")</f>
        <v/>
      </c>
      <c r="G43" s="570" t="n"/>
      <c r="H43" s="570" t="n"/>
      <c r="I43" s="570" t="n"/>
      <c r="J43" s="570" t="n"/>
      <c r="K43" s="570" t="n"/>
      <c r="L43" s="570" t="n"/>
      <c r="M43" s="572" t="n"/>
      <c r="N43" s="572" t="n"/>
      <c r="O43" s="572" t="n"/>
      <c r="P43" s="572" t="n"/>
      <c r="Q43" s="572" t="n"/>
      <c r="R43" s="572" t="n"/>
      <c r="S43" s="572" t="n"/>
      <c r="T43" s="572" t="n"/>
      <c r="U43" s="572" t="n"/>
      <c r="V43" s="572" t="n"/>
      <c r="W43" s="572" t="n"/>
      <c r="X43" s="572" t="n"/>
      <c r="Y43" s="572" t="n"/>
      <c r="Z43" s="572" t="n"/>
      <c r="AA43" s="572" t="n"/>
      <c r="AB43" s="572" t="n"/>
      <c r="AC43" s="572" t="n"/>
      <c r="AD43" s="572" t="n"/>
      <c r="AE43" s="572" t="n"/>
      <c r="AF43" s="572" t="n"/>
      <c r="AG43" s="573" t="n"/>
      <c r="AH43" s="573" t="n"/>
      <c r="AI43" s="572" t="n"/>
      <c r="AJ43" s="572" t="n"/>
      <c r="AK43" s="572" t="n"/>
      <c r="AL43" s="572" t="n"/>
      <c r="AM43" s="572" t="n"/>
      <c r="AN43" s="572" t="n"/>
      <c r="AO43" s="572" t="n"/>
      <c r="AP43" s="572" t="n"/>
      <c r="AQ43" s="572" t="n"/>
      <c r="AR43" s="572" t="n"/>
      <c r="AS43" s="572" t="n"/>
      <c r="AT43" s="572" t="n"/>
      <c r="AU43" s="572" t="n"/>
      <c r="AV43" s="572" t="n"/>
      <c r="AW43" s="572" t="n"/>
      <c r="AX43" s="572" t="n"/>
      <c r="AY43" s="572" t="n"/>
      <c r="AZ43" s="572" t="n"/>
      <c r="BA43" s="572" t="n"/>
      <c r="BB43" s="572" t="n"/>
      <c r="BC43" s="572" t="n"/>
      <c r="BD43" s="572" t="n"/>
      <c r="BE43" s="572" t="n"/>
      <c r="BF43" s="572" t="n"/>
      <c r="BG43" s="572" t="n"/>
      <c r="BH43" s="572"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74" t="n"/>
      <c r="FY43" s="574" t="n"/>
      <c r="FZ43" s="574" t="n"/>
      <c r="GA43" s="574" t="n"/>
      <c r="GB43" s="574" t="n"/>
      <c r="GC43" s="574" t="n"/>
      <c r="GD43" s="574" t="n"/>
      <c r="GE43" s="574" t="n"/>
      <c r="GF43" s="574" t="n"/>
    </row>
    <row r="44" customFormat="1" s="568">
      <c r="A44" s="227" t="n"/>
      <c r="B44" s="87" t="n"/>
      <c r="C44" s="84">
        <f>IFERROR(IF(AND($E44&gt;0,$D44&lt;&gt;"The Public"),$E44/SUMIFS($E$10:$E$205,$E$10:$E$205,"&gt;0",$D$10:$D$205,"&lt;&gt;The Public")*$D$5,""),"")</f>
        <v/>
      </c>
      <c r="D44" s="52" t="n"/>
      <c r="E44" s="84">
        <f>SUM(G44:HY44)</f>
        <v/>
      </c>
      <c r="F44" s="569">
        <f>IFERROR(IF($E44&gt;0.0000005,$E44/SUMIF($E$11:$E$140,"&gt;0.0000005"),""),"")</f>
        <v/>
      </c>
      <c r="G44" s="570" t="n"/>
      <c r="H44" s="570" t="n"/>
      <c r="I44" s="570" t="n"/>
      <c r="J44" s="570" t="n"/>
      <c r="K44" s="570" t="n"/>
      <c r="L44" s="570" t="n"/>
      <c r="M44" s="572" t="n"/>
      <c r="N44" s="572" t="n"/>
      <c r="O44" s="572" t="n"/>
      <c r="P44" s="572" t="n"/>
      <c r="Q44" s="572" t="n"/>
      <c r="R44" s="572" t="n"/>
      <c r="S44" s="572" t="n"/>
      <c r="T44" s="572" t="n"/>
      <c r="U44" s="572" t="n"/>
      <c r="V44" s="572" t="n"/>
      <c r="W44" s="572" t="n"/>
      <c r="X44" s="572" t="n"/>
      <c r="Y44" s="572" t="n"/>
      <c r="Z44" s="572" t="n"/>
      <c r="AA44" s="572" t="n"/>
      <c r="AB44" s="572" t="n"/>
      <c r="AC44" s="572" t="n"/>
      <c r="AD44" s="572" t="n"/>
      <c r="AE44" s="572" t="n"/>
      <c r="AF44" s="573" t="n"/>
      <c r="AG44" s="572" t="n"/>
      <c r="AH44" s="573" t="n"/>
      <c r="AI44" s="572" t="n"/>
      <c r="AJ44" s="572" t="n"/>
      <c r="AK44" s="572" t="n"/>
      <c r="AL44" s="572" t="n"/>
      <c r="AM44" s="572" t="n"/>
      <c r="AN44" s="572" t="n"/>
      <c r="AO44" s="572" t="n"/>
      <c r="AP44" s="572" t="n"/>
      <c r="AQ44" s="572" t="n"/>
      <c r="AR44" s="572" t="n"/>
      <c r="AS44" s="572" t="n"/>
      <c r="AT44" s="572" t="n"/>
      <c r="AU44" s="572" t="n"/>
      <c r="AV44" s="572" t="n"/>
      <c r="AW44" s="572" t="n"/>
      <c r="AX44" s="572" t="n"/>
      <c r="AY44" s="572" t="n"/>
      <c r="AZ44" s="572" t="n"/>
      <c r="BA44" s="572" t="n"/>
      <c r="BB44" s="572" t="n"/>
      <c r="BC44" s="572" t="n"/>
      <c r="BD44" s="572" t="n"/>
      <c r="BE44" s="572" t="n"/>
      <c r="BF44" s="572" t="n"/>
      <c r="BG44" s="572" t="n"/>
      <c r="BH44" s="572" t="n"/>
      <c r="BI44" s="574" t="n"/>
      <c r="BJ44" s="574" t="n"/>
      <c r="BK44" s="574" t="n"/>
      <c r="BL44" s="574" t="n"/>
      <c r="BM44" s="574" t="n"/>
      <c r="BN44" s="574" t="n"/>
      <c r="BO44" s="574" t="n"/>
      <c r="BP44" s="574" t="n"/>
      <c r="BQ44" s="574" t="n"/>
      <c r="BR44" s="574" t="n"/>
      <c r="BS44" s="574" t="n"/>
      <c r="BT44" s="574" t="n"/>
      <c r="BU44" s="574" t="n"/>
      <c r="BV44" s="574" t="n"/>
      <c r="BW44" s="574" t="n"/>
      <c r="BX44" s="574" t="n"/>
      <c r="BY44" s="574" t="n"/>
      <c r="BZ44" s="574" t="n"/>
      <c r="CA44" s="574" t="n"/>
      <c r="CB44" s="574" t="n"/>
      <c r="CC44" s="574" t="n"/>
      <c r="CD44" s="574" t="n"/>
      <c r="CE44" s="574" t="n"/>
      <c r="CF44" s="574" t="n"/>
      <c r="CG44" s="574" t="n"/>
      <c r="CH44" s="574" t="n"/>
      <c r="CI44" s="574" t="n"/>
      <c r="CJ44" s="574" t="n"/>
      <c r="CK44" s="574" t="n"/>
      <c r="CL44" s="574" t="n"/>
      <c r="CM44" s="574" t="n"/>
      <c r="CN44" s="574" t="n"/>
      <c r="CO44" s="574" t="n"/>
      <c r="CP44" s="574" t="n"/>
      <c r="CQ44" s="574" t="n"/>
      <c r="CR44" s="574" t="n"/>
      <c r="CS44" s="574" t="n"/>
      <c r="CT44" s="574" t="n"/>
      <c r="CU44" s="574" t="n"/>
      <c r="CV44" s="574" t="n"/>
      <c r="CW44" s="574" t="n"/>
      <c r="CX44" s="574" t="n"/>
      <c r="CY44" s="574" t="n"/>
      <c r="CZ44" s="574" t="n"/>
      <c r="DA44" s="574" t="n"/>
      <c r="DB44" s="574" t="n"/>
      <c r="DC44" s="574" t="n"/>
      <c r="DD44" s="574" t="n"/>
      <c r="DE44" s="574" t="n"/>
      <c r="DF44" s="574" t="n"/>
      <c r="DG44" s="574" t="n"/>
      <c r="DH44" s="574" t="n"/>
      <c r="DI44" s="574" t="n"/>
      <c r="DJ44" s="574" t="n"/>
      <c r="DK44" s="574" t="n"/>
      <c r="DL44" s="574" t="n"/>
      <c r="DM44" s="574" t="n"/>
      <c r="DN44" s="574" t="n"/>
      <c r="DO44" s="574" t="n"/>
      <c r="DP44" s="574" t="n"/>
      <c r="DQ44" s="574" t="n"/>
      <c r="DR44" s="574" t="n"/>
      <c r="DS44" s="574" t="n"/>
      <c r="DT44" s="574" t="n"/>
      <c r="DU44" s="574" t="n"/>
      <c r="DV44" s="574" t="n"/>
      <c r="DW44" s="574" t="n"/>
      <c r="DX44" s="574" t="n"/>
      <c r="DY44" s="574" t="n"/>
      <c r="DZ44" s="574" t="n"/>
      <c r="EA44" s="574" t="n"/>
      <c r="EB44" s="574" t="n"/>
      <c r="EC44" s="574" t="n"/>
      <c r="ED44" s="574" t="n"/>
      <c r="EE44" s="574" t="n"/>
      <c r="EF44" s="574" t="n"/>
      <c r="EG44" s="574" t="n"/>
      <c r="EH44" s="574" t="n"/>
      <c r="EI44" s="574" t="n"/>
      <c r="EJ44" s="574" t="n"/>
      <c r="EK44" s="574" t="n"/>
      <c r="EL44" s="574" t="n"/>
      <c r="EM44" s="574" t="n"/>
      <c r="EN44" s="574" t="n"/>
      <c r="EO44" s="574" t="n"/>
      <c r="EP44" s="574" t="n"/>
      <c r="EQ44" s="574" t="n"/>
      <c r="ER44" s="574" t="n"/>
      <c r="ES44" s="574" t="n"/>
      <c r="ET44" s="574" t="n"/>
      <c r="EU44" s="574" t="n"/>
      <c r="EV44" s="574" t="n"/>
      <c r="EW44" s="574" t="n"/>
      <c r="EX44" s="574" t="n"/>
      <c r="EY44" s="574" t="n"/>
      <c r="EZ44" s="574" t="n"/>
      <c r="FA44" s="574" t="n"/>
      <c r="FB44" s="574" t="n"/>
      <c r="FC44" s="574" t="n"/>
      <c r="FD44" s="574" t="n"/>
      <c r="FE44" s="574" t="n"/>
      <c r="FF44" s="574" t="n"/>
      <c r="FG44" s="574" t="n"/>
      <c r="FH44" s="574" t="n"/>
      <c r="FI44" s="574" t="n"/>
      <c r="FJ44" s="574" t="n"/>
      <c r="FK44" s="574" t="n"/>
      <c r="FL44" s="574" t="n"/>
      <c r="FM44" s="574" t="n"/>
      <c r="FN44" s="574" t="n"/>
      <c r="FO44" s="574" t="n"/>
      <c r="FP44" s="574" t="n"/>
      <c r="FQ44" s="574" t="n"/>
      <c r="FR44" s="574" t="n"/>
      <c r="FS44" s="574" t="n"/>
      <c r="FT44" s="574" t="n"/>
      <c r="FU44" s="574" t="n"/>
      <c r="FV44" s="574" t="n"/>
      <c r="FW44" s="574" t="n"/>
      <c r="FX44" s="574" t="n"/>
      <c r="FY44" s="574" t="n"/>
      <c r="FZ44" s="574" t="n"/>
      <c r="GA44" s="574" t="n"/>
      <c r="GB44" s="574" t="n"/>
      <c r="GC44" s="574" t="n"/>
      <c r="GD44" s="574" t="n"/>
      <c r="GE44" s="574" t="n"/>
      <c r="GF44" s="574" t="n"/>
    </row>
    <row r="45" customFormat="1" s="568">
      <c r="A45" s="227" t="n"/>
      <c r="B45" s="87" t="n"/>
      <c r="C45" s="137">
        <f>IFERROR(IF(AND($E45&gt;0,$D45&lt;&gt;"The Public"),$E45/SUMIFS($E$10:$E$205,$E$10:$E$205,"&gt;0",$D$10:$D$205,"&lt;&gt;The Public")*$D$5,""),"")</f>
        <v/>
      </c>
      <c r="D45" s="177" t="n"/>
      <c r="E45" s="137">
        <f>SUM(G45:HY45)</f>
        <v/>
      </c>
      <c r="F45" s="569">
        <f>IFERROR(IF($E45&gt;0.0000005,$E45/SUMIF($E$11:$E$140,"&gt;0.0000005"),""),"")</f>
        <v/>
      </c>
      <c r="G45" s="570" t="n"/>
      <c r="H45" s="570" t="n"/>
      <c r="I45" s="570" t="n"/>
      <c r="J45" s="570" t="n"/>
      <c r="K45" s="570" t="n"/>
      <c r="L45" s="570" t="n"/>
      <c r="M45" s="572" t="n"/>
      <c r="N45" s="572" t="n"/>
      <c r="O45" s="572" t="n"/>
      <c r="P45" s="572" t="n"/>
      <c r="Q45" s="572" t="n"/>
      <c r="R45" s="572" t="n"/>
      <c r="S45" s="572" t="n"/>
      <c r="T45" s="572" t="n"/>
      <c r="U45" s="572" t="n"/>
      <c r="V45" s="572" t="n"/>
      <c r="W45" s="572" t="n"/>
      <c r="X45" s="572" t="n"/>
      <c r="Y45" s="572" t="n"/>
      <c r="Z45" s="572" t="n"/>
      <c r="AA45" s="572" t="n"/>
      <c r="AB45" s="572" t="n"/>
      <c r="AC45" s="572" t="n"/>
      <c r="AD45" s="572" t="n"/>
      <c r="AE45" s="572" t="n"/>
      <c r="AF45" s="572" t="n"/>
      <c r="AG45" s="572" t="n"/>
      <c r="AH45" s="572" t="n"/>
      <c r="AI45" s="573" t="n"/>
      <c r="AJ45" s="573" t="n"/>
      <c r="AK45" s="573" t="n"/>
      <c r="AL45" s="573" t="n"/>
      <c r="AM45" s="573" t="n"/>
      <c r="AN45" s="572" t="n"/>
      <c r="AO45" s="572" t="n"/>
      <c r="AP45" s="572" t="n"/>
      <c r="AQ45" s="572" t="n"/>
      <c r="AR45" s="572" t="n"/>
      <c r="AS45" s="572" t="n"/>
      <c r="AT45" s="572" t="n"/>
      <c r="AU45" s="572" t="n"/>
      <c r="AV45" s="572" t="n"/>
      <c r="AW45" s="572" t="n"/>
      <c r="AX45" s="572" t="n"/>
      <c r="AY45" s="572" t="n"/>
      <c r="AZ45" s="572" t="n"/>
      <c r="BA45" s="572" t="n"/>
      <c r="BB45" s="572" t="n"/>
      <c r="BC45" s="572" t="n"/>
      <c r="BD45" s="572" t="n"/>
      <c r="BE45" s="572" t="n"/>
      <c r="BF45" s="572" t="n"/>
      <c r="BG45" s="572" t="n"/>
      <c r="BH45" s="572"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c r="FX45" s="574" t="n"/>
      <c r="FY45" s="574" t="n"/>
      <c r="FZ45" s="574" t="n"/>
      <c r="GA45" s="574" t="n"/>
      <c r="GB45" s="574" t="n"/>
      <c r="GC45" s="574" t="n"/>
      <c r="GD45" s="574" t="n"/>
      <c r="GE45" s="574" t="n"/>
      <c r="GF45" s="574" t="n"/>
    </row>
    <row r="46" customFormat="1" s="568">
      <c r="A46" s="227" t="n"/>
      <c r="B46" s="87" t="n"/>
      <c r="C46" s="137">
        <f>IFERROR(IF(AND($E46&gt;0,$D46&lt;&gt;"The Public"),$E46/SUMIFS($E$10:$E$205,$E$10:$E$205,"&gt;0",$D$10:$D$205,"&lt;&gt;The Public")*$D$5,""),"")</f>
        <v/>
      </c>
      <c r="D46" s="177" t="n"/>
      <c r="E46" s="137">
        <f>SUM(G46:HY46)</f>
        <v/>
      </c>
      <c r="F46" s="569">
        <f>IFERROR(IF($E46&gt;0.0000005,$E46/SUMIF($E$11:$E$140,"&gt;0.0000005"),""),"")</f>
        <v/>
      </c>
      <c r="G46" s="570" t="n"/>
      <c r="H46" s="570" t="n"/>
      <c r="I46" s="570" t="n"/>
      <c r="J46" s="570" t="n"/>
      <c r="K46" s="570" t="n"/>
      <c r="L46" s="570" t="n"/>
      <c r="M46" s="572" t="n"/>
      <c r="N46" s="572" t="n"/>
      <c r="O46" s="572" t="n"/>
      <c r="P46" s="572" t="n"/>
      <c r="Q46" s="572" t="n"/>
      <c r="R46" s="572" t="n"/>
      <c r="S46" s="572" t="n"/>
      <c r="T46" s="572" t="n"/>
      <c r="U46" s="572" t="n"/>
      <c r="V46" s="572" t="n"/>
      <c r="W46" s="572" t="n"/>
      <c r="X46" s="572" t="n"/>
      <c r="Y46" s="572" t="n"/>
      <c r="Z46" s="572" t="n"/>
      <c r="AA46" s="572" t="n"/>
      <c r="AB46" s="572" t="n"/>
      <c r="AC46" s="572" t="n"/>
      <c r="AD46" s="572" t="n"/>
      <c r="AE46" s="572" t="n"/>
      <c r="AF46" s="572" t="n"/>
      <c r="AG46" s="572" t="n"/>
      <c r="AH46" s="572" t="n"/>
      <c r="AI46" s="573" t="n"/>
      <c r="AJ46" s="573" t="n"/>
      <c r="AK46" s="573" t="n"/>
      <c r="AL46" s="572" t="n"/>
      <c r="AM46" s="572" t="n"/>
      <c r="AN46" s="572" t="n"/>
      <c r="AO46" s="572" t="n"/>
      <c r="AP46" s="572" t="n"/>
      <c r="AQ46" s="572" t="n"/>
      <c r="AR46" s="572" t="n"/>
      <c r="AS46" s="572" t="n"/>
      <c r="AT46" s="572" t="n"/>
      <c r="AU46" s="572" t="n"/>
      <c r="AV46" s="572" t="n"/>
      <c r="AW46" s="572" t="n"/>
      <c r="AX46" s="572" t="n"/>
      <c r="AY46" s="572" t="n"/>
      <c r="AZ46" s="572" t="n"/>
      <c r="BA46" s="572" t="n"/>
      <c r="BB46" s="572" t="n"/>
      <c r="BC46" s="572" t="n"/>
      <c r="BD46" s="572" t="n"/>
      <c r="BE46" s="572" t="n"/>
      <c r="BF46" s="572" t="n"/>
      <c r="BG46" s="572" t="n"/>
      <c r="BH46" s="572" t="n"/>
      <c r="BI46" s="574" t="n"/>
      <c r="BJ46" s="574" t="n"/>
      <c r="BK46" s="574" t="n"/>
      <c r="BL46" s="574" t="n"/>
      <c r="BM46" s="574" t="n"/>
      <c r="BN46" s="574" t="n"/>
      <c r="BO46" s="574" t="n"/>
      <c r="BP46" s="574" t="n"/>
      <c r="BQ46" s="574" t="n"/>
      <c r="BR46" s="574" t="n"/>
      <c r="BS46" s="574" t="n"/>
      <c r="BT46" s="574" t="n"/>
      <c r="BU46" s="574" t="n"/>
      <c r="BV46" s="574" t="n"/>
      <c r="BW46" s="574" t="n"/>
      <c r="BX46" s="574" t="n"/>
      <c r="BY46" s="574" t="n"/>
      <c r="BZ46" s="574" t="n"/>
      <c r="CA46" s="574" t="n"/>
      <c r="CB46" s="574" t="n"/>
      <c r="CC46" s="574" t="n"/>
      <c r="CD46" s="574" t="n"/>
      <c r="CE46" s="574" t="n"/>
      <c r="CF46" s="574" t="n"/>
      <c r="CG46" s="574" t="n"/>
      <c r="CH46" s="574" t="n"/>
      <c r="CI46" s="574" t="n"/>
      <c r="CJ46" s="574" t="n"/>
      <c r="CK46" s="574" t="n"/>
      <c r="CL46" s="574" t="n"/>
      <c r="CM46" s="574" t="n"/>
      <c r="CN46" s="574" t="n"/>
      <c r="CO46" s="574" t="n"/>
      <c r="CP46" s="574" t="n"/>
      <c r="CQ46" s="574" t="n"/>
      <c r="CR46" s="574" t="n"/>
      <c r="CS46" s="574" t="n"/>
      <c r="CT46" s="574" t="n"/>
      <c r="CU46" s="574" t="n"/>
      <c r="CV46" s="574" t="n"/>
      <c r="CW46" s="574" t="n"/>
      <c r="CX46" s="574" t="n"/>
      <c r="CY46" s="574" t="n"/>
      <c r="CZ46" s="574" t="n"/>
      <c r="DA46" s="574" t="n"/>
      <c r="DB46" s="574" t="n"/>
      <c r="DC46" s="574" t="n"/>
      <c r="DD46" s="574" t="n"/>
      <c r="DE46" s="574" t="n"/>
      <c r="DF46" s="574" t="n"/>
      <c r="DG46" s="574" t="n"/>
      <c r="DH46" s="574" t="n"/>
      <c r="DI46" s="574" t="n"/>
      <c r="DJ46" s="574" t="n"/>
      <c r="DK46" s="574" t="n"/>
      <c r="DL46" s="574" t="n"/>
      <c r="DM46" s="574" t="n"/>
      <c r="DN46" s="574" t="n"/>
      <c r="DO46" s="574" t="n"/>
      <c r="DP46" s="574" t="n"/>
      <c r="DQ46" s="574" t="n"/>
      <c r="DR46" s="574" t="n"/>
      <c r="DS46" s="574" t="n"/>
      <c r="DT46" s="574" t="n"/>
      <c r="DU46" s="574" t="n"/>
      <c r="DV46" s="574" t="n"/>
      <c r="DW46" s="574" t="n"/>
      <c r="DX46" s="574" t="n"/>
      <c r="DY46" s="574" t="n"/>
      <c r="DZ46" s="574" t="n"/>
      <c r="EA46" s="574" t="n"/>
      <c r="EB46" s="574" t="n"/>
      <c r="EC46" s="574" t="n"/>
      <c r="ED46" s="574" t="n"/>
      <c r="EE46" s="574" t="n"/>
      <c r="EF46" s="574" t="n"/>
      <c r="EG46" s="574" t="n"/>
      <c r="EH46" s="574" t="n"/>
      <c r="EI46" s="574" t="n"/>
      <c r="EJ46" s="574" t="n"/>
      <c r="EK46" s="574" t="n"/>
      <c r="EL46" s="574" t="n"/>
      <c r="EM46" s="574" t="n"/>
      <c r="EN46" s="574" t="n"/>
      <c r="EO46" s="574" t="n"/>
      <c r="EP46" s="574" t="n"/>
      <c r="EQ46" s="574" t="n"/>
      <c r="ER46" s="574" t="n"/>
      <c r="ES46" s="574" t="n"/>
      <c r="ET46" s="574" t="n"/>
      <c r="EU46" s="574" t="n"/>
      <c r="EV46" s="574" t="n"/>
      <c r="EW46" s="574" t="n"/>
      <c r="EX46" s="574" t="n"/>
      <c r="EY46" s="574" t="n"/>
      <c r="EZ46" s="574" t="n"/>
      <c r="FA46" s="574" t="n"/>
      <c r="FB46" s="574" t="n"/>
      <c r="FC46" s="574" t="n"/>
      <c r="FD46" s="574" t="n"/>
      <c r="FE46" s="574" t="n"/>
      <c r="FF46" s="574" t="n"/>
      <c r="FG46" s="574" t="n"/>
      <c r="FH46" s="574" t="n"/>
      <c r="FI46" s="574" t="n"/>
      <c r="FJ46" s="574" t="n"/>
      <c r="FK46" s="574" t="n"/>
      <c r="FL46" s="574" t="n"/>
      <c r="FM46" s="574" t="n"/>
      <c r="FN46" s="574" t="n"/>
      <c r="FO46" s="574" t="n"/>
      <c r="FP46" s="574" t="n"/>
      <c r="FQ46" s="574" t="n"/>
      <c r="FR46" s="574" t="n"/>
      <c r="FS46" s="574" t="n"/>
      <c r="FT46" s="574" t="n"/>
      <c r="FU46" s="574" t="n"/>
      <c r="FV46" s="574" t="n"/>
      <c r="FW46" s="574" t="n"/>
      <c r="FX46" s="574" t="n"/>
      <c r="FY46" s="574" t="n"/>
      <c r="FZ46" s="574" t="n"/>
      <c r="GA46" s="574" t="n"/>
      <c r="GB46" s="574" t="n"/>
      <c r="GC46" s="574" t="n"/>
      <c r="GD46" s="574" t="n"/>
      <c r="GE46" s="574" t="n"/>
      <c r="GF46" s="574" t="n"/>
    </row>
    <row r="47" ht="12.95" customFormat="1" customHeight="1" s="568">
      <c r="A47" s="227" t="n"/>
      <c r="B47" s="87" t="n"/>
      <c r="C47" s="84">
        <f>IFERROR(IF(AND($E47&gt;0,$D47&lt;&gt;"The Public"),$E47/SUMIFS($E$10:$E$205,$E$10:$E$205,"&gt;0",$D$10:$D$205,"&lt;&gt;The Public")*$D$5,""),"")</f>
        <v/>
      </c>
      <c r="D47" s="177" t="n"/>
      <c r="E47" s="84">
        <f>SUM(G47:HY47)</f>
        <v/>
      </c>
      <c r="F47" s="569">
        <f>IFERROR(IF($E47&gt;0.0000005,$E47/SUMIF($E$11:$E$140,"&gt;0.0000005"),""),"")</f>
        <v/>
      </c>
      <c r="G47" s="570" t="n"/>
      <c r="H47" s="570" t="n"/>
      <c r="I47" s="570" t="n"/>
      <c r="J47" s="570" t="n"/>
      <c r="K47" s="570" t="n"/>
      <c r="L47" s="570" t="n"/>
      <c r="M47" s="572" t="n"/>
      <c r="N47" s="572" t="n"/>
      <c r="O47" s="572" t="n"/>
      <c r="P47" s="572" t="n"/>
      <c r="Q47" s="572" t="n"/>
      <c r="R47" s="572" t="n"/>
      <c r="S47" s="572" t="n"/>
      <c r="T47" s="572" t="n"/>
      <c r="U47" s="572" t="n"/>
      <c r="V47" s="572" t="n"/>
      <c r="W47" s="572" t="n"/>
      <c r="X47" s="572" t="n"/>
      <c r="Y47" s="572" t="n"/>
      <c r="Z47" s="572" t="n"/>
      <c r="AA47" s="572" t="n"/>
      <c r="AB47" s="572" t="n"/>
      <c r="AC47" s="572" t="n"/>
      <c r="AD47" s="572" t="n"/>
      <c r="AE47" s="572" t="n"/>
      <c r="AF47" s="572" t="n"/>
      <c r="AG47" s="572" t="n"/>
      <c r="AH47" s="572" t="n"/>
      <c r="AI47" s="573" t="n"/>
      <c r="AJ47" s="572" t="n"/>
      <c r="AK47" s="573" t="n"/>
      <c r="AL47" s="572" t="n"/>
      <c r="AM47" s="572" t="n"/>
      <c r="AN47" s="572" t="n"/>
      <c r="AO47" s="572" t="n"/>
      <c r="AP47" s="572" t="n"/>
      <c r="AQ47" s="572" t="n"/>
      <c r="AR47" s="572" t="n"/>
      <c r="AS47" s="572" t="n"/>
      <c r="AT47" s="572" t="n"/>
      <c r="AU47" s="572" t="n"/>
      <c r="AV47" s="572" t="n"/>
      <c r="AW47" s="572" t="n"/>
      <c r="AX47" s="572" t="n"/>
      <c r="AY47" s="572" t="n"/>
      <c r="AZ47" s="572" t="n"/>
      <c r="BA47" s="572" t="n"/>
      <c r="BB47" s="572" t="n"/>
      <c r="BC47" s="572" t="n"/>
      <c r="BD47" s="572" t="n"/>
      <c r="BE47" s="572" t="n"/>
      <c r="BF47" s="572" t="n"/>
      <c r="BG47" s="572" t="n"/>
      <c r="BH47" s="572" t="n"/>
      <c r="BI47" s="574" t="n"/>
      <c r="BJ47" s="574" t="n"/>
      <c r="BK47" s="574" t="n"/>
      <c r="BL47" s="574" t="n"/>
      <c r="BM47" s="574" t="n"/>
      <c r="BN47" s="574" t="n"/>
      <c r="BO47" s="574" t="n"/>
      <c r="BP47" s="574" t="n"/>
      <c r="BQ47" s="574" t="n"/>
      <c r="BR47" s="574" t="n"/>
      <c r="BS47" s="574" t="n"/>
      <c r="BT47" s="574" t="n"/>
      <c r="BU47" s="574" t="n"/>
      <c r="BV47" s="574" t="n"/>
      <c r="BW47" s="574" t="n"/>
      <c r="BX47" s="574" t="n"/>
      <c r="BY47" s="574" t="n"/>
      <c r="BZ47" s="574" t="n"/>
      <c r="CA47" s="574" t="n"/>
      <c r="CB47" s="574" t="n"/>
      <c r="CC47" s="574" t="n"/>
      <c r="CD47" s="574" t="n"/>
      <c r="CE47" s="574" t="n"/>
      <c r="CF47" s="574" t="n"/>
      <c r="CG47" s="574" t="n"/>
      <c r="CH47" s="574" t="n"/>
      <c r="CI47" s="574" t="n"/>
      <c r="CJ47" s="574" t="n"/>
      <c r="CK47" s="574" t="n"/>
      <c r="CL47" s="574" t="n"/>
      <c r="CM47" s="574" t="n"/>
      <c r="CN47" s="574" t="n"/>
      <c r="CO47" s="574" t="n"/>
      <c r="CP47" s="574" t="n"/>
      <c r="CQ47" s="574" t="n"/>
      <c r="CR47" s="574" t="n"/>
      <c r="CS47" s="574" t="n"/>
      <c r="CT47" s="574" t="n"/>
      <c r="CU47" s="574" t="n"/>
      <c r="CV47" s="574" t="n"/>
      <c r="CW47" s="574" t="n"/>
      <c r="CX47" s="574" t="n"/>
      <c r="CY47" s="574" t="n"/>
      <c r="CZ47" s="574" t="n"/>
      <c r="DA47" s="574" t="n"/>
      <c r="DB47" s="574" t="n"/>
      <c r="DC47" s="574" t="n"/>
      <c r="DD47" s="574" t="n"/>
      <c r="DE47" s="574" t="n"/>
      <c r="DF47" s="574" t="n"/>
      <c r="DG47" s="574" t="n"/>
      <c r="DH47" s="574" t="n"/>
      <c r="DI47" s="574" t="n"/>
      <c r="DJ47" s="574" t="n"/>
      <c r="DK47" s="574" t="n"/>
      <c r="DL47" s="574" t="n"/>
      <c r="DM47" s="574" t="n"/>
      <c r="DN47" s="574" t="n"/>
      <c r="DO47" s="574" t="n"/>
      <c r="DP47" s="574" t="n"/>
      <c r="DQ47" s="574" t="n"/>
      <c r="DR47" s="574" t="n"/>
      <c r="DS47" s="574" t="n"/>
      <c r="DT47" s="574" t="n"/>
      <c r="DU47" s="574" t="n"/>
      <c r="DV47" s="574" t="n"/>
      <c r="DW47" s="574" t="n"/>
      <c r="DX47" s="574" t="n"/>
      <c r="DY47" s="574" t="n"/>
      <c r="DZ47" s="574" t="n"/>
      <c r="EA47" s="574" t="n"/>
      <c r="EB47" s="574" t="n"/>
      <c r="EC47" s="574" t="n"/>
      <c r="ED47" s="574" t="n"/>
      <c r="EE47" s="574" t="n"/>
      <c r="EF47" s="574" t="n"/>
      <c r="EG47" s="574" t="n"/>
      <c r="EH47" s="574" t="n"/>
      <c r="EI47" s="574" t="n"/>
      <c r="EJ47" s="574" t="n"/>
      <c r="EK47" s="574" t="n"/>
      <c r="EL47" s="574" t="n"/>
      <c r="EM47" s="574" t="n"/>
      <c r="EN47" s="574" t="n"/>
      <c r="EO47" s="574" t="n"/>
      <c r="EP47" s="574" t="n"/>
      <c r="EQ47" s="574" t="n"/>
      <c r="ER47" s="574" t="n"/>
      <c r="ES47" s="574" t="n"/>
      <c r="ET47" s="574" t="n"/>
      <c r="EU47" s="574" t="n"/>
      <c r="EV47" s="574" t="n"/>
      <c r="EW47" s="574" t="n"/>
      <c r="EX47" s="574" t="n"/>
      <c r="EY47" s="574" t="n"/>
      <c r="EZ47" s="574" t="n"/>
      <c r="FA47" s="574" t="n"/>
      <c r="FB47" s="574" t="n"/>
      <c r="FC47" s="574" t="n"/>
      <c r="FD47" s="574" t="n"/>
      <c r="FE47" s="574" t="n"/>
      <c r="FF47" s="574" t="n"/>
      <c r="FG47" s="574" t="n"/>
      <c r="FH47" s="574" t="n"/>
      <c r="FI47" s="574" t="n"/>
      <c r="FJ47" s="574" t="n"/>
      <c r="FK47" s="574" t="n"/>
      <c r="FL47" s="574" t="n"/>
      <c r="FM47" s="574" t="n"/>
      <c r="FN47" s="574" t="n"/>
      <c r="FO47" s="574" t="n"/>
      <c r="FP47" s="574" t="n"/>
      <c r="FQ47" s="574" t="n"/>
      <c r="FR47" s="574" t="n"/>
      <c r="FS47" s="574" t="n"/>
      <c r="FT47" s="574" t="n"/>
      <c r="FU47" s="574" t="n"/>
      <c r="FV47" s="574" t="n"/>
      <c r="FW47" s="574" t="n"/>
      <c r="FX47" s="574" t="n"/>
      <c r="FY47" s="574" t="n"/>
      <c r="FZ47" s="574" t="n"/>
      <c r="GA47" s="574" t="n"/>
      <c r="GB47" s="574" t="n"/>
      <c r="GC47" s="574" t="n"/>
      <c r="GD47" s="574" t="n"/>
      <c r="GE47" s="574" t="n"/>
      <c r="GF47" s="574" t="n"/>
    </row>
    <row r="48" ht="14.1" customFormat="1" customHeight="1" s="568">
      <c r="A48" s="227" t="n"/>
      <c r="B48" s="87" t="n"/>
      <c r="C48" s="84">
        <f>IFERROR(IF(AND($E48&gt;0,$D48&lt;&gt;"The Public"),$E48/SUMIFS($E$10:$E$205,$E$10:$E$205,"&gt;0",$D$10:$D$205,"&lt;&gt;The Public")*$D$5,""),"")</f>
        <v/>
      </c>
      <c r="D48" s="177" t="n"/>
      <c r="E48" s="84">
        <f>SUM(G48:HY48)</f>
        <v/>
      </c>
      <c r="F48" s="569">
        <f>IFERROR(IF($E48&gt;0.0000005,$E48/SUMIF($E$11:$E$140,"&gt;0.0000005"),""),"")</f>
        <v/>
      </c>
      <c r="G48" s="570" t="n"/>
      <c r="H48" s="570" t="n"/>
      <c r="I48" s="570" t="n"/>
      <c r="J48" s="570" t="n"/>
      <c r="K48" s="570" t="n"/>
      <c r="L48" s="570" t="n"/>
      <c r="M48" s="572" t="n"/>
      <c r="N48" s="572" t="n"/>
      <c r="O48" s="572" t="n"/>
      <c r="P48" s="572" t="n"/>
      <c r="Q48" s="572" t="n"/>
      <c r="R48" s="572" t="n"/>
      <c r="S48" s="572" t="n"/>
      <c r="T48" s="572" t="n"/>
      <c r="U48" s="572" t="n"/>
      <c r="V48" s="572" t="n"/>
      <c r="W48" s="572" t="n"/>
      <c r="X48" s="572" t="n"/>
      <c r="Y48" s="572" t="n"/>
      <c r="Z48" s="572" t="n"/>
      <c r="AA48" s="572" t="n"/>
      <c r="AB48" s="572" t="n"/>
      <c r="AC48" s="572" t="n"/>
      <c r="AD48" s="572" t="n"/>
      <c r="AE48" s="572" t="n"/>
      <c r="AF48" s="572" t="n"/>
      <c r="AG48" s="572" t="n"/>
      <c r="AH48" s="572" t="n"/>
      <c r="AI48" s="573" t="n"/>
      <c r="AJ48" s="573" t="n"/>
      <c r="AK48" s="573" t="n"/>
      <c r="AL48" s="573" t="n"/>
      <c r="AM48" s="572" t="n"/>
      <c r="AN48" s="572" t="n"/>
      <c r="AO48" s="572" t="n"/>
      <c r="AP48" s="572" t="n"/>
      <c r="AQ48" s="572" t="n"/>
      <c r="AR48" s="572" t="n"/>
      <c r="AS48" s="572" t="n"/>
      <c r="AT48" s="572" t="n"/>
      <c r="AU48" s="572" t="n"/>
      <c r="AV48" s="572" t="n"/>
      <c r="AW48" s="572" t="n"/>
      <c r="AX48" s="572" t="n"/>
      <c r="AY48" s="572" t="n"/>
      <c r="AZ48" s="572" t="n"/>
      <c r="BA48" s="572" t="n"/>
      <c r="BB48" s="572" t="n"/>
      <c r="BC48" s="572" t="n"/>
      <c r="BD48" s="572" t="n"/>
      <c r="BE48" s="572" t="n"/>
      <c r="BF48" s="572" t="n"/>
      <c r="BG48" s="572" t="n"/>
      <c r="BH48" s="572" t="n"/>
      <c r="BI48" s="574" t="n"/>
      <c r="BJ48" s="574" t="n"/>
      <c r="BK48" s="574" t="n"/>
      <c r="BL48" s="574" t="n"/>
      <c r="BM48" s="574" t="n"/>
      <c r="BN48" s="574" t="n"/>
      <c r="BO48" s="574" t="n"/>
      <c r="BP48" s="574" t="n"/>
      <c r="BQ48" s="574" t="n"/>
      <c r="BR48" s="574" t="n"/>
      <c r="BS48" s="574" t="n"/>
      <c r="BT48" s="574" t="n"/>
      <c r="BU48" s="574" t="n"/>
      <c r="BV48" s="574" t="n"/>
      <c r="BW48" s="574" t="n"/>
      <c r="BX48" s="574" t="n"/>
      <c r="BY48" s="574" t="n"/>
      <c r="BZ48" s="574" t="n"/>
      <c r="CA48" s="574" t="n"/>
      <c r="CB48" s="574" t="n"/>
      <c r="CC48" s="574" t="n"/>
      <c r="CD48" s="574" t="n"/>
      <c r="CE48" s="574" t="n"/>
      <c r="CF48" s="574" t="n"/>
      <c r="CG48" s="574" t="n"/>
      <c r="CH48" s="574" t="n"/>
      <c r="CI48" s="574" t="n"/>
      <c r="CJ48" s="574" t="n"/>
      <c r="CK48" s="574" t="n"/>
      <c r="CL48" s="574" t="n"/>
      <c r="CM48" s="574" t="n"/>
      <c r="CN48" s="574" t="n"/>
      <c r="CO48" s="574" t="n"/>
      <c r="CP48" s="574" t="n"/>
      <c r="CQ48" s="574" t="n"/>
      <c r="CR48" s="574" t="n"/>
      <c r="CS48" s="574" t="n"/>
      <c r="CT48" s="574" t="n"/>
      <c r="CU48" s="574" t="n"/>
      <c r="CV48" s="574" t="n"/>
      <c r="CW48" s="574" t="n"/>
      <c r="CX48" s="574" t="n"/>
      <c r="CY48" s="574" t="n"/>
      <c r="CZ48" s="574" t="n"/>
      <c r="DA48" s="574" t="n"/>
      <c r="DB48" s="574" t="n"/>
      <c r="DC48" s="574" t="n"/>
      <c r="DD48" s="574" t="n"/>
      <c r="DE48" s="574" t="n"/>
      <c r="DF48" s="574" t="n"/>
      <c r="DG48" s="574" t="n"/>
      <c r="DH48" s="574" t="n"/>
      <c r="DI48" s="574" t="n"/>
      <c r="DJ48" s="574" t="n"/>
      <c r="DK48" s="574" t="n"/>
      <c r="DL48" s="574" t="n"/>
      <c r="DM48" s="574" t="n"/>
      <c r="DN48" s="574" t="n"/>
      <c r="DO48" s="574" t="n"/>
      <c r="DP48" s="574" t="n"/>
      <c r="DQ48" s="574" t="n"/>
      <c r="DR48" s="574" t="n"/>
      <c r="DS48" s="574" t="n"/>
      <c r="DT48" s="574" t="n"/>
      <c r="DU48" s="574" t="n"/>
      <c r="DV48" s="574" t="n"/>
      <c r="DW48" s="574" t="n"/>
      <c r="DX48" s="574" t="n"/>
      <c r="DY48" s="574" t="n"/>
      <c r="DZ48" s="574" t="n"/>
      <c r="EA48" s="574" t="n"/>
      <c r="EB48" s="574" t="n"/>
      <c r="EC48" s="574" t="n"/>
      <c r="ED48" s="574" t="n"/>
      <c r="EE48" s="574" t="n"/>
      <c r="EF48" s="574" t="n"/>
      <c r="EG48" s="574" t="n"/>
      <c r="EH48" s="574" t="n"/>
      <c r="EI48" s="574" t="n"/>
      <c r="EJ48" s="574" t="n"/>
      <c r="EK48" s="574" t="n"/>
      <c r="EL48" s="574" t="n"/>
      <c r="EM48" s="574" t="n"/>
      <c r="EN48" s="574" t="n"/>
      <c r="EO48" s="574" t="n"/>
      <c r="EP48" s="574" t="n"/>
      <c r="EQ48" s="574" t="n"/>
      <c r="ER48" s="574" t="n"/>
      <c r="ES48" s="574" t="n"/>
      <c r="ET48" s="574" t="n"/>
      <c r="EU48" s="574" t="n"/>
      <c r="EV48" s="574" t="n"/>
      <c r="EW48" s="574" t="n"/>
      <c r="EX48" s="574" t="n"/>
      <c r="EY48" s="574" t="n"/>
      <c r="EZ48" s="574" t="n"/>
      <c r="FA48" s="574" t="n"/>
      <c r="FB48" s="574" t="n"/>
      <c r="FC48" s="574" t="n"/>
      <c r="FD48" s="574" t="n"/>
      <c r="FE48" s="574" t="n"/>
      <c r="FF48" s="574" t="n"/>
      <c r="FG48" s="574" t="n"/>
      <c r="FH48" s="574" t="n"/>
      <c r="FI48" s="574" t="n"/>
      <c r="FJ48" s="574" t="n"/>
      <c r="FK48" s="574" t="n"/>
      <c r="FL48" s="574" t="n"/>
      <c r="FM48" s="574" t="n"/>
      <c r="FN48" s="574" t="n"/>
      <c r="FO48" s="574" t="n"/>
      <c r="FP48" s="574" t="n"/>
      <c r="FQ48" s="574" t="n"/>
      <c r="FR48" s="574" t="n"/>
      <c r="FS48" s="574" t="n"/>
      <c r="FT48" s="574" t="n"/>
      <c r="FU48" s="574" t="n"/>
      <c r="FV48" s="574" t="n"/>
      <c r="FW48" s="574" t="n"/>
      <c r="FX48" s="574" t="n"/>
      <c r="FY48" s="574" t="n"/>
      <c r="FZ48" s="574" t="n"/>
      <c r="GA48" s="574" t="n"/>
      <c r="GB48" s="574" t="n"/>
      <c r="GC48" s="574" t="n"/>
      <c r="GD48" s="574" t="n"/>
      <c r="GE48" s="574" t="n"/>
      <c r="GF48" s="574" t="n"/>
    </row>
    <row r="49" ht="17.45" customFormat="1" customHeight="1" s="568">
      <c r="A49" s="227" t="n"/>
      <c r="B49" s="87" t="n"/>
      <c r="C49" s="84">
        <f>IFERROR(IF(AND($E49&gt;0,$D49&lt;&gt;"The Public"),$E49/SUMIFS($E$10:$E$205,$E$10:$E$205,"&gt;0",$D$10:$D$205,"&lt;&gt;The Public")*$D$5,""),"")</f>
        <v/>
      </c>
      <c r="D49" s="576" t="n"/>
      <c r="E49" s="84">
        <f>SUM(G49:HY49)</f>
        <v/>
      </c>
      <c r="F49" s="569">
        <f>IFERROR(IF($E49&gt;0.0000005,$E49/SUMIF($E$11:$E$140,"&gt;0.0000005"),""),"")</f>
        <v/>
      </c>
      <c r="G49" s="570" t="n"/>
      <c r="H49" s="570" t="n"/>
      <c r="I49" s="570" t="n"/>
      <c r="J49" s="570" t="n"/>
      <c r="K49" s="570" t="n"/>
      <c r="L49" s="570" t="n"/>
      <c r="M49" s="572" t="n"/>
      <c r="N49" s="572" t="n"/>
      <c r="O49" s="572" t="n"/>
      <c r="P49" s="572" t="n"/>
      <c r="Q49" s="572" t="n"/>
      <c r="R49" s="572" t="n"/>
      <c r="S49" s="572" t="n"/>
      <c r="T49" s="572" t="n"/>
      <c r="U49" s="572" t="n"/>
      <c r="V49" s="572" t="n"/>
      <c r="W49" s="572" t="n"/>
      <c r="X49" s="572" t="n"/>
      <c r="Y49" s="572" t="n"/>
      <c r="Z49" s="572" t="n"/>
      <c r="AA49" s="572" t="n"/>
      <c r="AB49" s="572" t="n"/>
      <c r="AC49" s="572" t="n"/>
      <c r="AD49" s="572" t="n"/>
      <c r="AE49" s="572" t="n"/>
      <c r="AF49" s="572" t="n"/>
      <c r="AG49" s="572" t="n"/>
      <c r="AH49" s="572" t="n"/>
      <c r="AI49" s="573" t="n"/>
      <c r="AJ49" s="572" t="n"/>
      <c r="AK49" s="572" t="n"/>
      <c r="AL49" s="572" t="n"/>
      <c r="AM49" s="573" t="n"/>
      <c r="AN49" s="572" t="n"/>
      <c r="AO49" s="572" t="n"/>
      <c r="AP49" s="572" t="n"/>
      <c r="AQ49" s="572" t="n"/>
      <c r="AR49" s="572" t="n"/>
      <c r="AS49" s="572" t="n"/>
      <c r="AT49" s="572" t="n"/>
      <c r="AU49" s="572" t="n"/>
      <c r="AV49" s="572" t="n"/>
      <c r="AW49" s="572" t="n"/>
      <c r="AX49" s="572" t="n"/>
      <c r="AY49" s="572" t="n"/>
      <c r="AZ49" s="572" t="n"/>
      <c r="BA49" s="572" t="n"/>
      <c r="BB49" s="572" t="n"/>
      <c r="BC49" s="572" t="n"/>
      <c r="BD49" s="572" t="n"/>
      <c r="BE49" s="572" t="n"/>
      <c r="BF49" s="572" t="n"/>
      <c r="BG49" s="572" t="n"/>
      <c r="BH49" s="572" t="n"/>
      <c r="BI49" s="574" t="n"/>
      <c r="BJ49" s="574" t="n"/>
      <c r="BK49" s="574" t="n"/>
      <c r="BL49" s="574" t="n"/>
      <c r="BM49" s="574" t="n"/>
      <c r="BN49" s="574" t="n"/>
      <c r="BO49" s="574" t="n"/>
      <c r="BP49" s="574" t="n"/>
      <c r="BQ49" s="574" t="n"/>
      <c r="BR49" s="574" t="n"/>
      <c r="BS49" s="574" t="n"/>
      <c r="BT49" s="574" t="n"/>
      <c r="BU49" s="574" t="n"/>
      <c r="BV49" s="574" t="n"/>
      <c r="BW49" s="574" t="n"/>
      <c r="BX49" s="574" t="n"/>
      <c r="BY49" s="574" t="n"/>
      <c r="BZ49" s="574" t="n"/>
      <c r="CA49" s="574" t="n"/>
      <c r="CB49" s="574" t="n"/>
      <c r="CC49" s="574" t="n"/>
      <c r="CD49" s="574" t="n"/>
      <c r="CE49" s="574" t="n"/>
      <c r="CF49" s="574" t="n"/>
      <c r="CG49" s="574" t="n"/>
      <c r="CH49" s="574" t="n"/>
      <c r="CI49" s="574" t="n"/>
      <c r="CJ49" s="574" t="n"/>
      <c r="CK49" s="574" t="n"/>
      <c r="CL49" s="574" t="n"/>
      <c r="CM49" s="574" t="n"/>
      <c r="CN49" s="574" t="n"/>
      <c r="CO49" s="574" t="n"/>
      <c r="CP49" s="574" t="n"/>
      <c r="CQ49" s="574" t="n"/>
      <c r="CR49" s="574" t="n"/>
      <c r="CS49" s="574" t="n"/>
      <c r="CT49" s="574" t="n"/>
      <c r="CU49" s="574" t="n"/>
      <c r="CV49" s="574" t="n"/>
      <c r="CW49" s="574" t="n"/>
      <c r="CX49" s="574" t="n"/>
      <c r="CY49" s="574" t="n"/>
      <c r="CZ49" s="574" t="n"/>
      <c r="DA49" s="574" t="n"/>
      <c r="DB49" s="574" t="n"/>
      <c r="DC49" s="574" t="n"/>
      <c r="DD49" s="574" t="n"/>
      <c r="DE49" s="574" t="n"/>
      <c r="DF49" s="574" t="n"/>
      <c r="DG49" s="574" t="n"/>
      <c r="DH49" s="574" t="n"/>
      <c r="DI49" s="574" t="n"/>
      <c r="DJ49" s="574" t="n"/>
      <c r="DK49" s="574" t="n"/>
      <c r="DL49" s="574" t="n"/>
      <c r="DM49" s="574" t="n"/>
      <c r="DN49" s="574" t="n"/>
      <c r="DO49" s="574" t="n"/>
      <c r="DP49" s="574" t="n"/>
      <c r="DQ49" s="574" t="n"/>
      <c r="DR49" s="574" t="n"/>
      <c r="DS49" s="574" t="n"/>
      <c r="DT49" s="574" t="n"/>
      <c r="DU49" s="574" t="n"/>
      <c r="DV49" s="574" t="n"/>
      <c r="DW49" s="574" t="n"/>
      <c r="DX49" s="574" t="n"/>
      <c r="DY49" s="574" t="n"/>
      <c r="DZ49" s="574" t="n"/>
      <c r="EA49" s="574" t="n"/>
      <c r="EB49" s="574" t="n"/>
      <c r="EC49" s="574" t="n"/>
      <c r="ED49" s="574" t="n"/>
      <c r="EE49" s="574" t="n"/>
      <c r="EF49" s="574" t="n"/>
      <c r="EG49" s="574" t="n"/>
      <c r="EH49" s="574" t="n"/>
      <c r="EI49" s="574" t="n"/>
      <c r="EJ49" s="574" t="n"/>
      <c r="EK49" s="574" t="n"/>
      <c r="EL49" s="574" t="n"/>
      <c r="EM49" s="574" t="n"/>
      <c r="EN49" s="574" t="n"/>
      <c r="EO49" s="574" t="n"/>
      <c r="EP49" s="574" t="n"/>
      <c r="EQ49" s="574" t="n"/>
      <c r="ER49" s="574" t="n"/>
      <c r="ES49" s="574" t="n"/>
      <c r="ET49" s="574" t="n"/>
      <c r="EU49" s="574" t="n"/>
      <c r="EV49" s="574" t="n"/>
      <c r="EW49" s="574" t="n"/>
      <c r="EX49" s="574" t="n"/>
      <c r="EY49" s="574" t="n"/>
      <c r="EZ49" s="574" t="n"/>
      <c r="FA49" s="574" t="n"/>
      <c r="FB49" s="574" t="n"/>
      <c r="FC49" s="574" t="n"/>
      <c r="FD49" s="574" t="n"/>
      <c r="FE49" s="574" t="n"/>
      <c r="FF49" s="574" t="n"/>
      <c r="FG49" s="574" t="n"/>
      <c r="FH49" s="574" t="n"/>
      <c r="FI49" s="574" t="n"/>
      <c r="FJ49" s="574" t="n"/>
      <c r="FK49" s="574" t="n"/>
      <c r="FL49" s="574" t="n"/>
      <c r="FM49" s="574" t="n"/>
      <c r="FN49" s="574" t="n"/>
      <c r="FO49" s="574" t="n"/>
      <c r="FP49" s="574" t="n"/>
      <c r="FQ49" s="574" t="n"/>
      <c r="FR49" s="574" t="n"/>
      <c r="FS49" s="574" t="n"/>
      <c r="FT49" s="574" t="n"/>
      <c r="FU49" s="574" t="n"/>
      <c r="FV49" s="574" t="n"/>
      <c r="FW49" s="574" t="n"/>
      <c r="FX49" s="574" t="n"/>
      <c r="FY49" s="574" t="n"/>
      <c r="FZ49" s="574" t="n"/>
      <c r="GA49" s="574" t="n"/>
      <c r="GB49" s="574" t="n"/>
      <c r="GC49" s="574" t="n"/>
      <c r="GD49" s="574" t="n"/>
      <c r="GE49" s="574" t="n"/>
      <c r="GF49" s="574" t="n"/>
    </row>
    <row r="50" customFormat="1" s="568">
      <c r="A50" s="227" t="n"/>
      <c r="B50" s="87" t="n"/>
      <c r="C50" s="137">
        <f>IFERROR(IF(AND($E50&gt;0,$D50&lt;&gt;"The Public"),$E50/SUMIFS($E$10:$E$205,$E$10:$E$205,"&gt;0",$D$10:$D$205,"&lt;&gt;The Public")*$D$5,""),"")</f>
        <v/>
      </c>
      <c r="D50" s="178" t="n"/>
      <c r="E50" s="137">
        <f>SUM(G50:HY50)</f>
        <v/>
      </c>
      <c r="F50" s="569">
        <f>IFERROR(IF($E50&gt;0.0000005,$E50/SUMIF($E$11:$E$140,"&gt;0.0000005"),""),"")</f>
        <v/>
      </c>
      <c r="G50" s="570" t="n"/>
      <c r="H50" s="570" t="n"/>
      <c r="I50" s="571" t="n"/>
      <c r="J50" s="570" t="n"/>
      <c r="K50" s="571" t="n"/>
      <c r="L50" s="571" t="n"/>
      <c r="M50" s="572" t="n"/>
      <c r="N50" s="572" t="n"/>
      <c r="O50" s="572" t="n"/>
      <c r="P50" s="572" t="n"/>
      <c r="Q50" s="572" t="n"/>
      <c r="R50" s="572" t="n"/>
      <c r="S50" s="572" t="n"/>
      <c r="T50" s="572" t="n"/>
      <c r="U50" s="572" t="n"/>
      <c r="V50" s="572" t="n"/>
      <c r="W50" s="572" t="n"/>
      <c r="X50" s="572" t="n"/>
      <c r="Y50" s="572" t="n"/>
      <c r="Z50" s="572" t="n"/>
      <c r="AA50" s="572" t="n"/>
      <c r="AB50" s="572" t="n"/>
      <c r="AC50" s="572" t="n"/>
      <c r="AD50" s="572" t="n"/>
      <c r="AE50" s="572" t="n"/>
      <c r="AF50" s="572" t="n"/>
      <c r="AG50" s="572" t="n"/>
      <c r="AH50" s="572" t="n"/>
      <c r="AI50" s="572" t="n"/>
      <c r="AJ50" s="572" t="n"/>
      <c r="AK50" s="572" t="n"/>
      <c r="AL50" s="572" t="n"/>
      <c r="AM50" s="572" t="n"/>
      <c r="AN50" s="572" t="n"/>
      <c r="AO50" s="572" t="n"/>
      <c r="AP50" s="572" t="n"/>
      <c r="AQ50" s="572" t="n"/>
      <c r="AR50" s="572" t="n"/>
      <c r="AS50" s="572" t="n"/>
      <c r="AT50" s="572" t="n"/>
      <c r="AU50" s="572" t="n"/>
      <c r="AV50" s="572" t="n"/>
      <c r="AW50" s="572" t="n"/>
      <c r="AX50" s="572" t="n"/>
      <c r="AY50" s="572" t="n"/>
      <c r="AZ50" s="572" t="n"/>
      <c r="BA50" s="572" t="n"/>
      <c r="BB50" s="572" t="n"/>
      <c r="BC50" s="572" t="n"/>
      <c r="BD50" s="572" t="n"/>
      <c r="BE50" s="572" t="n"/>
      <c r="BF50" s="572" t="n"/>
      <c r="BG50" s="572" t="n"/>
      <c r="BH50" s="572" t="n"/>
      <c r="BI50" s="574" t="n"/>
      <c r="BJ50" s="574" t="n"/>
      <c r="BK50" s="574" t="n"/>
      <c r="BL50" s="574" t="n"/>
      <c r="BM50" s="574" t="n"/>
      <c r="BN50" s="574" t="n"/>
      <c r="BO50" s="574" t="n"/>
      <c r="BP50" s="574" t="n"/>
      <c r="BQ50" s="574" t="n"/>
      <c r="BR50" s="574" t="n"/>
      <c r="BS50" s="574" t="n"/>
      <c r="BT50" s="574" t="n"/>
      <c r="BU50" s="574" t="n"/>
      <c r="BV50" s="574" t="n"/>
      <c r="BW50" s="574" t="n"/>
      <c r="BX50" s="574" t="n"/>
      <c r="BY50" s="574" t="n"/>
      <c r="BZ50" s="574" t="n"/>
      <c r="CA50" s="574" t="n"/>
      <c r="CB50" s="574" t="n"/>
      <c r="CC50" s="574" t="n"/>
      <c r="CD50" s="574" t="n"/>
      <c r="CE50" s="574" t="n"/>
      <c r="CF50" s="574" t="n"/>
      <c r="CG50" s="574" t="n"/>
      <c r="CH50" s="574" t="n"/>
      <c r="CI50" s="574" t="n"/>
      <c r="CJ50" s="574" t="n"/>
      <c r="CK50" s="574" t="n"/>
      <c r="CL50" s="574" t="n"/>
      <c r="CM50" s="574" t="n"/>
      <c r="CN50" s="574" t="n"/>
      <c r="CO50" s="574" t="n"/>
      <c r="CP50" s="574" t="n"/>
      <c r="CQ50" s="574" t="n"/>
      <c r="CR50" s="574" t="n"/>
      <c r="CS50" s="574" t="n"/>
      <c r="CT50" s="574" t="n"/>
      <c r="CU50" s="574" t="n"/>
      <c r="CV50" s="574" t="n"/>
      <c r="CW50" s="574" t="n"/>
      <c r="CX50" s="574" t="n"/>
      <c r="CY50" s="574" t="n"/>
      <c r="CZ50" s="574" t="n"/>
      <c r="DA50" s="574" t="n"/>
      <c r="DB50" s="574" t="n"/>
      <c r="DC50" s="574" t="n"/>
      <c r="DD50" s="574" t="n"/>
      <c r="DE50" s="574" t="n"/>
      <c r="DF50" s="574" t="n"/>
      <c r="DG50" s="574" t="n"/>
      <c r="DH50" s="574" t="n"/>
      <c r="DI50" s="574" t="n"/>
      <c r="DJ50" s="574" t="n"/>
      <c r="DK50" s="574" t="n"/>
      <c r="DL50" s="574" t="n"/>
      <c r="DM50" s="574" t="n"/>
      <c r="DN50" s="574" t="n"/>
      <c r="DO50" s="574" t="n"/>
      <c r="DP50" s="574" t="n"/>
      <c r="DQ50" s="574" t="n"/>
      <c r="DR50" s="574" t="n"/>
      <c r="DS50" s="574" t="n"/>
      <c r="DT50" s="574" t="n"/>
      <c r="DU50" s="574" t="n"/>
      <c r="DV50" s="574" t="n"/>
      <c r="DW50" s="574" t="n"/>
      <c r="DX50" s="574" t="n"/>
      <c r="DY50" s="574" t="n"/>
      <c r="DZ50" s="574" t="n"/>
      <c r="EA50" s="574" t="n"/>
      <c r="EB50" s="574" t="n"/>
      <c r="EC50" s="574" t="n"/>
      <c r="ED50" s="574" t="n"/>
      <c r="EE50" s="574" t="n"/>
      <c r="EF50" s="574" t="n"/>
      <c r="EG50" s="574" t="n"/>
      <c r="EH50" s="574" t="n"/>
      <c r="EI50" s="574" t="n"/>
      <c r="EJ50" s="574" t="n"/>
      <c r="EK50" s="574" t="n"/>
      <c r="EL50" s="574" t="n"/>
      <c r="EM50" s="574" t="n"/>
      <c r="EN50" s="574" t="n"/>
      <c r="EO50" s="574" t="n"/>
      <c r="EP50" s="574" t="n"/>
      <c r="EQ50" s="574" t="n"/>
      <c r="ER50" s="574" t="n"/>
      <c r="ES50" s="574" t="n"/>
      <c r="ET50" s="574" t="n"/>
      <c r="EU50" s="574" t="n"/>
      <c r="EV50" s="574" t="n"/>
      <c r="EW50" s="574" t="n"/>
      <c r="EX50" s="574" t="n"/>
      <c r="EY50" s="574" t="n"/>
      <c r="EZ50" s="574" t="n"/>
      <c r="FA50" s="574" t="n"/>
      <c r="FB50" s="574" t="n"/>
      <c r="FC50" s="574" t="n"/>
      <c r="FD50" s="574" t="n"/>
      <c r="FE50" s="574" t="n"/>
      <c r="FF50" s="574" t="n"/>
      <c r="FG50" s="574" t="n"/>
      <c r="FH50" s="574" t="n"/>
      <c r="FI50" s="574" t="n"/>
      <c r="FJ50" s="574" t="n"/>
      <c r="FK50" s="574" t="n"/>
      <c r="FL50" s="574" t="n"/>
      <c r="FM50" s="574" t="n"/>
      <c r="FN50" s="574" t="n"/>
      <c r="FO50" s="574" t="n"/>
      <c r="FP50" s="574" t="n"/>
      <c r="FQ50" s="574" t="n"/>
      <c r="FR50" s="574" t="n"/>
      <c r="FS50" s="574" t="n"/>
      <c r="FT50" s="574" t="n"/>
      <c r="FU50" s="574" t="n"/>
      <c r="FV50" s="574" t="n"/>
      <c r="FW50" s="574" t="n"/>
      <c r="FX50" s="574" t="n"/>
      <c r="FY50" s="574" t="n"/>
      <c r="FZ50" s="574" t="n"/>
      <c r="GA50" s="574" t="n"/>
      <c r="GB50" s="574" t="n"/>
      <c r="GC50" s="574" t="n"/>
      <c r="GD50" s="574" t="n"/>
      <c r="GE50" s="574" t="n"/>
      <c r="GF50" s="574" t="n"/>
    </row>
    <row r="51" customFormat="1" s="568">
      <c r="A51" s="227" t="n"/>
      <c r="B51" s="87" t="n"/>
      <c r="C51" s="137">
        <f>IFERROR(IF(AND($E51&gt;0,$D51&lt;&gt;"The Public"),$E51/SUMIFS($E$10:$E$205,$E$10:$E$205,"&gt;0",$D$10:$D$205,"&lt;&gt;The Public")*$D$5,""),"")</f>
        <v/>
      </c>
      <c r="D51" s="177" t="n"/>
      <c r="E51" s="137">
        <f>SUM(G51:HY51)</f>
        <v/>
      </c>
      <c r="F51" s="569">
        <f>IFERROR(IF($E51&gt;0.0000005,$E51/SUMIF($E$11:$E$140,"&gt;0.0000005"),""),"")</f>
        <v/>
      </c>
      <c r="G51" s="570" t="n"/>
      <c r="H51" s="570" t="n"/>
      <c r="I51" s="571" t="n"/>
      <c r="J51" s="570" t="n"/>
      <c r="K51" s="571" t="n"/>
      <c r="L51" s="571" t="n"/>
      <c r="M51" s="572" t="n"/>
      <c r="N51" s="572" t="n"/>
      <c r="O51" s="572" t="n"/>
      <c r="P51" s="572" t="n"/>
      <c r="Q51" s="572" t="n"/>
      <c r="R51" s="572" t="n"/>
      <c r="S51" s="572" t="n"/>
      <c r="T51" s="572" t="n"/>
      <c r="U51" s="572" t="n"/>
      <c r="V51" s="572" t="n"/>
      <c r="W51" s="572" t="n"/>
      <c r="X51" s="572" t="n"/>
      <c r="Y51" s="572" t="n"/>
      <c r="Z51" s="572" t="n"/>
      <c r="AA51" s="572" t="n"/>
      <c r="AB51" s="572" t="n"/>
      <c r="AC51" s="572" t="n"/>
      <c r="AD51" s="572" t="n"/>
      <c r="AE51" s="572" t="n"/>
      <c r="AF51" s="572" t="n"/>
      <c r="AG51" s="572" t="n"/>
      <c r="AH51" s="572" t="n"/>
      <c r="AI51" s="572" t="n"/>
      <c r="AJ51" s="572" t="n"/>
      <c r="AK51" s="572" t="n"/>
      <c r="AL51" s="572" t="n"/>
      <c r="AM51" s="572" t="n"/>
      <c r="AN51" s="572" t="n"/>
      <c r="AO51" s="572" t="n"/>
      <c r="AP51" s="572" t="n"/>
      <c r="AQ51" s="572" t="n"/>
      <c r="AR51" s="572" t="n"/>
      <c r="AS51" s="572" t="n"/>
      <c r="AT51" s="572" t="n"/>
      <c r="AU51" s="572" t="n"/>
      <c r="AV51" s="572" t="n"/>
      <c r="AW51" s="572" t="n"/>
      <c r="AX51" s="572" t="n"/>
      <c r="AY51" s="572" t="n"/>
      <c r="AZ51" s="572" t="n"/>
      <c r="BA51" s="572" t="n"/>
      <c r="BB51" s="572" t="n"/>
      <c r="BC51" s="572" t="n"/>
      <c r="BD51" s="572" t="n"/>
      <c r="BE51" s="572" t="n"/>
      <c r="BF51" s="572" t="n"/>
      <c r="BG51" s="572" t="n"/>
      <c r="BH51" s="572" t="n"/>
      <c r="BI51" s="574" t="n"/>
      <c r="BJ51" s="574" t="n"/>
      <c r="BK51" s="574" t="n"/>
      <c r="BL51" s="574" t="n"/>
      <c r="BM51" s="574" t="n"/>
      <c r="BN51" s="574" t="n"/>
      <c r="BO51" s="574" t="n"/>
      <c r="BP51" s="574" t="n"/>
      <c r="BQ51" s="574" t="n"/>
      <c r="BR51" s="574" t="n"/>
      <c r="BS51" s="574" t="n"/>
      <c r="BT51" s="574" t="n"/>
      <c r="BU51" s="574" t="n"/>
      <c r="BV51" s="574" t="n"/>
      <c r="BW51" s="574" t="n"/>
      <c r="BX51" s="574" t="n"/>
      <c r="BY51" s="574" t="n"/>
      <c r="BZ51" s="574" t="n"/>
      <c r="CA51" s="574" t="n"/>
      <c r="CB51" s="574" t="n"/>
      <c r="CC51" s="574" t="n"/>
      <c r="CD51" s="574" t="n"/>
      <c r="CE51" s="574" t="n"/>
      <c r="CF51" s="574" t="n"/>
      <c r="CG51" s="574" t="n"/>
      <c r="CH51" s="574" t="n"/>
      <c r="CI51" s="574" t="n"/>
      <c r="CJ51" s="574" t="n"/>
      <c r="CK51" s="574" t="n"/>
      <c r="CL51" s="574" t="n"/>
      <c r="CM51" s="574" t="n"/>
      <c r="CN51" s="574" t="n"/>
      <c r="CO51" s="574" t="n"/>
      <c r="CP51" s="574" t="n"/>
      <c r="CQ51" s="574" t="n"/>
      <c r="CR51" s="574" t="n"/>
      <c r="CS51" s="574" t="n"/>
      <c r="CT51" s="574" t="n"/>
      <c r="CU51" s="574" t="n"/>
      <c r="CV51" s="574" t="n"/>
      <c r="CW51" s="574" t="n"/>
      <c r="CX51" s="574" t="n"/>
      <c r="CY51" s="574" t="n"/>
      <c r="CZ51" s="574" t="n"/>
      <c r="DA51" s="574" t="n"/>
      <c r="DB51" s="574" t="n"/>
      <c r="DC51" s="574" t="n"/>
      <c r="DD51" s="574" t="n"/>
      <c r="DE51" s="574" t="n"/>
      <c r="DF51" s="574" t="n"/>
      <c r="DG51" s="574" t="n"/>
      <c r="DH51" s="574" t="n"/>
      <c r="DI51" s="574" t="n"/>
      <c r="DJ51" s="574" t="n"/>
      <c r="DK51" s="574" t="n"/>
      <c r="DL51" s="574" t="n"/>
      <c r="DM51" s="574" t="n"/>
      <c r="DN51" s="574" t="n"/>
      <c r="DO51" s="574" t="n"/>
      <c r="DP51" s="574" t="n"/>
      <c r="DQ51" s="574" t="n"/>
      <c r="DR51" s="574" t="n"/>
      <c r="DS51" s="574" t="n"/>
      <c r="DT51" s="574" t="n"/>
      <c r="DU51" s="574" t="n"/>
      <c r="DV51" s="574" t="n"/>
      <c r="DW51" s="574" t="n"/>
      <c r="DX51" s="574" t="n"/>
      <c r="DY51" s="574" t="n"/>
      <c r="DZ51" s="574" t="n"/>
      <c r="EA51" s="574" t="n"/>
      <c r="EB51" s="574" t="n"/>
      <c r="EC51" s="574" t="n"/>
      <c r="ED51" s="574" t="n"/>
      <c r="EE51" s="574" t="n"/>
      <c r="EF51" s="574" t="n"/>
      <c r="EG51" s="574" t="n"/>
      <c r="EH51" s="574" t="n"/>
      <c r="EI51" s="574" t="n"/>
      <c r="EJ51" s="574" t="n"/>
      <c r="EK51" s="574" t="n"/>
      <c r="EL51" s="574" t="n"/>
      <c r="EM51" s="574" t="n"/>
      <c r="EN51" s="574" t="n"/>
      <c r="EO51" s="574" t="n"/>
      <c r="EP51" s="574" t="n"/>
      <c r="EQ51" s="574" t="n"/>
      <c r="ER51" s="574" t="n"/>
      <c r="ES51" s="574" t="n"/>
      <c r="ET51" s="574" t="n"/>
      <c r="EU51" s="574" t="n"/>
      <c r="EV51" s="574" t="n"/>
      <c r="EW51" s="574" t="n"/>
      <c r="EX51" s="574" t="n"/>
      <c r="EY51" s="574" t="n"/>
      <c r="EZ51" s="574" t="n"/>
      <c r="FA51" s="574" t="n"/>
      <c r="FB51" s="574" t="n"/>
      <c r="FC51" s="574" t="n"/>
      <c r="FD51" s="574" t="n"/>
      <c r="FE51" s="574" t="n"/>
      <c r="FF51" s="574" t="n"/>
      <c r="FG51" s="574" t="n"/>
      <c r="FH51" s="574" t="n"/>
      <c r="FI51" s="574" t="n"/>
      <c r="FJ51" s="574" t="n"/>
      <c r="FK51" s="574" t="n"/>
      <c r="FL51" s="574" t="n"/>
      <c r="FM51" s="574" t="n"/>
      <c r="FN51" s="574" t="n"/>
      <c r="FO51" s="574" t="n"/>
      <c r="FP51" s="574" t="n"/>
      <c r="FQ51" s="574" t="n"/>
      <c r="FR51" s="574" t="n"/>
      <c r="FS51" s="574" t="n"/>
      <c r="FT51" s="574" t="n"/>
      <c r="FU51" s="574" t="n"/>
      <c r="FV51" s="574" t="n"/>
      <c r="FW51" s="574" t="n"/>
      <c r="FX51" s="574" t="n"/>
      <c r="FY51" s="574" t="n"/>
      <c r="FZ51" s="574" t="n"/>
      <c r="GA51" s="574" t="n"/>
      <c r="GB51" s="574" t="n"/>
      <c r="GC51" s="574" t="n"/>
      <c r="GD51" s="574" t="n"/>
      <c r="GE51" s="574" t="n"/>
      <c r="GF51" s="574" t="n"/>
    </row>
    <row r="52" customFormat="1" s="568">
      <c r="A52" s="227" t="n"/>
      <c r="B52" s="87" t="n"/>
      <c r="C52" s="137">
        <f>IFERROR(IF(AND($E52&gt;0,$D52&lt;&gt;"The Public"),$E52/SUMIFS($E$10:$E$205,$E$10:$E$205,"&gt;0",$D$10:$D$205,"&lt;&gt;The Public")*$D$5,""),"")</f>
        <v/>
      </c>
      <c r="D52" s="177" t="n"/>
      <c r="E52" s="137">
        <f>SUM(G52:HY52)</f>
        <v/>
      </c>
      <c r="F52" s="569">
        <f>IFERROR(IF($E52&gt;0.0000005,$E52/SUMIF($E$11:$E$140,"&gt;0.0000005"),""),"")</f>
        <v/>
      </c>
      <c r="G52" s="570" t="n"/>
      <c r="H52" s="570" t="n"/>
      <c r="I52" s="571" t="n"/>
      <c r="J52" s="570" t="n"/>
      <c r="K52" s="571" t="n"/>
      <c r="L52" s="571" t="n"/>
      <c r="M52" s="572" t="n"/>
      <c r="N52" s="572" t="n"/>
      <c r="O52" s="572" t="n"/>
      <c r="P52" s="572" t="n"/>
      <c r="Q52" s="572" t="n"/>
      <c r="R52" s="572" t="n"/>
      <c r="S52" s="572" t="n"/>
      <c r="T52" s="572" t="n"/>
      <c r="U52" s="572" t="n"/>
      <c r="V52" s="572" t="n"/>
      <c r="W52" s="572" t="n"/>
      <c r="X52" s="572" t="n"/>
      <c r="Y52" s="572" t="n"/>
      <c r="Z52" s="572" t="n"/>
      <c r="AA52" s="572" t="n"/>
      <c r="AB52" s="572" t="n"/>
      <c r="AC52" s="572" t="n"/>
      <c r="AD52" s="572" t="n"/>
      <c r="AE52" s="572" t="n"/>
      <c r="AF52" s="572" t="n"/>
      <c r="AG52" s="572" t="n"/>
      <c r="AH52" s="572" t="n"/>
      <c r="AI52" s="572" t="n"/>
      <c r="AJ52" s="572" t="n"/>
      <c r="AK52" s="572" t="n"/>
      <c r="AL52" s="572" t="n"/>
      <c r="AM52" s="572" t="n"/>
      <c r="AN52" s="572" t="n"/>
      <c r="AO52" s="572" t="n"/>
      <c r="AP52" s="572" t="n"/>
      <c r="AQ52" s="572" t="n"/>
      <c r="AR52" s="572" t="n"/>
      <c r="AS52" s="572" t="n"/>
      <c r="AT52" s="572" t="n"/>
      <c r="AU52" s="572" t="n"/>
      <c r="AV52" s="572" t="n"/>
      <c r="AW52" s="572" t="n"/>
      <c r="AX52" s="572" t="n"/>
      <c r="AY52" s="572" t="n"/>
      <c r="AZ52" s="572" t="n"/>
      <c r="BA52" s="572" t="n"/>
      <c r="BB52" s="572" t="n"/>
      <c r="BC52" s="572" t="n"/>
      <c r="BD52" s="572" t="n"/>
      <c r="BE52" s="572" t="n"/>
      <c r="BF52" s="572" t="n"/>
      <c r="BG52" s="572" t="n"/>
      <c r="BH52" s="572" t="n"/>
      <c r="BI52" s="574" t="n"/>
      <c r="BJ52" s="574" t="n"/>
      <c r="BK52" s="574" t="n"/>
      <c r="BL52" s="574" t="n"/>
      <c r="BM52" s="574" t="n"/>
      <c r="BN52" s="574" t="n"/>
      <c r="BO52" s="574" t="n"/>
      <c r="BP52" s="574" t="n"/>
      <c r="BQ52" s="574" t="n"/>
      <c r="BR52" s="574" t="n"/>
      <c r="BS52" s="574" t="n"/>
      <c r="BT52" s="574" t="n"/>
      <c r="BU52" s="574" t="n"/>
      <c r="BV52" s="574" t="n"/>
      <c r="BW52" s="574" t="n"/>
      <c r="BX52" s="574" t="n"/>
      <c r="BY52" s="574" t="n"/>
      <c r="BZ52" s="574" t="n"/>
      <c r="CA52" s="574" t="n"/>
      <c r="CB52" s="574" t="n"/>
      <c r="CC52" s="574" t="n"/>
      <c r="CD52" s="574" t="n"/>
      <c r="CE52" s="574" t="n"/>
      <c r="CF52" s="574" t="n"/>
      <c r="CG52" s="574" t="n"/>
      <c r="CH52" s="574" t="n"/>
      <c r="CI52" s="574" t="n"/>
      <c r="CJ52" s="574" t="n"/>
      <c r="CK52" s="574" t="n"/>
      <c r="CL52" s="574" t="n"/>
      <c r="CM52" s="574" t="n"/>
      <c r="CN52" s="574" t="n"/>
      <c r="CO52" s="574" t="n"/>
      <c r="CP52" s="574" t="n"/>
      <c r="CQ52" s="574" t="n"/>
      <c r="CR52" s="574" t="n"/>
      <c r="CS52" s="574" t="n"/>
      <c r="CT52" s="574" t="n"/>
      <c r="CU52" s="574" t="n"/>
      <c r="CV52" s="574" t="n"/>
      <c r="CW52" s="574" t="n"/>
      <c r="CX52" s="574" t="n"/>
      <c r="CY52" s="574" t="n"/>
      <c r="CZ52" s="574" t="n"/>
      <c r="DA52" s="574" t="n"/>
      <c r="DB52" s="574" t="n"/>
      <c r="DC52" s="574" t="n"/>
      <c r="DD52" s="574" t="n"/>
      <c r="DE52" s="574" t="n"/>
      <c r="DF52" s="574" t="n"/>
      <c r="DG52" s="574" t="n"/>
      <c r="DH52" s="574" t="n"/>
      <c r="DI52" s="574" t="n"/>
      <c r="DJ52" s="574" t="n"/>
      <c r="DK52" s="574" t="n"/>
      <c r="DL52" s="574" t="n"/>
      <c r="DM52" s="574" t="n"/>
      <c r="DN52" s="574" t="n"/>
      <c r="DO52" s="574" t="n"/>
      <c r="DP52" s="574" t="n"/>
      <c r="DQ52" s="574" t="n"/>
      <c r="DR52" s="574" t="n"/>
      <c r="DS52" s="574" t="n"/>
      <c r="DT52" s="574" t="n"/>
      <c r="DU52" s="574" t="n"/>
      <c r="DV52" s="574" t="n"/>
      <c r="DW52" s="574" t="n"/>
      <c r="DX52" s="574" t="n"/>
      <c r="DY52" s="574" t="n"/>
      <c r="DZ52" s="574" t="n"/>
      <c r="EA52" s="574" t="n"/>
      <c r="EB52" s="574" t="n"/>
      <c r="EC52" s="574" t="n"/>
      <c r="ED52" s="574" t="n"/>
      <c r="EE52" s="574" t="n"/>
      <c r="EF52" s="574" t="n"/>
      <c r="EG52" s="574" t="n"/>
      <c r="EH52" s="574" t="n"/>
      <c r="EI52" s="574" t="n"/>
      <c r="EJ52" s="574" t="n"/>
      <c r="EK52" s="574" t="n"/>
      <c r="EL52" s="574" t="n"/>
      <c r="EM52" s="574" t="n"/>
      <c r="EN52" s="574" t="n"/>
      <c r="EO52" s="574" t="n"/>
      <c r="EP52" s="574" t="n"/>
      <c r="EQ52" s="574" t="n"/>
      <c r="ER52" s="574" t="n"/>
      <c r="ES52" s="574" t="n"/>
      <c r="ET52" s="574" t="n"/>
      <c r="EU52" s="574" t="n"/>
      <c r="EV52" s="574" t="n"/>
      <c r="EW52" s="574" t="n"/>
      <c r="EX52" s="574" t="n"/>
      <c r="EY52" s="574" t="n"/>
      <c r="EZ52" s="574" t="n"/>
      <c r="FA52" s="574" t="n"/>
      <c r="FB52" s="574" t="n"/>
      <c r="FC52" s="574" t="n"/>
      <c r="FD52" s="574" t="n"/>
      <c r="FE52" s="574" t="n"/>
      <c r="FF52" s="574" t="n"/>
      <c r="FG52" s="574" t="n"/>
      <c r="FH52" s="574" t="n"/>
      <c r="FI52" s="574" t="n"/>
      <c r="FJ52" s="574" t="n"/>
      <c r="FK52" s="574" t="n"/>
      <c r="FL52" s="574" t="n"/>
      <c r="FM52" s="574" t="n"/>
      <c r="FN52" s="574" t="n"/>
      <c r="FO52" s="574" t="n"/>
      <c r="FP52" s="574" t="n"/>
      <c r="FQ52" s="574" t="n"/>
      <c r="FR52" s="574" t="n"/>
      <c r="FS52" s="574" t="n"/>
      <c r="FT52" s="574" t="n"/>
      <c r="FU52" s="574" t="n"/>
      <c r="FV52" s="574" t="n"/>
      <c r="FW52" s="574" t="n"/>
      <c r="FX52" s="574" t="n"/>
      <c r="FY52" s="574" t="n"/>
      <c r="FZ52" s="574" t="n"/>
      <c r="GA52" s="574" t="n"/>
      <c r="GB52" s="574" t="n"/>
      <c r="GC52" s="574" t="n"/>
      <c r="GD52" s="574" t="n"/>
      <c r="GE52" s="574" t="n"/>
      <c r="GF52" s="574" t="n"/>
    </row>
    <row r="53" customFormat="1" s="568">
      <c r="A53" s="227" t="n"/>
      <c r="B53" s="87" t="n"/>
      <c r="C53" s="137">
        <f>IFERROR(IF(AND($E53&gt;0,$D53&lt;&gt;"The Public"),$E53/SUMIFS($E$10:$E$205,$E$10:$E$205,"&gt;0",$D$10:$D$205,"&lt;&gt;The Public")*$D$5,""),"")</f>
        <v/>
      </c>
      <c r="D53" s="178" t="n"/>
      <c r="E53" s="137">
        <f>SUM(G53:HY53)</f>
        <v/>
      </c>
      <c r="F53" s="569">
        <f>IFERROR(IF($E53&gt;0.0000005,$E53/SUMIF($E$11:$E$140,"&gt;0.0000005"),""),"")</f>
        <v/>
      </c>
      <c r="G53" s="570" t="n"/>
      <c r="H53" s="570" t="n"/>
      <c r="I53" s="571" t="n"/>
      <c r="J53" s="570" t="n"/>
      <c r="K53" s="571" t="n"/>
      <c r="L53" s="571" t="n"/>
      <c r="M53" s="572" t="n"/>
      <c r="N53" s="572" t="n"/>
      <c r="O53" s="572" t="n"/>
      <c r="P53" s="572" t="n"/>
      <c r="Q53" s="572" t="n"/>
      <c r="R53" s="572" t="n"/>
      <c r="S53" s="572" t="n"/>
      <c r="T53" s="572" t="n"/>
      <c r="U53" s="572" t="n"/>
      <c r="V53" s="572" t="n"/>
      <c r="W53" s="572" t="n"/>
      <c r="X53" s="572" t="n"/>
      <c r="Y53" s="572" t="n"/>
      <c r="Z53" s="572" t="n"/>
      <c r="AA53" s="572" t="n"/>
      <c r="AB53" s="572" t="n"/>
      <c r="AC53" s="572" t="n"/>
      <c r="AD53" s="572" t="n"/>
      <c r="AE53" s="572" t="n"/>
      <c r="AF53" s="572" t="n"/>
      <c r="AG53" s="572" t="n"/>
      <c r="AH53" s="572" t="n"/>
      <c r="AI53" s="572" t="n"/>
      <c r="AJ53" s="572" t="n"/>
      <c r="AK53" s="572" t="n"/>
      <c r="AL53" s="572" t="n"/>
      <c r="AM53" s="572" t="n"/>
      <c r="AN53" s="572" t="n"/>
      <c r="AO53" s="572" t="n"/>
      <c r="AP53" s="572" t="n"/>
      <c r="AQ53" s="572" t="n"/>
      <c r="AR53" s="572" t="n"/>
      <c r="AS53" s="572" t="n"/>
      <c r="AT53" s="572" t="n"/>
      <c r="AU53" s="572" t="n"/>
      <c r="AV53" s="572" t="n"/>
      <c r="AW53" s="572" t="n"/>
      <c r="AX53" s="572" t="n"/>
      <c r="AY53" s="572" t="n"/>
      <c r="AZ53" s="572" t="n"/>
      <c r="BA53" s="572" t="n"/>
      <c r="BB53" s="572" t="n"/>
      <c r="BC53" s="572" t="n"/>
      <c r="BD53" s="572" t="n"/>
      <c r="BE53" s="572" t="n"/>
      <c r="BF53" s="572" t="n"/>
      <c r="BG53" s="572" t="n"/>
      <c r="BH53" s="572" t="n"/>
      <c r="BI53" s="574" t="n"/>
      <c r="BJ53" s="574" t="n"/>
      <c r="BK53" s="574" t="n"/>
      <c r="BL53" s="574" t="n"/>
      <c r="BM53" s="574" t="n"/>
      <c r="BN53" s="574" t="n"/>
      <c r="BO53" s="574" t="n"/>
      <c r="BP53" s="574" t="n"/>
      <c r="BQ53" s="574" t="n"/>
      <c r="BR53" s="574" t="n"/>
      <c r="BS53" s="574" t="n"/>
      <c r="BT53" s="574" t="n"/>
      <c r="BU53" s="574" t="n"/>
      <c r="BV53" s="574" t="n"/>
      <c r="BW53" s="574" t="n"/>
      <c r="BX53" s="574" t="n"/>
      <c r="BY53" s="574" t="n"/>
      <c r="BZ53" s="574" t="n"/>
      <c r="CA53" s="574" t="n"/>
      <c r="CB53" s="574" t="n"/>
      <c r="CC53" s="574" t="n"/>
      <c r="CD53" s="574" t="n"/>
      <c r="CE53" s="574" t="n"/>
      <c r="CF53" s="574" t="n"/>
      <c r="CG53" s="574" t="n"/>
      <c r="CH53" s="574" t="n"/>
      <c r="CI53" s="574" t="n"/>
      <c r="CJ53" s="574" t="n"/>
      <c r="CK53" s="574" t="n"/>
      <c r="CL53" s="574" t="n"/>
      <c r="CM53" s="574" t="n"/>
      <c r="CN53" s="574" t="n"/>
      <c r="CO53" s="574" t="n"/>
      <c r="CP53" s="574" t="n"/>
      <c r="CQ53" s="574" t="n"/>
      <c r="CR53" s="574" t="n"/>
      <c r="CS53" s="574" t="n"/>
      <c r="CT53" s="574" t="n"/>
      <c r="CU53" s="574" t="n"/>
      <c r="CV53" s="574" t="n"/>
      <c r="CW53" s="574" t="n"/>
      <c r="CX53" s="574" t="n"/>
      <c r="CY53" s="574" t="n"/>
      <c r="CZ53" s="574" t="n"/>
      <c r="DA53" s="574" t="n"/>
      <c r="DB53" s="574" t="n"/>
      <c r="DC53" s="574" t="n"/>
      <c r="DD53" s="574" t="n"/>
      <c r="DE53" s="574" t="n"/>
      <c r="DF53" s="574" t="n"/>
      <c r="DG53" s="574" t="n"/>
      <c r="DH53" s="574" t="n"/>
      <c r="DI53" s="574" t="n"/>
      <c r="DJ53" s="574" t="n"/>
      <c r="DK53" s="574" t="n"/>
      <c r="DL53" s="574" t="n"/>
      <c r="DM53" s="574" t="n"/>
      <c r="DN53" s="574" t="n"/>
      <c r="DO53" s="574" t="n"/>
      <c r="DP53" s="574" t="n"/>
      <c r="DQ53" s="574" t="n"/>
      <c r="DR53" s="574" t="n"/>
      <c r="DS53" s="574" t="n"/>
      <c r="DT53" s="574" t="n"/>
      <c r="DU53" s="574" t="n"/>
      <c r="DV53" s="574" t="n"/>
      <c r="DW53" s="574" t="n"/>
      <c r="DX53" s="574" t="n"/>
      <c r="DY53" s="574" t="n"/>
      <c r="DZ53" s="574" t="n"/>
      <c r="EA53" s="574" t="n"/>
      <c r="EB53" s="574" t="n"/>
      <c r="EC53" s="574" t="n"/>
      <c r="ED53" s="574" t="n"/>
      <c r="EE53" s="574" t="n"/>
      <c r="EF53" s="574" t="n"/>
      <c r="EG53" s="574" t="n"/>
      <c r="EH53" s="574" t="n"/>
      <c r="EI53" s="574" t="n"/>
      <c r="EJ53" s="574" t="n"/>
      <c r="EK53" s="574" t="n"/>
      <c r="EL53" s="574" t="n"/>
      <c r="EM53" s="574" t="n"/>
      <c r="EN53" s="574" t="n"/>
      <c r="EO53" s="574" t="n"/>
      <c r="EP53" s="574" t="n"/>
      <c r="EQ53" s="574" t="n"/>
      <c r="ER53" s="574" t="n"/>
      <c r="ES53" s="574" t="n"/>
      <c r="ET53" s="574" t="n"/>
      <c r="EU53" s="574" t="n"/>
      <c r="EV53" s="574" t="n"/>
      <c r="EW53" s="574" t="n"/>
      <c r="EX53" s="574" t="n"/>
      <c r="EY53" s="574" t="n"/>
      <c r="EZ53" s="574" t="n"/>
      <c r="FA53" s="574" t="n"/>
      <c r="FB53" s="574" t="n"/>
      <c r="FC53" s="574" t="n"/>
      <c r="FD53" s="574" t="n"/>
      <c r="FE53" s="574" t="n"/>
      <c r="FF53" s="574" t="n"/>
      <c r="FG53" s="574" t="n"/>
      <c r="FH53" s="574" t="n"/>
      <c r="FI53" s="574" t="n"/>
      <c r="FJ53" s="574" t="n"/>
      <c r="FK53" s="574" t="n"/>
      <c r="FL53" s="574" t="n"/>
      <c r="FM53" s="574" t="n"/>
      <c r="FN53" s="574" t="n"/>
      <c r="FO53" s="574" t="n"/>
      <c r="FP53" s="574" t="n"/>
      <c r="FQ53" s="574" t="n"/>
      <c r="FR53" s="574" t="n"/>
      <c r="FS53" s="574" t="n"/>
      <c r="FT53" s="574" t="n"/>
      <c r="FU53" s="574" t="n"/>
      <c r="FV53" s="574" t="n"/>
      <c r="FW53" s="574" t="n"/>
      <c r="FX53" s="574" t="n"/>
      <c r="FY53" s="574" t="n"/>
      <c r="FZ53" s="574" t="n"/>
      <c r="GA53" s="574" t="n"/>
      <c r="GB53" s="574" t="n"/>
      <c r="GC53" s="574" t="n"/>
      <c r="GD53" s="574" t="n"/>
      <c r="GE53" s="574" t="n"/>
      <c r="GF53" s="574" t="n"/>
    </row>
    <row r="54" customFormat="1" s="568">
      <c r="A54" s="227" t="n"/>
      <c r="B54" s="87" t="n"/>
      <c r="C54" s="137">
        <f>IFERROR(IF(AND($E54&gt;0,$D54&lt;&gt;"The Public"),$E54/SUMIFS($E$10:$E$205,$E$10:$E$205,"&gt;0",$D$10:$D$205,"&lt;&gt;The Public")*$D$5,""),"")</f>
        <v/>
      </c>
      <c r="D54" s="51" t="n"/>
      <c r="E54" s="137">
        <f>SUM(G54:HY54)</f>
        <v/>
      </c>
      <c r="F54" s="569">
        <f>IFERROR(IF($E54&gt;0.0000005,$E54/SUMIF($E$11:$E$140,"&gt;0.0000005"),""),"")</f>
        <v/>
      </c>
      <c r="G54" s="570" t="n"/>
      <c r="H54" s="570" t="n"/>
      <c r="I54" s="571" t="n"/>
      <c r="J54" s="570" t="n"/>
      <c r="K54" s="571" t="n"/>
      <c r="L54" s="571" t="n"/>
      <c r="M54" s="572" t="n"/>
      <c r="N54" s="572" t="n"/>
      <c r="O54" s="572" t="n"/>
      <c r="P54" s="572" t="n"/>
      <c r="Q54" s="572" t="n"/>
      <c r="R54" s="572" t="n"/>
      <c r="S54" s="572" t="n"/>
      <c r="T54" s="572" t="n"/>
      <c r="U54" s="572" t="n"/>
      <c r="V54" s="572" t="n"/>
      <c r="W54" s="572" t="n"/>
      <c r="X54" s="572" t="n"/>
      <c r="Y54" s="572" t="n"/>
      <c r="Z54" s="572" t="n"/>
      <c r="AA54" s="572" t="n"/>
      <c r="AB54" s="572" t="n"/>
      <c r="AC54" s="572" t="n"/>
      <c r="AD54" s="572" t="n"/>
      <c r="AE54" s="572" t="n"/>
      <c r="AF54" s="572" t="n"/>
      <c r="AG54" s="572" t="n"/>
      <c r="AH54" s="572" t="n"/>
      <c r="AI54" s="572" t="n"/>
      <c r="AJ54" s="572" t="n"/>
      <c r="AK54" s="572" t="n"/>
      <c r="AL54" s="572" t="n"/>
      <c r="AM54" s="572" t="n"/>
      <c r="AN54" s="572" t="n"/>
      <c r="AO54" s="572" t="n"/>
      <c r="AP54" s="572" t="n"/>
      <c r="AQ54" s="572" t="n"/>
      <c r="AR54" s="572" t="n"/>
      <c r="AS54" s="572" t="n"/>
      <c r="AT54" s="572" t="n"/>
      <c r="AU54" s="572" t="n"/>
      <c r="AV54" s="572" t="n"/>
      <c r="AW54" s="572" t="n"/>
      <c r="AX54" s="572" t="n"/>
      <c r="AY54" s="572" t="n"/>
      <c r="AZ54" s="572" t="n"/>
      <c r="BA54" s="572" t="n"/>
      <c r="BB54" s="572" t="n"/>
      <c r="BC54" s="572" t="n"/>
      <c r="BD54" s="572" t="n"/>
      <c r="BE54" s="572" t="n"/>
      <c r="BF54" s="572" t="n"/>
      <c r="BG54" s="572" t="n"/>
      <c r="BH54" s="572" t="n"/>
      <c r="BI54" s="574" t="n"/>
      <c r="BJ54" s="574" t="n"/>
      <c r="BK54" s="574" t="n"/>
      <c r="BL54" s="574" t="n"/>
      <c r="BM54" s="574" t="n"/>
      <c r="BN54" s="574" t="n"/>
      <c r="BO54" s="574" t="n"/>
      <c r="BP54" s="574" t="n"/>
      <c r="BQ54" s="574" t="n"/>
      <c r="BR54" s="574" t="n"/>
      <c r="BS54" s="574" t="n"/>
      <c r="BT54" s="574" t="n"/>
      <c r="BU54" s="574" t="n"/>
      <c r="BV54" s="574" t="n"/>
      <c r="BW54" s="574" t="n"/>
      <c r="BX54" s="574" t="n"/>
      <c r="BY54" s="574" t="n"/>
      <c r="BZ54" s="574" t="n"/>
      <c r="CA54" s="574" t="n"/>
      <c r="CB54" s="574" t="n"/>
      <c r="CC54" s="574" t="n"/>
      <c r="CD54" s="574" t="n"/>
      <c r="CE54" s="574" t="n"/>
      <c r="CF54" s="574" t="n"/>
      <c r="CG54" s="574" t="n"/>
      <c r="CH54" s="574" t="n"/>
      <c r="CI54" s="574" t="n"/>
      <c r="CJ54" s="574" t="n"/>
      <c r="CK54" s="574" t="n"/>
      <c r="CL54" s="574" t="n"/>
      <c r="CM54" s="574" t="n"/>
      <c r="CN54" s="574" t="n"/>
      <c r="CO54" s="574" t="n"/>
      <c r="CP54" s="574" t="n"/>
      <c r="CQ54" s="574" t="n"/>
      <c r="CR54" s="574" t="n"/>
      <c r="CS54" s="574" t="n"/>
      <c r="CT54" s="574" t="n"/>
      <c r="CU54" s="574" t="n"/>
      <c r="CV54" s="574" t="n"/>
      <c r="CW54" s="574" t="n"/>
      <c r="CX54" s="574" t="n"/>
      <c r="CY54" s="574" t="n"/>
      <c r="CZ54" s="574" t="n"/>
      <c r="DA54" s="574" t="n"/>
      <c r="DB54" s="574" t="n"/>
      <c r="DC54" s="574" t="n"/>
      <c r="DD54" s="574" t="n"/>
      <c r="DE54" s="574" t="n"/>
      <c r="DF54" s="574" t="n"/>
      <c r="DG54" s="574" t="n"/>
      <c r="DH54" s="574" t="n"/>
      <c r="DI54" s="574" t="n"/>
      <c r="DJ54" s="574" t="n"/>
      <c r="DK54" s="574" t="n"/>
      <c r="DL54" s="574" t="n"/>
      <c r="DM54" s="574" t="n"/>
      <c r="DN54" s="574" t="n"/>
      <c r="DO54" s="574" t="n"/>
      <c r="DP54" s="574" t="n"/>
      <c r="DQ54" s="574" t="n"/>
      <c r="DR54" s="574" t="n"/>
      <c r="DS54" s="574" t="n"/>
      <c r="DT54" s="574" t="n"/>
      <c r="DU54" s="574" t="n"/>
      <c r="DV54" s="574" t="n"/>
      <c r="DW54" s="574" t="n"/>
      <c r="DX54" s="574" t="n"/>
      <c r="DY54" s="574" t="n"/>
      <c r="DZ54" s="574" t="n"/>
      <c r="EA54" s="574" t="n"/>
      <c r="EB54" s="574" t="n"/>
      <c r="EC54" s="574" t="n"/>
      <c r="ED54" s="574" t="n"/>
      <c r="EE54" s="574" t="n"/>
      <c r="EF54" s="574" t="n"/>
      <c r="EG54" s="574" t="n"/>
      <c r="EH54" s="574" t="n"/>
      <c r="EI54" s="574" t="n"/>
      <c r="EJ54" s="574" t="n"/>
      <c r="EK54" s="574" t="n"/>
      <c r="EL54" s="574" t="n"/>
      <c r="EM54" s="574" t="n"/>
      <c r="EN54" s="574" t="n"/>
      <c r="EO54" s="574" t="n"/>
      <c r="EP54" s="574" t="n"/>
      <c r="EQ54" s="574" t="n"/>
      <c r="ER54" s="574" t="n"/>
      <c r="ES54" s="574" t="n"/>
      <c r="ET54" s="574" t="n"/>
      <c r="EU54" s="574" t="n"/>
      <c r="EV54" s="574" t="n"/>
      <c r="EW54" s="574" t="n"/>
      <c r="EX54" s="574" t="n"/>
      <c r="EY54" s="574" t="n"/>
      <c r="EZ54" s="574" t="n"/>
      <c r="FA54" s="574" t="n"/>
      <c r="FB54" s="574" t="n"/>
      <c r="FC54" s="574" t="n"/>
      <c r="FD54" s="574" t="n"/>
      <c r="FE54" s="574" t="n"/>
      <c r="FF54" s="574" t="n"/>
      <c r="FG54" s="574" t="n"/>
      <c r="FH54" s="574" t="n"/>
      <c r="FI54" s="574" t="n"/>
      <c r="FJ54" s="574" t="n"/>
      <c r="FK54" s="574" t="n"/>
      <c r="FL54" s="574" t="n"/>
      <c r="FM54" s="574" t="n"/>
      <c r="FN54" s="574" t="n"/>
      <c r="FO54" s="574" t="n"/>
      <c r="FP54" s="574" t="n"/>
      <c r="FQ54" s="574" t="n"/>
      <c r="FR54" s="574" t="n"/>
      <c r="FS54" s="574" t="n"/>
      <c r="FT54" s="574" t="n"/>
      <c r="FU54" s="574" t="n"/>
      <c r="FV54" s="574" t="n"/>
      <c r="FW54" s="574" t="n"/>
      <c r="FX54" s="574" t="n"/>
      <c r="FY54" s="574" t="n"/>
      <c r="FZ54" s="574" t="n"/>
      <c r="GA54" s="574" t="n"/>
      <c r="GB54" s="574" t="n"/>
      <c r="GC54" s="574" t="n"/>
      <c r="GD54" s="574" t="n"/>
      <c r="GE54" s="574" t="n"/>
      <c r="GF54" s="574" t="n"/>
    </row>
    <row r="55" ht="17.45" customFormat="1" customHeight="1" s="568">
      <c r="A55" s="227" t="n"/>
      <c r="B55" s="87" t="n"/>
      <c r="C55" s="84">
        <f>IFERROR(IF(AND($E55&gt;0,$D55&lt;&gt;"The Public"),$E55/SUMIFS($E$10:$E$205,$E$10:$E$205,"&gt;0",$D$10:$D$205,"&lt;&gt;The Public")*$D$5,""),"")</f>
        <v/>
      </c>
      <c r="D55" s="577" t="n"/>
      <c r="E55" s="84">
        <f>SUM(G55:HY55)</f>
        <v/>
      </c>
      <c r="F55" s="569">
        <f>IFERROR(IF($E55&gt;0.0000005,$E55/SUMIF($E$11:$E$140,"&gt;0.0000005"),""),"")</f>
        <v/>
      </c>
      <c r="G55" s="570" t="n"/>
      <c r="H55" s="570" t="n"/>
      <c r="I55" s="570" t="n"/>
      <c r="J55" s="570" t="n"/>
      <c r="K55" s="570" t="n"/>
      <c r="L55" s="570" t="n"/>
      <c r="M55" s="572" t="n"/>
      <c r="N55" s="572" t="n"/>
      <c r="O55" s="572" t="n"/>
      <c r="P55" s="572" t="n"/>
      <c r="Q55" s="572" t="n"/>
      <c r="R55" s="572" t="n"/>
      <c r="S55" s="572" t="n"/>
      <c r="T55" s="572" t="n"/>
      <c r="U55" s="572" t="n"/>
      <c r="V55" s="572" t="n"/>
      <c r="W55" s="572" t="n"/>
      <c r="X55" s="572" t="n"/>
      <c r="Y55" s="572" t="n"/>
      <c r="Z55" s="572" t="n"/>
      <c r="AA55" s="572" t="n"/>
      <c r="AB55" s="572" t="n"/>
      <c r="AC55" s="572" t="n"/>
      <c r="AD55" s="572" t="n"/>
      <c r="AE55" s="572" t="n"/>
      <c r="AF55" s="572" t="n"/>
      <c r="AG55" s="572" t="n"/>
      <c r="AH55" s="572" t="n"/>
      <c r="AI55" s="572" t="n"/>
      <c r="AJ55" s="572" t="n"/>
      <c r="AK55" s="572" t="n"/>
      <c r="AL55" s="572" t="n"/>
      <c r="AM55" s="572" t="n"/>
      <c r="AN55" s="572" t="n"/>
      <c r="AO55" s="572" t="n"/>
      <c r="AP55" s="572" t="n"/>
      <c r="AQ55" s="572" t="n"/>
      <c r="AR55" s="572" t="n"/>
      <c r="AS55" s="572" t="n"/>
      <c r="AT55" s="572" t="n"/>
      <c r="AU55" s="572" t="n"/>
      <c r="AV55" s="573" t="n"/>
      <c r="AW55" s="572" t="n"/>
      <c r="AX55" s="572" t="n"/>
      <c r="AY55" s="572" t="n"/>
      <c r="AZ55" s="572" t="n"/>
      <c r="BA55" s="572" t="n"/>
      <c r="BB55" s="572" t="n"/>
      <c r="BC55" s="572" t="n"/>
      <c r="BD55" s="572" t="n"/>
      <c r="BE55" s="572" t="n"/>
      <c r="BF55" s="573" t="n"/>
      <c r="BG55" s="572" t="n"/>
      <c r="BH55" s="572" t="n"/>
      <c r="BI55" s="574" t="n"/>
      <c r="BJ55" s="574" t="n"/>
      <c r="BK55" s="574" t="n"/>
      <c r="BL55" s="574" t="n"/>
      <c r="BM55" s="574" t="n"/>
      <c r="BN55" s="574" t="n"/>
      <c r="BO55" s="574" t="n"/>
      <c r="BP55" s="574" t="n"/>
      <c r="BQ55" s="574" t="n"/>
      <c r="BR55" s="574" t="n"/>
      <c r="BS55" s="574" t="n"/>
      <c r="BT55" s="574" t="n"/>
      <c r="BU55" s="574" t="n"/>
      <c r="BV55" s="574" t="n"/>
      <c r="BW55" s="574" t="n"/>
      <c r="BX55" s="574" t="n"/>
      <c r="BY55" s="574" t="n"/>
      <c r="BZ55" s="574" t="n"/>
      <c r="CA55" s="574" t="n"/>
      <c r="CB55" s="574" t="n"/>
      <c r="CC55" s="574" t="n"/>
      <c r="CD55" s="574" t="n"/>
      <c r="CE55" s="574" t="n"/>
      <c r="CF55" s="574" t="n"/>
      <c r="CG55" s="574" t="n"/>
      <c r="CH55" s="574" t="n"/>
      <c r="CI55" s="574" t="n"/>
      <c r="CJ55" s="574" t="n"/>
      <c r="CK55" s="574" t="n"/>
      <c r="CL55" s="574" t="n"/>
      <c r="CM55" s="574" t="n"/>
      <c r="CN55" s="574" t="n"/>
      <c r="CO55" s="574" t="n"/>
      <c r="CP55" s="574" t="n"/>
      <c r="CQ55" s="574" t="n"/>
      <c r="CR55" s="574" t="n"/>
      <c r="CS55" s="574" t="n"/>
      <c r="CT55" s="574" t="n"/>
      <c r="CU55" s="574" t="n"/>
      <c r="CV55" s="574" t="n"/>
      <c r="CW55" s="574" t="n"/>
      <c r="CX55" s="574" t="n"/>
      <c r="CY55" s="574" t="n"/>
      <c r="CZ55" s="574" t="n"/>
      <c r="DA55" s="574" t="n"/>
      <c r="DB55" s="574" t="n"/>
      <c r="DC55" s="574" t="n"/>
      <c r="DD55" s="574" t="n"/>
      <c r="DE55" s="574" t="n"/>
      <c r="DF55" s="574" t="n"/>
      <c r="DG55" s="574" t="n"/>
      <c r="DH55" s="574" t="n"/>
      <c r="DI55" s="574" t="n"/>
      <c r="DJ55" s="574" t="n"/>
      <c r="DK55" s="574" t="n"/>
      <c r="DL55" s="574" t="n"/>
      <c r="DM55" s="574" t="n"/>
      <c r="DN55" s="574" t="n"/>
      <c r="DO55" s="574" t="n"/>
      <c r="DP55" s="574" t="n"/>
      <c r="DQ55" s="574" t="n"/>
      <c r="DR55" s="574" t="n"/>
      <c r="DS55" s="574" t="n"/>
      <c r="DT55" s="574" t="n"/>
      <c r="DU55" s="574" t="n"/>
      <c r="DV55" s="574" t="n"/>
      <c r="DW55" s="574" t="n"/>
      <c r="DX55" s="574" t="n"/>
      <c r="DY55" s="574" t="n"/>
      <c r="DZ55" s="574" t="n"/>
      <c r="EA55" s="574" t="n"/>
      <c r="EB55" s="574" t="n"/>
      <c r="EC55" s="574" t="n"/>
      <c r="ED55" s="574" t="n"/>
      <c r="EE55" s="574" t="n"/>
      <c r="EF55" s="574" t="n"/>
      <c r="EG55" s="574" t="n"/>
      <c r="EH55" s="574" t="n"/>
      <c r="EI55" s="574" t="n"/>
      <c r="EJ55" s="574" t="n"/>
      <c r="EK55" s="574" t="n"/>
      <c r="EL55" s="574" t="n"/>
      <c r="EM55" s="574" t="n"/>
      <c r="EN55" s="574" t="n"/>
      <c r="EO55" s="574" t="n"/>
      <c r="EP55" s="574" t="n"/>
      <c r="EQ55" s="574" t="n"/>
      <c r="ER55" s="574" t="n"/>
      <c r="ES55" s="574" t="n"/>
      <c r="ET55" s="574" t="n"/>
      <c r="EU55" s="574" t="n"/>
      <c r="EV55" s="574" t="n"/>
      <c r="EW55" s="574" t="n"/>
      <c r="EX55" s="574" t="n"/>
      <c r="EY55" s="574" t="n"/>
      <c r="EZ55" s="574" t="n"/>
      <c r="FA55" s="574" t="n"/>
      <c r="FB55" s="574" t="n"/>
      <c r="FC55" s="574" t="n"/>
      <c r="FD55" s="574" t="n"/>
      <c r="FE55" s="574" t="n"/>
      <c r="FF55" s="574" t="n"/>
      <c r="FG55" s="574" t="n"/>
      <c r="FH55" s="574" t="n"/>
      <c r="FI55" s="574" t="n"/>
      <c r="FJ55" s="574" t="n"/>
      <c r="FK55" s="574" t="n"/>
      <c r="FL55" s="574" t="n"/>
      <c r="FM55" s="574" t="n"/>
      <c r="FN55" s="574" t="n"/>
      <c r="FO55" s="574" t="n"/>
      <c r="FP55" s="574" t="n"/>
      <c r="FQ55" s="574" t="n"/>
      <c r="FR55" s="574" t="n"/>
      <c r="FS55" s="574" t="n"/>
      <c r="FT55" s="574" t="n"/>
      <c r="FU55" s="574" t="n"/>
      <c r="FV55" s="574" t="n"/>
      <c r="FW55" s="574" t="n"/>
      <c r="FX55" s="574" t="n"/>
      <c r="FY55" s="574" t="n"/>
      <c r="FZ55" s="574" t="n"/>
      <c r="GA55" s="574" t="n"/>
      <c r="GB55" s="574" t="n"/>
      <c r="GC55" s="574" t="n"/>
      <c r="GD55" s="574" t="n"/>
      <c r="GE55" s="574" t="n"/>
      <c r="GF55" s="574" t="n"/>
    </row>
    <row r="56" customFormat="1" s="568">
      <c r="A56" s="227" t="n"/>
      <c r="B56" s="87" t="n"/>
      <c r="C56" s="84">
        <f>IFERROR(IF(AND($E56&gt;0,$D56&lt;&gt;"The Public"),$E56/SUMIFS($E$10:$E$205,$E$10:$E$205,"&gt;0",$D$10:$D$205,"&lt;&gt;The Public")*$D$5,""),"")</f>
        <v/>
      </c>
      <c r="D56" s="177" t="n"/>
      <c r="E56" s="84">
        <f>SUM(G56:HL56)</f>
        <v/>
      </c>
      <c r="F56" s="569">
        <f>IFERROR(IF($E56&gt;0.0000005,$E56/SUMIF($E$11:$E$140,"&gt;0.0000005"),""),"")</f>
        <v/>
      </c>
      <c r="G56" s="570" t="n"/>
      <c r="H56" s="573" t="n"/>
      <c r="I56" s="573" t="n"/>
      <c r="J56" s="573" t="n"/>
      <c r="K56" s="572" t="n"/>
      <c r="L56" s="572" t="n"/>
      <c r="M56" s="572" t="n"/>
      <c r="N56" s="572" t="n"/>
      <c r="O56" s="572" t="n"/>
      <c r="P56" s="572" t="n"/>
      <c r="Q56" s="572" t="n"/>
      <c r="R56" s="572" t="n"/>
      <c r="S56" s="572" t="n"/>
      <c r="T56" s="572" t="n"/>
      <c r="U56" s="572" t="n"/>
      <c r="V56" s="572" t="n"/>
      <c r="W56" s="572" t="n"/>
      <c r="X56" s="572" t="n"/>
      <c r="Y56" s="572" t="n"/>
      <c r="Z56" s="572" t="n"/>
      <c r="AA56" s="572" t="n"/>
      <c r="AB56" s="572" t="n"/>
      <c r="AC56" s="572" t="n"/>
      <c r="AD56" s="572" t="n"/>
      <c r="AE56" s="572" t="n"/>
      <c r="AF56" s="572" t="n"/>
      <c r="AG56" s="572" t="n"/>
      <c r="AH56" s="572" t="n"/>
      <c r="AI56" s="572" t="n"/>
      <c r="AJ56" s="572" t="n"/>
      <c r="AK56" s="572" t="n"/>
      <c r="AL56" s="572" t="n"/>
      <c r="AM56" s="572" t="n"/>
      <c r="AN56" s="572" t="n"/>
      <c r="AO56" s="572" t="n"/>
      <c r="AP56" s="572" t="n"/>
      <c r="AQ56" s="572" t="n"/>
      <c r="AR56" s="572" t="n"/>
      <c r="AS56" s="572" t="n"/>
      <c r="AT56" s="572" t="n"/>
      <c r="AU56" s="572" t="n"/>
      <c r="AV56" s="573" t="n"/>
      <c r="AW56" s="573" t="n"/>
      <c r="AX56" s="573" t="n"/>
      <c r="AY56" s="572" t="n"/>
      <c r="AZ56" s="572" t="n"/>
      <c r="BA56" s="572" t="n"/>
      <c r="BB56" s="572" t="n"/>
      <c r="BC56" s="572" t="n"/>
      <c r="BD56" s="572" t="n"/>
      <c r="BE56" s="572" t="n"/>
      <c r="BF56" s="572" t="n"/>
      <c r="BG56" s="572" t="n"/>
      <c r="BH56" s="572" t="n"/>
      <c r="BI56" s="574" t="n"/>
      <c r="BJ56" s="574" t="n"/>
      <c r="BK56" s="574" t="n"/>
      <c r="BL56" s="574" t="n"/>
      <c r="BM56" s="574" t="n"/>
      <c r="BN56" s="574" t="n"/>
      <c r="BO56" s="574" t="n"/>
      <c r="BP56" s="574" t="n"/>
      <c r="BQ56" s="574" t="n"/>
      <c r="BR56" s="574" t="n"/>
      <c r="BS56" s="574" t="n"/>
      <c r="BT56" s="574" t="n"/>
      <c r="BU56" s="574" t="n"/>
      <c r="BV56" s="574" t="n"/>
      <c r="BW56" s="574" t="n"/>
      <c r="BX56" s="574" t="n"/>
      <c r="BY56" s="574" t="n"/>
      <c r="BZ56" s="574" t="n"/>
      <c r="CA56" s="574" t="n"/>
      <c r="CB56" s="574" t="n"/>
      <c r="CC56" s="574" t="n"/>
      <c r="CD56" s="574" t="n"/>
      <c r="CE56" s="574" t="n"/>
      <c r="CF56" s="574" t="n"/>
      <c r="CG56" s="574" t="n"/>
      <c r="CH56" s="574" t="n"/>
      <c r="CI56" s="574" t="n"/>
      <c r="CJ56" s="574" t="n"/>
      <c r="CK56" s="574" t="n"/>
      <c r="CL56" s="574" t="n"/>
      <c r="CM56" s="574" t="n"/>
      <c r="CN56" s="574" t="n"/>
      <c r="CO56" s="574" t="n"/>
      <c r="CP56" s="574" t="n"/>
      <c r="CQ56" s="574" t="n"/>
      <c r="CR56" s="574" t="n"/>
      <c r="CS56" s="574" t="n"/>
      <c r="CT56" s="574" t="n"/>
      <c r="CU56" s="574" t="n"/>
      <c r="CV56" s="574" t="n"/>
      <c r="CW56" s="574" t="n"/>
      <c r="CX56" s="574" t="n"/>
      <c r="CY56" s="574" t="n"/>
      <c r="CZ56" s="574" t="n"/>
      <c r="DA56" s="574" t="n"/>
      <c r="DB56" s="574" t="n"/>
      <c r="DC56" s="574" t="n"/>
      <c r="DD56" s="574" t="n"/>
      <c r="DE56" s="574" t="n"/>
      <c r="DF56" s="574" t="n"/>
      <c r="DG56" s="574" t="n"/>
      <c r="DH56" s="574" t="n"/>
      <c r="DI56" s="574" t="n"/>
      <c r="DJ56" s="574" t="n"/>
      <c r="DK56" s="574" t="n"/>
      <c r="DL56" s="574" t="n"/>
      <c r="DM56" s="574" t="n"/>
      <c r="DN56" s="574" t="n"/>
      <c r="DO56" s="574" t="n"/>
      <c r="DP56" s="574" t="n"/>
      <c r="DQ56" s="574" t="n"/>
      <c r="DR56" s="574" t="n"/>
      <c r="DS56" s="574" t="n"/>
      <c r="DT56" s="574" t="n"/>
      <c r="DU56" s="574" t="n"/>
      <c r="DV56" s="574" t="n"/>
      <c r="DW56" s="574" t="n"/>
      <c r="DX56" s="574" t="n"/>
      <c r="DY56" s="574" t="n"/>
      <c r="DZ56" s="574" t="n"/>
      <c r="EA56" s="574" t="n"/>
      <c r="EB56" s="574" t="n"/>
      <c r="EC56" s="574" t="n"/>
      <c r="ED56" s="574" t="n"/>
      <c r="EE56" s="574" t="n"/>
      <c r="EF56" s="574" t="n"/>
      <c r="EG56" s="574" t="n"/>
      <c r="EH56" s="574" t="n"/>
      <c r="EI56" s="574" t="n"/>
      <c r="EJ56" s="574" t="n"/>
      <c r="EK56" s="574" t="n"/>
      <c r="EL56" s="574" t="n"/>
      <c r="EM56" s="574" t="n"/>
      <c r="EN56" s="574" t="n"/>
      <c r="EO56" s="574" t="n"/>
      <c r="EP56" s="574" t="n"/>
      <c r="EQ56" s="574" t="n"/>
      <c r="ER56" s="574" t="n"/>
      <c r="ES56" s="574" t="n"/>
      <c r="ET56" s="574" t="n"/>
      <c r="EU56" s="574" t="n"/>
      <c r="EV56" s="574" t="n"/>
      <c r="EW56" s="574" t="n"/>
      <c r="EX56" s="574" t="n"/>
      <c r="EY56" s="574" t="n"/>
      <c r="EZ56" s="574" t="n"/>
      <c r="FA56" s="574" t="n"/>
      <c r="FB56" s="574" t="n"/>
      <c r="FC56" s="574" t="n"/>
      <c r="FD56" s="574" t="n"/>
      <c r="FE56" s="574" t="n"/>
      <c r="FF56" s="574" t="n"/>
      <c r="FG56" s="574" t="n"/>
      <c r="FH56" s="574" t="n"/>
      <c r="FI56" s="574" t="n"/>
      <c r="FJ56" s="574" t="n"/>
      <c r="FK56" s="574" t="n"/>
      <c r="FL56" s="574" t="n"/>
      <c r="FM56" s="574" t="n"/>
      <c r="FN56" s="574" t="n"/>
      <c r="FO56" s="574" t="n"/>
      <c r="FP56" s="574" t="n"/>
      <c r="FQ56" s="574" t="n"/>
      <c r="FR56" s="574" t="n"/>
      <c r="FS56" s="574" t="n"/>
    </row>
    <row r="57" customFormat="1" s="568">
      <c r="A57" s="227" t="n"/>
      <c r="B57" s="87" t="n"/>
      <c r="C57" s="137">
        <f>IFERROR(IF(AND($E57&gt;0,$D57&lt;&gt;"The Public"),$E57/SUMIFS($E$10:$E$205,$E$10:$E$205,"&gt;0",$D$10:$D$205,"&lt;&gt;The Public")*$D$5,""),"")</f>
        <v/>
      </c>
      <c r="D57" s="177" t="n"/>
      <c r="E57" s="137">
        <f>SUM(G57:HL57)</f>
        <v/>
      </c>
      <c r="F57" s="569">
        <f>IFERROR(IF($E57&gt;0.0000005,$E57/SUMIF($E$11:$E$140,"&gt;0.0000005"),""),"")</f>
        <v/>
      </c>
      <c r="G57" s="570" t="n"/>
      <c r="H57" s="572" t="n"/>
      <c r="I57" s="573" t="n"/>
      <c r="J57" s="572" t="n"/>
      <c r="K57" s="572" t="n"/>
      <c r="L57" s="573" t="n"/>
      <c r="M57" s="572" t="n"/>
      <c r="N57" s="572" t="n"/>
      <c r="O57" s="572" t="n"/>
      <c r="P57" s="572" t="n"/>
      <c r="Q57" s="572" t="n"/>
      <c r="R57" s="572" t="n"/>
      <c r="S57" s="572" t="n"/>
      <c r="T57" s="572" t="n"/>
      <c r="U57" s="572" t="n"/>
      <c r="V57" s="572" t="n"/>
      <c r="W57" s="572" t="n"/>
      <c r="X57" s="572" t="n"/>
      <c r="Y57" s="572" t="n"/>
      <c r="Z57" s="572" t="n"/>
      <c r="AA57" s="572" t="n"/>
      <c r="AB57" s="572" t="n"/>
      <c r="AC57" s="572" t="n"/>
      <c r="AD57" s="572" t="n"/>
      <c r="AE57" s="572" t="n"/>
      <c r="AF57" s="572" t="n"/>
      <c r="AG57" s="572" t="n"/>
      <c r="AH57" s="572" t="n"/>
      <c r="AI57" s="572" t="n"/>
      <c r="AJ57" s="572" t="n"/>
      <c r="AK57" s="572" t="n"/>
      <c r="AL57" s="572" t="n"/>
      <c r="AM57" s="572" t="n"/>
      <c r="AN57" s="572" t="n"/>
      <c r="AO57" s="572" t="n"/>
      <c r="AP57" s="572" t="n"/>
      <c r="AQ57" s="572" t="n"/>
      <c r="AR57" s="572" t="n"/>
      <c r="AS57" s="572" t="n"/>
      <c r="AT57" s="572" t="n"/>
      <c r="AU57" s="572" t="n"/>
      <c r="AV57" s="572" t="n"/>
      <c r="AW57" s="573" t="n"/>
      <c r="AX57" s="572" t="n"/>
      <c r="AY57" s="572" t="n"/>
      <c r="AZ57" s="573" t="n"/>
      <c r="BA57" s="572" t="n"/>
      <c r="BB57" s="572" t="n"/>
      <c r="BC57" s="572" t="n"/>
      <c r="BD57" s="572" t="n"/>
      <c r="BE57" s="572" t="n"/>
      <c r="BF57" s="572" t="n"/>
      <c r="BG57" s="572" t="n"/>
      <c r="BH57" s="572" t="n"/>
      <c r="BI57" s="574" t="n"/>
      <c r="BJ57" s="574" t="n"/>
      <c r="BK57" s="574" t="n"/>
      <c r="BL57" s="574" t="n"/>
      <c r="BM57" s="574" t="n"/>
      <c r="BN57" s="574" t="n"/>
      <c r="BO57" s="574" t="n"/>
      <c r="BP57" s="574" t="n"/>
      <c r="BQ57" s="574" t="n"/>
      <c r="BR57" s="574" t="n"/>
      <c r="BS57" s="574" t="n"/>
      <c r="BT57" s="574" t="n"/>
      <c r="BU57" s="574" t="n"/>
      <c r="BV57" s="574" t="n"/>
      <c r="BW57" s="574" t="n"/>
      <c r="BX57" s="574" t="n"/>
      <c r="BY57" s="574" t="n"/>
      <c r="BZ57" s="574" t="n"/>
      <c r="CA57" s="574" t="n"/>
      <c r="CB57" s="574" t="n"/>
      <c r="CC57" s="574" t="n"/>
      <c r="CD57" s="574" t="n"/>
      <c r="CE57" s="574" t="n"/>
      <c r="CF57" s="574" t="n"/>
      <c r="CG57" s="574" t="n"/>
      <c r="CH57" s="574" t="n"/>
      <c r="CI57" s="574" t="n"/>
      <c r="CJ57" s="574" t="n"/>
      <c r="CK57" s="574" t="n"/>
      <c r="CL57" s="574" t="n"/>
      <c r="CM57" s="574" t="n"/>
      <c r="CN57" s="574" t="n"/>
      <c r="CO57" s="574" t="n"/>
      <c r="CP57" s="574" t="n"/>
      <c r="CQ57" s="574" t="n"/>
      <c r="CR57" s="574" t="n"/>
      <c r="CS57" s="574" t="n"/>
      <c r="CT57" s="574" t="n"/>
      <c r="CU57" s="574" t="n"/>
      <c r="CV57" s="574" t="n"/>
      <c r="CW57" s="574" t="n"/>
      <c r="CX57" s="574" t="n"/>
      <c r="CY57" s="574" t="n"/>
      <c r="CZ57" s="574" t="n"/>
      <c r="DA57" s="574" t="n"/>
      <c r="DB57" s="574" t="n"/>
      <c r="DC57" s="574" t="n"/>
      <c r="DD57" s="574" t="n"/>
      <c r="DE57" s="574" t="n"/>
      <c r="DF57" s="574" t="n"/>
      <c r="DG57" s="574" t="n"/>
      <c r="DH57" s="574" t="n"/>
      <c r="DI57" s="574" t="n"/>
      <c r="DJ57" s="574" t="n"/>
      <c r="DK57" s="574" t="n"/>
      <c r="DL57" s="574" t="n"/>
      <c r="DM57" s="574" t="n"/>
      <c r="DN57" s="574" t="n"/>
      <c r="DO57" s="574" t="n"/>
      <c r="DP57" s="574" t="n"/>
      <c r="DQ57" s="574" t="n"/>
      <c r="DR57" s="574" t="n"/>
      <c r="DS57" s="574" t="n"/>
      <c r="DT57" s="574" t="n"/>
      <c r="DU57" s="574" t="n"/>
      <c r="DV57" s="574" t="n"/>
      <c r="DW57" s="574" t="n"/>
      <c r="DX57" s="574" t="n"/>
      <c r="DY57" s="574" t="n"/>
      <c r="DZ57" s="574" t="n"/>
      <c r="EA57" s="574" t="n"/>
      <c r="EB57" s="574" t="n"/>
      <c r="EC57" s="574" t="n"/>
      <c r="ED57" s="574" t="n"/>
      <c r="EE57" s="574" t="n"/>
      <c r="EF57" s="574" t="n"/>
      <c r="EG57" s="574" t="n"/>
      <c r="EH57" s="574" t="n"/>
      <c r="EI57" s="574" t="n"/>
      <c r="EJ57" s="574" t="n"/>
      <c r="EK57" s="574" t="n"/>
      <c r="EL57" s="574" t="n"/>
      <c r="EM57" s="574" t="n"/>
      <c r="EN57" s="574" t="n"/>
      <c r="EO57" s="574" t="n"/>
      <c r="EP57" s="574" t="n"/>
      <c r="EQ57" s="574" t="n"/>
      <c r="ER57" s="574" t="n"/>
      <c r="ES57" s="574" t="n"/>
      <c r="ET57" s="574" t="n"/>
      <c r="EU57" s="574" t="n"/>
      <c r="EV57" s="574" t="n"/>
      <c r="EW57" s="574" t="n"/>
      <c r="EX57" s="574" t="n"/>
      <c r="EY57" s="574" t="n"/>
      <c r="EZ57" s="574" t="n"/>
      <c r="FA57" s="574" t="n"/>
      <c r="FB57" s="574" t="n"/>
      <c r="FC57" s="574" t="n"/>
      <c r="FD57" s="574" t="n"/>
      <c r="FE57" s="574" t="n"/>
      <c r="FF57" s="574" t="n"/>
      <c r="FG57" s="574" t="n"/>
      <c r="FH57" s="574" t="n"/>
      <c r="FI57" s="574" t="n"/>
      <c r="FJ57" s="574" t="n"/>
      <c r="FK57" s="574" t="n"/>
      <c r="FL57" s="574" t="n"/>
      <c r="FM57" s="574" t="n"/>
      <c r="FN57" s="574" t="n"/>
      <c r="FO57" s="574" t="n"/>
      <c r="FP57" s="574" t="n"/>
      <c r="FQ57" s="574" t="n"/>
      <c r="FR57" s="574" t="n"/>
      <c r="FS57" s="574" t="n"/>
    </row>
    <row r="58" customFormat="1" s="568">
      <c r="A58" s="227" t="n"/>
      <c r="B58" s="87" t="n"/>
      <c r="C58" s="84">
        <f>IFERROR(IF(AND($E58&gt;0,$D58&lt;&gt;"The Public"),$E58/SUMIFS($E$10:$E$205,$E$10:$E$205,"&gt;0",$D$10:$D$205,"&lt;&gt;The Public")*$D$5,""),"")</f>
        <v/>
      </c>
      <c r="D58" s="52" t="n"/>
      <c r="E58" s="84">
        <f>SUM(G58:HL58)</f>
        <v/>
      </c>
      <c r="F58" s="569">
        <f>IFERROR(IF($E58&gt;0.0000005,$E58/SUMIF($E$11:$E$140,"&gt;0.0000005"),""),"")</f>
        <v/>
      </c>
      <c r="G58" s="570" t="n"/>
      <c r="H58" s="572" t="n"/>
      <c r="I58" s="572" t="n"/>
      <c r="J58" s="573" t="n"/>
      <c r="K58" s="573" t="n"/>
      <c r="L58" s="572" t="n"/>
      <c r="M58" s="572" t="n"/>
      <c r="N58" s="572" t="n"/>
      <c r="O58" s="572" t="n"/>
      <c r="P58" s="572" t="n"/>
      <c r="Q58" s="572" t="n"/>
      <c r="R58" s="572" t="n"/>
      <c r="S58" s="572" t="n"/>
      <c r="T58" s="572" t="n"/>
      <c r="U58" s="572" t="n"/>
      <c r="V58" s="572" t="n"/>
      <c r="W58" s="572" t="n"/>
      <c r="X58" s="572" t="n"/>
      <c r="Y58" s="572" t="n"/>
      <c r="Z58" s="572" t="n"/>
      <c r="AA58" s="572" t="n"/>
      <c r="AB58" s="572" t="n"/>
      <c r="AC58" s="572" t="n"/>
      <c r="AD58" s="572" t="n"/>
      <c r="AE58" s="572" t="n"/>
      <c r="AF58" s="572" t="n"/>
      <c r="AG58" s="572" t="n"/>
      <c r="AH58" s="572" t="n"/>
      <c r="AI58" s="572" t="n"/>
      <c r="AJ58" s="572" t="n"/>
      <c r="AK58" s="572" t="n"/>
      <c r="AL58" s="572" t="n"/>
      <c r="AM58" s="572" t="n"/>
      <c r="AN58" s="572" t="n"/>
      <c r="AO58" s="572" t="n"/>
      <c r="AP58" s="572" t="n"/>
      <c r="AQ58" s="572" t="n"/>
      <c r="AR58" s="572" t="n"/>
      <c r="AS58" s="572" t="n"/>
      <c r="AT58" s="572" t="n"/>
      <c r="AU58" s="572" t="n"/>
      <c r="AV58" s="572" t="n"/>
      <c r="AW58" s="572" t="n"/>
      <c r="AX58" s="573" t="n"/>
      <c r="AY58" s="573" t="n"/>
      <c r="AZ58" s="572" t="n"/>
      <c r="BA58" s="572" t="n"/>
      <c r="BB58" s="572" t="n"/>
      <c r="BC58" s="572" t="n"/>
      <c r="BD58" s="572" t="n"/>
      <c r="BE58" s="572" t="n"/>
      <c r="BF58" s="572" t="n"/>
      <c r="BG58" s="572" t="n"/>
      <c r="BH58" s="572" t="n"/>
      <c r="BI58" s="574" t="n"/>
      <c r="BJ58" s="574" t="n"/>
      <c r="BK58" s="574" t="n"/>
      <c r="BL58" s="574" t="n"/>
      <c r="BM58" s="574" t="n"/>
      <c r="BN58" s="574" t="n"/>
      <c r="BO58" s="574" t="n"/>
      <c r="BP58" s="574" t="n"/>
      <c r="BQ58" s="574" t="n"/>
      <c r="BR58" s="574" t="n"/>
      <c r="BS58" s="574" t="n"/>
      <c r="BT58" s="574" t="n"/>
      <c r="BU58" s="574" t="n"/>
      <c r="BV58" s="574" t="n"/>
      <c r="BW58" s="574" t="n"/>
      <c r="BX58" s="574" t="n"/>
      <c r="BY58" s="574" t="n"/>
      <c r="BZ58" s="574" t="n"/>
      <c r="CA58" s="574" t="n"/>
      <c r="CB58" s="574" t="n"/>
      <c r="CC58" s="574" t="n"/>
      <c r="CD58" s="574" t="n"/>
      <c r="CE58" s="574" t="n"/>
      <c r="CF58" s="574" t="n"/>
      <c r="CG58" s="574" t="n"/>
      <c r="CH58" s="574" t="n"/>
      <c r="CI58" s="574" t="n"/>
      <c r="CJ58" s="574" t="n"/>
      <c r="CK58" s="574" t="n"/>
      <c r="CL58" s="574" t="n"/>
      <c r="CM58" s="574" t="n"/>
      <c r="CN58" s="574" t="n"/>
      <c r="CO58" s="574" t="n"/>
      <c r="CP58" s="574" t="n"/>
      <c r="CQ58" s="574" t="n"/>
      <c r="CR58" s="574" t="n"/>
      <c r="CS58" s="574" t="n"/>
      <c r="CT58" s="574" t="n"/>
      <c r="CU58" s="574" t="n"/>
      <c r="CV58" s="574" t="n"/>
      <c r="CW58" s="574" t="n"/>
      <c r="CX58" s="574" t="n"/>
      <c r="CY58" s="574" t="n"/>
      <c r="CZ58" s="574" t="n"/>
      <c r="DA58" s="574" t="n"/>
      <c r="DB58" s="574" t="n"/>
      <c r="DC58" s="574" t="n"/>
      <c r="DD58" s="574" t="n"/>
      <c r="DE58" s="574" t="n"/>
      <c r="DF58" s="574" t="n"/>
      <c r="DG58" s="574" t="n"/>
      <c r="DH58" s="574" t="n"/>
      <c r="DI58" s="574" t="n"/>
      <c r="DJ58" s="574" t="n"/>
      <c r="DK58" s="574" t="n"/>
      <c r="DL58" s="574" t="n"/>
      <c r="DM58" s="574" t="n"/>
      <c r="DN58" s="574" t="n"/>
      <c r="DO58" s="574" t="n"/>
      <c r="DP58" s="574" t="n"/>
      <c r="DQ58" s="574" t="n"/>
      <c r="DR58" s="574" t="n"/>
      <c r="DS58" s="574" t="n"/>
      <c r="DT58" s="574" t="n"/>
      <c r="DU58" s="574" t="n"/>
      <c r="DV58" s="574" t="n"/>
      <c r="DW58" s="574" t="n"/>
      <c r="DX58" s="574" t="n"/>
      <c r="DY58" s="574" t="n"/>
      <c r="DZ58" s="574" t="n"/>
      <c r="EA58" s="574" t="n"/>
      <c r="EB58" s="574" t="n"/>
      <c r="EC58" s="574" t="n"/>
      <c r="ED58" s="574" t="n"/>
      <c r="EE58" s="574" t="n"/>
      <c r="EF58" s="574" t="n"/>
      <c r="EG58" s="574" t="n"/>
      <c r="EH58" s="574" t="n"/>
      <c r="EI58" s="574" t="n"/>
      <c r="EJ58" s="574" t="n"/>
      <c r="EK58" s="574" t="n"/>
      <c r="EL58" s="574" t="n"/>
      <c r="EM58" s="574" t="n"/>
      <c r="EN58" s="574" t="n"/>
      <c r="EO58" s="574" t="n"/>
      <c r="EP58" s="574" t="n"/>
      <c r="EQ58" s="574" t="n"/>
      <c r="ER58" s="574" t="n"/>
      <c r="ES58" s="574" t="n"/>
      <c r="ET58" s="574" t="n"/>
      <c r="EU58" s="574" t="n"/>
      <c r="EV58" s="574" t="n"/>
      <c r="EW58" s="574" t="n"/>
      <c r="EX58" s="574" t="n"/>
      <c r="EY58" s="574" t="n"/>
      <c r="EZ58" s="574" t="n"/>
      <c r="FA58" s="574" t="n"/>
      <c r="FB58" s="574" t="n"/>
      <c r="FC58" s="574" t="n"/>
      <c r="FD58" s="574" t="n"/>
      <c r="FE58" s="574" t="n"/>
      <c r="FF58" s="574" t="n"/>
      <c r="FG58" s="574" t="n"/>
      <c r="FH58" s="574" t="n"/>
      <c r="FI58" s="574" t="n"/>
      <c r="FJ58" s="574" t="n"/>
      <c r="FK58" s="574" t="n"/>
      <c r="FL58" s="574" t="n"/>
      <c r="FM58" s="574" t="n"/>
      <c r="FN58" s="574" t="n"/>
      <c r="FO58" s="574" t="n"/>
      <c r="FP58" s="574" t="n"/>
      <c r="FQ58" s="574" t="n"/>
      <c r="FR58" s="574" t="n"/>
      <c r="FS58" s="574" t="n"/>
    </row>
    <row r="59" customFormat="1" s="568">
      <c r="A59" s="227" t="n"/>
      <c r="B59" s="87" t="n"/>
      <c r="C59" s="137">
        <f>IFERROR(IF(AND($E59&gt;0,$D59&lt;&gt;"The Public"),$E59/SUMIFS($E$10:$E$205,$E$10:$E$205,"&gt;0",$D$10:$D$205,"&lt;&gt;The Public")*$D$5,""),"")</f>
        <v/>
      </c>
      <c r="D59" s="51" t="n"/>
      <c r="E59" s="137">
        <f>SUM(G59:HL59)</f>
        <v/>
      </c>
      <c r="F59" s="569">
        <f>IFERROR(IF($E59&gt;0.0000005,$E59/SUMIF($E$11:$E$140,"&gt;0.0000005"),""),"")</f>
        <v/>
      </c>
      <c r="G59" s="570" t="n"/>
      <c r="H59" s="572" t="n"/>
      <c r="I59" s="572" t="n"/>
      <c r="J59" s="572" t="n"/>
      <c r="K59" s="572" t="n"/>
      <c r="L59" s="573" t="n"/>
      <c r="M59" s="572" t="n"/>
      <c r="N59" s="572" t="n"/>
      <c r="O59" s="572" t="n"/>
      <c r="P59" s="572" t="n"/>
      <c r="Q59" s="572" t="n"/>
      <c r="R59" s="572" t="n"/>
      <c r="S59" s="572" t="n"/>
      <c r="T59" s="573" t="n"/>
      <c r="U59" s="573" t="n"/>
      <c r="V59" s="572" t="n"/>
      <c r="W59" s="572" t="n"/>
      <c r="X59" s="572" t="n"/>
      <c r="Y59" s="572" t="n"/>
      <c r="Z59" s="572" t="n"/>
      <c r="AA59" s="572" t="n"/>
      <c r="AB59" s="572" t="n"/>
      <c r="AC59" s="572" t="n"/>
      <c r="AD59" s="572" t="n"/>
      <c r="AE59" s="572" t="n"/>
      <c r="AF59" s="572" t="n"/>
      <c r="AG59" s="572" t="n"/>
      <c r="AH59" s="572" t="n"/>
      <c r="AI59" s="572" t="n"/>
      <c r="AJ59" s="572" t="n"/>
      <c r="AK59" s="572" t="n"/>
      <c r="AL59" s="572" t="n"/>
      <c r="AM59" s="572" t="n"/>
      <c r="AN59" s="572" t="n"/>
      <c r="AO59" s="572" t="n"/>
      <c r="AP59" s="572" t="n"/>
      <c r="AQ59" s="572" t="n"/>
      <c r="AR59" s="572" t="n"/>
      <c r="AS59" s="572" t="n"/>
      <c r="AT59" s="572" t="n"/>
      <c r="AU59" s="572" t="n"/>
      <c r="AV59" s="572" t="n"/>
      <c r="AW59" s="572" t="n"/>
      <c r="AX59" s="572" t="n"/>
      <c r="AY59" s="572" t="n"/>
      <c r="AZ59" s="573" t="n"/>
      <c r="BA59" s="572" t="n"/>
      <c r="BB59" s="572" t="n"/>
      <c r="BC59" s="572" t="n"/>
      <c r="BD59" s="572" t="n"/>
      <c r="BE59" s="572" t="n"/>
      <c r="BF59" s="572" t="n"/>
      <c r="BG59" s="572" t="n"/>
      <c r="BH59" s="572" t="n"/>
      <c r="BI59" s="574" t="n"/>
      <c r="BJ59" s="574" t="n"/>
      <c r="BK59" s="574" t="n"/>
      <c r="BL59" s="574" t="n"/>
      <c r="BM59" s="574" t="n"/>
      <c r="BN59" s="574" t="n"/>
      <c r="BO59" s="574" t="n"/>
      <c r="BP59" s="574" t="n"/>
      <c r="BQ59" s="574" t="n"/>
      <c r="BR59" s="574" t="n"/>
      <c r="BS59" s="574" t="n"/>
      <c r="BT59" s="574" t="n"/>
      <c r="BU59" s="574" t="n"/>
      <c r="BV59" s="574" t="n"/>
      <c r="BW59" s="574" t="n"/>
      <c r="BX59" s="574" t="n"/>
      <c r="BY59" s="574" t="n"/>
      <c r="BZ59" s="574" t="n"/>
      <c r="CA59" s="574" t="n"/>
      <c r="CB59" s="574" t="n"/>
      <c r="CC59" s="574" t="n"/>
      <c r="CD59" s="574" t="n"/>
      <c r="CE59" s="574" t="n"/>
      <c r="CF59" s="574" t="n"/>
      <c r="CG59" s="574" t="n"/>
      <c r="CH59" s="574" t="n"/>
      <c r="CI59" s="574" t="n"/>
      <c r="CJ59" s="574" t="n"/>
      <c r="CK59" s="574" t="n"/>
      <c r="CL59" s="574" t="n"/>
      <c r="CM59" s="574" t="n"/>
      <c r="CN59" s="574" t="n"/>
      <c r="CO59" s="574" t="n"/>
      <c r="CP59" s="574" t="n"/>
      <c r="CQ59" s="574" t="n"/>
      <c r="CR59" s="574" t="n"/>
      <c r="CS59" s="574" t="n"/>
      <c r="CT59" s="574" t="n"/>
      <c r="CU59" s="574" t="n"/>
      <c r="CV59" s="574" t="n"/>
      <c r="CW59" s="574" t="n"/>
      <c r="CX59" s="574" t="n"/>
      <c r="CY59" s="574" t="n"/>
      <c r="CZ59" s="574" t="n"/>
      <c r="DA59" s="574" t="n"/>
      <c r="DB59" s="574" t="n"/>
      <c r="DC59" s="574" t="n"/>
      <c r="DD59" s="574" t="n"/>
      <c r="DE59" s="574" t="n"/>
      <c r="DF59" s="574" t="n"/>
      <c r="DG59" s="574" t="n"/>
      <c r="DH59" s="574" t="n"/>
      <c r="DI59" s="574" t="n"/>
      <c r="DJ59" s="574" t="n"/>
      <c r="DK59" s="574" t="n"/>
      <c r="DL59" s="574" t="n"/>
      <c r="DM59" s="574" t="n"/>
      <c r="DN59" s="574" t="n"/>
      <c r="DO59" s="574" t="n"/>
      <c r="DP59" s="574" t="n"/>
      <c r="DQ59" s="574" t="n"/>
      <c r="DR59" s="574" t="n"/>
      <c r="DS59" s="574" t="n"/>
      <c r="DT59" s="574" t="n"/>
      <c r="DU59" s="574" t="n"/>
      <c r="DV59" s="574" t="n"/>
      <c r="DW59" s="574" t="n"/>
      <c r="DX59" s="574" t="n"/>
      <c r="DY59" s="574" t="n"/>
      <c r="DZ59" s="574" t="n"/>
      <c r="EA59" s="574" t="n"/>
      <c r="EB59" s="574" t="n"/>
      <c r="EC59" s="574" t="n"/>
      <c r="ED59" s="574" t="n"/>
      <c r="EE59" s="574" t="n"/>
      <c r="EF59" s="574" t="n"/>
      <c r="EG59" s="574" t="n"/>
      <c r="EH59" s="574" t="n"/>
      <c r="EI59" s="574" t="n"/>
      <c r="EJ59" s="574" t="n"/>
      <c r="EK59" s="574" t="n"/>
      <c r="EL59" s="574" t="n"/>
      <c r="EM59" s="574" t="n"/>
      <c r="EN59" s="574" t="n"/>
      <c r="EO59" s="574" t="n"/>
      <c r="EP59" s="574" t="n"/>
      <c r="EQ59" s="574" t="n"/>
      <c r="ER59" s="574" t="n"/>
      <c r="ES59" s="574" t="n"/>
      <c r="ET59" s="574" t="n"/>
      <c r="EU59" s="574" t="n"/>
      <c r="EV59" s="574" t="n"/>
      <c r="EW59" s="574" t="n"/>
      <c r="EX59" s="574" t="n"/>
      <c r="EY59" s="574" t="n"/>
      <c r="EZ59" s="574" t="n"/>
      <c r="FA59" s="574" t="n"/>
      <c r="FB59" s="574" t="n"/>
      <c r="FC59" s="574" t="n"/>
      <c r="FD59" s="574" t="n"/>
      <c r="FE59" s="574" t="n"/>
      <c r="FF59" s="574" t="n"/>
      <c r="FG59" s="574" t="n"/>
      <c r="FH59" s="574" t="n"/>
      <c r="FI59" s="574" t="n"/>
      <c r="FJ59" s="574" t="n"/>
      <c r="FK59" s="574" t="n"/>
      <c r="FL59" s="574" t="n"/>
      <c r="FM59" s="574" t="n"/>
      <c r="FN59" s="574" t="n"/>
      <c r="FO59" s="574" t="n"/>
      <c r="FP59" s="574" t="n"/>
      <c r="FQ59" s="574" t="n"/>
      <c r="FR59" s="574" t="n"/>
      <c r="FS59" s="574" t="n"/>
    </row>
    <row r="60" customFormat="1" s="568">
      <c r="A60" s="227" t="n"/>
      <c r="B60" s="87" t="n"/>
      <c r="C60" s="137">
        <f>IFERROR(IF(AND($E60&gt;0,$D60&lt;&gt;"The Public"),$E60/SUMIFS($E$10:$E$205,$E$10:$E$205,"&gt;0",$D$10:$D$205,"&lt;&gt;The Public")*$D$5,""),"")</f>
        <v/>
      </c>
      <c r="D60" s="51" t="n"/>
      <c r="E60" s="137">
        <f>SUM(G60:HL60)</f>
        <v/>
      </c>
      <c r="F60" s="569">
        <f>IFERROR(IF($E60&gt;0.0000005,$E60/SUMIF($E$11:$E$140,"&gt;0.0000005"),""),"")</f>
        <v/>
      </c>
      <c r="G60" s="570" t="n"/>
      <c r="H60" s="572" t="n"/>
      <c r="I60" s="572" t="n"/>
      <c r="J60" s="572" t="n"/>
      <c r="K60" s="572" t="n"/>
      <c r="L60" s="573" t="n"/>
      <c r="M60" s="572" t="n"/>
      <c r="N60" s="572" t="n"/>
      <c r="O60" s="572" t="n"/>
      <c r="P60" s="572" t="n"/>
      <c r="Q60" s="572" t="n"/>
      <c r="R60" s="572" t="n"/>
      <c r="S60" s="572" t="n"/>
      <c r="T60" s="572" t="n"/>
      <c r="U60" s="572" t="n"/>
      <c r="V60" s="572" t="n"/>
      <c r="W60" s="572" t="n"/>
      <c r="X60" s="572" t="n"/>
      <c r="Y60" s="572" t="n"/>
      <c r="Z60" s="572" t="n"/>
      <c r="AA60" s="572" t="n"/>
      <c r="AB60" s="572" t="n"/>
      <c r="AC60" s="572" t="n"/>
      <c r="AD60" s="572" t="n"/>
      <c r="AE60" s="572" t="n"/>
      <c r="AF60" s="572" t="n"/>
      <c r="AG60" s="572" t="n"/>
      <c r="AH60" s="572" t="n"/>
      <c r="AI60" s="572" t="n"/>
      <c r="AJ60" s="572" t="n"/>
      <c r="AK60" s="572" t="n"/>
      <c r="AL60" s="572" t="n"/>
      <c r="AM60" s="572" t="n"/>
      <c r="AN60" s="572" t="n"/>
      <c r="AO60" s="572" t="n"/>
      <c r="AP60" s="572" t="n"/>
      <c r="AQ60" s="572" t="n"/>
      <c r="AR60" s="572" t="n"/>
      <c r="AS60" s="572" t="n"/>
      <c r="AT60" s="572" t="n"/>
      <c r="AU60" s="572" t="n"/>
      <c r="AV60" s="572" t="n"/>
      <c r="AW60" s="572" t="n"/>
      <c r="AX60" s="572" t="n"/>
      <c r="AY60" s="572" t="n"/>
      <c r="AZ60" s="573" t="n"/>
      <c r="BA60" s="572" t="n"/>
      <c r="BB60" s="572" t="n"/>
      <c r="BC60" s="572" t="n"/>
      <c r="BD60" s="572" t="n"/>
      <c r="BE60" s="572" t="n"/>
      <c r="BF60" s="572" t="n"/>
      <c r="BG60" s="572" t="n"/>
      <c r="BH60" s="572" t="n"/>
      <c r="BI60" s="574" t="n"/>
      <c r="BJ60" s="574" t="n"/>
      <c r="BK60" s="574" t="n"/>
      <c r="BL60" s="574" t="n"/>
      <c r="BM60" s="574" t="n"/>
      <c r="BN60" s="574" t="n"/>
      <c r="BO60" s="574" t="n"/>
      <c r="BP60" s="574" t="n"/>
      <c r="BQ60" s="574" t="n"/>
      <c r="BR60" s="574" t="n"/>
      <c r="BS60" s="574" t="n"/>
      <c r="BT60" s="574" t="n"/>
      <c r="BU60" s="574" t="n"/>
      <c r="BV60" s="574" t="n"/>
      <c r="BW60" s="574" t="n"/>
      <c r="BX60" s="574" t="n"/>
      <c r="BY60" s="574" t="n"/>
      <c r="BZ60" s="574" t="n"/>
      <c r="CA60" s="574" t="n"/>
      <c r="CB60" s="574" t="n"/>
      <c r="CC60" s="574" t="n"/>
      <c r="CD60" s="574" t="n"/>
      <c r="CE60" s="574" t="n"/>
      <c r="CF60" s="574" t="n"/>
      <c r="CG60" s="574" t="n"/>
      <c r="CH60" s="574" t="n"/>
      <c r="CI60" s="574" t="n"/>
      <c r="CJ60" s="574" t="n"/>
      <c r="CK60" s="574" t="n"/>
      <c r="CL60" s="574" t="n"/>
      <c r="CM60" s="574" t="n"/>
      <c r="CN60" s="574" t="n"/>
      <c r="CO60" s="574" t="n"/>
      <c r="CP60" s="574" t="n"/>
      <c r="CQ60" s="574" t="n"/>
      <c r="CR60" s="574" t="n"/>
      <c r="CS60" s="574" t="n"/>
      <c r="CT60" s="574" t="n"/>
      <c r="CU60" s="574" t="n"/>
      <c r="CV60" s="574" t="n"/>
      <c r="CW60" s="574" t="n"/>
      <c r="CX60" s="574" t="n"/>
      <c r="CY60" s="574" t="n"/>
      <c r="CZ60" s="574" t="n"/>
      <c r="DA60" s="574" t="n"/>
      <c r="DB60" s="574" t="n"/>
      <c r="DC60" s="574" t="n"/>
      <c r="DD60" s="574" t="n"/>
      <c r="DE60" s="574" t="n"/>
      <c r="DF60" s="574" t="n"/>
      <c r="DG60" s="574" t="n"/>
      <c r="DH60" s="574" t="n"/>
      <c r="DI60" s="574" t="n"/>
      <c r="DJ60" s="574" t="n"/>
      <c r="DK60" s="574" t="n"/>
      <c r="DL60" s="574" t="n"/>
      <c r="DM60" s="574" t="n"/>
      <c r="DN60" s="574" t="n"/>
      <c r="DO60" s="574" t="n"/>
      <c r="DP60" s="574" t="n"/>
      <c r="DQ60" s="574" t="n"/>
      <c r="DR60" s="574" t="n"/>
      <c r="DS60" s="574" t="n"/>
      <c r="DT60" s="574" t="n"/>
      <c r="DU60" s="574" t="n"/>
      <c r="DV60" s="574" t="n"/>
      <c r="DW60" s="574" t="n"/>
      <c r="DX60" s="574" t="n"/>
      <c r="DY60" s="574" t="n"/>
      <c r="DZ60" s="574" t="n"/>
      <c r="EA60" s="574" t="n"/>
      <c r="EB60" s="574" t="n"/>
      <c r="EC60" s="574" t="n"/>
      <c r="ED60" s="574" t="n"/>
      <c r="EE60" s="574" t="n"/>
      <c r="EF60" s="574" t="n"/>
      <c r="EG60" s="574" t="n"/>
      <c r="EH60" s="574" t="n"/>
      <c r="EI60" s="574" t="n"/>
      <c r="EJ60" s="574" t="n"/>
      <c r="EK60" s="574" t="n"/>
      <c r="EL60" s="574" t="n"/>
      <c r="EM60" s="574" t="n"/>
      <c r="EN60" s="574" t="n"/>
      <c r="EO60" s="574" t="n"/>
      <c r="EP60" s="574" t="n"/>
      <c r="EQ60" s="574" t="n"/>
      <c r="ER60" s="574" t="n"/>
      <c r="ES60" s="574" t="n"/>
      <c r="ET60" s="574" t="n"/>
      <c r="EU60" s="574" t="n"/>
      <c r="EV60" s="574" t="n"/>
      <c r="EW60" s="574" t="n"/>
      <c r="EX60" s="574" t="n"/>
      <c r="EY60" s="574" t="n"/>
      <c r="EZ60" s="574" t="n"/>
      <c r="FA60" s="574" t="n"/>
      <c r="FB60" s="574" t="n"/>
      <c r="FC60" s="574" t="n"/>
      <c r="FD60" s="574" t="n"/>
      <c r="FE60" s="574" t="n"/>
      <c r="FF60" s="574" t="n"/>
      <c r="FG60" s="574" t="n"/>
      <c r="FH60" s="574" t="n"/>
      <c r="FI60" s="574" t="n"/>
      <c r="FJ60" s="574" t="n"/>
      <c r="FK60" s="574" t="n"/>
      <c r="FL60" s="574" t="n"/>
      <c r="FM60" s="574" t="n"/>
      <c r="FN60" s="574" t="n"/>
      <c r="FO60" s="574" t="n"/>
      <c r="FP60" s="574" t="n"/>
      <c r="FQ60" s="574" t="n"/>
      <c r="FR60" s="574" t="n"/>
      <c r="FS60" s="574" t="n"/>
    </row>
    <row r="61" ht="17.45" customFormat="1" customHeight="1" s="568">
      <c r="A61" s="227" t="n"/>
      <c r="B61" s="87" t="n"/>
      <c r="C61" s="84">
        <f>IFERROR(IF(AND($E61&gt;0,$D61&lt;&gt;"The Public"),$E61/SUMIFS($E$10:$E$205,$E$10:$E$205,"&gt;0",$D$10:$D$205,"&lt;&gt;The Public")*$D$5,""),"")</f>
        <v/>
      </c>
      <c r="D61" s="577" t="n"/>
      <c r="E61" s="84">
        <f>SUM(G61:HY61)</f>
        <v/>
      </c>
      <c r="F61" s="569">
        <f>IFERROR(IF($E61&gt;0.0000005,$E61/SUMIF($E$11:$E$140,"&gt;0.0000005"),""),"")</f>
        <v/>
      </c>
      <c r="G61" s="570" t="n"/>
      <c r="H61" s="570" t="n"/>
      <c r="I61" s="570" t="n"/>
      <c r="J61" s="570" t="n"/>
      <c r="K61" s="570" t="n"/>
      <c r="L61" s="570" t="n"/>
      <c r="M61" s="572" t="n"/>
      <c r="N61" s="572" t="n"/>
      <c r="O61" s="572" t="n"/>
      <c r="P61" s="572" t="n"/>
      <c r="Q61" s="572" t="n"/>
      <c r="R61" s="572" t="n"/>
      <c r="S61" s="572" t="n"/>
      <c r="T61" s="572" t="n"/>
      <c r="U61" s="572" t="n"/>
      <c r="V61" s="572" t="n"/>
      <c r="W61" s="572" t="n"/>
      <c r="X61" s="572" t="n"/>
      <c r="Y61" s="572" t="n"/>
      <c r="Z61" s="572" t="n"/>
      <c r="AA61" s="572" t="n"/>
      <c r="AB61" s="572" t="n"/>
      <c r="AC61" s="572" t="n"/>
      <c r="AD61" s="572" t="n"/>
      <c r="AE61" s="572" t="n"/>
      <c r="AF61" s="572" t="n"/>
      <c r="AG61" s="572" t="n"/>
      <c r="AH61" s="572" t="n"/>
      <c r="AI61" s="572" t="n"/>
      <c r="AJ61" s="572" t="n"/>
      <c r="AK61" s="572" t="n"/>
      <c r="AL61" s="572" t="n"/>
      <c r="AM61" s="572" t="n"/>
      <c r="AN61" s="572" t="n"/>
      <c r="AO61" s="572" t="n"/>
      <c r="AP61" s="572" t="n"/>
      <c r="AQ61" s="572" t="n"/>
      <c r="AR61" s="572" t="n"/>
      <c r="AS61" s="572" t="n"/>
      <c r="AT61" s="572" t="n"/>
      <c r="AU61" s="572" t="n"/>
      <c r="AV61" s="572" t="n"/>
      <c r="AW61" s="572" t="n"/>
      <c r="AX61" s="572" t="n"/>
      <c r="AY61" s="572" t="n"/>
      <c r="AZ61" s="573" t="n"/>
      <c r="BA61" s="572" t="n"/>
      <c r="BB61" s="572" t="n"/>
      <c r="BC61" s="572" t="n"/>
      <c r="BD61" s="572" t="n"/>
      <c r="BE61" s="572" t="n"/>
      <c r="BF61" s="572" t="n"/>
      <c r="BG61" s="572" t="n"/>
      <c r="BH61" s="572" t="n"/>
      <c r="BI61" s="574" t="n"/>
      <c r="BJ61" s="574" t="n"/>
      <c r="BK61" s="574" t="n"/>
      <c r="BL61" s="574" t="n"/>
      <c r="BM61" s="574" t="n"/>
      <c r="BN61" s="574" t="n"/>
      <c r="BO61" s="574" t="n"/>
      <c r="BP61" s="574" t="n"/>
      <c r="BQ61" s="574" t="n"/>
      <c r="BR61" s="574" t="n"/>
      <c r="BS61" s="574" t="n"/>
      <c r="BT61" s="574" t="n"/>
      <c r="BU61" s="574" t="n"/>
      <c r="BV61" s="574" t="n"/>
      <c r="BW61" s="574" t="n"/>
      <c r="BX61" s="574" t="n"/>
      <c r="BY61" s="574" t="n"/>
      <c r="BZ61" s="574" t="n"/>
      <c r="CA61" s="574" t="n"/>
      <c r="CB61" s="574" t="n"/>
      <c r="CC61" s="574" t="n"/>
      <c r="CD61" s="574" t="n"/>
      <c r="CE61" s="574" t="n"/>
      <c r="CF61" s="574" t="n"/>
      <c r="CG61" s="574" t="n"/>
      <c r="CH61" s="574" t="n"/>
      <c r="CI61" s="574" t="n"/>
      <c r="CJ61" s="574" t="n"/>
      <c r="CK61" s="574" t="n"/>
      <c r="CL61" s="574" t="n"/>
      <c r="CM61" s="574" t="n"/>
      <c r="CN61" s="574" t="n"/>
      <c r="CO61" s="574" t="n"/>
      <c r="CP61" s="574" t="n"/>
      <c r="CQ61" s="574" t="n"/>
      <c r="CR61" s="574" t="n"/>
      <c r="CS61" s="574" t="n"/>
      <c r="CT61" s="574" t="n"/>
      <c r="CU61" s="574" t="n"/>
      <c r="CV61" s="574" t="n"/>
      <c r="CW61" s="574" t="n"/>
      <c r="CX61" s="574" t="n"/>
      <c r="CY61" s="574" t="n"/>
      <c r="CZ61" s="574" t="n"/>
      <c r="DA61" s="574" t="n"/>
      <c r="DB61" s="574" t="n"/>
      <c r="DC61" s="574" t="n"/>
      <c r="DD61" s="574" t="n"/>
      <c r="DE61" s="574" t="n"/>
      <c r="DF61" s="574" t="n"/>
      <c r="DG61" s="574" t="n"/>
      <c r="DH61" s="574" t="n"/>
      <c r="DI61" s="574" t="n"/>
      <c r="DJ61" s="574" t="n"/>
      <c r="DK61" s="574" t="n"/>
      <c r="DL61" s="574" t="n"/>
      <c r="DM61" s="574" t="n"/>
      <c r="DN61" s="574" t="n"/>
      <c r="DO61" s="574" t="n"/>
      <c r="DP61" s="574" t="n"/>
      <c r="DQ61" s="574" t="n"/>
      <c r="DR61" s="574" t="n"/>
      <c r="DS61" s="574" t="n"/>
      <c r="DT61" s="574" t="n"/>
      <c r="DU61" s="574" t="n"/>
      <c r="DV61" s="574" t="n"/>
      <c r="DW61" s="574" t="n"/>
      <c r="DX61" s="574" t="n"/>
      <c r="DY61" s="574" t="n"/>
      <c r="DZ61" s="574" t="n"/>
      <c r="EA61" s="574" t="n"/>
      <c r="EB61" s="574" t="n"/>
      <c r="EC61" s="574" t="n"/>
      <c r="ED61" s="574" t="n"/>
      <c r="EE61" s="574" t="n"/>
      <c r="EF61" s="574" t="n"/>
      <c r="EG61" s="574" t="n"/>
      <c r="EH61" s="574" t="n"/>
      <c r="EI61" s="574" t="n"/>
      <c r="EJ61" s="574" t="n"/>
      <c r="EK61" s="574" t="n"/>
      <c r="EL61" s="574" t="n"/>
      <c r="EM61" s="574" t="n"/>
      <c r="EN61" s="574" t="n"/>
      <c r="EO61" s="574" t="n"/>
      <c r="EP61" s="574" t="n"/>
      <c r="EQ61" s="574" t="n"/>
      <c r="ER61" s="574" t="n"/>
      <c r="ES61" s="574" t="n"/>
      <c r="ET61" s="574" t="n"/>
      <c r="EU61" s="574" t="n"/>
      <c r="EV61" s="574" t="n"/>
      <c r="EW61" s="574" t="n"/>
      <c r="EX61" s="574" t="n"/>
      <c r="EY61" s="574" t="n"/>
      <c r="EZ61" s="574" t="n"/>
      <c r="FA61" s="574" t="n"/>
      <c r="FB61" s="574" t="n"/>
      <c r="FC61" s="574" t="n"/>
      <c r="FD61" s="574" t="n"/>
      <c r="FE61" s="574" t="n"/>
      <c r="FF61" s="574" t="n"/>
      <c r="FG61" s="574" t="n"/>
      <c r="FH61" s="574" t="n"/>
      <c r="FI61" s="574" t="n"/>
      <c r="FJ61" s="574" t="n"/>
      <c r="FK61" s="574" t="n"/>
      <c r="FL61" s="574" t="n"/>
      <c r="FM61" s="574" t="n"/>
      <c r="FN61" s="574" t="n"/>
      <c r="FO61" s="574" t="n"/>
      <c r="FP61" s="574" t="n"/>
      <c r="FQ61" s="574" t="n"/>
      <c r="FR61" s="574" t="n"/>
      <c r="FS61" s="574" t="n"/>
      <c r="FT61" s="574" t="n"/>
      <c r="FU61" s="574" t="n"/>
      <c r="FV61" s="574" t="n"/>
      <c r="FW61" s="574" t="n"/>
      <c r="FX61" s="574" t="n"/>
      <c r="FY61" s="574" t="n"/>
      <c r="FZ61" s="574" t="n"/>
      <c r="GA61" s="574" t="n"/>
      <c r="GB61" s="574" t="n"/>
      <c r="GC61" s="574" t="n"/>
      <c r="GD61" s="574" t="n"/>
      <c r="GE61" s="574" t="n"/>
      <c r="GF61" s="574" t="n"/>
    </row>
    <row r="62" ht="16.5" customFormat="1" customHeight="1" s="568">
      <c r="A62" s="227" t="n"/>
      <c r="B62" s="87" t="n"/>
      <c r="C62" s="84">
        <f>IFERROR(IF(AND($E62&gt;0,$D62&lt;&gt;"The Public"),$E62/SUMIFS($E$10:$E$205,$E$10:$E$205,"&gt;0",$D$10:$D$205,"&lt;&gt;The Public")*$D$5,""),"")</f>
        <v/>
      </c>
      <c r="D62" s="577" t="n"/>
      <c r="E62" s="84">
        <f>SUM(G62:HY62)</f>
        <v/>
      </c>
      <c r="F62" s="569">
        <f>IFERROR(IF($E62&gt;0.0000005,$E62/SUMIF($E$11:$E$140,"&gt;0.0000005"),""),"")</f>
        <v/>
      </c>
      <c r="G62" s="570" t="n"/>
      <c r="H62" s="570" t="n"/>
      <c r="I62" s="570" t="n"/>
      <c r="J62" s="570" t="n"/>
      <c r="K62" s="570" t="n"/>
      <c r="L62" s="570" t="n"/>
      <c r="M62" s="572" t="n"/>
      <c r="N62" s="572" t="n"/>
      <c r="O62" s="572" t="n"/>
      <c r="P62" s="572" t="n"/>
      <c r="Q62" s="572" t="n"/>
      <c r="R62" s="572" t="n"/>
      <c r="S62" s="572" t="n"/>
      <c r="T62" s="572" t="n"/>
      <c r="U62" s="572" t="n"/>
      <c r="V62" s="572" t="n"/>
      <c r="W62" s="572" t="n"/>
      <c r="X62" s="572" t="n"/>
      <c r="Y62" s="572" t="n"/>
      <c r="Z62" s="572" t="n"/>
      <c r="AA62" s="572" t="n"/>
      <c r="AB62" s="572" t="n"/>
      <c r="AC62" s="572" t="n"/>
      <c r="AD62" s="572" t="n"/>
      <c r="AE62" s="572" t="n"/>
      <c r="AF62" s="572" t="n"/>
      <c r="AG62" s="572" t="n"/>
      <c r="AH62" s="572" t="n"/>
      <c r="AI62" s="572" t="n"/>
      <c r="AJ62" s="572" t="n"/>
      <c r="AK62" s="572" t="n"/>
      <c r="AL62" s="572" t="n"/>
      <c r="AM62" s="572" t="n"/>
      <c r="AN62" s="572" t="n"/>
      <c r="AO62" s="572" t="n"/>
      <c r="AP62" s="572" t="n"/>
      <c r="AQ62" s="572" t="n"/>
      <c r="AR62" s="572" t="n"/>
      <c r="AS62" s="572" t="n"/>
      <c r="AT62" s="572" t="n"/>
      <c r="AU62" s="572" t="n"/>
      <c r="AV62" s="572" t="n"/>
      <c r="AW62" s="572" t="n"/>
      <c r="AX62" s="572" t="n"/>
      <c r="AY62" s="572" t="n"/>
      <c r="AZ62" s="572" t="n"/>
      <c r="BA62" s="572" t="n"/>
      <c r="BB62" s="572" t="n"/>
      <c r="BC62" s="572" t="n"/>
      <c r="BD62" s="572" t="n"/>
      <c r="BE62" s="572" t="n"/>
      <c r="BF62" s="572" t="n"/>
      <c r="BG62" s="572" t="n"/>
      <c r="BH62" s="572" t="n"/>
      <c r="BI62" s="574" t="n"/>
      <c r="BJ62" s="574" t="n"/>
      <c r="BK62" s="574" t="n"/>
      <c r="BL62" s="574" t="n"/>
      <c r="BM62" s="574" t="n"/>
      <c r="BN62" s="574" t="n"/>
      <c r="BO62" s="574" t="n"/>
      <c r="BP62" s="574" t="n"/>
      <c r="BQ62" s="574" t="n"/>
      <c r="BR62" s="574" t="n"/>
      <c r="BS62" s="574" t="n"/>
      <c r="BT62" s="574" t="n"/>
      <c r="BU62" s="574" t="n"/>
      <c r="BV62" s="574" t="n"/>
      <c r="BW62" s="574" t="n"/>
      <c r="BX62" s="574" t="n"/>
      <c r="BY62" s="574" t="n"/>
      <c r="BZ62" s="574" t="n"/>
      <c r="CA62" s="574" t="n"/>
      <c r="CB62" s="574" t="n"/>
      <c r="CC62" s="574" t="n"/>
      <c r="CD62" s="574" t="n"/>
      <c r="CE62" s="574" t="n"/>
      <c r="CF62" s="574" t="n"/>
      <c r="CG62" s="574" t="n"/>
      <c r="CH62" s="574" t="n"/>
      <c r="CI62" s="574" t="n"/>
      <c r="CJ62" s="574" t="n"/>
      <c r="CK62" s="574" t="n"/>
      <c r="CL62" s="574" t="n"/>
      <c r="CM62" s="574" t="n"/>
      <c r="CN62" s="574" t="n"/>
      <c r="CO62" s="574" t="n"/>
      <c r="CP62" s="574" t="n"/>
      <c r="CQ62" s="574" t="n"/>
      <c r="CR62" s="574" t="n"/>
      <c r="CS62" s="574" t="n"/>
      <c r="CT62" s="574" t="n"/>
      <c r="CU62" s="574" t="n"/>
      <c r="CV62" s="574" t="n"/>
      <c r="CW62" s="574" t="n"/>
      <c r="CX62" s="574" t="n"/>
      <c r="CY62" s="574" t="n"/>
      <c r="CZ62" s="574" t="n"/>
      <c r="DA62" s="574" t="n"/>
      <c r="DB62" s="574" t="n"/>
      <c r="DC62" s="574" t="n"/>
      <c r="DD62" s="574" t="n"/>
      <c r="DE62" s="574" t="n"/>
      <c r="DF62" s="574" t="n"/>
      <c r="DG62" s="574" t="n"/>
      <c r="DH62" s="574" t="n"/>
      <c r="DI62" s="574" t="n"/>
      <c r="DJ62" s="574" t="n"/>
      <c r="DK62" s="574" t="n"/>
      <c r="DL62" s="574" t="n"/>
      <c r="DM62" s="574" t="n"/>
      <c r="DN62" s="574" t="n"/>
      <c r="DO62" s="574" t="n"/>
      <c r="DP62" s="574" t="n"/>
      <c r="DQ62" s="574" t="n"/>
      <c r="DR62" s="574" t="n"/>
      <c r="DS62" s="574" t="n"/>
      <c r="DT62" s="574" t="n"/>
      <c r="DU62" s="574" t="n"/>
      <c r="DV62" s="574" t="n"/>
      <c r="DW62" s="574" t="n"/>
      <c r="DX62" s="574" t="n"/>
      <c r="DY62" s="574" t="n"/>
      <c r="DZ62" s="574" t="n"/>
      <c r="EA62" s="574" t="n"/>
      <c r="EB62" s="574" t="n"/>
      <c r="EC62" s="574" t="n"/>
      <c r="ED62" s="574" t="n"/>
      <c r="EE62" s="574" t="n"/>
      <c r="EF62" s="574" t="n"/>
      <c r="EG62" s="574" t="n"/>
      <c r="EH62" s="574" t="n"/>
      <c r="EI62" s="574" t="n"/>
      <c r="EJ62" s="574" t="n"/>
      <c r="EK62" s="574" t="n"/>
      <c r="EL62" s="574" t="n"/>
      <c r="EM62" s="574" t="n"/>
      <c r="EN62" s="574" t="n"/>
      <c r="EO62" s="574" t="n"/>
      <c r="EP62" s="574" t="n"/>
      <c r="EQ62" s="574" t="n"/>
      <c r="ER62" s="574" t="n"/>
      <c r="ES62" s="574" t="n"/>
      <c r="ET62" s="574" t="n"/>
      <c r="EU62" s="574" t="n"/>
      <c r="EV62" s="574" t="n"/>
      <c r="EW62" s="574" t="n"/>
      <c r="EX62" s="574" t="n"/>
      <c r="EY62" s="574" t="n"/>
      <c r="EZ62" s="574" t="n"/>
      <c r="FA62" s="574" t="n"/>
      <c r="FB62" s="574" t="n"/>
      <c r="FC62" s="574" t="n"/>
      <c r="FD62" s="574" t="n"/>
      <c r="FE62" s="574" t="n"/>
      <c r="FF62" s="574" t="n"/>
      <c r="FG62" s="574" t="n"/>
      <c r="FH62" s="574" t="n"/>
      <c r="FI62" s="574" t="n"/>
      <c r="FJ62" s="574" t="n"/>
      <c r="FK62" s="574" t="n"/>
      <c r="FL62" s="574" t="n"/>
      <c r="FM62" s="574" t="n"/>
      <c r="FN62" s="574" t="n"/>
      <c r="FO62" s="574" t="n"/>
      <c r="FP62" s="574" t="n"/>
      <c r="FQ62" s="574" t="n"/>
      <c r="FR62" s="574" t="n"/>
      <c r="FS62" s="574" t="n"/>
      <c r="FT62" s="574" t="n"/>
      <c r="FU62" s="574" t="n"/>
      <c r="FV62" s="574" t="n"/>
      <c r="FW62" s="574" t="n"/>
      <c r="FX62" s="574" t="n"/>
      <c r="FY62" s="574" t="n"/>
      <c r="FZ62" s="574" t="n"/>
      <c r="GA62" s="574" t="n"/>
      <c r="GB62" s="574" t="n"/>
      <c r="GC62" s="574" t="n"/>
      <c r="GD62" s="574" t="n"/>
      <c r="GE62" s="574" t="n"/>
      <c r="GF62" s="574" t="n"/>
    </row>
    <row r="63" customFormat="1" s="568">
      <c r="A63" s="227" t="n"/>
      <c r="B63" s="87" t="n"/>
      <c r="C63" s="84">
        <f>IFERROR(IF(AND($E63&gt;0,$D63&lt;&gt;"The Public"),$E63/SUMIFS($E$10:$E$205,$E$10:$E$205,"&gt;0",$D$10:$D$205,"&lt;&gt;The Public")*$D$5,""),"")</f>
        <v/>
      </c>
      <c r="D63" s="52" t="n"/>
      <c r="E63" s="84">
        <f>SUM(G63:HY63)</f>
        <v/>
      </c>
      <c r="F63" s="569">
        <f>IFERROR(IF($E63&gt;0.0000005,$E63/SUMIF($E$11:$E$140,"&gt;0.0000005"),""),"")</f>
        <v/>
      </c>
      <c r="G63" s="570" t="n"/>
      <c r="H63" s="570" t="n"/>
      <c r="I63" s="570" t="n"/>
      <c r="J63" s="570" t="n"/>
      <c r="K63" s="570" t="n"/>
      <c r="L63" s="570" t="n"/>
      <c r="M63" s="572" t="n"/>
      <c r="N63" s="572" t="n"/>
      <c r="O63" s="572" t="n"/>
      <c r="P63" s="572" t="n"/>
      <c r="Q63" s="572" t="n"/>
      <c r="R63" s="572" t="n"/>
      <c r="S63" s="572" t="n"/>
      <c r="T63" s="572" t="n"/>
      <c r="U63" s="572" t="n"/>
      <c r="V63" s="572" t="n"/>
      <c r="W63" s="572" t="n"/>
      <c r="X63" s="572" t="n"/>
      <c r="Y63" s="572" t="n"/>
      <c r="Z63" s="572" t="n"/>
      <c r="AA63" s="572" t="n"/>
      <c r="AB63" s="572" t="n"/>
      <c r="AC63" s="572" t="n"/>
      <c r="AD63" s="572" t="n"/>
      <c r="AE63" s="572" t="n"/>
      <c r="AF63" s="572" t="n"/>
      <c r="AG63" s="572" t="n"/>
      <c r="AH63" s="572" t="n"/>
      <c r="AI63" s="572" t="n"/>
      <c r="AJ63" s="572" t="n"/>
      <c r="AK63" s="572" t="n"/>
      <c r="AL63" s="572" t="n"/>
      <c r="AM63" s="572" t="n"/>
      <c r="AN63" s="572" t="n"/>
      <c r="AO63" s="572" t="n"/>
      <c r="AP63" s="572" t="n"/>
      <c r="AQ63" s="572" t="n"/>
      <c r="AR63" s="572" t="n"/>
      <c r="AS63" s="572" t="n"/>
      <c r="AT63" s="572" t="n"/>
      <c r="AU63" s="572" t="n"/>
      <c r="AV63" s="572" t="n"/>
      <c r="AW63" s="572" t="n"/>
      <c r="AX63" s="572" t="n"/>
      <c r="AY63" s="572" t="n"/>
      <c r="AZ63" s="572" t="n"/>
      <c r="BA63" s="572" t="n"/>
      <c r="BB63" s="572" t="n"/>
      <c r="BC63" s="572" t="n"/>
      <c r="BD63" s="572" t="n"/>
      <c r="BE63" s="572" t="n"/>
      <c r="BF63" s="572" t="n"/>
      <c r="BG63" s="572" t="n"/>
      <c r="BH63" s="572" t="n"/>
      <c r="BI63" s="574" t="n"/>
      <c r="BJ63" s="574" t="n"/>
      <c r="BK63" s="574" t="n"/>
      <c r="BL63" s="574" t="n"/>
      <c r="BM63" s="574" t="n"/>
      <c r="BN63" s="574" t="n"/>
      <c r="BO63" s="574" t="n"/>
      <c r="BP63" s="574" t="n"/>
      <c r="BQ63" s="574" t="n"/>
      <c r="BR63" s="574" t="n"/>
      <c r="BS63" s="574" t="n"/>
      <c r="BT63" s="574" t="n"/>
      <c r="BU63" s="574" t="n"/>
      <c r="BV63" s="574" t="n"/>
      <c r="BW63" s="574" t="n"/>
      <c r="BX63" s="574" t="n"/>
      <c r="BY63" s="574" t="n"/>
      <c r="BZ63" s="574" t="n"/>
      <c r="CA63" s="574" t="n"/>
      <c r="CB63" s="574" t="n"/>
      <c r="CC63" s="574" t="n"/>
      <c r="CD63" s="574" t="n"/>
      <c r="CE63" s="574" t="n"/>
      <c r="CF63" s="574" t="n"/>
      <c r="CG63" s="574" t="n"/>
      <c r="CH63" s="574" t="n"/>
      <c r="CI63" s="574" t="n"/>
      <c r="CJ63" s="574" t="n"/>
      <c r="CK63" s="574" t="n"/>
      <c r="CL63" s="574" t="n"/>
      <c r="CM63" s="574" t="n"/>
      <c r="CN63" s="574" t="n"/>
      <c r="CO63" s="574" t="n"/>
      <c r="CP63" s="574" t="n"/>
      <c r="CQ63" s="574" t="n"/>
      <c r="CR63" s="574" t="n"/>
      <c r="CS63" s="574" t="n"/>
      <c r="CT63" s="574" t="n"/>
      <c r="CU63" s="574" t="n"/>
      <c r="CV63" s="574" t="n"/>
      <c r="CW63" s="574" t="n"/>
      <c r="CX63" s="574" t="n"/>
      <c r="CY63" s="574" t="n"/>
      <c r="CZ63" s="574" t="n"/>
      <c r="DA63" s="574" t="n"/>
      <c r="DB63" s="574" t="n"/>
      <c r="DC63" s="574" t="n"/>
      <c r="DD63" s="574" t="n"/>
      <c r="DE63" s="574" t="n"/>
      <c r="DF63" s="574" t="n"/>
      <c r="DG63" s="574" t="n"/>
      <c r="DH63" s="574" t="n"/>
      <c r="DI63" s="574" t="n"/>
      <c r="DJ63" s="574" t="n"/>
      <c r="DK63" s="574" t="n"/>
      <c r="DL63" s="574" t="n"/>
      <c r="DM63" s="574" t="n"/>
      <c r="DN63" s="574" t="n"/>
      <c r="DO63" s="574" t="n"/>
      <c r="DP63" s="574" t="n"/>
      <c r="DQ63" s="574" t="n"/>
      <c r="DR63" s="574" t="n"/>
      <c r="DS63" s="574" t="n"/>
      <c r="DT63" s="574" t="n"/>
      <c r="DU63" s="574" t="n"/>
      <c r="DV63" s="574" t="n"/>
      <c r="DW63" s="574" t="n"/>
      <c r="DX63" s="574" t="n"/>
      <c r="DY63" s="574" t="n"/>
      <c r="DZ63" s="574" t="n"/>
      <c r="EA63" s="574" t="n"/>
      <c r="EB63" s="574" t="n"/>
      <c r="EC63" s="574" t="n"/>
      <c r="ED63" s="574" t="n"/>
      <c r="EE63" s="574" t="n"/>
      <c r="EF63" s="574" t="n"/>
      <c r="EG63" s="574" t="n"/>
      <c r="EH63" s="574" t="n"/>
      <c r="EI63" s="574" t="n"/>
      <c r="EJ63" s="574" t="n"/>
      <c r="EK63" s="574" t="n"/>
      <c r="EL63" s="574" t="n"/>
      <c r="EM63" s="574" t="n"/>
      <c r="EN63" s="574" t="n"/>
      <c r="EO63" s="574" t="n"/>
      <c r="EP63" s="574" t="n"/>
      <c r="EQ63" s="574" t="n"/>
      <c r="ER63" s="574" t="n"/>
      <c r="ES63" s="574" t="n"/>
      <c r="ET63" s="574" t="n"/>
      <c r="EU63" s="574" t="n"/>
      <c r="EV63" s="574" t="n"/>
      <c r="EW63" s="574" t="n"/>
      <c r="EX63" s="574" t="n"/>
      <c r="EY63" s="574" t="n"/>
      <c r="EZ63" s="574" t="n"/>
      <c r="FA63" s="574" t="n"/>
      <c r="FB63" s="574" t="n"/>
      <c r="FC63" s="574" t="n"/>
      <c r="FD63" s="574" t="n"/>
      <c r="FE63" s="574" t="n"/>
      <c r="FF63" s="574" t="n"/>
      <c r="FG63" s="574" t="n"/>
      <c r="FH63" s="574" t="n"/>
      <c r="FI63" s="574" t="n"/>
      <c r="FJ63" s="574" t="n"/>
      <c r="FK63" s="574" t="n"/>
      <c r="FL63" s="574" t="n"/>
      <c r="FM63" s="574" t="n"/>
      <c r="FN63" s="574" t="n"/>
      <c r="FO63" s="574" t="n"/>
      <c r="FP63" s="574" t="n"/>
      <c r="FQ63" s="574" t="n"/>
      <c r="FR63" s="574" t="n"/>
      <c r="FS63" s="574" t="n"/>
      <c r="FT63" s="574" t="n"/>
      <c r="FU63" s="574" t="n"/>
      <c r="FV63" s="574" t="n"/>
      <c r="FW63" s="574" t="n"/>
      <c r="FX63" s="574" t="n"/>
      <c r="FY63" s="574" t="n"/>
      <c r="FZ63" s="574" t="n"/>
      <c r="GA63" s="574" t="n"/>
      <c r="GB63" s="574" t="n"/>
      <c r="GC63" s="574" t="n"/>
      <c r="GD63" s="574" t="n"/>
      <c r="GE63" s="574" t="n"/>
      <c r="GF63" s="574" t="n"/>
    </row>
    <row r="64" customFormat="1" s="568">
      <c r="A64" s="227" t="n"/>
      <c r="B64" s="87" t="n"/>
      <c r="C64" s="137">
        <f>IFERROR(IF(AND($E64&gt;0,$D64&lt;&gt;"The Public"),$E64/SUMIFS($E$10:$E$205,$E$10:$E$205,"&gt;0",$D$10:$D$205,"&lt;&gt;The Public")*$D$5,""),"")</f>
        <v/>
      </c>
      <c r="D64" s="51" t="n"/>
      <c r="E64" s="137">
        <f>SUM(G64:HP64)</f>
        <v/>
      </c>
      <c r="F64" s="569">
        <f>IFERROR(IF($E64&gt;0.0000005,$E64/SUMIF($E$11:$E$140,"&gt;0.0000005"),""),"")</f>
        <v/>
      </c>
      <c r="G64" s="570" t="n"/>
      <c r="H64" s="572" t="n"/>
      <c r="I64" s="572" t="n"/>
      <c r="J64" s="572" t="n"/>
      <c r="K64" s="572" t="n"/>
      <c r="L64" s="572" t="n"/>
      <c r="M64" s="572" t="n"/>
      <c r="N64" s="573" t="n"/>
      <c r="O64" s="573" t="n"/>
      <c r="P64" s="572" t="n"/>
      <c r="Q64" s="572" t="n"/>
      <c r="R64" s="572" t="n"/>
      <c r="S64" s="572" t="n"/>
      <c r="T64" s="572" t="n"/>
      <c r="U64" s="572" t="n"/>
      <c r="V64" s="572" t="n"/>
      <c r="W64" s="572" t="n"/>
      <c r="X64" s="572" t="n"/>
      <c r="Y64" s="572" t="n"/>
      <c r="Z64" s="572" t="n"/>
      <c r="AA64" s="572" t="n"/>
      <c r="AB64" s="572" t="n"/>
      <c r="AC64" s="572" t="n"/>
      <c r="AD64" s="572" t="n"/>
      <c r="AE64" s="572" t="n"/>
      <c r="AF64" s="572" t="n"/>
      <c r="AG64" s="572" t="n"/>
      <c r="AH64" s="572" t="n"/>
      <c r="AI64" s="572" t="n"/>
      <c r="AJ64" s="572" t="n"/>
      <c r="AK64" s="572" t="n"/>
      <c r="AL64" s="572" t="n"/>
      <c r="AM64" s="572" t="n"/>
      <c r="AN64" s="572" t="n"/>
      <c r="AO64" s="572" t="n"/>
      <c r="AP64" s="572" t="n"/>
      <c r="AQ64" s="572" t="n"/>
      <c r="AR64" s="572" t="n"/>
      <c r="AS64" s="572" t="n"/>
      <c r="AT64" s="572" t="n"/>
      <c r="AU64" s="572" t="n"/>
      <c r="AV64" s="572" t="n"/>
      <c r="AW64" s="572" t="n"/>
      <c r="AX64" s="572" t="n"/>
      <c r="AY64" s="572" t="n"/>
      <c r="AZ64" s="572" t="n"/>
      <c r="BA64" s="572" t="n"/>
      <c r="BB64" s="572" t="n"/>
      <c r="BC64" s="572" t="n"/>
      <c r="BD64" s="572" t="n"/>
      <c r="BE64" s="572" t="n"/>
      <c r="BF64" s="572" t="n"/>
      <c r="BG64" s="572" t="n"/>
      <c r="BH64" s="572" t="n"/>
      <c r="BI64" s="574" t="n"/>
      <c r="BJ64" s="574" t="n"/>
      <c r="BK64" s="574" t="n"/>
      <c r="BL64" s="574" t="n"/>
      <c r="BM64" s="574" t="n"/>
      <c r="BN64" s="574" t="n"/>
      <c r="BO64" s="574" t="n"/>
      <c r="BP64" s="574" t="n"/>
      <c r="BQ64" s="574" t="n"/>
      <c r="BR64" s="574" t="n"/>
      <c r="BS64" s="574" t="n"/>
      <c r="BT64" s="574" t="n"/>
      <c r="BU64" s="574" t="n"/>
      <c r="BV64" s="574" t="n"/>
      <c r="BW64" s="574" t="n"/>
      <c r="BX64" s="574" t="n"/>
      <c r="BY64" s="574" t="n"/>
      <c r="BZ64" s="574" t="n"/>
      <c r="CA64" s="574" t="n"/>
      <c r="CB64" s="574" t="n"/>
      <c r="CC64" s="574" t="n"/>
      <c r="CD64" s="574" t="n"/>
      <c r="CE64" s="574" t="n"/>
      <c r="CF64" s="574" t="n"/>
      <c r="CG64" s="574" t="n"/>
      <c r="CH64" s="574" t="n"/>
      <c r="CI64" s="574" t="n"/>
      <c r="CJ64" s="574" t="n"/>
      <c r="CK64" s="574" t="n"/>
      <c r="CL64" s="574" t="n"/>
      <c r="CM64" s="574" t="n"/>
      <c r="CN64" s="574" t="n"/>
      <c r="CO64" s="574" t="n"/>
      <c r="CP64" s="574" t="n"/>
      <c r="CQ64" s="574" t="n"/>
      <c r="CR64" s="574" t="n"/>
      <c r="CS64" s="574" t="n"/>
      <c r="CT64" s="574" t="n"/>
      <c r="CU64" s="574" t="n"/>
      <c r="CV64" s="574" t="n"/>
      <c r="CW64" s="574" t="n"/>
      <c r="CX64" s="574" t="n"/>
      <c r="CY64" s="574" t="n"/>
      <c r="CZ64" s="574" t="n"/>
      <c r="DA64" s="574" t="n"/>
      <c r="DB64" s="574" t="n"/>
      <c r="DC64" s="574" t="n"/>
      <c r="DD64" s="574" t="n"/>
      <c r="DE64" s="574" t="n"/>
      <c r="DF64" s="574" t="n"/>
      <c r="DG64" s="574" t="n"/>
      <c r="DH64" s="574" t="n"/>
      <c r="DI64" s="574" t="n"/>
      <c r="DJ64" s="574" t="n"/>
      <c r="DK64" s="574" t="n"/>
      <c r="DL64" s="574" t="n"/>
      <c r="DM64" s="574" t="n"/>
      <c r="DN64" s="574" t="n"/>
      <c r="DO64" s="574" t="n"/>
      <c r="DP64" s="574" t="n"/>
      <c r="DQ64" s="574" t="n"/>
      <c r="DR64" s="574" t="n"/>
      <c r="DS64" s="574" t="n"/>
      <c r="DT64" s="574" t="n"/>
      <c r="DU64" s="574" t="n"/>
      <c r="DV64" s="574" t="n"/>
      <c r="DW64" s="574" t="n"/>
      <c r="DX64" s="574" t="n"/>
      <c r="DY64" s="574" t="n"/>
      <c r="DZ64" s="574" t="n"/>
      <c r="EA64" s="574" t="n"/>
      <c r="EB64" s="574" t="n"/>
      <c r="EC64" s="574" t="n"/>
      <c r="ED64" s="574" t="n"/>
      <c r="EE64" s="574" t="n"/>
      <c r="EF64" s="574" t="n"/>
      <c r="EG64" s="574" t="n"/>
      <c r="EH64" s="574" t="n"/>
      <c r="EI64" s="574" t="n"/>
      <c r="EJ64" s="574" t="n"/>
      <c r="EK64" s="574" t="n"/>
      <c r="EL64" s="574" t="n"/>
      <c r="EM64" s="574" t="n"/>
      <c r="EN64" s="574" t="n"/>
      <c r="EO64" s="574" t="n"/>
      <c r="EP64" s="574" t="n"/>
      <c r="EQ64" s="574" t="n"/>
      <c r="ER64" s="574" t="n"/>
      <c r="ES64" s="574" t="n"/>
      <c r="ET64" s="574" t="n"/>
      <c r="EU64" s="574" t="n"/>
      <c r="EV64" s="574" t="n"/>
      <c r="EW64" s="574" t="n"/>
      <c r="EX64" s="574" t="n"/>
      <c r="EY64" s="574" t="n"/>
      <c r="EZ64" s="574" t="n"/>
      <c r="FA64" s="574" t="n"/>
      <c r="FB64" s="574" t="n"/>
      <c r="FC64" s="574" t="n"/>
      <c r="FD64" s="574" t="n"/>
      <c r="FE64" s="574" t="n"/>
      <c r="FF64" s="574" t="n"/>
      <c r="FG64" s="574" t="n"/>
      <c r="FH64" s="574" t="n"/>
      <c r="FI64" s="574" t="n"/>
      <c r="FJ64" s="574" t="n"/>
      <c r="FK64" s="574" t="n"/>
      <c r="FL64" s="574" t="n"/>
      <c r="FM64" s="574" t="n"/>
      <c r="FN64" s="574" t="n"/>
      <c r="FO64" s="574" t="n"/>
      <c r="FP64" s="574" t="n"/>
      <c r="FQ64" s="574" t="n"/>
      <c r="FR64" s="574" t="n"/>
      <c r="FS64" s="574" t="n"/>
      <c r="FT64" s="574" t="n"/>
      <c r="FU64" s="574" t="n"/>
      <c r="FV64" s="574" t="n"/>
      <c r="FW64" s="574" t="n"/>
    </row>
    <row r="65" customFormat="1" s="568">
      <c r="A65" s="227" t="n"/>
      <c r="B65" s="87" t="n"/>
      <c r="C65" s="137">
        <f>IFERROR(IF(AND($E65&gt;0,$D65&lt;&gt;"The Public"),$E65/SUMIFS($E$10:$E$205,$E$10:$E$205,"&gt;0",$D$10:$D$205,"&lt;&gt;The Public")*$D$5,""),"")</f>
        <v/>
      </c>
      <c r="D65" s="51" t="n"/>
      <c r="E65" s="137">
        <f>SUM(G65:HY65)</f>
        <v/>
      </c>
      <c r="F65" s="569">
        <f>IFERROR(IF($E65&gt;0.0000005,$E65/SUMIF($E$11:$E$140,"&gt;0.0000005"),""),"")</f>
        <v/>
      </c>
      <c r="G65" s="570" t="n"/>
      <c r="H65" s="570" t="n"/>
      <c r="I65" s="570" t="n"/>
      <c r="J65" s="570" t="n"/>
      <c r="K65" s="570" t="n"/>
      <c r="L65" s="570" t="n"/>
      <c r="M65" s="572" t="n"/>
      <c r="N65" s="572" t="n"/>
      <c r="O65" s="572" t="n"/>
      <c r="P65" s="572" t="n"/>
      <c r="Q65" s="572" t="n"/>
      <c r="R65" s="572" t="n"/>
      <c r="S65" s="572" t="n"/>
      <c r="T65" s="572" t="n"/>
      <c r="U65" s="572" t="n"/>
      <c r="V65" s="572" t="n"/>
      <c r="W65" s="572" t="n"/>
      <c r="X65" s="572" t="n"/>
      <c r="Y65" s="572" t="n"/>
      <c r="Z65" s="572" t="n"/>
      <c r="AA65" s="572" t="n"/>
      <c r="AB65" s="572" t="n"/>
      <c r="AC65" s="572" t="n"/>
      <c r="AD65" s="572" t="n"/>
      <c r="AE65" s="572" t="n"/>
      <c r="AF65" s="572" t="n"/>
      <c r="AG65" s="572" t="n"/>
      <c r="AH65" s="572" t="n"/>
      <c r="AI65" s="572" t="n"/>
      <c r="AJ65" s="572" t="n"/>
      <c r="AK65" s="572" t="n"/>
      <c r="AL65" s="572" t="n"/>
      <c r="AM65" s="572" t="n"/>
      <c r="AN65" s="572" t="n"/>
      <c r="AO65" s="572" t="n"/>
      <c r="AP65" s="572" t="n"/>
      <c r="AQ65" s="572" t="n"/>
      <c r="AR65" s="572" t="n"/>
      <c r="AS65" s="572" t="n"/>
      <c r="AT65" s="572" t="n"/>
      <c r="AU65" s="572" t="n"/>
      <c r="AV65" s="572" t="n"/>
      <c r="AW65" s="572" t="n"/>
      <c r="AX65" s="572" t="n"/>
      <c r="AY65" s="572" t="n"/>
      <c r="AZ65" s="572" t="n"/>
      <c r="BA65" s="572" t="n"/>
      <c r="BB65" s="572" t="n"/>
      <c r="BC65" s="572" t="n"/>
      <c r="BD65" s="572" t="n"/>
      <c r="BE65" s="573" t="n"/>
      <c r="BF65" s="572" t="n"/>
      <c r="BG65" s="572" t="n"/>
      <c r="BH65" s="572" t="n"/>
      <c r="BI65" s="574" t="n"/>
      <c r="BJ65" s="574" t="n"/>
      <c r="BK65" s="574" t="n"/>
      <c r="BL65" s="574" t="n"/>
      <c r="BM65" s="574" t="n"/>
      <c r="BN65" s="574" t="n"/>
      <c r="BO65" s="574" t="n"/>
      <c r="BP65" s="574" t="n"/>
      <c r="BQ65" s="574" t="n"/>
      <c r="BR65" s="574" t="n"/>
      <c r="BS65" s="574" t="n"/>
      <c r="BT65" s="574" t="n"/>
      <c r="BU65" s="574" t="n"/>
      <c r="BV65" s="574" t="n"/>
      <c r="BW65" s="574" t="n"/>
      <c r="BX65" s="574" t="n"/>
      <c r="BY65" s="574" t="n"/>
      <c r="BZ65" s="574" t="n"/>
      <c r="CA65" s="574" t="n"/>
      <c r="CB65" s="574" t="n"/>
      <c r="CC65" s="574" t="n"/>
      <c r="CD65" s="574" t="n"/>
      <c r="CE65" s="574" t="n"/>
      <c r="CF65" s="574" t="n"/>
      <c r="CG65" s="574" t="n"/>
      <c r="CH65" s="574" t="n"/>
      <c r="CI65" s="574" t="n"/>
      <c r="CJ65" s="574" t="n"/>
      <c r="CK65" s="574" t="n"/>
      <c r="CL65" s="574" t="n"/>
      <c r="CM65" s="574" t="n"/>
      <c r="CN65" s="574" t="n"/>
      <c r="CO65" s="574" t="n"/>
      <c r="CP65" s="574" t="n"/>
      <c r="CQ65" s="574" t="n"/>
      <c r="CR65" s="574" t="n"/>
      <c r="CS65" s="574" t="n"/>
      <c r="CT65" s="574" t="n"/>
      <c r="CU65" s="574" t="n"/>
      <c r="CV65" s="574" t="n"/>
      <c r="CW65" s="574" t="n"/>
      <c r="CX65" s="574" t="n"/>
      <c r="CY65" s="574" t="n"/>
      <c r="CZ65" s="574" t="n"/>
      <c r="DA65" s="574" t="n"/>
      <c r="DB65" s="574" t="n"/>
      <c r="DC65" s="574" t="n"/>
      <c r="DD65" s="574" t="n"/>
      <c r="DE65" s="574" t="n"/>
      <c r="DF65" s="574" t="n"/>
      <c r="DG65" s="574" t="n"/>
      <c r="DH65" s="574" t="n"/>
      <c r="DI65" s="574" t="n"/>
      <c r="DJ65" s="574" t="n"/>
      <c r="DK65" s="574" t="n"/>
      <c r="DL65" s="574" t="n"/>
      <c r="DM65" s="574" t="n"/>
      <c r="DN65" s="574" t="n"/>
      <c r="DO65" s="574" t="n"/>
      <c r="DP65" s="574" t="n"/>
      <c r="DQ65" s="574" t="n"/>
      <c r="DR65" s="574" t="n"/>
      <c r="DS65" s="574" t="n"/>
      <c r="DT65" s="574" t="n"/>
      <c r="DU65" s="574" t="n"/>
      <c r="DV65" s="574" t="n"/>
      <c r="DW65" s="574" t="n"/>
      <c r="DX65" s="574" t="n"/>
      <c r="DY65" s="574" t="n"/>
      <c r="DZ65" s="574" t="n"/>
      <c r="EA65" s="574" t="n"/>
      <c r="EB65" s="574" t="n"/>
      <c r="EC65" s="574" t="n"/>
      <c r="ED65" s="574" t="n"/>
      <c r="EE65" s="574" t="n"/>
      <c r="EF65" s="574" t="n"/>
      <c r="EG65" s="574" t="n"/>
      <c r="EH65" s="574" t="n"/>
      <c r="EI65" s="574" t="n"/>
      <c r="EJ65" s="574" t="n"/>
      <c r="EK65" s="574" t="n"/>
      <c r="EL65" s="574" t="n"/>
      <c r="EM65" s="574" t="n"/>
      <c r="EN65" s="574" t="n"/>
      <c r="EO65" s="574" t="n"/>
      <c r="EP65" s="574" t="n"/>
      <c r="EQ65" s="574" t="n"/>
      <c r="ER65" s="574" t="n"/>
      <c r="ES65" s="574" t="n"/>
      <c r="ET65" s="574" t="n"/>
      <c r="EU65" s="574" t="n"/>
      <c r="EV65" s="574" t="n"/>
      <c r="EW65" s="574" t="n"/>
      <c r="EX65" s="574" t="n"/>
      <c r="EY65" s="574" t="n"/>
      <c r="EZ65" s="574" t="n"/>
      <c r="FA65" s="574" t="n"/>
      <c r="FB65" s="574" t="n"/>
      <c r="FC65" s="574" t="n"/>
      <c r="FD65" s="574" t="n"/>
      <c r="FE65" s="574" t="n"/>
      <c r="FF65" s="574" t="n"/>
      <c r="FG65" s="574" t="n"/>
      <c r="FH65" s="574" t="n"/>
      <c r="FI65" s="574" t="n"/>
      <c r="FJ65" s="574" t="n"/>
      <c r="FK65" s="574" t="n"/>
      <c r="FL65" s="574" t="n"/>
      <c r="FM65" s="574" t="n"/>
      <c r="FN65" s="574" t="n"/>
      <c r="FO65" s="574" t="n"/>
      <c r="FP65" s="574" t="n"/>
      <c r="FQ65" s="574" t="n"/>
      <c r="FR65" s="574" t="n"/>
      <c r="FS65" s="574" t="n"/>
      <c r="FT65" s="574" t="n"/>
      <c r="FU65" s="574" t="n"/>
      <c r="FV65" s="574" t="n"/>
      <c r="FW65" s="574" t="n"/>
      <c r="FX65" s="574" t="n"/>
      <c r="FY65" s="574" t="n"/>
      <c r="FZ65" s="574" t="n"/>
      <c r="GA65" s="574" t="n"/>
      <c r="GB65" s="574" t="n"/>
      <c r="GC65" s="574" t="n"/>
      <c r="GD65" s="574" t="n"/>
      <c r="GE65" s="574" t="n"/>
      <c r="GF65" s="574" t="n"/>
    </row>
    <row r="66" customFormat="1" s="568">
      <c r="A66" s="227" t="n"/>
      <c r="B66" s="87" t="n"/>
      <c r="C66" s="137">
        <f>IFERROR(IF(AND($E66&gt;0,$D66&lt;&gt;"The Public"),$E66/SUMIFS($E$10:$E$205,$E$10:$E$205,"&gt;0",$D$10:$D$205,"&lt;&gt;The Public")*$D$5,""),"")</f>
        <v/>
      </c>
      <c r="D66" s="51" t="n"/>
      <c r="E66" s="137">
        <f>SUM(G66:HY66)</f>
        <v/>
      </c>
      <c r="F66" s="569">
        <f>IFERROR(IF($E66&gt;0.0000005,$E66/SUMIF($E$11:$E$140,"&gt;0.0000005"),""),"")</f>
        <v/>
      </c>
      <c r="G66" s="570" t="n"/>
      <c r="H66" s="570" t="n"/>
      <c r="I66" s="570" t="n"/>
      <c r="J66" s="570" t="n"/>
      <c r="K66" s="570" t="n"/>
      <c r="L66" s="570" t="n"/>
      <c r="M66" s="572" t="n"/>
      <c r="N66" s="572" t="n"/>
      <c r="O66" s="572" t="n"/>
      <c r="P66" s="572" t="n"/>
      <c r="Q66" s="572" t="n"/>
      <c r="R66" s="572" t="n"/>
      <c r="S66" s="572" t="n"/>
      <c r="T66" s="572" t="n"/>
      <c r="U66" s="572" t="n"/>
      <c r="V66" s="572" t="n"/>
      <c r="W66" s="572" t="n"/>
      <c r="X66" s="572" t="n"/>
      <c r="Y66" s="572" t="n"/>
      <c r="Z66" s="572" t="n"/>
      <c r="AA66" s="572" t="n"/>
      <c r="AB66" s="572" t="n"/>
      <c r="AC66" s="572" t="n"/>
      <c r="AD66" s="572" t="n"/>
      <c r="AE66" s="572" t="n"/>
      <c r="AF66" s="572" t="n"/>
      <c r="AG66" s="572" t="n"/>
      <c r="AH66" s="572" t="n"/>
      <c r="AI66" s="572" t="n"/>
      <c r="AJ66" s="572" t="n"/>
      <c r="AK66" s="572" t="n"/>
      <c r="AL66" s="572" t="n"/>
      <c r="AM66" s="572" t="n"/>
      <c r="AN66" s="572" t="n"/>
      <c r="AO66" s="572" t="n"/>
      <c r="AP66" s="572" t="n"/>
      <c r="AQ66" s="572" t="n"/>
      <c r="AR66" s="572" t="n"/>
      <c r="AS66" s="572" t="n"/>
      <c r="AT66" s="572" t="n"/>
      <c r="AU66" s="572" t="n"/>
      <c r="AV66" s="572" t="n"/>
      <c r="AW66" s="572" t="n"/>
      <c r="AX66" s="572" t="n"/>
      <c r="AY66" s="572" t="n"/>
      <c r="AZ66" s="572" t="n"/>
      <c r="BA66" s="572" t="n"/>
      <c r="BB66" s="572" t="n"/>
      <c r="BC66" s="572" t="n"/>
      <c r="BD66" s="572" t="n"/>
      <c r="BE66" s="573" t="n"/>
      <c r="BF66" s="572" t="n"/>
      <c r="BG66" s="572" t="n"/>
      <c r="BH66" s="572" t="n"/>
      <c r="BI66" s="574" t="n"/>
      <c r="BJ66" s="574" t="n"/>
      <c r="BK66" s="574" t="n"/>
      <c r="BL66" s="574" t="n"/>
      <c r="BM66" s="574" t="n"/>
      <c r="BN66" s="574" t="n"/>
      <c r="BO66" s="574" t="n"/>
      <c r="BP66" s="574" t="n"/>
      <c r="BQ66" s="574" t="n"/>
      <c r="BR66" s="574" t="n"/>
      <c r="BS66" s="574" t="n"/>
      <c r="BT66" s="574" t="n"/>
      <c r="BU66" s="574" t="n"/>
      <c r="BV66" s="574" t="n"/>
      <c r="BW66" s="574" t="n"/>
      <c r="BX66" s="574" t="n"/>
      <c r="BY66" s="574" t="n"/>
      <c r="BZ66" s="574" t="n"/>
      <c r="CA66" s="574" t="n"/>
      <c r="CB66" s="574" t="n"/>
      <c r="CC66" s="574" t="n"/>
      <c r="CD66" s="574" t="n"/>
      <c r="CE66" s="574" t="n"/>
      <c r="CF66" s="574" t="n"/>
      <c r="CG66" s="574" t="n"/>
      <c r="CH66" s="574" t="n"/>
      <c r="CI66" s="574" t="n"/>
      <c r="CJ66" s="574" t="n"/>
      <c r="CK66" s="574" t="n"/>
      <c r="CL66" s="574" t="n"/>
      <c r="CM66" s="574" t="n"/>
      <c r="CN66" s="574" t="n"/>
      <c r="CO66" s="574" t="n"/>
      <c r="CP66" s="574" t="n"/>
      <c r="CQ66" s="574" t="n"/>
      <c r="CR66" s="574" t="n"/>
      <c r="CS66" s="574" t="n"/>
      <c r="CT66" s="574" t="n"/>
      <c r="CU66" s="574" t="n"/>
      <c r="CV66" s="574" t="n"/>
      <c r="CW66" s="574" t="n"/>
      <c r="CX66" s="574" t="n"/>
      <c r="CY66" s="574" t="n"/>
      <c r="CZ66" s="574" t="n"/>
      <c r="DA66" s="574" t="n"/>
      <c r="DB66" s="574" t="n"/>
      <c r="DC66" s="574" t="n"/>
      <c r="DD66" s="574" t="n"/>
      <c r="DE66" s="574" t="n"/>
      <c r="DF66" s="574" t="n"/>
      <c r="DG66" s="574" t="n"/>
      <c r="DH66" s="574" t="n"/>
      <c r="DI66" s="574" t="n"/>
      <c r="DJ66" s="574" t="n"/>
      <c r="DK66" s="574" t="n"/>
      <c r="DL66" s="574" t="n"/>
      <c r="DM66" s="574" t="n"/>
      <c r="DN66" s="574" t="n"/>
      <c r="DO66" s="574" t="n"/>
      <c r="DP66" s="574" t="n"/>
      <c r="DQ66" s="574" t="n"/>
      <c r="DR66" s="574" t="n"/>
      <c r="DS66" s="574" t="n"/>
      <c r="DT66" s="574" t="n"/>
      <c r="DU66" s="574" t="n"/>
      <c r="DV66" s="574" t="n"/>
      <c r="DW66" s="574" t="n"/>
      <c r="DX66" s="574" t="n"/>
      <c r="DY66" s="574" t="n"/>
      <c r="DZ66" s="574" t="n"/>
      <c r="EA66" s="574" t="n"/>
      <c r="EB66" s="574" t="n"/>
      <c r="EC66" s="574" t="n"/>
      <c r="ED66" s="574" t="n"/>
      <c r="EE66" s="574" t="n"/>
      <c r="EF66" s="574" t="n"/>
      <c r="EG66" s="574" t="n"/>
      <c r="EH66" s="574" t="n"/>
      <c r="EI66" s="574" t="n"/>
      <c r="EJ66" s="574" t="n"/>
      <c r="EK66" s="574" t="n"/>
      <c r="EL66" s="574" t="n"/>
      <c r="EM66" s="574" t="n"/>
      <c r="EN66" s="574" t="n"/>
      <c r="EO66" s="574" t="n"/>
      <c r="EP66" s="574" t="n"/>
      <c r="EQ66" s="574" t="n"/>
      <c r="ER66" s="574" t="n"/>
      <c r="ES66" s="574" t="n"/>
      <c r="ET66" s="574" t="n"/>
      <c r="EU66" s="574" t="n"/>
      <c r="EV66" s="574" t="n"/>
      <c r="EW66" s="574" t="n"/>
      <c r="EX66" s="574" t="n"/>
      <c r="EY66" s="574" t="n"/>
      <c r="EZ66" s="574" t="n"/>
      <c r="FA66" s="574" t="n"/>
      <c r="FB66" s="574" t="n"/>
      <c r="FC66" s="574" t="n"/>
      <c r="FD66" s="574" t="n"/>
      <c r="FE66" s="574" t="n"/>
      <c r="FF66" s="574" t="n"/>
      <c r="FG66" s="574" t="n"/>
      <c r="FH66" s="574" t="n"/>
      <c r="FI66" s="574" t="n"/>
      <c r="FJ66" s="574" t="n"/>
      <c r="FK66" s="574" t="n"/>
      <c r="FL66" s="574" t="n"/>
      <c r="FM66" s="574" t="n"/>
      <c r="FN66" s="574" t="n"/>
      <c r="FO66" s="574" t="n"/>
      <c r="FP66" s="574" t="n"/>
      <c r="FQ66" s="574" t="n"/>
      <c r="FR66" s="574" t="n"/>
      <c r="FS66" s="574" t="n"/>
      <c r="FT66" s="574" t="n"/>
      <c r="FU66" s="574" t="n"/>
      <c r="FV66" s="574" t="n"/>
      <c r="FW66" s="574" t="n"/>
      <c r="FX66" s="574" t="n"/>
      <c r="FY66" s="574" t="n"/>
      <c r="FZ66" s="574" t="n"/>
      <c r="GA66" s="574" t="n"/>
      <c r="GB66" s="574" t="n"/>
      <c r="GC66" s="574" t="n"/>
      <c r="GD66" s="574" t="n"/>
      <c r="GE66" s="574" t="n"/>
      <c r="GF66" s="574" t="n"/>
    </row>
    <row r="67" customFormat="1" s="568">
      <c r="A67" s="227" t="n"/>
      <c r="B67" s="87" t="n"/>
      <c r="C67" s="84">
        <f>IFERROR(IF(AND($E67&gt;0,$D67&lt;&gt;"The Public"),$E67/SUMIFS($E$10:$E$205,$E$10:$E$205,"&gt;0",$D$10:$D$205,"&lt;&gt;The Public")*$D$5,""),"")</f>
        <v/>
      </c>
      <c r="D67" s="52" t="n"/>
      <c r="E67" s="84">
        <f>SUM(G67:HY67)</f>
        <v/>
      </c>
      <c r="F67" s="569">
        <f>IFERROR(IF($E67&gt;0.0000005,$E67/SUMIF($E$11:$E$140,"&gt;0.0000005"),""),"")</f>
        <v/>
      </c>
      <c r="G67" s="570" t="n"/>
      <c r="H67" s="570" t="n"/>
      <c r="I67" s="571" t="n"/>
      <c r="J67" s="570" t="n"/>
      <c r="K67" s="570" t="n"/>
      <c r="L67" s="570" t="n"/>
      <c r="M67" s="572" t="n"/>
      <c r="N67" s="572" t="n"/>
      <c r="O67" s="572" t="n"/>
      <c r="P67" s="572" t="n"/>
      <c r="Q67" s="572" t="n"/>
      <c r="R67" s="572" t="n"/>
      <c r="S67" s="572" t="n"/>
      <c r="T67" s="572" t="n"/>
      <c r="U67" s="572" t="n"/>
      <c r="V67" s="572" t="n"/>
      <c r="W67" s="572" t="n"/>
      <c r="X67" s="572" t="n"/>
      <c r="Y67" s="572" t="n"/>
      <c r="Z67" s="572" t="n"/>
      <c r="AA67" s="572" t="n"/>
      <c r="AB67" s="572" t="n"/>
      <c r="AC67" s="572" t="n"/>
      <c r="AD67" s="572" t="n"/>
      <c r="AE67" s="572" t="n"/>
      <c r="AF67" s="572" t="n"/>
      <c r="AG67" s="572" t="n"/>
      <c r="AH67" s="572" t="n"/>
      <c r="AI67" s="572" t="n"/>
      <c r="AJ67" s="572" t="n"/>
      <c r="AK67" s="572" t="n"/>
      <c r="AL67" s="572" t="n"/>
      <c r="AM67" s="572" t="n"/>
      <c r="AN67" s="572" t="n"/>
      <c r="AO67" s="572" t="n"/>
      <c r="AP67" s="572" t="n"/>
      <c r="AQ67" s="572" t="n"/>
      <c r="AR67" s="572" t="n"/>
      <c r="AS67" s="572" t="n"/>
      <c r="AT67" s="572" t="n"/>
      <c r="AU67" s="572" t="n"/>
      <c r="AV67" s="572" t="n"/>
      <c r="AW67" s="572" t="n"/>
      <c r="AX67" s="572" t="n"/>
      <c r="AY67" s="572" t="n"/>
      <c r="AZ67" s="572" t="n"/>
      <c r="BA67" s="572" t="n"/>
      <c r="BB67" s="572" t="n"/>
      <c r="BC67" s="572" t="n"/>
      <c r="BD67" s="572" t="n"/>
      <c r="BE67" s="573" t="n"/>
      <c r="BF67" s="572" t="n"/>
      <c r="BG67" s="572" t="n"/>
      <c r="BH67" s="572" t="n"/>
      <c r="BI67" s="574" t="n"/>
      <c r="BJ67" s="574" t="n"/>
      <c r="BK67" s="574" t="n"/>
      <c r="BL67" s="574" t="n"/>
      <c r="BM67" s="574" t="n"/>
      <c r="BN67" s="574" t="n"/>
      <c r="BO67" s="574" t="n"/>
      <c r="BP67" s="574" t="n"/>
      <c r="BQ67" s="574" t="n"/>
      <c r="BR67" s="574" t="n"/>
      <c r="BS67" s="574" t="n"/>
      <c r="BT67" s="574" t="n"/>
      <c r="BU67" s="574" t="n"/>
      <c r="BV67" s="574" t="n"/>
      <c r="BW67" s="574" t="n"/>
      <c r="BX67" s="574" t="n"/>
      <c r="BY67" s="574" t="n"/>
      <c r="BZ67" s="574" t="n"/>
      <c r="CA67" s="574" t="n"/>
      <c r="CB67" s="574" t="n"/>
      <c r="CC67" s="574" t="n"/>
      <c r="CD67" s="574" t="n"/>
      <c r="CE67" s="574" t="n"/>
      <c r="CF67" s="574" t="n"/>
      <c r="CG67" s="574" t="n"/>
      <c r="CH67" s="574" t="n"/>
      <c r="CI67" s="574" t="n"/>
      <c r="CJ67" s="574" t="n"/>
      <c r="CK67" s="574" t="n"/>
      <c r="CL67" s="574" t="n"/>
      <c r="CM67" s="574" t="n"/>
      <c r="CN67" s="574" t="n"/>
      <c r="CO67" s="574" t="n"/>
      <c r="CP67" s="574" t="n"/>
      <c r="CQ67" s="574" t="n"/>
      <c r="CR67" s="574" t="n"/>
      <c r="CS67" s="574" t="n"/>
      <c r="CT67" s="574" t="n"/>
      <c r="CU67" s="574" t="n"/>
      <c r="CV67" s="574" t="n"/>
      <c r="CW67" s="574" t="n"/>
      <c r="CX67" s="574" t="n"/>
      <c r="CY67" s="574" t="n"/>
      <c r="CZ67" s="574" t="n"/>
      <c r="DA67" s="574" t="n"/>
      <c r="DB67" s="574" t="n"/>
      <c r="DC67" s="574" t="n"/>
      <c r="DD67" s="574" t="n"/>
      <c r="DE67" s="574" t="n"/>
      <c r="DF67" s="574" t="n"/>
      <c r="DG67" s="574" t="n"/>
      <c r="DH67" s="574" t="n"/>
      <c r="DI67" s="574" t="n"/>
      <c r="DJ67" s="574" t="n"/>
      <c r="DK67" s="574" t="n"/>
      <c r="DL67" s="574" t="n"/>
      <c r="DM67" s="574" t="n"/>
      <c r="DN67" s="574" t="n"/>
      <c r="DO67" s="574" t="n"/>
      <c r="DP67" s="574" t="n"/>
      <c r="DQ67" s="574" t="n"/>
      <c r="DR67" s="574" t="n"/>
      <c r="DS67" s="574" t="n"/>
      <c r="DT67" s="574" t="n"/>
      <c r="DU67" s="574" t="n"/>
      <c r="DV67" s="574" t="n"/>
      <c r="DW67" s="574" t="n"/>
      <c r="DX67" s="574" t="n"/>
      <c r="DY67" s="574" t="n"/>
      <c r="DZ67" s="574" t="n"/>
      <c r="EA67" s="574" t="n"/>
      <c r="EB67" s="574" t="n"/>
      <c r="EC67" s="574" t="n"/>
      <c r="ED67" s="574" t="n"/>
      <c r="EE67" s="574" t="n"/>
      <c r="EF67" s="574" t="n"/>
      <c r="EG67" s="574" t="n"/>
      <c r="EH67" s="574" t="n"/>
      <c r="EI67" s="574" t="n"/>
      <c r="EJ67" s="574" t="n"/>
      <c r="EK67" s="574" t="n"/>
      <c r="EL67" s="574" t="n"/>
      <c r="EM67" s="574" t="n"/>
      <c r="EN67" s="574" t="n"/>
      <c r="EO67" s="574" t="n"/>
      <c r="EP67" s="574" t="n"/>
      <c r="EQ67" s="574" t="n"/>
      <c r="ER67" s="574" t="n"/>
      <c r="ES67" s="574" t="n"/>
      <c r="ET67" s="574" t="n"/>
      <c r="EU67" s="574" t="n"/>
      <c r="EV67" s="574" t="n"/>
      <c r="EW67" s="574" t="n"/>
      <c r="EX67" s="574" t="n"/>
      <c r="EY67" s="574" t="n"/>
      <c r="EZ67" s="574" t="n"/>
      <c r="FA67" s="574" t="n"/>
      <c r="FB67" s="574" t="n"/>
      <c r="FC67" s="574" t="n"/>
      <c r="FD67" s="574" t="n"/>
      <c r="FE67" s="574" t="n"/>
      <c r="FF67" s="574" t="n"/>
      <c r="FG67" s="574" t="n"/>
      <c r="FH67" s="574" t="n"/>
      <c r="FI67" s="574" t="n"/>
      <c r="FJ67" s="574" t="n"/>
      <c r="FK67" s="574" t="n"/>
      <c r="FL67" s="574" t="n"/>
      <c r="FM67" s="574" t="n"/>
      <c r="FN67" s="574" t="n"/>
      <c r="FO67" s="574" t="n"/>
      <c r="FP67" s="574" t="n"/>
      <c r="FQ67" s="574" t="n"/>
      <c r="FR67" s="574" t="n"/>
      <c r="FS67" s="574" t="n"/>
      <c r="FT67" s="574" t="n"/>
      <c r="FU67" s="574" t="n"/>
      <c r="FV67" s="574" t="n"/>
      <c r="FW67" s="574" t="n"/>
      <c r="FX67" s="574" t="n"/>
      <c r="FY67" s="574" t="n"/>
      <c r="FZ67" s="574" t="n"/>
      <c r="GA67" s="574" t="n"/>
      <c r="GB67" s="574" t="n"/>
      <c r="GC67" s="574" t="n"/>
      <c r="GD67" s="574" t="n"/>
      <c r="GE67" s="574" t="n"/>
      <c r="GF67" s="574" t="n"/>
    </row>
    <row r="68" customFormat="1" s="568">
      <c r="A68" s="86" t="n"/>
      <c r="B68" s="87" t="n"/>
      <c r="C68" s="137">
        <f>IFERROR(IF(AND($E68&gt;0,$D68&lt;&gt;"The Public"),$E68/SUMIFS($E$10:$E$205,$E$10:$E$205,"&gt;0",$D$10:$D$205,"&lt;&gt;The Public")*$D$5,""),"")</f>
        <v/>
      </c>
      <c r="D68" s="51" t="n"/>
      <c r="E68" s="137">
        <f>SUM(G68:HY68)</f>
        <v/>
      </c>
      <c r="F68" s="569">
        <f>IFERROR(IF($E68&gt;0.0000005,$E68/SUMIF($E$11:$E$140,"&gt;0.0000005"),""),"")</f>
        <v/>
      </c>
      <c r="G68" s="570" t="n"/>
      <c r="H68" s="570" t="n"/>
      <c r="I68" s="571" t="n"/>
      <c r="J68" s="570" t="n"/>
      <c r="K68" s="570" t="n"/>
      <c r="L68" s="570" t="n"/>
      <c r="M68" s="572" t="n"/>
      <c r="N68" s="572" t="n"/>
      <c r="O68" s="572" t="n"/>
      <c r="P68" s="572" t="n"/>
      <c r="Q68" s="572" t="n"/>
      <c r="R68" s="572" t="n"/>
      <c r="S68" s="572" t="n"/>
      <c r="T68" s="572" t="n"/>
      <c r="U68" s="572" t="n"/>
      <c r="V68" s="572" t="n"/>
      <c r="W68" s="572" t="n"/>
      <c r="X68" s="572" t="n"/>
      <c r="Y68" s="572" t="n"/>
      <c r="Z68" s="572" t="n"/>
      <c r="AA68" s="572" t="n"/>
      <c r="AB68" s="572" t="n"/>
      <c r="AC68" s="572" t="n"/>
      <c r="AD68" s="572" t="n"/>
      <c r="AE68" s="572" t="n"/>
      <c r="AF68" s="572" t="n"/>
      <c r="AG68" s="572" t="n"/>
      <c r="AH68" s="572" t="n"/>
      <c r="AI68" s="572" t="n"/>
      <c r="AJ68" s="572" t="n"/>
      <c r="AK68" s="572" t="n"/>
      <c r="AL68" s="572" t="n"/>
      <c r="AM68" s="572" t="n"/>
      <c r="AN68" s="572" t="n"/>
      <c r="AO68" s="572" t="n"/>
      <c r="AP68" s="572" t="n"/>
      <c r="AQ68" s="572" t="n"/>
      <c r="AR68" s="572" t="n"/>
      <c r="AS68" s="572" t="n"/>
      <c r="AT68" s="572" t="n"/>
      <c r="AU68" s="572" t="n"/>
      <c r="AV68" s="572" t="n"/>
      <c r="AW68" s="572" t="n"/>
      <c r="AX68" s="572" t="n"/>
      <c r="AY68" s="572" t="n"/>
      <c r="AZ68" s="572" t="n"/>
      <c r="BA68" s="572" t="n"/>
      <c r="BB68" s="572" t="n"/>
      <c r="BC68" s="572" t="n"/>
      <c r="BD68" s="572" t="n"/>
      <c r="BE68" s="572" t="n"/>
      <c r="BF68" s="573" t="n"/>
      <c r="BG68" s="572" t="n"/>
      <c r="BH68" s="572" t="n"/>
      <c r="BI68" s="574" t="n"/>
      <c r="BJ68" s="574" t="n"/>
      <c r="BK68" s="574" t="n"/>
      <c r="BL68" s="574" t="n"/>
      <c r="BM68" s="574" t="n"/>
      <c r="BN68" s="574" t="n"/>
      <c r="BO68" s="574" t="n"/>
      <c r="BP68" s="574" t="n"/>
      <c r="BQ68" s="574" t="n"/>
      <c r="BR68" s="574" t="n"/>
      <c r="BS68" s="574" t="n"/>
      <c r="BT68" s="574" t="n"/>
      <c r="BU68" s="574" t="n"/>
      <c r="BV68" s="574" t="n"/>
      <c r="BW68" s="574" t="n"/>
      <c r="BX68" s="574" t="n"/>
      <c r="BY68" s="574" t="n"/>
      <c r="BZ68" s="574" t="n"/>
      <c r="CA68" s="574" t="n"/>
      <c r="CB68" s="574" t="n"/>
      <c r="CC68" s="574" t="n"/>
      <c r="CD68" s="574" t="n"/>
      <c r="CE68" s="574" t="n"/>
      <c r="CF68" s="574" t="n"/>
      <c r="CG68" s="574" t="n"/>
      <c r="CH68" s="574" t="n"/>
      <c r="CI68" s="574" t="n"/>
      <c r="CJ68" s="574" t="n"/>
      <c r="CK68" s="574" t="n"/>
      <c r="CL68" s="574" t="n"/>
      <c r="CM68" s="574" t="n"/>
      <c r="CN68" s="574" t="n"/>
      <c r="CO68" s="574" t="n"/>
      <c r="CP68" s="574" t="n"/>
      <c r="CQ68" s="574" t="n"/>
      <c r="CR68" s="574" t="n"/>
      <c r="CS68" s="574" t="n"/>
      <c r="CT68" s="574" t="n"/>
      <c r="CU68" s="574" t="n"/>
      <c r="CV68" s="574" t="n"/>
      <c r="CW68" s="574" t="n"/>
      <c r="CX68" s="574" t="n"/>
      <c r="CY68" s="574" t="n"/>
      <c r="CZ68" s="574" t="n"/>
      <c r="DA68" s="574" t="n"/>
      <c r="DB68" s="574" t="n"/>
      <c r="DC68" s="574" t="n"/>
      <c r="DD68" s="574" t="n"/>
      <c r="DE68" s="574" t="n"/>
      <c r="DF68" s="574" t="n"/>
      <c r="DG68" s="574" t="n"/>
      <c r="DH68" s="574" t="n"/>
      <c r="DI68" s="574" t="n"/>
      <c r="DJ68" s="574" t="n"/>
      <c r="DK68" s="574" t="n"/>
      <c r="DL68" s="574" t="n"/>
      <c r="DM68" s="574" t="n"/>
      <c r="DN68" s="574" t="n"/>
      <c r="DO68" s="574" t="n"/>
      <c r="DP68" s="574" t="n"/>
      <c r="DQ68" s="574" t="n"/>
      <c r="DR68" s="574" t="n"/>
      <c r="DS68" s="574" t="n"/>
      <c r="DT68" s="574" t="n"/>
      <c r="DU68" s="574" t="n"/>
      <c r="DV68" s="574" t="n"/>
      <c r="DW68" s="574" t="n"/>
      <c r="DX68" s="574" t="n"/>
      <c r="DY68" s="574" t="n"/>
      <c r="DZ68" s="574" t="n"/>
      <c r="EA68" s="574" t="n"/>
      <c r="EB68" s="574" t="n"/>
      <c r="EC68" s="574" t="n"/>
      <c r="ED68" s="574" t="n"/>
      <c r="EE68" s="574" t="n"/>
      <c r="EF68" s="574" t="n"/>
      <c r="EG68" s="574" t="n"/>
      <c r="EH68" s="574" t="n"/>
      <c r="EI68" s="574" t="n"/>
      <c r="EJ68" s="574" t="n"/>
      <c r="EK68" s="574" t="n"/>
      <c r="EL68" s="574" t="n"/>
      <c r="EM68" s="574" t="n"/>
      <c r="EN68" s="574" t="n"/>
      <c r="EO68" s="574" t="n"/>
      <c r="EP68" s="574" t="n"/>
      <c r="EQ68" s="574" t="n"/>
      <c r="ER68" s="574" t="n"/>
      <c r="ES68" s="574" t="n"/>
      <c r="ET68" s="574" t="n"/>
      <c r="EU68" s="574" t="n"/>
      <c r="EV68" s="574" t="n"/>
      <c r="EW68" s="574" t="n"/>
      <c r="EX68" s="574" t="n"/>
      <c r="EY68" s="574" t="n"/>
      <c r="EZ68" s="574" t="n"/>
      <c r="FA68" s="574" t="n"/>
      <c r="FB68" s="574" t="n"/>
      <c r="FC68" s="574" t="n"/>
      <c r="FD68" s="574" t="n"/>
      <c r="FE68" s="574" t="n"/>
      <c r="FF68" s="574" t="n"/>
      <c r="FG68" s="574" t="n"/>
      <c r="FH68" s="574" t="n"/>
      <c r="FI68" s="574" t="n"/>
      <c r="FJ68" s="574" t="n"/>
      <c r="FK68" s="574" t="n"/>
      <c r="FL68" s="574" t="n"/>
      <c r="FM68" s="574" t="n"/>
      <c r="FN68" s="574" t="n"/>
      <c r="FO68" s="574" t="n"/>
      <c r="FP68" s="574" t="n"/>
      <c r="FQ68" s="574" t="n"/>
      <c r="FR68" s="574" t="n"/>
      <c r="FS68" s="574" t="n"/>
      <c r="FT68" s="574" t="n"/>
      <c r="FU68" s="574" t="n"/>
      <c r="FV68" s="574" t="n"/>
      <c r="FW68" s="574" t="n"/>
      <c r="FX68" s="574" t="n"/>
      <c r="FY68" s="574" t="n"/>
      <c r="FZ68" s="574" t="n"/>
      <c r="GA68" s="574" t="n"/>
      <c r="GB68" s="574" t="n"/>
      <c r="GC68" s="574" t="n"/>
      <c r="GD68" s="574" t="n"/>
      <c r="GE68" s="574" t="n"/>
      <c r="GF68" s="574" t="n"/>
    </row>
    <row r="69" customFormat="1" s="568">
      <c r="A69" s="86" t="n"/>
      <c r="B69" s="85" t="n"/>
      <c r="C69" s="84">
        <f>IFERROR(IF(AND($E69&gt;0,$D69&lt;&gt;"The Public"),$E69/SUMIFS($E$10:$E$205,$E$10:$E$205,"&gt;0",$D$10:$D$205,"&lt;&gt;The Public")*$D$5,""),"")</f>
        <v/>
      </c>
      <c r="D69" s="52" t="n"/>
      <c r="E69" s="84">
        <f>SUM(G69:HY69)</f>
        <v/>
      </c>
      <c r="F69" s="568">
        <f>IFERROR(IF($E69&gt;0.0000005,$E69/SUMIF($E$11:$E$140,"&gt;0.0000005"),""),"")</f>
        <v/>
      </c>
      <c r="H69" s="570" t="n"/>
      <c r="I69" s="570" t="n"/>
      <c r="J69" s="570" t="n"/>
      <c r="K69" s="570" t="n"/>
      <c r="L69" s="570" t="n"/>
      <c r="M69" s="572" t="n"/>
      <c r="N69" s="572" t="n"/>
      <c r="O69" s="572" t="n"/>
      <c r="P69" s="572" t="n"/>
      <c r="Q69" s="572" t="n"/>
      <c r="R69" s="572" t="n"/>
      <c r="S69" s="572" t="n"/>
      <c r="T69" s="572" t="n"/>
      <c r="U69" s="572" t="n"/>
      <c r="V69" s="572" t="n"/>
      <c r="W69" s="572" t="n"/>
      <c r="X69" s="572" t="n"/>
      <c r="Y69" s="572" t="n"/>
      <c r="Z69" s="572" t="n"/>
      <c r="AA69" s="572" t="n"/>
      <c r="AB69" s="572" t="n"/>
      <c r="AC69" s="572" t="n"/>
      <c r="AD69" s="572" t="n"/>
      <c r="AE69" s="572" t="n"/>
      <c r="AF69" s="572" t="n"/>
      <c r="AG69" s="572" t="n"/>
      <c r="AH69" s="572" t="n"/>
      <c r="AI69" s="572" t="n"/>
      <c r="AJ69" s="572" t="n"/>
      <c r="AK69" s="572" t="n"/>
      <c r="AL69" s="572" t="n"/>
      <c r="AM69" s="572" t="n"/>
      <c r="AN69" s="572" t="n"/>
      <c r="AO69" s="572" t="n"/>
      <c r="AP69" s="572" t="n"/>
      <c r="AQ69" s="572" t="n"/>
      <c r="AR69" s="572" t="n"/>
      <c r="AS69" s="572" t="n"/>
      <c r="AT69" s="572" t="n"/>
      <c r="AU69" s="572" t="n"/>
      <c r="AV69" s="572" t="n"/>
      <c r="AW69" s="572" t="n"/>
      <c r="AX69" s="572" t="n"/>
      <c r="AY69" s="572" t="n"/>
      <c r="AZ69" s="572" t="n"/>
      <c r="BA69" s="572" t="n"/>
      <c r="BB69" s="572" t="n"/>
      <c r="BC69" s="572" t="n"/>
      <c r="BD69" s="572" t="n"/>
      <c r="BE69" s="572" t="n"/>
      <c r="BF69" s="572" t="n"/>
      <c r="BG69" s="572" t="n"/>
      <c r="BH69" s="572" t="n"/>
      <c r="BI69" s="574" t="n"/>
      <c r="BJ69" s="574" t="n"/>
      <c r="BK69" s="574" t="n"/>
      <c r="BL69" s="574" t="n"/>
      <c r="BM69" s="574" t="n"/>
      <c r="BN69" s="574" t="n"/>
      <c r="BO69" s="574" t="n"/>
      <c r="BP69" s="574" t="n"/>
      <c r="BQ69" s="574" t="n"/>
      <c r="BR69" s="574" t="n"/>
      <c r="BS69" s="574" t="n"/>
      <c r="BT69" s="574" t="n"/>
      <c r="BU69" s="574" t="n"/>
      <c r="BV69" s="574" t="n"/>
      <c r="BW69" s="574" t="n"/>
      <c r="BX69" s="574" t="n"/>
      <c r="BY69" s="574" t="n"/>
      <c r="BZ69" s="574" t="n"/>
      <c r="CA69" s="574" t="n"/>
      <c r="CB69" s="574" t="n"/>
      <c r="CC69" s="574" t="n"/>
      <c r="CD69" s="574" t="n"/>
      <c r="CE69" s="574" t="n"/>
      <c r="CF69" s="574" t="n"/>
      <c r="CG69" s="574" t="n"/>
      <c r="CH69" s="574" t="n"/>
      <c r="CI69" s="574" t="n"/>
      <c r="CJ69" s="574" t="n"/>
      <c r="CK69" s="574" t="n"/>
      <c r="CL69" s="574" t="n"/>
      <c r="CM69" s="574" t="n"/>
      <c r="CN69" s="574" t="n"/>
      <c r="CO69" s="574" t="n"/>
      <c r="CP69" s="574" t="n"/>
      <c r="CQ69" s="574" t="n"/>
      <c r="CR69" s="574" t="n"/>
      <c r="CS69" s="574" t="n"/>
      <c r="CT69" s="574" t="n"/>
      <c r="CU69" s="574" t="n"/>
      <c r="CV69" s="574" t="n"/>
      <c r="CW69" s="574" t="n"/>
      <c r="CX69" s="574" t="n"/>
      <c r="CY69" s="574" t="n"/>
      <c r="CZ69" s="574" t="n"/>
      <c r="DA69" s="574" t="n"/>
      <c r="DB69" s="574" t="n"/>
      <c r="DC69" s="574" t="n"/>
      <c r="DD69" s="574" t="n"/>
      <c r="DE69" s="574" t="n"/>
      <c r="DF69" s="574" t="n"/>
      <c r="DG69" s="574" t="n"/>
      <c r="DH69" s="574" t="n"/>
      <c r="DI69" s="574" t="n"/>
      <c r="DJ69" s="574" t="n"/>
      <c r="DK69" s="574" t="n"/>
      <c r="DL69" s="574" t="n"/>
      <c r="DM69" s="574" t="n"/>
      <c r="DN69" s="574" t="n"/>
      <c r="DO69" s="574" t="n"/>
      <c r="DP69" s="574" t="n"/>
      <c r="DQ69" s="574" t="n"/>
      <c r="DR69" s="574" t="n"/>
      <c r="DS69" s="574" t="n"/>
      <c r="DT69" s="574" t="n"/>
      <c r="DU69" s="574" t="n"/>
      <c r="DV69" s="574" t="n"/>
      <c r="DW69" s="574" t="n"/>
      <c r="DX69" s="574" t="n"/>
      <c r="DY69" s="574" t="n"/>
      <c r="DZ69" s="574" t="n"/>
      <c r="EA69" s="574" t="n"/>
      <c r="EB69" s="574" t="n"/>
      <c r="EC69" s="574" t="n"/>
      <c r="ED69" s="574" t="n"/>
      <c r="EE69" s="574" t="n"/>
      <c r="EF69" s="574" t="n"/>
      <c r="EG69" s="574" t="n"/>
      <c r="EH69" s="574" t="n"/>
      <c r="EI69" s="574" t="n"/>
      <c r="EJ69" s="574" t="n"/>
      <c r="EK69" s="574" t="n"/>
      <c r="EL69" s="574" t="n"/>
      <c r="EM69" s="574" t="n"/>
      <c r="EN69" s="574" t="n"/>
      <c r="EO69" s="574" t="n"/>
      <c r="EP69" s="574" t="n"/>
      <c r="EQ69" s="574" t="n"/>
      <c r="ER69" s="574" t="n"/>
      <c r="ES69" s="574" t="n"/>
      <c r="ET69" s="574" t="n"/>
      <c r="EU69" s="574" t="n"/>
      <c r="EV69" s="574" t="n"/>
      <c r="EW69" s="574" t="n"/>
      <c r="EX69" s="574" t="n"/>
      <c r="EY69" s="574" t="n"/>
      <c r="EZ69" s="574" t="n"/>
      <c r="FA69" s="574" t="n"/>
      <c r="FB69" s="574" t="n"/>
      <c r="FC69" s="574" t="n"/>
      <c r="FD69" s="574" t="n"/>
      <c r="FE69" s="574" t="n"/>
      <c r="FF69" s="574" t="n"/>
      <c r="FG69" s="574" t="n"/>
      <c r="FH69" s="574" t="n"/>
      <c r="FI69" s="574" t="n"/>
      <c r="FJ69" s="574" t="n"/>
      <c r="FK69" s="574" t="n"/>
      <c r="FL69" s="574" t="n"/>
      <c r="FM69" s="574" t="n"/>
      <c r="FN69" s="574" t="n"/>
      <c r="FO69" s="574" t="n"/>
      <c r="FP69" s="574" t="n"/>
      <c r="FQ69" s="574" t="n"/>
      <c r="FR69" s="574" t="n"/>
      <c r="FS69" s="574" t="n"/>
      <c r="FT69" s="574" t="n"/>
      <c r="FU69" s="574" t="n"/>
      <c r="FV69" s="574" t="n"/>
      <c r="FW69" s="574" t="n"/>
      <c r="FX69" s="574" t="n"/>
      <c r="FY69" s="574" t="n"/>
      <c r="FZ69" s="574" t="n"/>
      <c r="GA69" s="574" t="n"/>
      <c r="GB69" s="574" t="n"/>
      <c r="GC69" s="574" t="n"/>
      <c r="GD69" s="574" t="n"/>
      <c r="GE69" s="574" t="n"/>
      <c r="GF69" s="574" t="n"/>
    </row>
    <row r="70" customFormat="1" s="568">
      <c r="A70" s="86" t="n"/>
      <c r="B70" s="85" t="n"/>
      <c r="C70" s="84">
        <f>IFERROR(IF(AND($E70&gt;0,$D70&lt;&gt;"The Public"),$E70/SUMIFS($E$10:$E$205,$E$10:$E$205,"&gt;0",$D$10:$D$205,"&lt;&gt;The Public")*$D$5,""),"")</f>
        <v/>
      </c>
      <c r="D70" s="52" t="n"/>
      <c r="E70" s="84">
        <f>SUM(G70:HY70)</f>
        <v/>
      </c>
      <c r="F70" s="568">
        <f>IFERROR(IF($E70&gt;0.0000005,$E70/SUMIF($E$11:$E$140,"&gt;0.0000005"),""),"")</f>
        <v/>
      </c>
      <c r="H70" s="570" t="n"/>
      <c r="I70" s="570" t="n"/>
      <c r="J70" s="570" t="n"/>
      <c r="K70" s="570" t="n"/>
      <c r="L70" s="570" t="n"/>
      <c r="M70" s="572" t="n"/>
      <c r="N70" s="572" t="n"/>
      <c r="O70" s="572" t="n"/>
      <c r="P70" s="572" t="n"/>
      <c r="Q70" s="572" t="n"/>
      <c r="R70" s="572" t="n"/>
      <c r="S70" s="572" t="n"/>
      <c r="T70" s="572" t="n"/>
      <c r="U70" s="572" t="n"/>
      <c r="V70" s="572" t="n"/>
      <c r="W70" s="572" t="n"/>
      <c r="X70" s="572" t="n"/>
      <c r="Y70" s="572" t="n"/>
      <c r="Z70" s="572" t="n"/>
      <c r="AA70" s="572" t="n"/>
      <c r="AB70" s="572" t="n"/>
      <c r="AC70" s="572" t="n"/>
      <c r="AD70" s="572" t="n"/>
      <c r="AE70" s="572" t="n"/>
      <c r="AF70" s="572" t="n"/>
      <c r="AG70" s="572" t="n"/>
      <c r="AH70" s="572" t="n"/>
      <c r="AI70" s="572" t="n"/>
      <c r="AJ70" s="572" t="n"/>
      <c r="AK70" s="572" t="n"/>
      <c r="AL70" s="572" t="n"/>
      <c r="AM70" s="572" t="n"/>
      <c r="AN70" s="572" t="n"/>
      <c r="AO70" s="572" t="n"/>
      <c r="AP70" s="572" t="n"/>
      <c r="AQ70" s="572" t="n"/>
      <c r="AR70" s="572" t="n"/>
      <c r="AS70" s="572" t="n"/>
      <c r="AT70" s="572" t="n"/>
      <c r="AU70" s="572" t="n"/>
      <c r="AV70" s="572" t="n"/>
      <c r="AW70" s="572" t="n"/>
      <c r="AX70" s="572" t="n"/>
      <c r="AY70" s="572" t="n"/>
      <c r="AZ70" s="572" t="n"/>
      <c r="BA70" s="572" t="n"/>
      <c r="BB70" s="572" t="n"/>
      <c r="BC70" s="572" t="n"/>
      <c r="BD70" s="572" t="n"/>
      <c r="BE70" s="572" t="n"/>
      <c r="BF70" s="572" t="n"/>
      <c r="BG70" s="572" t="n"/>
      <c r="BH70" s="572" t="n"/>
      <c r="BI70" s="574" t="n"/>
      <c r="BJ70" s="574" t="n"/>
      <c r="BK70" s="574" t="n"/>
      <c r="BL70" s="574" t="n"/>
      <c r="BM70" s="574" t="n"/>
      <c r="BN70" s="574" t="n"/>
      <c r="BO70" s="574" t="n"/>
      <c r="BP70" s="574" t="n"/>
      <c r="BQ70" s="574" t="n"/>
      <c r="BR70" s="574" t="n"/>
      <c r="BS70" s="574" t="n"/>
      <c r="BT70" s="574" t="n"/>
      <c r="BU70" s="574" t="n"/>
      <c r="BV70" s="574" t="n"/>
      <c r="BW70" s="574" t="n"/>
      <c r="BX70" s="574" t="n"/>
      <c r="BY70" s="574" t="n"/>
      <c r="BZ70" s="574" t="n"/>
      <c r="CA70" s="574" t="n"/>
      <c r="CB70" s="574" t="n"/>
      <c r="CC70" s="574" t="n"/>
      <c r="CD70" s="574" t="n"/>
      <c r="CE70" s="574" t="n"/>
      <c r="CF70" s="574" t="n"/>
      <c r="CG70" s="574" t="n"/>
      <c r="CH70" s="574" t="n"/>
      <c r="CI70" s="574" t="n"/>
      <c r="CJ70" s="574" t="n"/>
      <c r="CK70" s="574" t="n"/>
      <c r="CL70" s="574" t="n"/>
      <c r="CM70" s="574" t="n"/>
      <c r="CN70" s="574" t="n"/>
      <c r="CO70" s="574" t="n"/>
      <c r="CP70" s="574" t="n"/>
      <c r="CQ70" s="574" t="n"/>
      <c r="CR70" s="574" t="n"/>
      <c r="CS70" s="574" t="n"/>
      <c r="CT70" s="574" t="n"/>
      <c r="CU70" s="574" t="n"/>
      <c r="CV70" s="574" t="n"/>
      <c r="CW70" s="574" t="n"/>
      <c r="CX70" s="574" t="n"/>
      <c r="CY70" s="574" t="n"/>
      <c r="CZ70" s="574" t="n"/>
      <c r="DA70" s="574" t="n"/>
      <c r="DB70" s="574" t="n"/>
      <c r="DC70" s="574" t="n"/>
      <c r="DD70" s="574" t="n"/>
      <c r="DE70" s="574" t="n"/>
      <c r="DF70" s="574" t="n"/>
      <c r="DG70" s="574" t="n"/>
      <c r="DH70" s="574" t="n"/>
      <c r="DI70" s="574" t="n"/>
      <c r="DJ70" s="574" t="n"/>
      <c r="DK70" s="574" t="n"/>
      <c r="DL70" s="574" t="n"/>
      <c r="DM70" s="574" t="n"/>
      <c r="DN70" s="574" t="n"/>
      <c r="DO70" s="574" t="n"/>
      <c r="DP70" s="574" t="n"/>
      <c r="DQ70" s="574" t="n"/>
      <c r="DR70" s="574" t="n"/>
      <c r="DS70" s="574" t="n"/>
      <c r="DT70" s="574" t="n"/>
      <c r="DU70" s="574" t="n"/>
      <c r="DV70" s="574" t="n"/>
      <c r="DW70" s="574" t="n"/>
      <c r="DX70" s="574" t="n"/>
      <c r="DY70" s="574" t="n"/>
      <c r="DZ70" s="574" t="n"/>
      <c r="EA70" s="574" t="n"/>
      <c r="EB70" s="574" t="n"/>
      <c r="EC70" s="574" t="n"/>
      <c r="ED70" s="574" t="n"/>
      <c r="EE70" s="574" t="n"/>
      <c r="EF70" s="574" t="n"/>
      <c r="EG70" s="574" t="n"/>
      <c r="EH70" s="574" t="n"/>
      <c r="EI70" s="574" t="n"/>
      <c r="EJ70" s="574" t="n"/>
      <c r="EK70" s="574" t="n"/>
      <c r="EL70" s="574" t="n"/>
      <c r="EM70" s="574" t="n"/>
      <c r="EN70" s="574" t="n"/>
      <c r="EO70" s="574" t="n"/>
      <c r="EP70" s="574" t="n"/>
      <c r="EQ70" s="574" t="n"/>
      <c r="ER70" s="574" t="n"/>
      <c r="ES70" s="574" t="n"/>
      <c r="ET70" s="574" t="n"/>
      <c r="EU70" s="574" t="n"/>
      <c r="EV70" s="574" t="n"/>
      <c r="EW70" s="574" t="n"/>
      <c r="EX70" s="574" t="n"/>
      <c r="EY70" s="574" t="n"/>
      <c r="EZ70" s="574" t="n"/>
      <c r="FA70" s="574" t="n"/>
      <c r="FB70" s="574" t="n"/>
      <c r="FC70" s="574" t="n"/>
      <c r="FD70" s="574" t="n"/>
      <c r="FE70" s="574" t="n"/>
      <c r="FF70" s="574" t="n"/>
      <c r="FG70" s="574" t="n"/>
      <c r="FH70" s="574" t="n"/>
      <c r="FI70" s="574" t="n"/>
      <c r="FJ70" s="574" t="n"/>
      <c r="FK70" s="574" t="n"/>
      <c r="FL70" s="574" t="n"/>
      <c r="FM70" s="574" t="n"/>
      <c r="FN70" s="574" t="n"/>
      <c r="FO70" s="574" t="n"/>
      <c r="FP70" s="574" t="n"/>
      <c r="FQ70" s="574" t="n"/>
      <c r="FR70" s="574" t="n"/>
      <c r="FS70" s="574" t="n"/>
      <c r="FT70" s="574" t="n"/>
      <c r="FU70" s="574" t="n"/>
      <c r="FV70" s="574" t="n"/>
      <c r="FW70" s="574" t="n"/>
      <c r="FX70" s="574" t="n"/>
      <c r="FY70" s="574" t="n"/>
      <c r="FZ70" s="574" t="n"/>
      <c r="GA70" s="574" t="n"/>
      <c r="GB70" s="574" t="n"/>
      <c r="GC70" s="574" t="n"/>
      <c r="GD70" s="574" t="n"/>
      <c r="GE70" s="574" t="n"/>
      <c r="GF70" s="574" t="n"/>
    </row>
    <row r="71" customFormat="1" s="568">
      <c r="A71" s="86" t="n"/>
      <c r="B71" s="85" t="n"/>
      <c r="C71" s="84">
        <f>IFERROR(IF(AND($E71&gt;0,$D71&lt;&gt;"The Public"),$E71/SUMIFS($E$10:$E$205,$E$10:$E$205,"&gt;0",$D$10:$D$205,"&lt;&gt;The Public")*$D$5,""),"")</f>
        <v/>
      </c>
      <c r="D71" s="52" t="n"/>
      <c r="E71" s="84">
        <f>SUM(G71:HY71)</f>
        <v/>
      </c>
      <c r="F71" s="568">
        <f>IFERROR(IF($E71&gt;0.0000005,$E71/SUMIF($E$11:$E$140,"&gt;0.0000005"),""),"")</f>
        <v/>
      </c>
      <c r="H71" s="570" t="n"/>
      <c r="I71" s="570" t="n"/>
      <c r="J71" s="570" t="n"/>
      <c r="K71" s="570" t="n"/>
      <c r="L71" s="570" t="n"/>
      <c r="M71" s="572" t="n"/>
      <c r="N71" s="572" t="n"/>
      <c r="O71" s="572" t="n"/>
      <c r="P71" s="572" t="n"/>
      <c r="Q71" s="572" t="n"/>
      <c r="R71" s="572" t="n"/>
      <c r="S71" s="572" t="n"/>
      <c r="T71" s="572" t="n"/>
      <c r="U71" s="572" t="n"/>
      <c r="V71" s="572" t="n"/>
      <c r="W71" s="572" t="n"/>
      <c r="X71" s="572" t="n"/>
      <c r="Y71" s="572" t="n"/>
      <c r="Z71" s="572" t="n"/>
      <c r="AA71" s="572" t="n"/>
      <c r="AB71" s="572" t="n"/>
      <c r="AC71" s="572" t="n"/>
      <c r="AD71" s="572" t="n"/>
      <c r="AE71" s="572" t="n"/>
      <c r="AF71" s="572" t="n"/>
      <c r="AG71" s="572" t="n"/>
      <c r="AH71" s="572" t="n"/>
      <c r="AI71" s="572" t="n"/>
      <c r="AJ71" s="572" t="n"/>
      <c r="AK71" s="572" t="n"/>
      <c r="AL71" s="572" t="n"/>
      <c r="AM71" s="572" t="n"/>
      <c r="AN71" s="572" t="n"/>
      <c r="AO71" s="572" t="n"/>
      <c r="AP71" s="572" t="n"/>
      <c r="AQ71" s="572" t="n"/>
      <c r="AR71" s="572" t="n"/>
      <c r="AS71" s="572" t="n"/>
      <c r="AT71" s="572" t="n"/>
      <c r="AU71" s="572" t="n"/>
      <c r="AV71" s="572" t="n"/>
      <c r="AW71" s="572" t="n"/>
      <c r="AX71" s="572" t="n"/>
      <c r="AY71" s="572" t="n"/>
      <c r="AZ71" s="572" t="n"/>
      <c r="BA71" s="572" t="n"/>
      <c r="BB71" s="572" t="n"/>
      <c r="BC71" s="572" t="n"/>
      <c r="BD71" s="572" t="n"/>
      <c r="BE71" s="572" t="n"/>
      <c r="BF71" s="572" t="n"/>
      <c r="BG71" s="572" t="n"/>
      <c r="BH71" s="572" t="n"/>
      <c r="BI71" s="574" t="n"/>
      <c r="BJ71" s="574" t="n"/>
      <c r="BK71" s="574" t="n"/>
      <c r="BL71" s="574" t="n"/>
      <c r="BM71" s="574" t="n"/>
      <c r="BN71" s="574" t="n"/>
      <c r="BO71" s="574" t="n"/>
      <c r="BP71" s="574" t="n"/>
      <c r="BQ71" s="574" t="n"/>
      <c r="BR71" s="574" t="n"/>
      <c r="BS71" s="574" t="n"/>
      <c r="BT71" s="574" t="n"/>
      <c r="BU71" s="574" t="n"/>
      <c r="BV71" s="574" t="n"/>
      <c r="BW71" s="574" t="n"/>
      <c r="BX71" s="574" t="n"/>
      <c r="BY71" s="574" t="n"/>
      <c r="BZ71" s="574" t="n"/>
      <c r="CA71" s="574" t="n"/>
      <c r="CB71" s="574" t="n"/>
      <c r="CC71" s="574" t="n"/>
      <c r="CD71" s="574" t="n"/>
      <c r="CE71" s="574" t="n"/>
      <c r="CF71" s="574" t="n"/>
      <c r="CG71" s="574" t="n"/>
      <c r="CH71" s="574" t="n"/>
      <c r="CI71" s="574" t="n"/>
      <c r="CJ71" s="574" t="n"/>
      <c r="CK71" s="574" t="n"/>
      <c r="CL71" s="574" t="n"/>
      <c r="CM71" s="574" t="n"/>
      <c r="CN71" s="574" t="n"/>
      <c r="CO71" s="574" t="n"/>
      <c r="CP71" s="574" t="n"/>
      <c r="CQ71" s="574" t="n"/>
      <c r="CR71" s="574" t="n"/>
      <c r="CS71" s="574" t="n"/>
      <c r="CT71" s="574" t="n"/>
      <c r="CU71" s="574" t="n"/>
      <c r="CV71" s="574" t="n"/>
      <c r="CW71" s="574" t="n"/>
      <c r="CX71" s="574" t="n"/>
      <c r="CY71" s="574" t="n"/>
      <c r="CZ71" s="574" t="n"/>
      <c r="DA71" s="574" t="n"/>
      <c r="DB71" s="574" t="n"/>
      <c r="DC71" s="574" t="n"/>
      <c r="DD71" s="574" t="n"/>
      <c r="DE71" s="574" t="n"/>
      <c r="DF71" s="574" t="n"/>
      <c r="DG71" s="574" t="n"/>
      <c r="DH71" s="574" t="n"/>
      <c r="DI71" s="574" t="n"/>
      <c r="DJ71" s="574" t="n"/>
      <c r="DK71" s="574" t="n"/>
      <c r="DL71" s="574" t="n"/>
      <c r="DM71" s="574" t="n"/>
      <c r="DN71" s="574" t="n"/>
      <c r="DO71" s="574" t="n"/>
      <c r="DP71" s="574" t="n"/>
      <c r="DQ71" s="574" t="n"/>
      <c r="DR71" s="574" t="n"/>
      <c r="DS71" s="574" t="n"/>
      <c r="DT71" s="574" t="n"/>
      <c r="DU71" s="574" t="n"/>
      <c r="DV71" s="574" t="n"/>
      <c r="DW71" s="574" t="n"/>
      <c r="DX71" s="574" t="n"/>
      <c r="DY71" s="574" t="n"/>
      <c r="DZ71" s="574" t="n"/>
      <c r="EA71" s="574" t="n"/>
      <c r="EB71" s="574" t="n"/>
      <c r="EC71" s="574" t="n"/>
      <c r="ED71" s="574" t="n"/>
      <c r="EE71" s="574" t="n"/>
      <c r="EF71" s="574" t="n"/>
      <c r="EG71" s="574" t="n"/>
      <c r="EH71" s="574" t="n"/>
      <c r="EI71" s="574" t="n"/>
      <c r="EJ71" s="574" t="n"/>
      <c r="EK71" s="574" t="n"/>
      <c r="EL71" s="574" t="n"/>
      <c r="EM71" s="574" t="n"/>
      <c r="EN71" s="574" t="n"/>
      <c r="EO71" s="574" t="n"/>
      <c r="EP71" s="574" t="n"/>
      <c r="EQ71" s="574" t="n"/>
      <c r="ER71" s="574" t="n"/>
      <c r="ES71" s="574" t="n"/>
      <c r="ET71" s="574" t="n"/>
      <c r="EU71" s="574" t="n"/>
      <c r="EV71" s="574" t="n"/>
      <c r="EW71" s="574" t="n"/>
      <c r="EX71" s="574" t="n"/>
      <c r="EY71" s="574" t="n"/>
      <c r="EZ71" s="574" t="n"/>
      <c r="FA71" s="574" t="n"/>
      <c r="FB71" s="574" t="n"/>
      <c r="FC71" s="574" t="n"/>
      <c r="FD71" s="574" t="n"/>
      <c r="FE71" s="574" t="n"/>
      <c r="FF71" s="574" t="n"/>
      <c r="FG71" s="574" t="n"/>
      <c r="FH71" s="574" t="n"/>
      <c r="FI71" s="574" t="n"/>
      <c r="FJ71" s="574" t="n"/>
      <c r="FK71" s="574" t="n"/>
      <c r="FL71" s="574" t="n"/>
      <c r="FM71" s="574" t="n"/>
      <c r="FN71" s="574" t="n"/>
      <c r="FO71" s="574" t="n"/>
      <c r="FP71" s="574" t="n"/>
      <c r="FQ71" s="574" t="n"/>
      <c r="FR71" s="574" t="n"/>
      <c r="FS71" s="574" t="n"/>
      <c r="FT71" s="574" t="n"/>
      <c r="FU71" s="574" t="n"/>
      <c r="FV71" s="574" t="n"/>
      <c r="FW71" s="574" t="n"/>
      <c r="FX71" s="574" t="n"/>
      <c r="FY71" s="574" t="n"/>
      <c r="FZ71" s="574" t="n"/>
      <c r="GA71" s="574" t="n"/>
      <c r="GB71" s="574" t="n"/>
      <c r="GC71" s="574" t="n"/>
      <c r="GD71" s="574" t="n"/>
      <c r="GE71" s="574" t="n"/>
      <c r="GF71" s="574" t="n"/>
    </row>
    <row r="72" customFormat="1" s="568">
      <c r="A72" s="86" t="n"/>
      <c r="B72" s="85" t="n"/>
      <c r="C72" s="84">
        <f>IFERROR(IF(AND($E72&gt;0,$D72&lt;&gt;"The Public"),$E72/SUMIFS($E$10:$E$205,$E$10:$E$205,"&gt;0",$D$10:$D$205,"&lt;&gt;The Public")*$D$5,""),"")</f>
        <v/>
      </c>
      <c r="D72" s="578" t="n"/>
      <c r="E72" s="84">
        <f>SUM(G72:HY72)</f>
        <v/>
      </c>
      <c r="F72" s="568">
        <f>IFERROR(IF($E72&gt;0.0000005,$E72/SUMIF($E$11:$E$140,"&gt;0.0000005"),""),"")</f>
        <v/>
      </c>
      <c r="H72" s="570" t="n"/>
      <c r="I72" s="570" t="n"/>
      <c r="J72" s="570" t="n"/>
      <c r="K72" s="570" t="n"/>
      <c r="L72" s="570" t="n"/>
      <c r="M72" s="572" t="n"/>
      <c r="N72" s="572" t="n"/>
      <c r="O72" s="572" t="n"/>
      <c r="P72" s="572" t="n"/>
      <c r="Q72" s="572" t="n"/>
      <c r="R72" s="572" t="n"/>
      <c r="S72" s="572" t="n"/>
      <c r="T72" s="572" t="n"/>
      <c r="U72" s="572" t="n"/>
      <c r="V72" s="572" t="n"/>
      <c r="W72" s="572" t="n"/>
      <c r="X72" s="572" t="n"/>
      <c r="Y72" s="572" t="n"/>
      <c r="Z72" s="572" t="n"/>
      <c r="AA72" s="572" t="n"/>
      <c r="AB72" s="572" t="n"/>
      <c r="AC72" s="572" t="n"/>
      <c r="AD72" s="572" t="n"/>
      <c r="AE72" s="572" t="n"/>
      <c r="AF72" s="572" t="n"/>
      <c r="AG72" s="572" t="n"/>
      <c r="AH72" s="572" t="n"/>
      <c r="AI72" s="572" t="n"/>
      <c r="AJ72" s="572" t="n"/>
      <c r="AK72" s="572" t="n"/>
      <c r="AL72" s="572" t="n"/>
      <c r="AM72" s="572" t="n"/>
      <c r="AN72" s="572" t="n"/>
      <c r="AO72" s="572" t="n"/>
      <c r="AP72" s="572" t="n"/>
      <c r="AQ72" s="572" t="n"/>
      <c r="AR72" s="572" t="n"/>
      <c r="AS72" s="572" t="n"/>
      <c r="AT72" s="572" t="n"/>
      <c r="AU72" s="572" t="n"/>
      <c r="AV72" s="572" t="n"/>
      <c r="AW72" s="572" t="n"/>
      <c r="AX72" s="572" t="n"/>
      <c r="AY72" s="572" t="n"/>
      <c r="AZ72" s="572" t="n"/>
      <c r="BA72" s="572" t="n"/>
      <c r="BB72" s="572" t="n"/>
      <c r="BC72" s="572" t="n"/>
      <c r="BD72" s="572" t="n"/>
      <c r="BE72" s="572" t="n"/>
      <c r="BF72" s="572" t="n"/>
      <c r="BG72" s="572" t="n"/>
      <c r="BH72" s="572" t="n"/>
      <c r="BI72" s="574" t="n"/>
      <c r="BJ72" s="574" t="n"/>
      <c r="BK72" s="574" t="n"/>
      <c r="BL72" s="574" t="n"/>
      <c r="BM72" s="574" t="n"/>
      <c r="BN72" s="574" t="n"/>
      <c r="BO72" s="574" t="n"/>
      <c r="BP72" s="574" t="n"/>
      <c r="BQ72" s="574" t="n"/>
      <c r="BR72" s="574" t="n"/>
      <c r="BS72" s="574" t="n"/>
      <c r="BT72" s="574" t="n"/>
      <c r="BU72" s="574" t="n"/>
      <c r="BV72" s="574" t="n"/>
      <c r="BW72" s="574" t="n"/>
      <c r="BX72" s="574" t="n"/>
      <c r="BY72" s="574" t="n"/>
      <c r="BZ72" s="574" t="n"/>
      <c r="CA72" s="574" t="n"/>
      <c r="CB72" s="574" t="n"/>
      <c r="CC72" s="574" t="n"/>
      <c r="CD72" s="574" t="n"/>
      <c r="CE72" s="574" t="n"/>
      <c r="CF72" s="574" t="n"/>
      <c r="CG72" s="574" t="n"/>
      <c r="CH72" s="574" t="n"/>
      <c r="CI72" s="574" t="n"/>
      <c r="CJ72" s="574" t="n"/>
      <c r="CK72" s="574" t="n"/>
      <c r="CL72" s="574" t="n"/>
      <c r="CM72" s="574" t="n"/>
      <c r="CN72" s="574" t="n"/>
      <c r="CO72" s="574" t="n"/>
      <c r="CP72" s="574" t="n"/>
      <c r="CQ72" s="574" t="n"/>
      <c r="CR72" s="574" t="n"/>
      <c r="CS72" s="574" t="n"/>
      <c r="CT72" s="574" t="n"/>
      <c r="CU72" s="574" t="n"/>
      <c r="CV72" s="574" t="n"/>
      <c r="CW72" s="574" t="n"/>
      <c r="CX72" s="574" t="n"/>
      <c r="CY72" s="574" t="n"/>
      <c r="CZ72" s="574" t="n"/>
      <c r="DA72" s="574" t="n"/>
      <c r="DB72" s="574" t="n"/>
      <c r="DC72" s="574" t="n"/>
      <c r="DD72" s="574" t="n"/>
      <c r="DE72" s="574" t="n"/>
      <c r="DF72" s="574" t="n"/>
      <c r="DG72" s="574" t="n"/>
      <c r="DH72" s="574" t="n"/>
      <c r="DI72" s="574" t="n"/>
      <c r="DJ72" s="574" t="n"/>
      <c r="DK72" s="574" t="n"/>
      <c r="DL72" s="574" t="n"/>
      <c r="DM72" s="574" t="n"/>
      <c r="DN72" s="574" t="n"/>
      <c r="DO72" s="574" t="n"/>
      <c r="DP72" s="574" t="n"/>
      <c r="DQ72" s="574" t="n"/>
      <c r="DR72" s="574" t="n"/>
      <c r="DS72" s="574" t="n"/>
      <c r="DT72" s="574" t="n"/>
      <c r="DU72" s="574" t="n"/>
      <c r="DV72" s="574" t="n"/>
      <c r="DW72" s="574" t="n"/>
      <c r="DX72" s="574" t="n"/>
      <c r="DY72" s="574" t="n"/>
      <c r="DZ72" s="574" t="n"/>
      <c r="EA72" s="574" t="n"/>
      <c r="EB72" s="574" t="n"/>
      <c r="EC72" s="574" t="n"/>
      <c r="ED72" s="574" t="n"/>
      <c r="EE72" s="574" t="n"/>
      <c r="EF72" s="574" t="n"/>
      <c r="EG72" s="574" t="n"/>
      <c r="EH72" s="574" t="n"/>
      <c r="EI72" s="574" t="n"/>
      <c r="EJ72" s="574" t="n"/>
      <c r="EK72" s="574" t="n"/>
      <c r="EL72" s="574" t="n"/>
      <c r="EM72" s="574" t="n"/>
      <c r="EN72" s="574" t="n"/>
      <c r="EO72" s="574" t="n"/>
      <c r="EP72" s="574" t="n"/>
      <c r="EQ72" s="574" t="n"/>
      <c r="ER72" s="574" t="n"/>
      <c r="ES72" s="574" t="n"/>
      <c r="ET72" s="574" t="n"/>
      <c r="EU72" s="574" t="n"/>
      <c r="EV72" s="574" t="n"/>
      <c r="EW72" s="574" t="n"/>
      <c r="EX72" s="574" t="n"/>
      <c r="EY72" s="574" t="n"/>
      <c r="EZ72" s="574" t="n"/>
      <c r="FA72" s="574" t="n"/>
      <c r="FB72" s="574" t="n"/>
      <c r="FC72" s="574" t="n"/>
      <c r="FD72" s="574" t="n"/>
      <c r="FE72" s="574" t="n"/>
      <c r="FF72" s="574" t="n"/>
      <c r="FG72" s="574" t="n"/>
      <c r="FH72" s="574" t="n"/>
      <c r="FI72" s="574" t="n"/>
      <c r="FJ72" s="574" t="n"/>
      <c r="FK72" s="574" t="n"/>
      <c r="FL72" s="574" t="n"/>
      <c r="FM72" s="574" t="n"/>
      <c r="FN72" s="574" t="n"/>
      <c r="FO72" s="574" t="n"/>
      <c r="FP72" s="574" t="n"/>
      <c r="FQ72" s="574" t="n"/>
      <c r="FR72" s="574" t="n"/>
      <c r="FS72" s="574" t="n"/>
      <c r="FT72" s="574" t="n"/>
      <c r="FU72" s="574" t="n"/>
      <c r="FV72" s="574" t="n"/>
      <c r="FW72" s="574" t="n"/>
      <c r="FX72" s="574" t="n"/>
      <c r="FY72" s="574" t="n"/>
      <c r="FZ72" s="574" t="n"/>
      <c r="GA72" s="574" t="n"/>
      <c r="GB72" s="574" t="n"/>
      <c r="GC72" s="574" t="n"/>
      <c r="GD72" s="574" t="n"/>
      <c r="GE72" s="574" t="n"/>
      <c r="GF72" s="574" t="n"/>
    </row>
    <row r="73" customFormat="1" s="568">
      <c r="A73" s="86" t="n"/>
      <c r="B73" s="85" t="n"/>
      <c r="C73" s="84">
        <f>IFERROR(IF(AND($E73&gt;0,$D73&lt;&gt;"The Public"),$E73/SUMIFS($E$10:$E$205,$E$10:$E$205,"&gt;0",$D$10:$D$205,"&lt;&gt;The Public")*$D$5,""),"")</f>
        <v/>
      </c>
      <c r="D73" s="114" t="n"/>
      <c r="E73" s="84">
        <f>SUM(G73:HY73)</f>
        <v/>
      </c>
      <c r="F73" s="568">
        <f>IFERROR(IF($E73&gt;0.0000005,$E73/SUMIF($E$11:$E$140,"&gt;0.0000005"),""),"")</f>
        <v/>
      </c>
      <c r="H73" s="570" t="n"/>
      <c r="I73" s="570" t="n"/>
      <c r="J73" s="570" t="n"/>
      <c r="K73" s="570" t="n"/>
      <c r="L73" s="570" t="n"/>
      <c r="M73" s="572" t="n"/>
      <c r="N73" s="572" t="n"/>
      <c r="O73" s="572" t="n"/>
      <c r="P73" s="572" t="n"/>
      <c r="Q73" s="572" t="n"/>
      <c r="R73" s="572" t="n"/>
      <c r="S73" s="572" t="n"/>
      <c r="T73" s="572" t="n"/>
      <c r="U73" s="572" t="n"/>
      <c r="V73" s="572" t="n"/>
      <c r="W73" s="572" t="n"/>
      <c r="X73" s="572" t="n"/>
      <c r="Y73" s="572" t="n"/>
      <c r="Z73" s="572" t="n"/>
      <c r="AA73" s="572" t="n"/>
      <c r="AB73" s="572" t="n"/>
      <c r="AC73" s="572" t="n"/>
      <c r="AD73" s="572" t="n"/>
      <c r="AE73" s="572" t="n"/>
      <c r="AF73" s="572" t="n"/>
      <c r="AG73" s="572" t="n"/>
      <c r="AH73" s="572" t="n"/>
      <c r="AI73" s="572" t="n"/>
      <c r="AJ73" s="572" t="n"/>
      <c r="AK73" s="572" t="n"/>
      <c r="AL73" s="572" t="n"/>
      <c r="AM73" s="572" t="n"/>
      <c r="AN73" s="572" t="n"/>
      <c r="AO73" s="572" t="n"/>
      <c r="AP73" s="572" t="n"/>
      <c r="AQ73" s="572" t="n"/>
      <c r="AR73" s="572" t="n"/>
      <c r="AS73" s="572" t="n"/>
      <c r="AT73" s="572" t="n"/>
      <c r="AU73" s="572" t="n"/>
      <c r="AV73" s="572" t="n"/>
      <c r="AW73" s="572" t="n"/>
      <c r="AX73" s="572" t="n"/>
      <c r="AY73" s="572" t="n"/>
      <c r="AZ73" s="572" t="n"/>
      <c r="BA73" s="572" t="n"/>
      <c r="BB73" s="572" t="n"/>
      <c r="BC73" s="572" t="n"/>
      <c r="BD73" s="572" t="n"/>
      <c r="BE73" s="572" t="n"/>
      <c r="BF73" s="572" t="n"/>
      <c r="BG73" s="572" t="n"/>
      <c r="BH73" s="572" t="n"/>
      <c r="BI73" s="574" t="n"/>
      <c r="BJ73" s="574" t="n"/>
      <c r="BK73" s="574" t="n"/>
      <c r="BL73" s="574" t="n"/>
      <c r="BM73" s="574" t="n"/>
      <c r="BN73" s="574" t="n"/>
      <c r="BO73" s="574" t="n"/>
      <c r="BP73" s="574" t="n"/>
      <c r="BQ73" s="574" t="n"/>
      <c r="BR73" s="574" t="n"/>
      <c r="BS73" s="574" t="n"/>
      <c r="BT73" s="574" t="n"/>
      <c r="BU73" s="574" t="n"/>
      <c r="BV73" s="574" t="n"/>
      <c r="BW73" s="574" t="n"/>
      <c r="BX73" s="574" t="n"/>
      <c r="BY73" s="574" t="n"/>
      <c r="BZ73" s="574" t="n"/>
      <c r="CA73" s="574" t="n"/>
      <c r="CB73" s="574" t="n"/>
      <c r="CC73" s="574" t="n"/>
      <c r="CD73" s="574" t="n"/>
      <c r="CE73" s="574" t="n"/>
      <c r="CF73" s="574" t="n"/>
      <c r="CG73" s="574" t="n"/>
      <c r="CH73" s="574" t="n"/>
      <c r="CI73" s="574" t="n"/>
      <c r="CJ73" s="574" t="n"/>
      <c r="CK73" s="574" t="n"/>
      <c r="CL73" s="574" t="n"/>
      <c r="CM73" s="574" t="n"/>
      <c r="CN73" s="574" t="n"/>
      <c r="CO73" s="574" t="n"/>
      <c r="CP73" s="574" t="n"/>
      <c r="CQ73" s="574" t="n"/>
      <c r="CR73" s="574" t="n"/>
      <c r="CS73" s="574" t="n"/>
      <c r="CT73" s="574" t="n"/>
      <c r="CU73" s="574" t="n"/>
      <c r="CV73" s="574" t="n"/>
      <c r="CW73" s="574" t="n"/>
      <c r="CX73" s="574" t="n"/>
      <c r="CY73" s="574" t="n"/>
      <c r="CZ73" s="574" t="n"/>
      <c r="DA73" s="574" t="n"/>
      <c r="DB73" s="574" t="n"/>
      <c r="DC73" s="574" t="n"/>
      <c r="DD73" s="574" t="n"/>
      <c r="DE73" s="574" t="n"/>
      <c r="DF73" s="574" t="n"/>
      <c r="DG73" s="574" t="n"/>
      <c r="DH73" s="574" t="n"/>
      <c r="DI73" s="574" t="n"/>
      <c r="DJ73" s="574" t="n"/>
      <c r="DK73" s="574" t="n"/>
      <c r="DL73" s="574" t="n"/>
      <c r="DM73" s="574" t="n"/>
      <c r="DN73" s="574" t="n"/>
      <c r="DO73" s="574" t="n"/>
      <c r="DP73" s="574" t="n"/>
      <c r="DQ73" s="574" t="n"/>
      <c r="DR73" s="574" t="n"/>
      <c r="DS73" s="574" t="n"/>
      <c r="DT73" s="574" t="n"/>
      <c r="DU73" s="574" t="n"/>
      <c r="DV73" s="574" t="n"/>
      <c r="DW73" s="574" t="n"/>
      <c r="DX73" s="574" t="n"/>
      <c r="DY73" s="574" t="n"/>
      <c r="DZ73" s="574" t="n"/>
      <c r="EA73" s="574" t="n"/>
      <c r="EB73" s="574" t="n"/>
      <c r="EC73" s="574" t="n"/>
      <c r="ED73" s="574" t="n"/>
      <c r="EE73" s="574" t="n"/>
      <c r="EF73" s="574" t="n"/>
      <c r="EG73" s="574" t="n"/>
      <c r="EH73" s="574" t="n"/>
      <c r="EI73" s="574" t="n"/>
      <c r="EJ73" s="574" t="n"/>
      <c r="EK73" s="574" t="n"/>
      <c r="EL73" s="574" t="n"/>
      <c r="EM73" s="574" t="n"/>
      <c r="EN73" s="574" t="n"/>
      <c r="EO73" s="574" t="n"/>
      <c r="EP73" s="574" t="n"/>
      <c r="EQ73" s="574" t="n"/>
      <c r="ER73" s="574" t="n"/>
      <c r="ES73" s="574" t="n"/>
      <c r="ET73" s="574" t="n"/>
      <c r="EU73" s="574" t="n"/>
      <c r="EV73" s="574" t="n"/>
      <c r="EW73" s="574" t="n"/>
      <c r="EX73" s="574" t="n"/>
      <c r="EY73" s="574" t="n"/>
      <c r="EZ73" s="574" t="n"/>
      <c r="FA73" s="574" t="n"/>
      <c r="FB73" s="574" t="n"/>
      <c r="FC73" s="574" t="n"/>
      <c r="FD73" s="574" t="n"/>
      <c r="FE73" s="574" t="n"/>
      <c r="FF73" s="574" t="n"/>
      <c r="FG73" s="574" t="n"/>
      <c r="FH73" s="574" t="n"/>
      <c r="FI73" s="574" t="n"/>
      <c r="FJ73" s="574" t="n"/>
      <c r="FK73" s="574" t="n"/>
      <c r="FL73" s="574" t="n"/>
      <c r="FM73" s="574" t="n"/>
      <c r="FN73" s="574" t="n"/>
      <c r="FO73" s="574" t="n"/>
      <c r="FP73" s="574" t="n"/>
      <c r="FQ73" s="574" t="n"/>
      <c r="FR73" s="574" t="n"/>
      <c r="FS73" s="574" t="n"/>
      <c r="FT73" s="574" t="n"/>
      <c r="FU73" s="574" t="n"/>
      <c r="FV73" s="574" t="n"/>
      <c r="FW73" s="574" t="n"/>
      <c r="FX73" s="574" t="n"/>
      <c r="FY73" s="574" t="n"/>
      <c r="FZ73" s="574" t="n"/>
      <c r="GA73" s="574" t="n"/>
      <c r="GB73" s="574" t="n"/>
      <c r="GC73" s="574" t="n"/>
      <c r="GD73" s="574" t="n"/>
      <c r="GE73" s="574" t="n"/>
      <c r="GF73" s="574" t="n"/>
    </row>
    <row r="74" customFormat="1" s="568">
      <c r="A74" s="86" t="n"/>
      <c r="B74" s="85" t="n"/>
      <c r="C74" s="84">
        <f>IFERROR(IF(AND($E74&gt;0,$D74&lt;&gt;"The Public"),$E74/SUMIFS($E$10:$E$205,$E$10:$E$205,"&gt;0",$D$10:$D$205,"&lt;&gt;The Public")*$D$5,""),"")</f>
        <v/>
      </c>
      <c r="D74" s="114" t="n"/>
      <c r="E74" s="84">
        <f>SUM(G74:HY74)</f>
        <v/>
      </c>
      <c r="F74" s="568">
        <f>IFERROR(IF($E74&gt;0.0000005,$E74/SUMIF($E$11:$E$140,"&gt;0.0000005"),""),"")</f>
        <v/>
      </c>
      <c r="H74" s="570" t="n"/>
      <c r="I74" s="570" t="n"/>
      <c r="J74" s="570" t="n"/>
      <c r="K74" s="570" t="n"/>
      <c r="L74" s="570" t="n"/>
      <c r="M74" s="572" t="n"/>
      <c r="N74" s="572" t="n"/>
      <c r="O74" s="572" t="n"/>
      <c r="P74" s="572" t="n"/>
      <c r="Q74" s="572" t="n"/>
      <c r="R74" s="572" t="n"/>
      <c r="S74" s="572" t="n"/>
      <c r="T74" s="572" t="n"/>
      <c r="U74" s="572" t="n"/>
      <c r="V74" s="572" t="n"/>
      <c r="W74" s="572" t="n"/>
      <c r="X74" s="572" t="n"/>
      <c r="Y74" s="572" t="n"/>
      <c r="Z74" s="572" t="n"/>
      <c r="AA74" s="572" t="n"/>
      <c r="AB74" s="572" t="n"/>
      <c r="AC74" s="572" t="n"/>
      <c r="AD74" s="572" t="n"/>
      <c r="AE74" s="572" t="n"/>
      <c r="AF74" s="572" t="n"/>
      <c r="AG74" s="572" t="n"/>
      <c r="AH74" s="572" t="n"/>
      <c r="AI74" s="572" t="n"/>
      <c r="AJ74" s="572" t="n"/>
      <c r="AK74" s="572" t="n"/>
      <c r="AL74" s="572" t="n"/>
      <c r="AM74" s="572" t="n"/>
      <c r="AN74" s="572" t="n"/>
      <c r="AO74" s="572" t="n"/>
      <c r="AP74" s="572" t="n"/>
      <c r="AQ74" s="572" t="n"/>
      <c r="AR74" s="572" t="n"/>
      <c r="AS74" s="572" t="n"/>
      <c r="AT74" s="572" t="n"/>
      <c r="AU74" s="572" t="n"/>
      <c r="AV74" s="572" t="n"/>
      <c r="AW74" s="572" t="n"/>
      <c r="AX74" s="572" t="n"/>
      <c r="AY74" s="572" t="n"/>
      <c r="AZ74" s="572" t="n"/>
      <c r="BA74" s="572" t="n"/>
      <c r="BB74" s="572" t="n"/>
      <c r="BC74" s="572" t="n"/>
      <c r="BD74" s="572" t="n"/>
      <c r="BE74" s="572" t="n"/>
      <c r="BF74" s="572" t="n"/>
      <c r="BG74" s="572" t="n"/>
      <c r="BH74" s="572" t="n"/>
      <c r="BI74" s="574" t="n"/>
      <c r="BJ74" s="574" t="n"/>
      <c r="BK74" s="574" t="n"/>
      <c r="BL74" s="574" t="n"/>
      <c r="BM74" s="574" t="n"/>
      <c r="BN74" s="574" t="n"/>
      <c r="BO74" s="574" t="n"/>
      <c r="BP74" s="574" t="n"/>
      <c r="BQ74" s="574" t="n"/>
      <c r="BR74" s="574" t="n"/>
      <c r="BS74" s="574" t="n"/>
      <c r="BT74" s="574" t="n"/>
      <c r="BU74" s="574" t="n"/>
      <c r="BV74" s="574" t="n"/>
      <c r="BW74" s="574" t="n"/>
      <c r="BX74" s="574" t="n"/>
      <c r="BY74" s="574" t="n"/>
      <c r="BZ74" s="574" t="n"/>
      <c r="CA74" s="574" t="n"/>
      <c r="CB74" s="574" t="n"/>
      <c r="CC74" s="574" t="n"/>
      <c r="CD74" s="574" t="n"/>
      <c r="CE74" s="574" t="n"/>
      <c r="CF74" s="574" t="n"/>
      <c r="CG74" s="574" t="n"/>
      <c r="CH74" s="574" t="n"/>
      <c r="CI74" s="574" t="n"/>
      <c r="CJ74" s="574" t="n"/>
      <c r="CK74" s="574" t="n"/>
      <c r="CL74" s="574" t="n"/>
      <c r="CM74" s="574" t="n"/>
      <c r="CN74" s="574" t="n"/>
      <c r="CO74" s="574" t="n"/>
      <c r="CP74" s="574" t="n"/>
      <c r="CQ74" s="574" t="n"/>
      <c r="CR74" s="574" t="n"/>
      <c r="CS74" s="574" t="n"/>
      <c r="CT74" s="574" t="n"/>
      <c r="CU74" s="574" t="n"/>
      <c r="CV74" s="574" t="n"/>
      <c r="CW74" s="574" t="n"/>
      <c r="CX74" s="574" t="n"/>
      <c r="CY74" s="574" t="n"/>
      <c r="CZ74" s="574" t="n"/>
      <c r="DA74" s="574" t="n"/>
      <c r="DB74" s="574" t="n"/>
      <c r="DC74" s="574" t="n"/>
      <c r="DD74" s="574" t="n"/>
      <c r="DE74" s="574" t="n"/>
      <c r="DF74" s="574" t="n"/>
      <c r="DG74" s="574" t="n"/>
      <c r="DH74" s="574" t="n"/>
      <c r="DI74" s="574" t="n"/>
      <c r="DJ74" s="574" t="n"/>
      <c r="DK74" s="574" t="n"/>
      <c r="DL74" s="574" t="n"/>
      <c r="DM74" s="574" t="n"/>
      <c r="DN74" s="574" t="n"/>
      <c r="DO74" s="574" t="n"/>
      <c r="DP74" s="574" t="n"/>
      <c r="DQ74" s="574" t="n"/>
      <c r="DR74" s="574" t="n"/>
      <c r="DS74" s="574" t="n"/>
      <c r="DT74" s="574" t="n"/>
      <c r="DU74" s="574" t="n"/>
      <c r="DV74" s="574" t="n"/>
      <c r="DW74" s="574" t="n"/>
      <c r="DX74" s="574" t="n"/>
      <c r="DY74" s="574" t="n"/>
      <c r="DZ74" s="574" t="n"/>
      <c r="EA74" s="574" t="n"/>
      <c r="EB74" s="574" t="n"/>
      <c r="EC74" s="574" t="n"/>
      <c r="ED74" s="574" t="n"/>
      <c r="EE74" s="574" t="n"/>
      <c r="EF74" s="574" t="n"/>
      <c r="EG74" s="574" t="n"/>
      <c r="EH74" s="574" t="n"/>
      <c r="EI74" s="574" t="n"/>
      <c r="EJ74" s="574" t="n"/>
      <c r="EK74" s="574" t="n"/>
      <c r="EL74" s="574" t="n"/>
      <c r="EM74" s="574" t="n"/>
      <c r="EN74" s="574" t="n"/>
      <c r="EO74" s="574" t="n"/>
      <c r="EP74" s="574" t="n"/>
      <c r="EQ74" s="574" t="n"/>
      <c r="ER74" s="574" t="n"/>
      <c r="ES74" s="574" t="n"/>
      <c r="ET74" s="574" t="n"/>
      <c r="EU74" s="574" t="n"/>
      <c r="EV74" s="574" t="n"/>
      <c r="EW74" s="574" t="n"/>
      <c r="EX74" s="574" t="n"/>
      <c r="EY74" s="574" t="n"/>
      <c r="EZ74" s="574" t="n"/>
      <c r="FA74" s="574" t="n"/>
      <c r="FB74" s="574" t="n"/>
      <c r="FC74" s="574" t="n"/>
      <c r="FD74" s="574" t="n"/>
      <c r="FE74" s="574" t="n"/>
      <c r="FF74" s="574" t="n"/>
      <c r="FG74" s="574" t="n"/>
      <c r="FH74" s="574" t="n"/>
      <c r="FI74" s="574" t="n"/>
      <c r="FJ74" s="574" t="n"/>
      <c r="FK74" s="574" t="n"/>
      <c r="FL74" s="574" t="n"/>
      <c r="FM74" s="574" t="n"/>
      <c r="FN74" s="574" t="n"/>
      <c r="FO74" s="574" t="n"/>
      <c r="FP74" s="574" t="n"/>
      <c r="FQ74" s="574" t="n"/>
      <c r="FR74" s="574" t="n"/>
      <c r="FS74" s="574" t="n"/>
      <c r="FT74" s="574" t="n"/>
      <c r="FU74" s="574" t="n"/>
      <c r="FV74" s="574" t="n"/>
      <c r="FW74" s="574" t="n"/>
      <c r="FX74" s="574" t="n"/>
      <c r="FY74" s="574" t="n"/>
      <c r="FZ74" s="574" t="n"/>
      <c r="GA74" s="574" t="n"/>
      <c r="GB74" s="574" t="n"/>
      <c r="GC74" s="574" t="n"/>
      <c r="GD74" s="574" t="n"/>
      <c r="GE74" s="574" t="n"/>
      <c r="GF74" s="574" t="n"/>
    </row>
    <row r="75" customFormat="1" s="568">
      <c r="A75" s="86" t="n"/>
      <c r="B75" s="85" t="n"/>
      <c r="C75" s="137">
        <f>IFERROR(IF(AND($E75&gt;0,$D75&lt;&gt;"The Public"),$E75/SUMIFS($E$10:$E$205,$E$10:$E$205,"&gt;0",$D$10:$D$205,"&lt;&gt;The Public")*$D$5,""),"")</f>
        <v/>
      </c>
      <c r="D75" s="114" t="n"/>
      <c r="E75" s="137">
        <f>SUM(G75:HY75)</f>
        <v/>
      </c>
      <c r="F75" s="568">
        <f>IFERROR(IF($E75&gt;0.0000005,$E75/SUMIF($E$11:$E$140,"&gt;0.0000005"),""),"")</f>
        <v/>
      </c>
      <c r="H75" s="579" t="n"/>
      <c r="I75" s="579" t="n"/>
      <c r="J75" s="579" t="n"/>
      <c r="K75" s="579" t="n"/>
      <c r="L75" s="579" t="n"/>
      <c r="M75" s="574" t="n"/>
      <c r="N75" s="574" t="n"/>
      <c r="O75" s="574" t="n"/>
      <c r="P75" s="574" t="n"/>
      <c r="Q75" s="574" t="n"/>
      <c r="R75" s="574" t="n"/>
      <c r="S75" s="574" t="n"/>
      <c r="T75" s="574" t="n"/>
      <c r="U75" s="574" t="n"/>
      <c r="V75" s="574" t="n"/>
      <c r="W75" s="574" t="n"/>
      <c r="X75" s="574" t="n"/>
      <c r="Y75" s="574" t="n"/>
      <c r="Z75" s="574" t="n"/>
      <c r="AA75" s="574" t="n"/>
      <c r="AB75" s="574" t="n"/>
      <c r="AC75" s="574" t="n"/>
      <c r="AD75" s="574" t="n"/>
      <c r="AE75" s="574" t="n"/>
      <c r="AF75" s="574" t="n"/>
      <c r="AG75" s="574" t="n"/>
      <c r="AH75" s="574" t="n"/>
      <c r="AI75" s="574" t="n"/>
      <c r="AJ75" s="574" t="n"/>
      <c r="AK75" s="574" t="n"/>
      <c r="AL75" s="574" t="n"/>
      <c r="AM75" s="574" t="n"/>
      <c r="AN75" s="574" t="n"/>
      <c r="AO75" s="574" t="n"/>
      <c r="AP75" s="574" t="n"/>
      <c r="AQ75" s="574" t="n"/>
      <c r="AR75" s="574" t="n"/>
      <c r="AS75" s="574" t="n"/>
      <c r="AT75" s="574" t="n"/>
      <c r="AU75" s="574" t="n"/>
      <c r="AV75" s="574" t="n"/>
      <c r="AW75" s="574" t="n"/>
      <c r="AX75" s="574" t="n"/>
      <c r="AY75" s="574" t="n"/>
      <c r="AZ75" s="574" t="n"/>
      <c r="BA75" s="574" t="n"/>
      <c r="BB75" s="574" t="n"/>
      <c r="BC75" s="574" t="n"/>
      <c r="BD75" s="574" t="n"/>
      <c r="BE75" s="574" t="n"/>
      <c r="BF75" s="574" t="n"/>
      <c r="BG75" s="574" t="n"/>
      <c r="BH75" s="574" t="n"/>
      <c r="BI75" s="574" t="n"/>
      <c r="BJ75" s="574" t="n"/>
      <c r="BK75" s="574" t="n"/>
      <c r="BL75" s="574" t="n"/>
      <c r="BM75" s="574" t="n"/>
      <c r="BN75" s="574" t="n"/>
      <c r="BO75" s="574" t="n"/>
      <c r="BP75" s="574" t="n"/>
      <c r="BQ75" s="574" t="n"/>
      <c r="BR75" s="574" t="n"/>
      <c r="BS75" s="574" t="n"/>
      <c r="BT75" s="574" t="n"/>
      <c r="BU75" s="574" t="n"/>
      <c r="BV75" s="574" t="n"/>
      <c r="BW75" s="574" t="n"/>
      <c r="BX75" s="574" t="n"/>
      <c r="BY75" s="574" t="n"/>
      <c r="BZ75" s="574" t="n"/>
      <c r="CA75" s="574" t="n"/>
      <c r="CB75" s="574" t="n"/>
      <c r="CC75" s="574" t="n"/>
      <c r="CD75" s="574" t="n"/>
      <c r="CE75" s="574" t="n"/>
      <c r="CF75" s="574" t="n"/>
      <c r="CG75" s="574" t="n"/>
      <c r="CH75" s="574" t="n"/>
      <c r="CI75" s="574" t="n"/>
      <c r="CJ75" s="574" t="n"/>
      <c r="CK75" s="574" t="n"/>
      <c r="CL75" s="574" t="n"/>
      <c r="CM75" s="574" t="n"/>
      <c r="CN75" s="574" t="n"/>
      <c r="CO75" s="574" t="n"/>
      <c r="CP75" s="574" t="n"/>
      <c r="CQ75" s="574" t="n"/>
      <c r="CR75" s="574" t="n"/>
      <c r="CS75" s="574" t="n"/>
      <c r="CT75" s="574" t="n"/>
      <c r="CU75" s="574" t="n"/>
      <c r="CV75" s="574" t="n"/>
      <c r="CW75" s="574" t="n"/>
      <c r="CX75" s="574" t="n"/>
      <c r="CY75" s="574" t="n"/>
      <c r="CZ75" s="574" t="n"/>
      <c r="DA75" s="574" t="n"/>
      <c r="DB75" s="574" t="n"/>
      <c r="DC75" s="574" t="n"/>
      <c r="DD75" s="574" t="n"/>
      <c r="DE75" s="574" t="n"/>
      <c r="DF75" s="574" t="n"/>
      <c r="DG75" s="574" t="n"/>
      <c r="DH75" s="574" t="n"/>
      <c r="DI75" s="574" t="n"/>
      <c r="DJ75" s="574" t="n"/>
      <c r="DK75" s="574" t="n"/>
      <c r="DL75" s="574" t="n"/>
      <c r="DM75" s="574" t="n"/>
      <c r="DN75" s="574" t="n"/>
      <c r="DO75" s="574" t="n"/>
      <c r="DP75" s="574" t="n"/>
      <c r="DQ75" s="574" t="n"/>
      <c r="DR75" s="574" t="n"/>
      <c r="DS75" s="574" t="n"/>
      <c r="DT75" s="574" t="n"/>
      <c r="DU75" s="574" t="n"/>
      <c r="DV75" s="574" t="n"/>
      <c r="DW75" s="574" t="n"/>
      <c r="DX75" s="574" t="n"/>
      <c r="DY75" s="574" t="n"/>
      <c r="DZ75" s="574" t="n"/>
      <c r="EA75" s="574" t="n"/>
      <c r="EB75" s="574" t="n"/>
      <c r="EC75" s="574" t="n"/>
      <c r="ED75" s="574" t="n"/>
      <c r="EE75" s="574" t="n"/>
      <c r="EF75" s="574" t="n"/>
      <c r="EG75" s="574" t="n"/>
      <c r="EH75" s="574" t="n"/>
      <c r="EI75" s="574" t="n"/>
      <c r="EJ75" s="574" t="n"/>
      <c r="EK75" s="574" t="n"/>
      <c r="EL75" s="574" t="n"/>
      <c r="EM75" s="574" t="n"/>
      <c r="EN75" s="574" t="n"/>
      <c r="EO75" s="574" t="n"/>
      <c r="EP75" s="574" t="n"/>
      <c r="EQ75" s="574" t="n"/>
      <c r="ER75" s="574" t="n"/>
      <c r="ES75" s="574" t="n"/>
      <c r="ET75" s="574" t="n"/>
      <c r="EU75" s="574" t="n"/>
      <c r="EV75" s="574" t="n"/>
      <c r="EW75" s="574" t="n"/>
      <c r="EX75" s="574" t="n"/>
      <c r="EY75" s="574" t="n"/>
      <c r="EZ75" s="574" t="n"/>
      <c r="FA75" s="574" t="n"/>
      <c r="FB75" s="574" t="n"/>
      <c r="FC75" s="574" t="n"/>
      <c r="FD75" s="574" t="n"/>
      <c r="FE75" s="574" t="n"/>
      <c r="FF75" s="574" t="n"/>
      <c r="FG75" s="574" t="n"/>
      <c r="FH75" s="574" t="n"/>
      <c r="FI75" s="574" t="n"/>
      <c r="FJ75" s="574" t="n"/>
      <c r="FK75" s="574" t="n"/>
      <c r="FL75" s="574" t="n"/>
      <c r="FM75" s="574" t="n"/>
      <c r="FN75" s="574" t="n"/>
      <c r="FO75" s="574" t="n"/>
      <c r="FP75" s="574" t="n"/>
      <c r="FQ75" s="574" t="n"/>
      <c r="FR75" s="574" t="n"/>
      <c r="FS75" s="574" t="n"/>
      <c r="FT75" s="574" t="n"/>
      <c r="FU75" s="574" t="n"/>
      <c r="FV75" s="574" t="n"/>
      <c r="FW75" s="574" t="n"/>
      <c r="FX75" s="574" t="n"/>
      <c r="FY75" s="574" t="n"/>
      <c r="FZ75" s="574" t="n"/>
      <c r="GA75" s="574" t="n"/>
      <c r="GB75" s="574" t="n"/>
      <c r="GC75" s="574" t="n"/>
      <c r="GD75" s="574" t="n"/>
      <c r="GE75" s="574" t="n"/>
      <c r="GF75" s="574" t="n"/>
    </row>
    <row r="76" customFormat="1" s="568">
      <c r="A76" s="86" t="n"/>
      <c r="B76" s="85" t="n"/>
      <c r="C76" s="137">
        <f>IFERROR(IF(AND($E76&gt;0,$D76&lt;&gt;"The Public"),$E76/SUMIFS($E$10:$E$205,$E$10:$E$205,"&gt;0",$D$10:$D$205,"&lt;&gt;The Public")*$D$5,""),"")</f>
        <v/>
      </c>
      <c r="D76" s="114" t="n"/>
      <c r="E76" s="137">
        <f>SUM(G76:HY76)</f>
        <v/>
      </c>
      <c r="F76" s="568">
        <f>IFERROR(IF($E76&gt;0.0000005,$E76/SUMIF($E$11:$E$140,"&gt;0.0000005"),""),"")</f>
        <v/>
      </c>
      <c r="H76" s="579" t="n"/>
      <c r="I76" s="579" t="n"/>
      <c r="J76" s="579" t="n"/>
      <c r="K76" s="579" t="n"/>
      <c r="L76" s="579" t="n"/>
      <c r="M76" s="574" t="n"/>
      <c r="N76" s="574" t="n"/>
      <c r="O76" s="574" t="n"/>
      <c r="P76" s="574" t="n"/>
      <c r="Q76" s="574" t="n"/>
      <c r="R76" s="574" t="n"/>
      <c r="S76" s="574" t="n"/>
      <c r="T76" s="574" t="n"/>
      <c r="U76" s="574" t="n"/>
      <c r="V76" s="574" t="n"/>
      <c r="W76" s="574" t="n"/>
      <c r="X76" s="574" t="n"/>
      <c r="Y76" s="574" t="n"/>
      <c r="Z76" s="574" t="n"/>
      <c r="AA76" s="574" t="n"/>
      <c r="AB76" s="574" t="n"/>
      <c r="AC76" s="574" t="n"/>
      <c r="AD76" s="574" t="n"/>
      <c r="AE76" s="574" t="n"/>
      <c r="AF76" s="574" t="n"/>
      <c r="AG76" s="574" t="n"/>
      <c r="AH76" s="574" t="n"/>
      <c r="AI76" s="574" t="n"/>
      <c r="AJ76" s="574" t="n"/>
      <c r="AK76" s="574" t="n"/>
      <c r="AL76" s="574" t="n"/>
      <c r="AM76" s="574" t="n"/>
      <c r="AN76" s="574" t="n"/>
      <c r="AO76" s="574" t="n"/>
      <c r="AP76" s="574" t="n"/>
      <c r="AQ76" s="574" t="n"/>
      <c r="AR76" s="574" t="n"/>
      <c r="AS76" s="574" t="n"/>
      <c r="AT76" s="574" t="n"/>
      <c r="AU76" s="574" t="n"/>
      <c r="AV76" s="574" t="n"/>
      <c r="AW76" s="574" t="n"/>
      <c r="AX76" s="574" t="n"/>
      <c r="AY76" s="574" t="n"/>
      <c r="AZ76" s="574" t="n"/>
      <c r="BA76" s="574" t="n"/>
      <c r="BB76" s="574" t="n"/>
      <c r="BC76" s="574" t="n"/>
      <c r="BD76" s="574" t="n"/>
      <c r="BE76" s="574" t="n"/>
      <c r="BF76" s="574" t="n"/>
      <c r="BG76" s="574" t="n"/>
      <c r="BH76" s="574" t="n"/>
      <c r="BI76" s="574" t="n"/>
      <c r="BJ76" s="574" t="n"/>
      <c r="BK76" s="574" t="n"/>
      <c r="BL76" s="574" t="n"/>
      <c r="BM76" s="574" t="n"/>
      <c r="BN76" s="574" t="n"/>
      <c r="BO76" s="574" t="n"/>
      <c r="BP76" s="574" t="n"/>
      <c r="BQ76" s="574" t="n"/>
      <c r="BR76" s="574" t="n"/>
      <c r="BS76" s="574" t="n"/>
      <c r="BT76" s="574" t="n"/>
      <c r="BU76" s="574" t="n"/>
      <c r="BV76" s="574" t="n"/>
      <c r="BW76" s="574" t="n"/>
      <c r="BX76" s="574" t="n"/>
      <c r="BY76" s="574" t="n"/>
      <c r="BZ76" s="574" t="n"/>
      <c r="CA76" s="574" t="n"/>
      <c r="CB76" s="574" t="n"/>
      <c r="CC76" s="574" t="n"/>
      <c r="CD76" s="574" t="n"/>
      <c r="CE76" s="574" t="n"/>
      <c r="CF76" s="574" t="n"/>
      <c r="CG76" s="574" t="n"/>
      <c r="CH76" s="574" t="n"/>
      <c r="CI76" s="574" t="n"/>
      <c r="CJ76" s="574" t="n"/>
      <c r="CK76" s="574" t="n"/>
      <c r="CL76" s="574" t="n"/>
      <c r="CM76" s="574" t="n"/>
      <c r="CN76" s="574" t="n"/>
      <c r="CO76" s="574" t="n"/>
      <c r="CP76" s="574" t="n"/>
      <c r="CQ76" s="574" t="n"/>
      <c r="CR76" s="574" t="n"/>
      <c r="CS76" s="574" t="n"/>
      <c r="CT76" s="574" t="n"/>
      <c r="CU76" s="574" t="n"/>
      <c r="CV76" s="574" t="n"/>
      <c r="CW76" s="574" t="n"/>
      <c r="CX76" s="574" t="n"/>
      <c r="CY76" s="574" t="n"/>
      <c r="CZ76" s="574" t="n"/>
      <c r="DA76" s="574" t="n"/>
      <c r="DB76" s="574" t="n"/>
      <c r="DC76" s="574" t="n"/>
      <c r="DD76" s="574" t="n"/>
      <c r="DE76" s="574" t="n"/>
      <c r="DF76" s="574" t="n"/>
      <c r="DG76" s="574" t="n"/>
      <c r="DH76" s="574" t="n"/>
      <c r="DI76" s="574" t="n"/>
      <c r="DJ76" s="574" t="n"/>
      <c r="DK76" s="574" t="n"/>
      <c r="DL76" s="574" t="n"/>
      <c r="DM76" s="574" t="n"/>
      <c r="DN76" s="574" t="n"/>
      <c r="DO76" s="574" t="n"/>
      <c r="DP76" s="574" t="n"/>
      <c r="DQ76" s="574" t="n"/>
      <c r="DR76" s="574" t="n"/>
      <c r="DS76" s="574" t="n"/>
      <c r="DT76" s="574" t="n"/>
      <c r="DU76" s="574" t="n"/>
      <c r="DV76" s="574" t="n"/>
      <c r="DW76" s="574" t="n"/>
      <c r="DX76" s="574" t="n"/>
      <c r="DY76" s="574" t="n"/>
      <c r="DZ76" s="574" t="n"/>
      <c r="EA76" s="574" t="n"/>
      <c r="EB76" s="574" t="n"/>
      <c r="EC76" s="574" t="n"/>
      <c r="ED76" s="574" t="n"/>
      <c r="EE76" s="574" t="n"/>
      <c r="EF76" s="574" t="n"/>
      <c r="EG76" s="574" t="n"/>
      <c r="EH76" s="574" t="n"/>
      <c r="EI76" s="574" t="n"/>
      <c r="EJ76" s="574" t="n"/>
      <c r="EK76" s="574" t="n"/>
      <c r="EL76" s="574" t="n"/>
      <c r="EM76" s="574" t="n"/>
      <c r="EN76" s="574" t="n"/>
      <c r="EO76" s="574" t="n"/>
      <c r="EP76" s="574" t="n"/>
      <c r="EQ76" s="574" t="n"/>
      <c r="ER76" s="574" t="n"/>
      <c r="ES76" s="574" t="n"/>
      <c r="ET76" s="574" t="n"/>
      <c r="EU76" s="574" t="n"/>
      <c r="EV76" s="574" t="n"/>
      <c r="EW76" s="574" t="n"/>
      <c r="EX76" s="574" t="n"/>
      <c r="EY76" s="574" t="n"/>
      <c r="EZ76" s="574" t="n"/>
      <c r="FA76" s="574" t="n"/>
      <c r="FB76" s="574" t="n"/>
      <c r="FC76" s="574" t="n"/>
      <c r="FD76" s="574" t="n"/>
      <c r="FE76" s="574" t="n"/>
      <c r="FF76" s="574" t="n"/>
      <c r="FG76" s="574" t="n"/>
      <c r="FH76" s="574" t="n"/>
      <c r="FI76" s="574" t="n"/>
      <c r="FJ76" s="574" t="n"/>
      <c r="FK76" s="574" t="n"/>
      <c r="FL76" s="574" t="n"/>
      <c r="FM76" s="574" t="n"/>
      <c r="FN76" s="574" t="n"/>
      <c r="FO76" s="574" t="n"/>
      <c r="FP76" s="574" t="n"/>
      <c r="FQ76" s="574" t="n"/>
      <c r="FR76" s="574" t="n"/>
      <c r="FS76" s="574" t="n"/>
      <c r="FT76" s="574" t="n"/>
      <c r="FU76" s="574" t="n"/>
      <c r="FV76" s="574" t="n"/>
      <c r="FW76" s="574" t="n"/>
      <c r="FX76" s="574" t="n"/>
      <c r="FY76" s="574" t="n"/>
      <c r="FZ76" s="574" t="n"/>
      <c r="GA76" s="574" t="n"/>
      <c r="GB76" s="574" t="n"/>
      <c r="GC76" s="574" t="n"/>
      <c r="GD76" s="574" t="n"/>
      <c r="GE76" s="574" t="n"/>
      <c r="GF76" s="574" t="n"/>
    </row>
    <row r="77" customFormat="1" s="568">
      <c r="A77" s="86" t="n"/>
      <c r="B77" s="85" t="n"/>
      <c r="C77" s="84">
        <f>IFERROR(IF(AND($E77&gt;0,$D77&lt;&gt;"The Public"),$E77/SUMIFS($E$10:$E$205,$E$10:$E$205,"&gt;0",$D$10:$D$205,"&lt;&gt;The Public")*$D$5,""),"")</f>
        <v/>
      </c>
      <c r="D77" s="114" t="n"/>
      <c r="E77" s="84">
        <f>SUM(G77:HY77)</f>
        <v/>
      </c>
      <c r="F77" s="568">
        <f>IFERROR(IF($E77&gt;0.0000005,$E77/SUMIF($E$11:$E$140,"&gt;0.0000005"),""),"")</f>
        <v/>
      </c>
      <c r="H77" s="579" t="n"/>
      <c r="I77" s="579" t="n"/>
      <c r="J77" s="579" t="n"/>
      <c r="K77" s="579" t="n"/>
      <c r="L77" s="579" t="n"/>
      <c r="M77" s="574" t="n"/>
      <c r="N77" s="574" t="n"/>
      <c r="O77" s="574" t="n"/>
      <c r="P77" s="574" t="n"/>
      <c r="Q77" s="574" t="n"/>
      <c r="R77" s="574" t="n"/>
      <c r="S77" s="574" t="n"/>
      <c r="T77" s="574" t="n"/>
      <c r="U77" s="574" t="n"/>
      <c r="V77" s="574" t="n"/>
      <c r="W77" s="574" t="n"/>
      <c r="X77" s="574" t="n"/>
      <c r="Y77" s="574" t="n"/>
      <c r="Z77" s="574" t="n"/>
      <c r="AA77" s="574" t="n"/>
      <c r="AB77" s="574" t="n"/>
      <c r="AC77" s="574" t="n"/>
      <c r="AD77" s="574" t="n"/>
      <c r="AE77" s="574" t="n"/>
      <c r="AF77" s="574" t="n"/>
      <c r="AG77" s="574" t="n"/>
      <c r="AH77" s="574" t="n"/>
      <c r="AI77" s="574" t="n"/>
      <c r="AJ77" s="574" t="n"/>
      <c r="AK77" s="574" t="n"/>
      <c r="AL77" s="574" t="n"/>
      <c r="AM77" s="574" t="n"/>
      <c r="AN77" s="574" t="n"/>
      <c r="AO77" s="574" t="n"/>
      <c r="AP77" s="574" t="n"/>
      <c r="AQ77" s="574" t="n"/>
      <c r="AR77" s="574" t="n"/>
      <c r="AS77" s="574" t="n"/>
      <c r="AT77" s="574" t="n"/>
      <c r="AU77" s="574" t="n"/>
      <c r="AV77" s="574" t="n"/>
      <c r="AW77" s="574" t="n"/>
      <c r="AX77" s="574" t="n"/>
      <c r="AY77" s="574" t="n"/>
      <c r="AZ77" s="574" t="n"/>
      <c r="BA77" s="574" t="n"/>
      <c r="BB77" s="574" t="n"/>
      <c r="BC77" s="574" t="n"/>
      <c r="BD77" s="574" t="n"/>
      <c r="BE77" s="574" t="n"/>
      <c r="BF77" s="574" t="n"/>
      <c r="BG77" s="574" t="n"/>
      <c r="BH77" s="574" t="n"/>
      <c r="BI77" s="574" t="n"/>
      <c r="BJ77" s="574" t="n"/>
      <c r="BK77" s="574" t="n"/>
      <c r="BL77" s="574" t="n"/>
      <c r="BM77" s="574" t="n"/>
      <c r="BN77" s="574" t="n"/>
      <c r="BO77" s="574" t="n"/>
      <c r="BP77" s="574" t="n"/>
      <c r="BQ77" s="574" t="n"/>
      <c r="BR77" s="574" t="n"/>
      <c r="BS77" s="574" t="n"/>
      <c r="BT77" s="574" t="n"/>
      <c r="BU77" s="574" t="n"/>
      <c r="BV77" s="574" t="n"/>
      <c r="BW77" s="574" t="n"/>
      <c r="BX77" s="574" t="n"/>
      <c r="BY77" s="574" t="n"/>
      <c r="BZ77" s="574" t="n"/>
      <c r="CA77" s="574" t="n"/>
      <c r="CB77" s="574" t="n"/>
      <c r="CC77" s="574" t="n"/>
      <c r="CD77" s="574" t="n"/>
      <c r="CE77" s="574" t="n"/>
      <c r="CF77" s="574" t="n"/>
      <c r="CG77" s="574" t="n"/>
      <c r="CH77" s="574" t="n"/>
      <c r="CI77" s="574" t="n"/>
      <c r="CJ77" s="574" t="n"/>
      <c r="CK77" s="574" t="n"/>
      <c r="CL77" s="574" t="n"/>
      <c r="CM77" s="574" t="n"/>
      <c r="CN77" s="574" t="n"/>
      <c r="CO77" s="574" t="n"/>
      <c r="CP77" s="574" t="n"/>
      <c r="CQ77" s="574" t="n"/>
      <c r="CR77" s="574" t="n"/>
      <c r="CS77" s="574" t="n"/>
      <c r="CT77" s="574" t="n"/>
      <c r="CU77" s="574" t="n"/>
      <c r="CV77" s="574" t="n"/>
      <c r="CW77" s="574" t="n"/>
      <c r="CX77" s="574" t="n"/>
      <c r="CY77" s="574" t="n"/>
      <c r="CZ77" s="574" t="n"/>
      <c r="DA77" s="574" t="n"/>
      <c r="DB77" s="574" t="n"/>
      <c r="DC77" s="574" t="n"/>
      <c r="DD77" s="574" t="n"/>
      <c r="DE77" s="574" t="n"/>
      <c r="DF77" s="574" t="n"/>
      <c r="DG77" s="574" t="n"/>
      <c r="DH77" s="574" t="n"/>
      <c r="DI77" s="574" t="n"/>
      <c r="DJ77" s="574" t="n"/>
      <c r="DK77" s="574" t="n"/>
      <c r="DL77" s="574" t="n"/>
      <c r="DM77" s="574" t="n"/>
      <c r="DN77" s="574" t="n"/>
      <c r="DO77" s="574" t="n"/>
      <c r="DP77" s="574" t="n"/>
      <c r="DQ77" s="574" t="n"/>
      <c r="DR77" s="574" t="n"/>
      <c r="DS77" s="574" t="n"/>
      <c r="DT77" s="574" t="n"/>
      <c r="DU77" s="574" t="n"/>
      <c r="DV77" s="574" t="n"/>
      <c r="DW77" s="574" t="n"/>
      <c r="DX77" s="574" t="n"/>
      <c r="DY77" s="574" t="n"/>
      <c r="DZ77" s="574" t="n"/>
      <c r="EA77" s="574" t="n"/>
      <c r="EB77" s="574" t="n"/>
      <c r="EC77" s="574" t="n"/>
      <c r="ED77" s="574" t="n"/>
      <c r="EE77" s="574" t="n"/>
      <c r="EF77" s="574" t="n"/>
      <c r="EG77" s="574" t="n"/>
      <c r="EH77" s="574" t="n"/>
      <c r="EI77" s="574" t="n"/>
      <c r="EJ77" s="574" t="n"/>
      <c r="EK77" s="574" t="n"/>
      <c r="EL77" s="574" t="n"/>
      <c r="EM77" s="574" t="n"/>
      <c r="EN77" s="574" t="n"/>
      <c r="EO77" s="574" t="n"/>
      <c r="EP77" s="574" t="n"/>
      <c r="EQ77" s="574" t="n"/>
      <c r="ER77" s="574" t="n"/>
      <c r="ES77" s="574" t="n"/>
      <c r="ET77" s="574" t="n"/>
      <c r="EU77" s="574" t="n"/>
      <c r="EV77" s="574" t="n"/>
      <c r="EW77" s="574" t="n"/>
      <c r="EX77" s="574" t="n"/>
      <c r="EY77" s="574" t="n"/>
      <c r="EZ77" s="574" t="n"/>
      <c r="FA77" s="574" t="n"/>
      <c r="FB77" s="574" t="n"/>
      <c r="FC77" s="574" t="n"/>
      <c r="FD77" s="574" t="n"/>
      <c r="FE77" s="574" t="n"/>
      <c r="FF77" s="574" t="n"/>
      <c r="FG77" s="574" t="n"/>
      <c r="FH77" s="574" t="n"/>
      <c r="FI77" s="574" t="n"/>
      <c r="FJ77" s="574" t="n"/>
      <c r="FK77" s="574" t="n"/>
      <c r="FL77" s="574" t="n"/>
      <c r="FM77" s="574" t="n"/>
      <c r="FN77" s="574" t="n"/>
      <c r="FO77" s="574" t="n"/>
      <c r="FP77" s="574" t="n"/>
      <c r="FQ77" s="574" t="n"/>
      <c r="FR77" s="574" t="n"/>
      <c r="FS77" s="574" t="n"/>
      <c r="FT77" s="574" t="n"/>
      <c r="FU77" s="574" t="n"/>
      <c r="FV77" s="574" t="n"/>
      <c r="FW77" s="574" t="n"/>
      <c r="FX77" s="574" t="n"/>
      <c r="FY77" s="574" t="n"/>
      <c r="FZ77" s="574" t="n"/>
      <c r="GA77" s="574" t="n"/>
      <c r="GB77" s="574" t="n"/>
      <c r="GC77" s="574" t="n"/>
      <c r="GD77" s="574" t="n"/>
      <c r="GE77" s="574" t="n"/>
      <c r="GF77" s="574" t="n"/>
    </row>
    <row r="78" customFormat="1" s="568">
      <c r="A78" s="86" t="n"/>
      <c r="B78" s="85" t="n"/>
      <c r="C78" s="84">
        <f>IFERROR(IF(AND($E78&gt;0,$D78&lt;&gt;"The Public"),$E78/SUMIFS($E$10:$E$205,$E$10:$E$205,"&gt;0",$D$10:$D$205,"&lt;&gt;The Public")*$D$5,""),"")</f>
        <v/>
      </c>
      <c r="D78" s="114" t="n"/>
      <c r="E78" s="84">
        <f>SUM(G78:HY78)</f>
        <v/>
      </c>
      <c r="F78" s="568">
        <f>IFERROR(IF($E78&gt;0.0000005,$E78/SUMIF($E$11:$E$140,"&gt;0.0000005"),""),"")</f>
        <v/>
      </c>
      <c r="H78" s="579" t="n"/>
      <c r="I78" s="579" t="n"/>
      <c r="J78" s="579" t="n"/>
      <c r="K78" s="579" t="n"/>
      <c r="L78" s="579" t="n"/>
      <c r="M78" s="574" t="n"/>
      <c r="N78" s="574" t="n"/>
      <c r="O78" s="574" t="n"/>
      <c r="P78" s="574" t="n"/>
      <c r="Q78" s="574" t="n"/>
      <c r="R78" s="574" t="n"/>
      <c r="S78" s="574" t="n"/>
      <c r="T78" s="574" t="n"/>
      <c r="U78" s="574" t="n"/>
      <c r="V78" s="574" t="n"/>
      <c r="W78" s="574" t="n"/>
      <c r="X78" s="574" t="n"/>
      <c r="Y78" s="574" t="n"/>
      <c r="Z78" s="574" t="n"/>
      <c r="AA78" s="574" t="n"/>
      <c r="AB78" s="574" t="n"/>
      <c r="AC78" s="574" t="n"/>
      <c r="AD78" s="574" t="n"/>
      <c r="AE78" s="574" t="n"/>
      <c r="AF78" s="574" t="n"/>
      <c r="AG78" s="574" t="n"/>
      <c r="AH78" s="574" t="n"/>
      <c r="AI78" s="574" t="n"/>
      <c r="AJ78" s="574" t="n"/>
      <c r="AK78" s="574" t="n"/>
      <c r="AL78" s="574" t="n"/>
      <c r="AM78" s="574" t="n"/>
      <c r="AN78" s="574" t="n"/>
      <c r="AO78" s="574" t="n"/>
      <c r="AP78" s="574" t="n"/>
      <c r="AQ78" s="574" t="n"/>
      <c r="AR78" s="574" t="n"/>
      <c r="AS78" s="574" t="n"/>
      <c r="AT78" s="574" t="n"/>
      <c r="AU78" s="574" t="n"/>
      <c r="AV78" s="574" t="n"/>
      <c r="AW78" s="574" t="n"/>
      <c r="AX78" s="574" t="n"/>
      <c r="AY78" s="574" t="n"/>
      <c r="AZ78" s="574" t="n"/>
      <c r="BA78" s="574" t="n"/>
      <c r="BB78" s="574" t="n"/>
      <c r="BC78" s="574" t="n"/>
      <c r="BD78" s="574" t="n"/>
      <c r="BE78" s="574" t="n"/>
      <c r="BF78" s="574" t="n"/>
      <c r="BG78" s="574" t="n"/>
      <c r="BH78" s="574" t="n"/>
      <c r="BI78" s="574" t="n"/>
      <c r="BJ78" s="574" t="n"/>
      <c r="BK78" s="574" t="n"/>
      <c r="BL78" s="574" t="n"/>
      <c r="BM78" s="574" t="n"/>
      <c r="BN78" s="574" t="n"/>
      <c r="BO78" s="574" t="n"/>
      <c r="BP78" s="574" t="n"/>
      <c r="BQ78" s="574" t="n"/>
      <c r="BR78" s="574" t="n"/>
      <c r="BS78" s="574" t="n"/>
      <c r="BT78" s="574" t="n"/>
      <c r="BU78" s="574" t="n"/>
      <c r="BV78" s="574" t="n"/>
      <c r="BW78" s="574" t="n"/>
      <c r="BX78" s="574" t="n"/>
      <c r="BY78" s="574" t="n"/>
      <c r="BZ78" s="574" t="n"/>
      <c r="CA78" s="574" t="n"/>
      <c r="CB78" s="574" t="n"/>
      <c r="CC78" s="574" t="n"/>
      <c r="CD78" s="574" t="n"/>
      <c r="CE78" s="574" t="n"/>
      <c r="CF78" s="574" t="n"/>
      <c r="CG78" s="574" t="n"/>
      <c r="CH78" s="574" t="n"/>
      <c r="CI78" s="574" t="n"/>
      <c r="CJ78" s="574" t="n"/>
      <c r="CK78" s="574" t="n"/>
      <c r="CL78" s="574" t="n"/>
      <c r="CM78" s="574" t="n"/>
      <c r="CN78" s="574" t="n"/>
      <c r="CO78" s="574" t="n"/>
      <c r="CP78" s="574" t="n"/>
      <c r="CQ78" s="574" t="n"/>
      <c r="CR78" s="574" t="n"/>
      <c r="CS78" s="574" t="n"/>
      <c r="CT78" s="574" t="n"/>
      <c r="CU78" s="574" t="n"/>
      <c r="CV78" s="574" t="n"/>
      <c r="CW78" s="574" t="n"/>
      <c r="CX78" s="574" t="n"/>
      <c r="CY78" s="574" t="n"/>
      <c r="CZ78" s="574" t="n"/>
      <c r="DA78" s="574" t="n"/>
      <c r="DB78" s="574" t="n"/>
      <c r="DC78" s="574" t="n"/>
      <c r="DD78" s="574" t="n"/>
      <c r="DE78" s="574" t="n"/>
      <c r="DF78" s="574" t="n"/>
      <c r="DG78" s="574" t="n"/>
      <c r="DH78" s="574" t="n"/>
      <c r="DI78" s="574" t="n"/>
      <c r="DJ78" s="574" t="n"/>
      <c r="DK78" s="574" t="n"/>
      <c r="DL78" s="574" t="n"/>
      <c r="DM78" s="574" t="n"/>
      <c r="DN78" s="574" t="n"/>
      <c r="DO78" s="574" t="n"/>
      <c r="DP78" s="574" t="n"/>
      <c r="DQ78" s="574" t="n"/>
      <c r="DR78" s="574" t="n"/>
      <c r="DS78" s="574" t="n"/>
      <c r="DT78" s="574" t="n"/>
      <c r="DU78" s="574" t="n"/>
      <c r="DV78" s="574" t="n"/>
      <c r="DW78" s="574" t="n"/>
      <c r="DX78" s="574" t="n"/>
      <c r="DY78" s="574" t="n"/>
      <c r="DZ78" s="574" t="n"/>
      <c r="EA78" s="574" t="n"/>
      <c r="EB78" s="574" t="n"/>
      <c r="EC78" s="574" t="n"/>
      <c r="ED78" s="574" t="n"/>
      <c r="EE78" s="574" t="n"/>
      <c r="EF78" s="574" t="n"/>
      <c r="EG78" s="574" t="n"/>
      <c r="EH78" s="574" t="n"/>
      <c r="EI78" s="574" t="n"/>
      <c r="EJ78" s="574" t="n"/>
      <c r="EK78" s="574" t="n"/>
      <c r="EL78" s="574" t="n"/>
      <c r="EM78" s="574" t="n"/>
      <c r="EN78" s="574" t="n"/>
      <c r="EO78" s="574" t="n"/>
      <c r="EP78" s="574" t="n"/>
      <c r="EQ78" s="574" t="n"/>
      <c r="ER78" s="574" t="n"/>
      <c r="ES78" s="574" t="n"/>
      <c r="ET78" s="574" t="n"/>
      <c r="EU78" s="574" t="n"/>
      <c r="EV78" s="574" t="n"/>
      <c r="EW78" s="574" t="n"/>
      <c r="EX78" s="574" t="n"/>
      <c r="EY78" s="574" t="n"/>
      <c r="EZ78" s="574" t="n"/>
      <c r="FA78" s="574" t="n"/>
      <c r="FB78" s="574" t="n"/>
      <c r="FC78" s="574" t="n"/>
      <c r="FD78" s="574" t="n"/>
      <c r="FE78" s="574" t="n"/>
      <c r="FF78" s="574" t="n"/>
      <c r="FG78" s="574" t="n"/>
      <c r="FH78" s="574" t="n"/>
      <c r="FI78" s="574" t="n"/>
      <c r="FJ78" s="574" t="n"/>
      <c r="FK78" s="574" t="n"/>
      <c r="FL78" s="574" t="n"/>
      <c r="FM78" s="574" t="n"/>
      <c r="FN78" s="574" t="n"/>
      <c r="FO78" s="574" t="n"/>
      <c r="FP78" s="574" t="n"/>
      <c r="FQ78" s="574" t="n"/>
      <c r="FR78" s="574" t="n"/>
      <c r="FS78" s="574" t="n"/>
      <c r="FT78" s="574" t="n"/>
      <c r="FU78" s="574" t="n"/>
      <c r="FV78" s="574" t="n"/>
      <c r="FW78" s="574" t="n"/>
      <c r="FX78" s="574" t="n"/>
      <c r="FY78" s="574" t="n"/>
      <c r="FZ78" s="574" t="n"/>
      <c r="GA78" s="574" t="n"/>
      <c r="GB78" s="574" t="n"/>
      <c r="GC78" s="574" t="n"/>
      <c r="GD78" s="574" t="n"/>
      <c r="GE78" s="574" t="n"/>
      <c r="GF78" s="574" t="n"/>
    </row>
    <row r="79" customFormat="1" s="568">
      <c r="A79" s="86" t="n"/>
      <c r="B79" s="85" t="n"/>
      <c r="C79" s="84">
        <f>IFERROR(IF(AND($E79&gt;0,$D79&lt;&gt;"The Public"),$E79/SUMIFS($E$10:$E$205,$E$10:$E$205,"&gt;0",$D$10:$D$205,"&lt;&gt;The Public")*$D$5,""),"")</f>
        <v/>
      </c>
      <c r="D79" s="139" t="n"/>
      <c r="E79" s="84">
        <f>SUM(G79:HY79)</f>
        <v/>
      </c>
      <c r="F79" s="568">
        <f>IFERROR(IF($E79&gt;0.0000005,$E79/SUMIF($E$11:$E$140,"&gt;0.0000005"),""),"")</f>
        <v/>
      </c>
      <c r="H79" s="579" t="n"/>
      <c r="I79" s="579" t="n"/>
      <c r="J79" s="579" t="n"/>
      <c r="K79" s="579" t="n"/>
      <c r="L79" s="579" t="n"/>
      <c r="M79" s="574" t="n"/>
      <c r="N79" s="574" t="n"/>
      <c r="O79" s="574" t="n"/>
      <c r="P79" s="574" t="n"/>
      <c r="Q79" s="574" t="n"/>
      <c r="R79" s="574" t="n"/>
      <c r="S79" s="574" t="n"/>
      <c r="T79" s="574" t="n"/>
      <c r="U79" s="574" t="n"/>
      <c r="V79" s="574" t="n"/>
      <c r="W79" s="574" t="n"/>
      <c r="X79" s="574" t="n"/>
      <c r="Y79" s="574" t="n"/>
      <c r="Z79" s="574" t="n"/>
      <c r="AA79" s="574" t="n"/>
      <c r="AB79" s="574" t="n"/>
      <c r="AC79" s="574" t="n"/>
      <c r="AD79" s="574" t="n"/>
      <c r="AE79" s="574" t="n"/>
      <c r="AF79" s="574" t="n"/>
      <c r="AG79" s="574" t="n"/>
      <c r="AH79" s="574" t="n"/>
      <c r="AI79" s="574" t="n"/>
      <c r="AJ79" s="574" t="n"/>
      <c r="AK79" s="574" t="n"/>
      <c r="AL79" s="574" t="n"/>
      <c r="AM79" s="574" t="n"/>
      <c r="AN79" s="574" t="n"/>
      <c r="AO79" s="574" t="n"/>
      <c r="AP79" s="574" t="n"/>
      <c r="AQ79" s="574" t="n"/>
      <c r="AR79" s="574" t="n"/>
      <c r="AS79" s="574" t="n"/>
      <c r="AT79" s="574" t="n"/>
      <c r="AU79" s="574" t="n"/>
      <c r="AV79" s="574" t="n"/>
      <c r="AW79" s="574" t="n"/>
      <c r="AX79" s="574" t="n"/>
      <c r="AY79" s="574" t="n"/>
      <c r="AZ79" s="574" t="n"/>
      <c r="BA79" s="574" t="n"/>
      <c r="BB79" s="574" t="n"/>
      <c r="BC79" s="574" t="n"/>
      <c r="BD79" s="574" t="n"/>
      <c r="BE79" s="574" t="n"/>
      <c r="BF79" s="574" t="n"/>
      <c r="BG79" s="574" t="n"/>
      <c r="BH79" s="574" t="n"/>
      <c r="BI79" s="574" t="n"/>
      <c r="BJ79" s="574" t="n"/>
      <c r="BK79" s="574" t="n"/>
      <c r="BL79" s="574" t="n"/>
      <c r="BM79" s="574" t="n"/>
      <c r="BN79" s="574" t="n"/>
      <c r="BO79" s="574" t="n"/>
      <c r="BP79" s="574" t="n"/>
      <c r="BQ79" s="574" t="n"/>
      <c r="BR79" s="574" t="n"/>
      <c r="BS79" s="574" t="n"/>
      <c r="BT79" s="574" t="n"/>
      <c r="BU79" s="574" t="n"/>
      <c r="BV79" s="574" t="n"/>
      <c r="BW79" s="574" t="n"/>
      <c r="BX79" s="574" t="n"/>
      <c r="BY79" s="574" t="n"/>
      <c r="BZ79" s="574" t="n"/>
      <c r="CA79" s="574" t="n"/>
      <c r="CB79" s="574" t="n"/>
      <c r="CC79" s="574" t="n"/>
      <c r="CD79" s="574" t="n"/>
      <c r="CE79" s="574" t="n"/>
      <c r="CF79" s="574" t="n"/>
      <c r="CG79" s="574" t="n"/>
      <c r="CH79" s="574" t="n"/>
      <c r="CI79" s="574" t="n"/>
      <c r="CJ79" s="574" t="n"/>
      <c r="CK79" s="574" t="n"/>
      <c r="CL79" s="574" t="n"/>
      <c r="CM79" s="574" t="n"/>
      <c r="CN79" s="574" t="n"/>
      <c r="CO79" s="574" t="n"/>
      <c r="CP79" s="574" t="n"/>
      <c r="CQ79" s="574" t="n"/>
      <c r="CR79" s="574" t="n"/>
      <c r="CS79" s="574" t="n"/>
      <c r="CT79" s="574" t="n"/>
      <c r="CU79" s="574" t="n"/>
      <c r="CV79" s="574" t="n"/>
      <c r="CW79" s="574" t="n"/>
      <c r="CX79" s="574" t="n"/>
      <c r="CY79" s="574" t="n"/>
      <c r="CZ79" s="574" t="n"/>
      <c r="DA79" s="574" t="n"/>
      <c r="DB79" s="574" t="n"/>
      <c r="DC79" s="574" t="n"/>
      <c r="DD79" s="574" t="n"/>
      <c r="DE79" s="574" t="n"/>
      <c r="DF79" s="574" t="n"/>
      <c r="DG79" s="574" t="n"/>
      <c r="DH79" s="574" t="n"/>
      <c r="DI79" s="574" t="n"/>
      <c r="DJ79" s="574" t="n"/>
      <c r="DK79" s="574" t="n"/>
      <c r="DL79" s="574" t="n"/>
      <c r="DM79" s="574" t="n"/>
      <c r="DN79" s="574" t="n"/>
      <c r="DO79" s="574" t="n"/>
      <c r="DP79" s="574" t="n"/>
      <c r="DQ79" s="574" t="n"/>
      <c r="DR79" s="574" t="n"/>
      <c r="DS79" s="574" t="n"/>
      <c r="DT79" s="574" t="n"/>
      <c r="DU79" s="574" t="n"/>
      <c r="DV79" s="574" t="n"/>
      <c r="DW79" s="574" t="n"/>
      <c r="DX79" s="574" t="n"/>
      <c r="DY79" s="574" t="n"/>
      <c r="DZ79" s="574" t="n"/>
      <c r="EA79" s="574" t="n"/>
      <c r="EB79" s="574" t="n"/>
      <c r="EC79" s="574" t="n"/>
      <c r="ED79" s="574" t="n"/>
      <c r="EE79" s="574" t="n"/>
      <c r="EF79" s="574" t="n"/>
      <c r="EG79" s="574" t="n"/>
      <c r="EH79" s="574" t="n"/>
      <c r="EI79" s="574" t="n"/>
      <c r="EJ79" s="574" t="n"/>
      <c r="EK79" s="574" t="n"/>
      <c r="EL79" s="574" t="n"/>
      <c r="EM79" s="574" t="n"/>
      <c r="EN79" s="574" t="n"/>
      <c r="EO79" s="574" t="n"/>
      <c r="EP79" s="574" t="n"/>
      <c r="EQ79" s="574" t="n"/>
      <c r="ER79" s="574" t="n"/>
      <c r="ES79" s="574" t="n"/>
      <c r="ET79" s="574" t="n"/>
      <c r="EU79" s="574" t="n"/>
      <c r="EV79" s="574" t="n"/>
      <c r="EW79" s="574" t="n"/>
      <c r="EX79" s="574" t="n"/>
      <c r="EY79" s="574" t="n"/>
      <c r="EZ79" s="574" t="n"/>
      <c r="FA79" s="574" t="n"/>
      <c r="FB79" s="574" t="n"/>
      <c r="FC79" s="574" t="n"/>
      <c r="FD79" s="574" t="n"/>
      <c r="FE79" s="574" t="n"/>
      <c r="FF79" s="574" t="n"/>
      <c r="FG79" s="574" t="n"/>
      <c r="FH79" s="574" t="n"/>
      <c r="FI79" s="574" t="n"/>
      <c r="FJ79" s="574" t="n"/>
      <c r="FK79" s="574" t="n"/>
      <c r="FL79" s="574" t="n"/>
      <c r="FM79" s="574" t="n"/>
      <c r="FN79" s="574" t="n"/>
      <c r="FO79" s="574" t="n"/>
      <c r="FP79" s="574" t="n"/>
      <c r="FQ79" s="574" t="n"/>
      <c r="FR79" s="574" t="n"/>
      <c r="FS79" s="574" t="n"/>
      <c r="FT79" s="574" t="n"/>
      <c r="FU79" s="574" t="n"/>
      <c r="FV79" s="574" t="n"/>
      <c r="FW79" s="574" t="n"/>
      <c r="FX79" s="574" t="n"/>
      <c r="FY79" s="574" t="n"/>
      <c r="FZ79" s="574" t="n"/>
      <c r="GA79" s="574" t="n"/>
      <c r="GB79" s="574" t="n"/>
      <c r="GC79" s="574" t="n"/>
      <c r="GD79" s="574" t="n"/>
      <c r="GE79" s="574" t="n"/>
      <c r="GF79" s="574" t="n"/>
    </row>
    <row r="80" customFormat="1" s="568">
      <c r="A80" s="86" t="n"/>
      <c r="B80" s="85" t="n"/>
      <c r="C80" s="84">
        <f>IFERROR(IF(AND($E80&gt;0,$D80&lt;&gt;"The Public"),$E80/SUMIFS($E$10:$E$205,$E$10:$E$205,"&gt;0",$D$10:$D$205,"&lt;&gt;The Public")*$D$5,""),"")</f>
        <v/>
      </c>
      <c r="D80" s="114" t="n"/>
      <c r="E80" s="84">
        <f>SUM(G80:HY80)</f>
        <v/>
      </c>
      <c r="F80" s="568">
        <f>IFERROR(IF($E80&gt;0.0000005,$E80/SUMIF($E$11:$E$140,"&gt;0.0000005"),""),"")</f>
        <v/>
      </c>
      <c r="H80" s="579" t="n"/>
      <c r="I80" s="579" t="n"/>
      <c r="J80" s="579" t="n"/>
      <c r="K80" s="579" t="n"/>
      <c r="L80" s="579" t="n"/>
      <c r="M80" s="574" t="n"/>
      <c r="N80" s="574" t="n"/>
      <c r="O80" s="574" t="n"/>
      <c r="P80" s="574" t="n"/>
      <c r="Q80" s="574" t="n"/>
      <c r="R80" s="574" t="n"/>
      <c r="S80" s="574" t="n"/>
      <c r="T80" s="574" t="n"/>
      <c r="U80" s="574" t="n"/>
      <c r="V80" s="574" t="n"/>
      <c r="W80" s="574" t="n"/>
      <c r="X80" s="574" t="n"/>
      <c r="Y80" s="574" t="n"/>
      <c r="Z80" s="574" t="n"/>
      <c r="AA80" s="574" t="n"/>
      <c r="AB80" s="574" t="n"/>
      <c r="AC80" s="574" t="n"/>
      <c r="AD80" s="574" t="n"/>
      <c r="AE80" s="574" t="n"/>
      <c r="AF80" s="574" t="n"/>
      <c r="AG80" s="574" t="n"/>
      <c r="AH80" s="574" t="n"/>
      <c r="AI80" s="574" t="n"/>
      <c r="AJ80" s="574" t="n"/>
      <c r="AK80" s="574" t="n"/>
      <c r="AL80" s="574" t="n"/>
      <c r="AM80" s="574" t="n"/>
      <c r="AN80" s="574" t="n"/>
      <c r="AO80" s="574" t="n"/>
      <c r="AP80" s="574" t="n"/>
      <c r="AQ80" s="574" t="n"/>
      <c r="AR80" s="574" t="n"/>
      <c r="AS80" s="574" t="n"/>
      <c r="AT80" s="574" t="n"/>
      <c r="AU80" s="574" t="n"/>
      <c r="AV80" s="574" t="n"/>
      <c r="AW80" s="574" t="n"/>
      <c r="AX80" s="574" t="n"/>
      <c r="AY80" s="574" t="n"/>
      <c r="AZ80" s="574" t="n"/>
      <c r="BA80" s="574" t="n"/>
      <c r="BB80" s="574" t="n"/>
      <c r="BC80" s="574" t="n"/>
      <c r="BD80" s="574" t="n"/>
      <c r="BE80" s="574" t="n"/>
      <c r="BF80" s="574" t="n"/>
      <c r="BG80" s="574" t="n"/>
      <c r="BH80" s="574" t="n"/>
      <c r="BI80" s="574" t="n"/>
      <c r="BJ80" s="574" t="n"/>
      <c r="BK80" s="574" t="n"/>
      <c r="BL80" s="574" t="n"/>
      <c r="BM80" s="574" t="n"/>
      <c r="BN80" s="574" t="n"/>
      <c r="BO80" s="574" t="n"/>
      <c r="BP80" s="574" t="n"/>
      <c r="BQ80" s="574" t="n"/>
      <c r="BR80" s="574" t="n"/>
      <c r="BS80" s="574" t="n"/>
      <c r="BT80" s="574" t="n"/>
      <c r="BU80" s="574" t="n"/>
      <c r="BV80" s="574" t="n"/>
      <c r="BW80" s="574" t="n"/>
      <c r="BX80" s="574" t="n"/>
      <c r="BY80" s="574" t="n"/>
      <c r="BZ80" s="574" t="n"/>
      <c r="CA80" s="574" t="n"/>
      <c r="CB80" s="574" t="n"/>
      <c r="CC80" s="574" t="n"/>
      <c r="CD80" s="574" t="n"/>
      <c r="CE80" s="574" t="n"/>
      <c r="CF80" s="574" t="n"/>
      <c r="CG80" s="574" t="n"/>
      <c r="CH80" s="574" t="n"/>
      <c r="CI80" s="574" t="n"/>
      <c r="CJ80" s="574" t="n"/>
      <c r="CK80" s="574" t="n"/>
      <c r="CL80" s="574" t="n"/>
      <c r="CM80" s="574" t="n"/>
      <c r="CN80" s="574" t="n"/>
      <c r="CO80" s="574" t="n"/>
      <c r="CP80" s="574" t="n"/>
      <c r="CQ80" s="574" t="n"/>
      <c r="CR80" s="574" t="n"/>
      <c r="CS80" s="574" t="n"/>
      <c r="CT80" s="574" t="n"/>
      <c r="CU80" s="574" t="n"/>
      <c r="CV80" s="574" t="n"/>
      <c r="CW80" s="574" t="n"/>
      <c r="CX80" s="574" t="n"/>
      <c r="CY80" s="574" t="n"/>
      <c r="CZ80" s="574" t="n"/>
      <c r="DA80" s="574" t="n"/>
      <c r="DB80" s="574" t="n"/>
      <c r="DC80" s="574" t="n"/>
      <c r="DD80" s="574" t="n"/>
      <c r="DE80" s="574" t="n"/>
      <c r="DF80" s="574" t="n"/>
      <c r="DG80" s="574" t="n"/>
      <c r="DH80" s="574" t="n"/>
      <c r="DI80" s="574" t="n"/>
      <c r="DJ80" s="574" t="n"/>
      <c r="DK80" s="574" t="n"/>
      <c r="DL80" s="574" t="n"/>
      <c r="DM80" s="574" t="n"/>
      <c r="DN80" s="574" t="n"/>
      <c r="DO80" s="574" t="n"/>
      <c r="DP80" s="574" t="n"/>
      <c r="DQ80" s="574" t="n"/>
      <c r="DR80" s="574" t="n"/>
      <c r="DS80" s="574" t="n"/>
      <c r="DT80" s="574" t="n"/>
      <c r="DU80" s="574" t="n"/>
      <c r="DV80" s="574" t="n"/>
      <c r="DW80" s="574" t="n"/>
      <c r="DX80" s="574" t="n"/>
      <c r="DY80" s="574" t="n"/>
      <c r="DZ80" s="574" t="n"/>
      <c r="EA80" s="574" t="n"/>
      <c r="EB80" s="574" t="n"/>
      <c r="EC80" s="574" t="n"/>
      <c r="ED80" s="574" t="n"/>
      <c r="EE80" s="574" t="n"/>
      <c r="EF80" s="574" t="n"/>
      <c r="EG80" s="574" t="n"/>
      <c r="EH80" s="574" t="n"/>
      <c r="EI80" s="574" t="n"/>
      <c r="EJ80" s="574" t="n"/>
      <c r="EK80" s="574" t="n"/>
      <c r="EL80" s="574" t="n"/>
      <c r="EM80" s="574" t="n"/>
      <c r="EN80" s="574" t="n"/>
      <c r="EO80" s="574" t="n"/>
      <c r="EP80" s="574" t="n"/>
      <c r="EQ80" s="574" t="n"/>
      <c r="ER80" s="574" t="n"/>
      <c r="ES80" s="574" t="n"/>
      <c r="ET80" s="574" t="n"/>
      <c r="EU80" s="574" t="n"/>
      <c r="EV80" s="574" t="n"/>
      <c r="EW80" s="574" t="n"/>
      <c r="EX80" s="574" t="n"/>
      <c r="EY80" s="574" t="n"/>
      <c r="EZ80" s="574" t="n"/>
      <c r="FA80" s="574" t="n"/>
      <c r="FB80" s="574" t="n"/>
      <c r="FC80" s="574" t="n"/>
      <c r="FD80" s="574" t="n"/>
      <c r="FE80" s="574" t="n"/>
      <c r="FF80" s="574" t="n"/>
      <c r="FG80" s="574" t="n"/>
      <c r="FH80" s="574" t="n"/>
      <c r="FI80" s="574" t="n"/>
      <c r="FJ80" s="574" t="n"/>
      <c r="FK80" s="574" t="n"/>
      <c r="FL80" s="574" t="n"/>
      <c r="FM80" s="574" t="n"/>
      <c r="FN80" s="574" t="n"/>
      <c r="FO80" s="574" t="n"/>
      <c r="FP80" s="574" t="n"/>
      <c r="FQ80" s="574" t="n"/>
      <c r="FR80" s="574" t="n"/>
      <c r="FS80" s="574" t="n"/>
      <c r="FT80" s="574" t="n"/>
      <c r="FU80" s="574" t="n"/>
      <c r="FV80" s="574" t="n"/>
      <c r="FW80" s="574" t="n"/>
      <c r="FX80" s="574" t="n"/>
      <c r="FY80" s="574" t="n"/>
      <c r="FZ80" s="574" t="n"/>
      <c r="GA80" s="574" t="n"/>
      <c r="GB80" s="574" t="n"/>
      <c r="GC80" s="574" t="n"/>
      <c r="GD80" s="574" t="n"/>
      <c r="GE80" s="574" t="n"/>
      <c r="GF80" s="574" t="n"/>
    </row>
    <row r="81" customFormat="1" s="568">
      <c r="A81" s="86" t="n"/>
      <c r="B81" s="85" t="n"/>
      <c r="C81" s="137">
        <f>IFERROR(IF(AND($E81&gt;0,$D81&lt;&gt;"The Public"),$E81/SUMIFS($E$10:$E$205,$E$10:$E$205,"&gt;0",$D$10:$D$205,"&lt;&gt;The Public")*$D$5,""),"")</f>
        <v/>
      </c>
      <c r="D81" s="51" t="n"/>
      <c r="E81" s="137">
        <f>SUM(G81:HY81)</f>
        <v/>
      </c>
      <c r="F81" s="568">
        <f>IFERROR(IF($E81&gt;0.0000005,$E81/SUMIF($E$11:$E$140,"&gt;0.0000005"),""),"")</f>
        <v/>
      </c>
      <c r="H81" s="579" t="n"/>
      <c r="I81" s="579" t="n"/>
      <c r="J81" s="579" t="n"/>
      <c r="K81" s="579" t="n"/>
      <c r="L81" s="579" t="n"/>
      <c r="M81" s="574" t="n"/>
      <c r="N81" s="574" t="n"/>
      <c r="O81" s="574" t="n"/>
      <c r="P81" s="574" t="n"/>
      <c r="Q81" s="574" t="n"/>
      <c r="R81" s="574" t="n"/>
      <c r="S81" s="574" t="n"/>
      <c r="T81" s="574" t="n"/>
      <c r="U81" s="574" t="n"/>
      <c r="V81" s="574" t="n"/>
      <c r="W81" s="574" t="n"/>
      <c r="X81" s="574" t="n"/>
      <c r="Y81" s="574" t="n"/>
      <c r="Z81" s="574" t="n"/>
      <c r="AA81" s="574" t="n"/>
      <c r="AB81" s="574" t="n"/>
      <c r="AC81" s="574" t="n"/>
      <c r="AD81" s="574" t="n"/>
      <c r="AE81" s="574" t="n"/>
      <c r="AF81" s="574" t="n"/>
      <c r="AG81" s="574" t="n"/>
      <c r="AH81" s="574" t="n"/>
      <c r="AI81" s="574" t="n"/>
      <c r="AJ81" s="574" t="n"/>
      <c r="AK81" s="574" t="n"/>
      <c r="AL81" s="574" t="n"/>
      <c r="AM81" s="574" t="n"/>
      <c r="AN81" s="574" t="n"/>
      <c r="AO81" s="574" t="n"/>
      <c r="AP81" s="574" t="n"/>
      <c r="AQ81" s="574" t="n"/>
      <c r="AR81" s="574" t="n"/>
      <c r="AS81" s="574" t="n"/>
      <c r="AT81" s="574" t="n"/>
      <c r="AU81" s="574" t="n"/>
      <c r="AV81" s="574" t="n"/>
      <c r="AW81" s="574" t="n"/>
      <c r="AX81" s="574" t="n"/>
      <c r="AY81" s="574" t="n"/>
      <c r="AZ81" s="574" t="n"/>
      <c r="BA81" s="574" t="n"/>
      <c r="BB81" s="574" t="n"/>
      <c r="BC81" s="574" t="n"/>
      <c r="BD81" s="574" t="n"/>
      <c r="BE81" s="574" t="n"/>
      <c r="BF81" s="574" t="n"/>
      <c r="BG81" s="574" t="n"/>
      <c r="BH81" s="574" t="n"/>
      <c r="BI81" s="574" t="n"/>
      <c r="BJ81" s="574" t="n"/>
      <c r="BK81" s="574" t="n"/>
      <c r="BL81" s="574" t="n"/>
      <c r="BM81" s="574" t="n"/>
      <c r="BN81" s="574" t="n"/>
      <c r="BO81" s="574" t="n"/>
      <c r="BP81" s="574" t="n"/>
      <c r="BQ81" s="574" t="n"/>
      <c r="BR81" s="574" t="n"/>
      <c r="BS81" s="574" t="n"/>
      <c r="BT81" s="574" t="n"/>
      <c r="BU81" s="574" t="n"/>
      <c r="BV81" s="574" t="n"/>
      <c r="BW81" s="574" t="n"/>
      <c r="BX81" s="574" t="n"/>
      <c r="BY81" s="574" t="n"/>
      <c r="BZ81" s="574" t="n"/>
      <c r="CA81" s="574" t="n"/>
      <c r="CB81" s="574" t="n"/>
      <c r="CC81" s="574" t="n"/>
      <c r="CD81" s="574" t="n"/>
      <c r="CE81" s="574" t="n"/>
      <c r="CF81" s="574" t="n"/>
      <c r="CG81" s="574" t="n"/>
      <c r="CH81" s="574" t="n"/>
      <c r="CI81" s="574" t="n"/>
      <c r="CJ81" s="574" t="n"/>
      <c r="CK81" s="574" t="n"/>
      <c r="CL81" s="574" t="n"/>
      <c r="CM81" s="574" t="n"/>
      <c r="CN81" s="574" t="n"/>
      <c r="CO81" s="574" t="n"/>
      <c r="CP81" s="574" t="n"/>
      <c r="CQ81" s="574" t="n"/>
      <c r="CR81" s="574" t="n"/>
      <c r="CS81" s="574" t="n"/>
      <c r="CT81" s="574" t="n"/>
      <c r="CU81" s="574" t="n"/>
      <c r="CV81" s="574" t="n"/>
      <c r="CW81" s="574" t="n"/>
      <c r="CX81" s="574" t="n"/>
      <c r="CY81" s="574" t="n"/>
      <c r="CZ81" s="574" t="n"/>
      <c r="DA81" s="574" t="n"/>
      <c r="DB81" s="574" t="n"/>
      <c r="DC81" s="574" t="n"/>
      <c r="DD81" s="574" t="n"/>
      <c r="DE81" s="574" t="n"/>
      <c r="DF81" s="574" t="n"/>
      <c r="DG81" s="574" t="n"/>
      <c r="DH81" s="574" t="n"/>
      <c r="DI81" s="574" t="n"/>
      <c r="DJ81" s="574" t="n"/>
      <c r="DK81" s="574" t="n"/>
      <c r="DL81" s="574" t="n"/>
      <c r="DM81" s="574" t="n"/>
      <c r="DN81" s="574" t="n"/>
      <c r="DO81" s="574" t="n"/>
      <c r="DP81" s="574" t="n"/>
      <c r="DQ81" s="574" t="n"/>
      <c r="DR81" s="574" t="n"/>
      <c r="DS81" s="574" t="n"/>
      <c r="DT81" s="574" t="n"/>
      <c r="DU81" s="574" t="n"/>
      <c r="DV81" s="574" t="n"/>
      <c r="DW81" s="574" t="n"/>
      <c r="DX81" s="574" t="n"/>
      <c r="DY81" s="574" t="n"/>
      <c r="DZ81" s="574" t="n"/>
      <c r="EA81" s="574" t="n"/>
      <c r="EB81" s="574" t="n"/>
      <c r="EC81" s="574" t="n"/>
      <c r="ED81" s="574" t="n"/>
      <c r="EE81" s="574" t="n"/>
      <c r="EF81" s="574" t="n"/>
      <c r="EG81" s="574" t="n"/>
      <c r="EH81" s="574" t="n"/>
      <c r="EI81" s="574" t="n"/>
      <c r="EJ81" s="574" t="n"/>
      <c r="EK81" s="574" t="n"/>
      <c r="EL81" s="574" t="n"/>
      <c r="EM81" s="574" t="n"/>
      <c r="EN81" s="574" t="n"/>
      <c r="EO81" s="574" t="n"/>
      <c r="EP81" s="574" t="n"/>
      <c r="EQ81" s="574" t="n"/>
      <c r="ER81" s="574" t="n"/>
      <c r="ES81" s="574" t="n"/>
      <c r="ET81" s="574" t="n"/>
      <c r="EU81" s="574" t="n"/>
      <c r="EV81" s="574" t="n"/>
      <c r="EW81" s="574" t="n"/>
      <c r="EX81" s="574" t="n"/>
      <c r="EY81" s="574" t="n"/>
      <c r="EZ81" s="574" t="n"/>
      <c r="FA81" s="574" t="n"/>
      <c r="FB81" s="574" t="n"/>
      <c r="FC81" s="574" t="n"/>
      <c r="FD81" s="574" t="n"/>
      <c r="FE81" s="574" t="n"/>
      <c r="FF81" s="574" t="n"/>
      <c r="FG81" s="574" t="n"/>
      <c r="FH81" s="574" t="n"/>
      <c r="FI81" s="574" t="n"/>
      <c r="FJ81" s="574" t="n"/>
      <c r="FK81" s="574" t="n"/>
      <c r="FL81" s="574" t="n"/>
      <c r="FM81" s="574" t="n"/>
      <c r="FN81" s="574" t="n"/>
      <c r="FO81" s="574" t="n"/>
      <c r="FP81" s="574" t="n"/>
      <c r="FQ81" s="574" t="n"/>
      <c r="FR81" s="574" t="n"/>
      <c r="FS81" s="574" t="n"/>
      <c r="FT81" s="574" t="n"/>
      <c r="FU81" s="574" t="n"/>
      <c r="FV81" s="574" t="n"/>
      <c r="FW81" s="574" t="n"/>
      <c r="FX81" s="574" t="n"/>
      <c r="FY81" s="574" t="n"/>
      <c r="FZ81" s="574" t="n"/>
      <c r="GA81" s="574" t="n"/>
      <c r="GB81" s="574" t="n"/>
      <c r="GC81" s="574" t="n"/>
      <c r="GD81" s="574" t="n"/>
      <c r="GE81" s="574" t="n"/>
      <c r="GF81" s="574" t="n"/>
    </row>
    <row r="82" customFormat="1" s="568">
      <c r="A82" s="86" t="n"/>
      <c r="B82" s="85" t="n"/>
      <c r="C82" s="84">
        <f>IFERROR(IF(AND($E82&gt;0,$D82&lt;&gt;"The Public"),$E82/SUMIFS($E$10:$E$205,$E$10:$E$205,"&gt;0",$D$10:$D$205,"&lt;&gt;The Public")*$D$5,""),"")</f>
        <v/>
      </c>
      <c r="D82" s="114" t="n"/>
      <c r="E82" s="84">
        <f>SUM(G82:HY82)</f>
        <v/>
      </c>
      <c r="F82" s="568">
        <f>IFERROR(IF($E82&gt;0.0000005,$E82/SUMIF($E$11:$E$140,"&gt;0.0000005"),""),"")</f>
        <v/>
      </c>
      <c r="H82" s="579" t="n"/>
      <c r="I82" s="579" t="n"/>
      <c r="J82" s="579" t="n"/>
      <c r="K82" s="579" t="n"/>
      <c r="L82" s="579" t="n"/>
      <c r="M82" s="574" t="n"/>
      <c r="N82" s="574" t="n"/>
      <c r="O82" s="574" t="n"/>
      <c r="P82" s="574" t="n"/>
      <c r="Q82" s="574" t="n"/>
      <c r="R82" s="574" t="n"/>
      <c r="S82" s="574" t="n"/>
      <c r="T82" s="574" t="n"/>
      <c r="U82" s="574" t="n"/>
      <c r="V82" s="574" t="n"/>
      <c r="W82" s="574" t="n"/>
      <c r="X82" s="574" t="n"/>
      <c r="Y82" s="574" t="n"/>
      <c r="Z82" s="574" t="n"/>
      <c r="AA82" s="574" t="n"/>
      <c r="AB82" s="574" t="n"/>
      <c r="AC82" s="574" t="n"/>
      <c r="AD82" s="574" t="n"/>
      <c r="AE82" s="574" t="n"/>
      <c r="AF82" s="574" t="n"/>
      <c r="AG82" s="574" t="n"/>
      <c r="AH82" s="574" t="n"/>
      <c r="AI82" s="574" t="n"/>
      <c r="AJ82" s="574" t="n"/>
      <c r="AK82" s="574" t="n"/>
      <c r="AL82" s="574" t="n"/>
      <c r="AM82" s="574" t="n"/>
      <c r="AN82" s="574" t="n"/>
      <c r="AO82" s="574" t="n"/>
      <c r="AP82" s="574" t="n"/>
      <c r="AQ82" s="574" t="n"/>
      <c r="AR82" s="574" t="n"/>
      <c r="AS82" s="574" t="n"/>
      <c r="AT82" s="574" t="n"/>
      <c r="AU82" s="574" t="n"/>
      <c r="AV82" s="574" t="n"/>
      <c r="AW82" s="574" t="n"/>
      <c r="AX82" s="574" t="n"/>
      <c r="AY82" s="574" t="n"/>
      <c r="AZ82" s="574" t="n"/>
      <c r="BA82" s="574" t="n"/>
      <c r="BB82" s="574" t="n"/>
      <c r="BC82" s="574" t="n"/>
      <c r="BD82" s="574" t="n"/>
      <c r="BE82" s="574" t="n"/>
      <c r="BF82" s="574" t="n"/>
      <c r="BG82" s="574" t="n"/>
      <c r="BH82" s="574" t="n"/>
      <c r="BI82" s="574" t="n"/>
      <c r="BJ82" s="574" t="n"/>
      <c r="BK82" s="574" t="n"/>
      <c r="BL82" s="574" t="n"/>
      <c r="BM82" s="574" t="n"/>
      <c r="BN82" s="574" t="n"/>
      <c r="BO82" s="574" t="n"/>
      <c r="BP82" s="574" t="n"/>
      <c r="BQ82" s="574" t="n"/>
      <c r="BR82" s="574" t="n"/>
      <c r="BS82" s="574" t="n"/>
      <c r="BT82" s="574" t="n"/>
      <c r="BU82" s="574" t="n"/>
      <c r="BV82" s="574" t="n"/>
      <c r="BW82" s="574" t="n"/>
      <c r="BX82" s="574" t="n"/>
      <c r="BY82" s="574" t="n"/>
      <c r="BZ82" s="574" t="n"/>
      <c r="CA82" s="574" t="n"/>
      <c r="CB82" s="574" t="n"/>
      <c r="CC82" s="574" t="n"/>
      <c r="CD82" s="574" t="n"/>
      <c r="CE82" s="574" t="n"/>
      <c r="CF82" s="574" t="n"/>
      <c r="CG82" s="574" t="n"/>
      <c r="CH82" s="574" t="n"/>
      <c r="CI82" s="574" t="n"/>
      <c r="CJ82" s="574" t="n"/>
      <c r="CK82" s="574" t="n"/>
      <c r="CL82" s="574" t="n"/>
      <c r="CM82" s="574" t="n"/>
      <c r="CN82" s="574" t="n"/>
      <c r="CO82" s="574" t="n"/>
      <c r="CP82" s="574" t="n"/>
      <c r="CQ82" s="574" t="n"/>
      <c r="CR82" s="574" t="n"/>
      <c r="CS82" s="574" t="n"/>
      <c r="CT82" s="574" t="n"/>
      <c r="CU82" s="574" t="n"/>
      <c r="CV82" s="574" t="n"/>
      <c r="CW82" s="574" t="n"/>
      <c r="CX82" s="574" t="n"/>
      <c r="CY82" s="574" t="n"/>
      <c r="CZ82" s="574" t="n"/>
      <c r="DA82" s="574" t="n"/>
      <c r="DB82" s="574" t="n"/>
      <c r="DC82" s="574" t="n"/>
      <c r="DD82" s="574" t="n"/>
      <c r="DE82" s="574" t="n"/>
      <c r="DF82" s="574" t="n"/>
      <c r="DG82" s="574" t="n"/>
      <c r="DH82" s="574" t="n"/>
      <c r="DI82" s="574" t="n"/>
      <c r="DJ82" s="574" t="n"/>
      <c r="DK82" s="574" t="n"/>
      <c r="DL82" s="574" t="n"/>
      <c r="DM82" s="574" t="n"/>
      <c r="DN82" s="574" t="n"/>
      <c r="DO82" s="574" t="n"/>
      <c r="DP82" s="574" t="n"/>
      <c r="DQ82" s="574" t="n"/>
      <c r="DR82" s="574" t="n"/>
      <c r="DS82" s="574" t="n"/>
      <c r="DT82" s="574" t="n"/>
      <c r="DU82" s="574" t="n"/>
      <c r="DV82" s="574" t="n"/>
      <c r="DW82" s="574" t="n"/>
      <c r="DX82" s="574" t="n"/>
      <c r="DY82" s="574" t="n"/>
      <c r="DZ82" s="574" t="n"/>
      <c r="EA82" s="574" t="n"/>
      <c r="EB82" s="574" t="n"/>
      <c r="EC82" s="574" t="n"/>
      <c r="ED82" s="574" t="n"/>
      <c r="EE82" s="574" t="n"/>
      <c r="EF82" s="574" t="n"/>
      <c r="EG82" s="574" t="n"/>
      <c r="EH82" s="574" t="n"/>
      <c r="EI82" s="574" t="n"/>
      <c r="EJ82" s="574" t="n"/>
      <c r="EK82" s="574" t="n"/>
      <c r="EL82" s="574" t="n"/>
      <c r="EM82" s="574" t="n"/>
      <c r="EN82" s="574" t="n"/>
      <c r="EO82" s="574" t="n"/>
      <c r="EP82" s="574" t="n"/>
      <c r="EQ82" s="574" t="n"/>
      <c r="ER82" s="574" t="n"/>
      <c r="ES82" s="574" t="n"/>
      <c r="ET82" s="574" t="n"/>
      <c r="EU82" s="574" t="n"/>
      <c r="EV82" s="574" t="n"/>
      <c r="EW82" s="574" t="n"/>
      <c r="EX82" s="574" t="n"/>
      <c r="EY82" s="574" t="n"/>
      <c r="EZ82" s="574" t="n"/>
      <c r="FA82" s="574" t="n"/>
      <c r="FB82" s="574" t="n"/>
      <c r="FC82" s="574" t="n"/>
      <c r="FD82" s="574" t="n"/>
      <c r="FE82" s="574" t="n"/>
      <c r="FF82" s="574" t="n"/>
      <c r="FG82" s="574" t="n"/>
      <c r="FH82" s="574" t="n"/>
      <c r="FI82" s="574" t="n"/>
      <c r="FJ82" s="574" t="n"/>
      <c r="FK82" s="574" t="n"/>
      <c r="FL82" s="574" t="n"/>
      <c r="FM82" s="574" t="n"/>
      <c r="FN82" s="574" t="n"/>
      <c r="FO82" s="574" t="n"/>
      <c r="FP82" s="574" t="n"/>
      <c r="FQ82" s="574" t="n"/>
      <c r="FR82" s="574" t="n"/>
      <c r="FS82" s="574" t="n"/>
      <c r="FT82" s="574" t="n"/>
      <c r="FU82" s="574" t="n"/>
      <c r="FV82" s="574" t="n"/>
      <c r="FW82" s="574" t="n"/>
      <c r="FX82" s="574" t="n"/>
      <c r="FY82" s="574" t="n"/>
      <c r="FZ82" s="574" t="n"/>
      <c r="GA82" s="574" t="n"/>
      <c r="GB82" s="574" t="n"/>
      <c r="GC82" s="574" t="n"/>
      <c r="GD82" s="574" t="n"/>
      <c r="GE82" s="574" t="n"/>
      <c r="GF82" s="574" t="n"/>
    </row>
    <row r="83" customFormat="1" s="568">
      <c r="A83" s="86" t="n"/>
      <c r="B83" s="85" t="n"/>
      <c r="C83" s="137">
        <f>IFERROR(IF(AND($E83&gt;0,$D83&lt;&gt;"The Public"),$E83/SUMIFS($E$10:$E$205,$E$10:$E$205,"&gt;0",$D$10:$D$205,"&lt;&gt;The Public")*$D$5,""),"")</f>
        <v/>
      </c>
      <c r="D83" s="51" t="n"/>
      <c r="E83" s="137">
        <f>SUM(G83:HY83)</f>
        <v/>
      </c>
      <c r="F83" s="568">
        <f>IFERROR(IF($E83&gt;0.0000005,$E83/SUMIF($E$11:$E$140,"&gt;0.0000005"),""),"")</f>
        <v/>
      </c>
      <c r="H83" s="579" t="n"/>
      <c r="I83" s="579" t="n"/>
      <c r="J83" s="579" t="n"/>
      <c r="K83" s="579" t="n"/>
      <c r="L83" s="579" t="n"/>
      <c r="M83" s="574" t="n"/>
      <c r="N83" s="574" t="n"/>
      <c r="O83" s="574" t="n"/>
      <c r="P83" s="574" t="n"/>
      <c r="Q83" s="574" t="n"/>
      <c r="R83" s="574" t="n"/>
      <c r="S83" s="574" t="n"/>
      <c r="T83" s="574" t="n"/>
      <c r="U83" s="574" t="n"/>
      <c r="V83" s="574" t="n"/>
      <c r="W83" s="574" t="n"/>
      <c r="X83" s="574" t="n"/>
      <c r="Y83" s="574" t="n"/>
      <c r="Z83" s="574" t="n"/>
      <c r="AA83" s="574" t="n"/>
      <c r="AB83" s="574" t="n"/>
      <c r="AC83" s="574" t="n"/>
      <c r="AD83" s="574" t="n"/>
      <c r="AE83" s="574" t="n"/>
      <c r="AF83" s="574" t="n"/>
      <c r="AG83" s="574" t="n"/>
      <c r="AH83" s="574" t="n"/>
      <c r="AI83" s="574" t="n"/>
      <c r="AJ83" s="574" t="n"/>
      <c r="AK83" s="574" t="n"/>
      <c r="AL83" s="574" t="n"/>
      <c r="AM83" s="574" t="n"/>
      <c r="AN83" s="574" t="n"/>
      <c r="AO83" s="574" t="n"/>
      <c r="AP83" s="574" t="n"/>
      <c r="AQ83" s="574" t="n"/>
      <c r="AR83" s="574" t="n"/>
      <c r="AS83" s="574" t="n"/>
      <c r="AT83" s="574" t="n"/>
      <c r="AU83" s="574" t="n"/>
      <c r="AV83" s="574" t="n"/>
      <c r="AW83" s="574" t="n"/>
      <c r="AX83" s="574" t="n"/>
      <c r="AY83" s="574" t="n"/>
      <c r="AZ83" s="574" t="n"/>
      <c r="BA83" s="574" t="n"/>
      <c r="BB83" s="574" t="n"/>
      <c r="BC83" s="574" t="n"/>
      <c r="BD83" s="574" t="n"/>
      <c r="BE83" s="574" t="n"/>
      <c r="BF83" s="574" t="n"/>
      <c r="BG83" s="574" t="n"/>
      <c r="BH83" s="574" t="n"/>
      <c r="BI83" s="574" t="n"/>
      <c r="BJ83" s="574" t="n"/>
      <c r="BK83" s="574" t="n"/>
      <c r="BL83" s="574" t="n"/>
      <c r="BM83" s="574" t="n"/>
      <c r="BN83" s="574" t="n"/>
      <c r="BO83" s="574" t="n"/>
      <c r="BP83" s="574" t="n"/>
      <c r="BQ83" s="574" t="n"/>
      <c r="BR83" s="574" t="n"/>
      <c r="BS83" s="574" t="n"/>
      <c r="BT83" s="574" t="n"/>
      <c r="BU83" s="574" t="n"/>
      <c r="BV83" s="574" t="n"/>
      <c r="BW83" s="574" t="n"/>
      <c r="BX83" s="574" t="n"/>
      <c r="BY83" s="574" t="n"/>
      <c r="BZ83" s="574" t="n"/>
      <c r="CA83" s="574" t="n"/>
      <c r="CB83" s="574" t="n"/>
      <c r="CC83" s="574" t="n"/>
      <c r="CD83" s="574" t="n"/>
      <c r="CE83" s="574" t="n"/>
      <c r="CF83" s="574" t="n"/>
      <c r="CG83" s="574" t="n"/>
      <c r="CH83" s="574" t="n"/>
      <c r="CI83" s="574" t="n"/>
      <c r="CJ83" s="574" t="n"/>
      <c r="CK83" s="574" t="n"/>
      <c r="CL83" s="574" t="n"/>
      <c r="CM83" s="574" t="n"/>
      <c r="CN83" s="574" t="n"/>
      <c r="CO83" s="574" t="n"/>
      <c r="CP83" s="574" t="n"/>
      <c r="CQ83" s="574" t="n"/>
      <c r="CR83" s="574" t="n"/>
      <c r="CS83" s="574" t="n"/>
      <c r="CT83" s="574" t="n"/>
      <c r="CU83" s="574" t="n"/>
      <c r="CV83" s="574" t="n"/>
      <c r="CW83" s="574" t="n"/>
      <c r="CX83" s="574" t="n"/>
      <c r="CY83" s="574" t="n"/>
      <c r="CZ83" s="574" t="n"/>
      <c r="DA83" s="574" t="n"/>
      <c r="DB83" s="574" t="n"/>
      <c r="DC83" s="574" t="n"/>
      <c r="DD83" s="574" t="n"/>
      <c r="DE83" s="574" t="n"/>
      <c r="DF83" s="574" t="n"/>
      <c r="DG83" s="574" t="n"/>
      <c r="DH83" s="574" t="n"/>
      <c r="DI83" s="574" t="n"/>
      <c r="DJ83" s="574" t="n"/>
      <c r="DK83" s="574" t="n"/>
      <c r="DL83" s="574" t="n"/>
      <c r="DM83" s="574" t="n"/>
      <c r="DN83" s="574" t="n"/>
      <c r="DO83" s="574" t="n"/>
      <c r="DP83" s="574" t="n"/>
      <c r="DQ83" s="574" t="n"/>
      <c r="DR83" s="574" t="n"/>
      <c r="DS83" s="574" t="n"/>
      <c r="DT83" s="574" t="n"/>
      <c r="DU83" s="574" t="n"/>
      <c r="DV83" s="574" t="n"/>
      <c r="DW83" s="574" t="n"/>
      <c r="DX83" s="574" t="n"/>
      <c r="DY83" s="574" t="n"/>
      <c r="DZ83" s="574" t="n"/>
      <c r="EA83" s="574" t="n"/>
      <c r="EB83" s="574" t="n"/>
      <c r="EC83" s="574" t="n"/>
      <c r="ED83" s="574" t="n"/>
      <c r="EE83" s="574" t="n"/>
      <c r="EF83" s="574" t="n"/>
      <c r="EG83" s="574" t="n"/>
      <c r="EH83" s="574" t="n"/>
      <c r="EI83" s="574" t="n"/>
      <c r="EJ83" s="574" t="n"/>
      <c r="EK83" s="574" t="n"/>
      <c r="EL83" s="574" t="n"/>
      <c r="EM83" s="574" t="n"/>
      <c r="EN83" s="574" t="n"/>
      <c r="EO83" s="574" t="n"/>
      <c r="EP83" s="574" t="n"/>
      <c r="EQ83" s="574" t="n"/>
      <c r="ER83" s="574" t="n"/>
      <c r="ES83" s="574" t="n"/>
      <c r="ET83" s="574" t="n"/>
      <c r="EU83" s="574" t="n"/>
      <c r="EV83" s="574" t="n"/>
      <c r="EW83" s="574" t="n"/>
      <c r="EX83" s="574" t="n"/>
      <c r="EY83" s="574" t="n"/>
      <c r="EZ83" s="574" t="n"/>
      <c r="FA83" s="574" t="n"/>
      <c r="FB83" s="574" t="n"/>
      <c r="FC83" s="574" t="n"/>
      <c r="FD83" s="574" t="n"/>
      <c r="FE83" s="574" t="n"/>
      <c r="FF83" s="574" t="n"/>
      <c r="FG83" s="574" t="n"/>
      <c r="FH83" s="574" t="n"/>
      <c r="FI83" s="574" t="n"/>
      <c r="FJ83" s="574" t="n"/>
      <c r="FK83" s="574" t="n"/>
      <c r="FL83" s="574" t="n"/>
      <c r="FM83" s="574" t="n"/>
      <c r="FN83" s="574" t="n"/>
      <c r="FO83" s="574" t="n"/>
      <c r="FP83" s="574" t="n"/>
      <c r="FQ83" s="574" t="n"/>
      <c r="FR83" s="574" t="n"/>
      <c r="FS83" s="574" t="n"/>
      <c r="FT83" s="574" t="n"/>
      <c r="FU83" s="574" t="n"/>
      <c r="FV83" s="574" t="n"/>
      <c r="FW83" s="574" t="n"/>
      <c r="FX83" s="574" t="n"/>
      <c r="FY83" s="574" t="n"/>
      <c r="FZ83" s="574" t="n"/>
      <c r="GA83" s="574" t="n"/>
      <c r="GB83" s="574" t="n"/>
      <c r="GC83" s="574" t="n"/>
      <c r="GD83" s="574" t="n"/>
      <c r="GE83" s="574" t="n"/>
      <c r="GF83" s="574" t="n"/>
    </row>
    <row r="84" customFormat="1" s="568">
      <c r="A84" s="86" t="n"/>
      <c r="B84" s="85" t="n"/>
      <c r="C84" s="84">
        <f>IFERROR(IF(AND($E84&gt;0,$D84&lt;&gt;"The Public"),$E84/SUMIFS($E$10:$E$205,$E$10:$E$205,"&gt;0",$D$10:$D$205,"&lt;&gt;The Public")*$D$5,""),"")</f>
        <v/>
      </c>
      <c r="D84" s="114" t="n"/>
      <c r="E84" s="84">
        <f>SUM(G84:HY84)</f>
        <v/>
      </c>
      <c r="F84" s="568">
        <f>IFERROR(IF($E84&gt;0.0000005,$E84/SUMIF($E$11:$E$140,"&gt;0.0000005"),""),"")</f>
        <v/>
      </c>
      <c r="H84" s="579" t="n"/>
      <c r="I84" s="579" t="n"/>
      <c r="J84" s="579" t="n"/>
      <c r="K84" s="579" t="n"/>
      <c r="L84" s="579" t="n"/>
      <c r="M84" s="574" t="n"/>
      <c r="N84" s="574" t="n"/>
      <c r="O84" s="574" t="n"/>
      <c r="P84" s="574" t="n"/>
      <c r="Q84" s="574" t="n"/>
      <c r="R84" s="574" t="n"/>
      <c r="S84" s="574" t="n"/>
      <c r="T84" s="574" t="n"/>
      <c r="U84" s="574" t="n"/>
      <c r="V84" s="574" t="n"/>
      <c r="W84" s="574" t="n"/>
      <c r="X84" s="574" t="n"/>
      <c r="Y84" s="574" t="n"/>
      <c r="Z84" s="574" t="n"/>
      <c r="AA84" s="574" t="n"/>
      <c r="AB84" s="574" t="n"/>
      <c r="AC84" s="574" t="n"/>
      <c r="AD84" s="574" t="n"/>
      <c r="AE84" s="574" t="n"/>
      <c r="AF84" s="574" t="n"/>
      <c r="AG84" s="574" t="n"/>
      <c r="AH84" s="574" t="n"/>
      <c r="AI84" s="574" t="n"/>
      <c r="AJ84" s="574" t="n"/>
      <c r="AK84" s="574" t="n"/>
      <c r="AL84" s="574" t="n"/>
      <c r="AM84" s="574" t="n"/>
      <c r="AN84" s="574" t="n"/>
      <c r="AO84" s="574" t="n"/>
      <c r="AP84" s="574" t="n"/>
      <c r="AQ84" s="574" t="n"/>
      <c r="AR84" s="574" t="n"/>
      <c r="AS84" s="574" t="n"/>
      <c r="AT84" s="574" t="n"/>
      <c r="AU84" s="574" t="n"/>
      <c r="AV84" s="574" t="n"/>
      <c r="AW84" s="574" t="n"/>
      <c r="AX84" s="574" t="n"/>
      <c r="AY84" s="574" t="n"/>
      <c r="AZ84" s="574" t="n"/>
      <c r="BA84" s="574" t="n"/>
      <c r="BB84" s="574" t="n"/>
      <c r="BC84" s="574" t="n"/>
      <c r="BD84" s="574" t="n"/>
      <c r="BE84" s="574" t="n"/>
      <c r="BF84" s="574" t="n"/>
      <c r="BG84" s="574" t="n"/>
      <c r="BH84" s="574" t="n"/>
      <c r="BI84" s="574" t="n"/>
      <c r="BJ84" s="574" t="n"/>
      <c r="BK84" s="574" t="n"/>
      <c r="BL84" s="574" t="n"/>
      <c r="BM84" s="574" t="n"/>
      <c r="BN84" s="574" t="n"/>
      <c r="BO84" s="574" t="n"/>
      <c r="BP84" s="574" t="n"/>
      <c r="BQ84" s="574" t="n"/>
      <c r="BR84" s="574" t="n"/>
      <c r="BS84" s="574" t="n"/>
      <c r="BT84" s="574" t="n"/>
      <c r="BU84" s="574" t="n"/>
      <c r="BV84" s="574" t="n"/>
      <c r="BW84" s="574" t="n"/>
      <c r="BX84" s="574" t="n"/>
      <c r="BY84" s="574" t="n"/>
      <c r="BZ84" s="574" t="n"/>
      <c r="CA84" s="574" t="n"/>
      <c r="CB84" s="574" t="n"/>
      <c r="CC84" s="574" t="n"/>
      <c r="CD84" s="574" t="n"/>
      <c r="CE84" s="574" t="n"/>
      <c r="CF84" s="574" t="n"/>
      <c r="CG84" s="574" t="n"/>
      <c r="CH84" s="574" t="n"/>
      <c r="CI84" s="574" t="n"/>
      <c r="CJ84" s="574" t="n"/>
      <c r="CK84" s="574" t="n"/>
      <c r="CL84" s="574" t="n"/>
      <c r="CM84" s="574" t="n"/>
      <c r="CN84" s="574" t="n"/>
      <c r="CO84" s="574" t="n"/>
      <c r="CP84" s="574" t="n"/>
      <c r="CQ84" s="574" t="n"/>
      <c r="CR84" s="574" t="n"/>
      <c r="CS84" s="574" t="n"/>
      <c r="CT84" s="574" t="n"/>
      <c r="CU84" s="574" t="n"/>
      <c r="CV84" s="574" t="n"/>
      <c r="CW84" s="574" t="n"/>
      <c r="CX84" s="574" t="n"/>
      <c r="CY84" s="574" t="n"/>
      <c r="CZ84" s="574" t="n"/>
      <c r="DA84" s="574" t="n"/>
      <c r="DB84" s="574" t="n"/>
      <c r="DC84" s="574" t="n"/>
      <c r="DD84" s="574" t="n"/>
      <c r="DE84" s="574" t="n"/>
      <c r="DF84" s="574" t="n"/>
      <c r="DG84" s="574" t="n"/>
      <c r="DH84" s="574" t="n"/>
      <c r="DI84" s="574" t="n"/>
      <c r="DJ84" s="574" t="n"/>
      <c r="DK84" s="574" t="n"/>
      <c r="DL84" s="574" t="n"/>
      <c r="DM84" s="574" t="n"/>
      <c r="DN84" s="574" t="n"/>
      <c r="DO84" s="574" t="n"/>
      <c r="DP84" s="574" t="n"/>
      <c r="DQ84" s="574" t="n"/>
      <c r="DR84" s="574" t="n"/>
      <c r="DS84" s="574" t="n"/>
      <c r="DT84" s="574" t="n"/>
      <c r="DU84" s="574" t="n"/>
      <c r="DV84" s="574" t="n"/>
      <c r="DW84" s="574" t="n"/>
      <c r="DX84" s="574" t="n"/>
      <c r="DY84" s="574" t="n"/>
      <c r="DZ84" s="574" t="n"/>
      <c r="EA84" s="574" t="n"/>
      <c r="EB84" s="574" t="n"/>
      <c r="EC84" s="574" t="n"/>
      <c r="ED84" s="574" t="n"/>
      <c r="EE84" s="574" t="n"/>
      <c r="EF84" s="574" t="n"/>
      <c r="EG84" s="574" t="n"/>
      <c r="EH84" s="574" t="n"/>
      <c r="EI84" s="574" t="n"/>
      <c r="EJ84" s="574" t="n"/>
      <c r="EK84" s="574" t="n"/>
      <c r="EL84" s="574" t="n"/>
      <c r="EM84" s="574" t="n"/>
      <c r="EN84" s="574" t="n"/>
      <c r="EO84" s="574" t="n"/>
      <c r="EP84" s="574" t="n"/>
      <c r="EQ84" s="574" t="n"/>
      <c r="ER84" s="574" t="n"/>
      <c r="ES84" s="574" t="n"/>
      <c r="ET84" s="574" t="n"/>
      <c r="EU84" s="574" t="n"/>
      <c r="EV84" s="574" t="n"/>
      <c r="EW84" s="574" t="n"/>
      <c r="EX84" s="574" t="n"/>
      <c r="EY84" s="574" t="n"/>
      <c r="EZ84" s="574" t="n"/>
      <c r="FA84" s="574" t="n"/>
      <c r="FB84" s="574" t="n"/>
      <c r="FC84" s="574" t="n"/>
      <c r="FD84" s="574" t="n"/>
      <c r="FE84" s="574" t="n"/>
      <c r="FF84" s="574" t="n"/>
      <c r="FG84" s="574" t="n"/>
      <c r="FH84" s="574" t="n"/>
      <c r="FI84" s="574" t="n"/>
      <c r="FJ84" s="574" t="n"/>
      <c r="FK84" s="574" t="n"/>
      <c r="FL84" s="574" t="n"/>
      <c r="FM84" s="574" t="n"/>
      <c r="FN84" s="574" t="n"/>
      <c r="FO84" s="574" t="n"/>
      <c r="FP84" s="574" t="n"/>
      <c r="FQ84" s="574" t="n"/>
      <c r="FR84" s="574" t="n"/>
      <c r="FS84" s="574" t="n"/>
      <c r="FT84" s="574" t="n"/>
      <c r="FU84" s="574" t="n"/>
      <c r="FV84" s="574" t="n"/>
      <c r="FW84" s="574" t="n"/>
      <c r="FX84" s="574" t="n"/>
      <c r="FY84" s="574" t="n"/>
      <c r="FZ84" s="574" t="n"/>
      <c r="GA84" s="574" t="n"/>
      <c r="GB84" s="574" t="n"/>
      <c r="GC84" s="574" t="n"/>
      <c r="GD84" s="574" t="n"/>
      <c r="GE84" s="574" t="n"/>
      <c r="GF84" s="574" t="n"/>
    </row>
    <row r="85" customFormat="1" s="568">
      <c r="A85" s="86" t="n"/>
      <c r="B85" s="85" t="n"/>
      <c r="C85" s="137">
        <f>IFERROR(IF(AND($E85&gt;0,$D85&lt;&gt;"The Public"),$E85/SUMIFS($E$10:$E$205,$E$10:$E$205,"&gt;0",$D$10:$D$205,"&lt;&gt;The Public")*$D$5,""),"")</f>
        <v/>
      </c>
      <c r="D85" s="51" t="n"/>
      <c r="E85" s="137">
        <f>SUM(G85:HY85)</f>
        <v/>
      </c>
      <c r="F85" s="568">
        <f>IFERROR(IF($E85&gt;0.0000005,$E85/SUMIF($E$11:$E$140,"&gt;0.0000005"),""),"")</f>
        <v/>
      </c>
      <c r="H85" s="579" t="n"/>
      <c r="I85" s="579" t="n"/>
      <c r="J85" s="579" t="n"/>
      <c r="K85" s="579" t="n"/>
      <c r="L85" s="579" t="n"/>
      <c r="M85" s="574" t="n"/>
      <c r="N85" s="574" t="n"/>
      <c r="O85" s="574" t="n"/>
      <c r="P85" s="574" t="n"/>
      <c r="Q85" s="574" t="n"/>
      <c r="R85" s="574" t="n"/>
      <c r="S85" s="574" t="n"/>
      <c r="T85" s="574" t="n"/>
      <c r="U85" s="574" t="n"/>
      <c r="V85" s="574" t="n"/>
      <c r="W85" s="574" t="n"/>
      <c r="X85" s="574" t="n"/>
      <c r="Y85" s="574" t="n"/>
      <c r="Z85" s="574" t="n"/>
      <c r="AA85" s="574" t="n"/>
      <c r="AB85" s="574" t="n"/>
      <c r="AC85" s="574" t="n"/>
      <c r="AD85" s="574" t="n"/>
      <c r="AE85" s="574" t="n"/>
      <c r="AF85" s="574" t="n"/>
      <c r="AG85" s="574" t="n"/>
      <c r="AH85" s="574" t="n"/>
      <c r="AI85" s="574" t="n"/>
      <c r="AJ85" s="574" t="n"/>
      <c r="AK85" s="574" t="n"/>
      <c r="AL85" s="574" t="n"/>
      <c r="AM85" s="574" t="n"/>
      <c r="AN85" s="574" t="n"/>
      <c r="AO85" s="574" t="n"/>
      <c r="AP85" s="574" t="n"/>
      <c r="AQ85" s="574" t="n"/>
      <c r="AR85" s="574" t="n"/>
      <c r="AS85" s="574" t="n"/>
      <c r="AT85" s="574" t="n"/>
      <c r="AU85" s="574" t="n"/>
      <c r="AV85" s="574" t="n"/>
      <c r="AW85" s="574" t="n"/>
      <c r="AX85" s="574" t="n"/>
      <c r="AY85" s="574" t="n"/>
      <c r="AZ85" s="574" t="n"/>
      <c r="BA85" s="574" t="n"/>
      <c r="BB85" s="574" t="n"/>
      <c r="BC85" s="574" t="n"/>
      <c r="BD85" s="574" t="n"/>
      <c r="BE85" s="574" t="n"/>
      <c r="BF85" s="574" t="n"/>
      <c r="BG85" s="574" t="n"/>
      <c r="BH85" s="574" t="n"/>
      <c r="BI85" s="574" t="n"/>
      <c r="BJ85" s="574" t="n"/>
      <c r="BK85" s="574" t="n"/>
      <c r="BL85" s="574" t="n"/>
      <c r="BM85" s="574" t="n"/>
      <c r="BN85" s="574" t="n"/>
      <c r="BO85" s="574" t="n"/>
      <c r="BP85" s="574" t="n"/>
      <c r="BQ85" s="574" t="n"/>
      <c r="BR85" s="574" t="n"/>
      <c r="BS85" s="574" t="n"/>
      <c r="BT85" s="574" t="n"/>
      <c r="BU85" s="574" t="n"/>
      <c r="BV85" s="574" t="n"/>
      <c r="BW85" s="574" t="n"/>
      <c r="BX85" s="574" t="n"/>
      <c r="BY85" s="574" t="n"/>
      <c r="BZ85" s="574" t="n"/>
      <c r="CA85" s="574" t="n"/>
      <c r="CB85" s="574" t="n"/>
      <c r="CC85" s="574" t="n"/>
      <c r="CD85" s="574" t="n"/>
      <c r="CE85" s="574" t="n"/>
      <c r="CF85" s="574" t="n"/>
      <c r="CG85" s="574" t="n"/>
      <c r="CH85" s="574" t="n"/>
      <c r="CI85" s="574" t="n"/>
      <c r="CJ85" s="574" t="n"/>
      <c r="CK85" s="574" t="n"/>
      <c r="CL85" s="574" t="n"/>
      <c r="CM85" s="574" t="n"/>
      <c r="CN85" s="574" t="n"/>
      <c r="CO85" s="574" t="n"/>
      <c r="CP85" s="574" t="n"/>
      <c r="CQ85" s="574" t="n"/>
      <c r="CR85" s="574" t="n"/>
      <c r="CS85" s="574" t="n"/>
      <c r="CT85" s="574" t="n"/>
      <c r="CU85" s="574" t="n"/>
      <c r="CV85" s="574" t="n"/>
      <c r="CW85" s="574" t="n"/>
      <c r="CX85" s="574" t="n"/>
      <c r="CY85" s="574" t="n"/>
      <c r="CZ85" s="574" t="n"/>
      <c r="DA85" s="574" t="n"/>
      <c r="DB85" s="574" t="n"/>
      <c r="DC85" s="574" t="n"/>
      <c r="DD85" s="574" t="n"/>
      <c r="DE85" s="574" t="n"/>
      <c r="DF85" s="574" t="n"/>
      <c r="DG85" s="574" t="n"/>
      <c r="DH85" s="574" t="n"/>
      <c r="DI85" s="574" t="n"/>
      <c r="DJ85" s="574" t="n"/>
      <c r="DK85" s="574" t="n"/>
      <c r="DL85" s="574" t="n"/>
      <c r="DM85" s="574" t="n"/>
      <c r="DN85" s="574" t="n"/>
      <c r="DO85" s="574" t="n"/>
      <c r="DP85" s="574" t="n"/>
      <c r="DQ85" s="574" t="n"/>
      <c r="DR85" s="574" t="n"/>
      <c r="DS85" s="574" t="n"/>
      <c r="DT85" s="574" t="n"/>
      <c r="DU85" s="574" t="n"/>
      <c r="DV85" s="574" t="n"/>
      <c r="DW85" s="574" t="n"/>
      <c r="DX85" s="574" t="n"/>
      <c r="DY85" s="574" t="n"/>
      <c r="DZ85" s="574" t="n"/>
      <c r="EA85" s="574" t="n"/>
      <c r="EB85" s="574" t="n"/>
      <c r="EC85" s="574" t="n"/>
      <c r="ED85" s="574" t="n"/>
      <c r="EE85" s="574" t="n"/>
      <c r="EF85" s="574" t="n"/>
      <c r="EG85" s="574" t="n"/>
      <c r="EH85" s="574" t="n"/>
      <c r="EI85" s="574" t="n"/>
      <c r="EJ85" s="574" t="n"/>
      <c r="EK85" s="574" t="n"/>
      <c r="EL85" s="574" t="n"/>
      <c r="EM85" s="574" t="n"/>
      <c r="EN85" s="574" t="n"/>
      <c r="EO85" s="574" t="n"/>
      <c r="EP85" s="574" t="n"/>
      <c r="EQ85" s="574" t="n"/>
      <c r="ER85" s="574" t="n"/>
      <c r="ES85" s="574" t="n"/>
      <c r="ET85" s="574" t="n"/>
      <c r="EU85" s="574" t="n"/>
      <c r="EV85" s="574" t="n"/>
      <c r="EW85" s="574" t="n"/>
      <c r="EX85" s="574" t="n"/>
      <c r="EY85" s="574" t="n"/>
      <c r="EZ85" s="574" t="n"/>
      <c r="FA85" s="574" t="n"/>
      <c r="FB85" s="574" t="n"/>
      <c r="FC85" s="574" t="n"/>
      <c r="FD85" s="574" t="n"/>
      <c r="FE85" s="574" t="n"/>
      <c r="FF85" s="574" t="n"/>
      <c r="FG85" s="574" t="n"/>
      <c r="FH85" s="574" t="n"/>
      <c r="FI85" s="574" t="n"/>
      <c r="FJ85" s="574" t="n"/>
      <c r="FK85" s="574" t="n"/>
      <c r="FL85" s="574" t="n"/>
      <c r="FM85" s="574" t="n"/>
      <c r="FN85" s="574" t="n"/>
      <c r="FO85" s="574" t="n"/>
      <c r="FP85" s="574" t="n"/>
      <c r="FQ85" s="574" t="n"/>
      <c r="FR85" s="574" t="n"/>
      <c r="FS85" s="574" t="n"/>
      <c r="FT85" s="574" t="n"/>
      <c r="FU85" s="574" t="n"/>
      <c r="FV85" s="574" t="n"/>
      <c r="FW85" s="574" t="n"/>
      <c r="FX85" s="574" t="n"/>
      <c r="FY85" s="574" t="n"/>
      <c r="FZ85" s="574" t="n"/>
      <c r="GA85" s="574" t="n"/>
      <c r="GB85" s="574" t="n"/>
      <c r="GC85" s="574" t="n"/>
      <c r="GD85" s="574" t="n"/>
      <c r="GE85" s="574" t="n"/>
      <c r="GF85" s="574" t="n"/>
    </row>
    <row r="86" customFormat="1" s="568">
      <c r="A86" s="86" t="n"/>
      <c r="B86" s="85" t="n"/>
      <c r="C86" s="84">
        <f>IFERROR(IF(AND($E86&gt;0,$D86&lt;&gt;"The Public"),$E86/SUMIFS($E$10:$E$205,$E$10:$E$205,"&gt;0",$D$10:$D$205,"&lt;&gt;The Public")*$D$5,""),"")</f>
        <v/>
      </c>
      <c r="D86" s="114" t="n"/>
      <c r="E86" s="84">
        <f>SUM(G86:HY86)</f>
        <v/>
      </c>
      <c r="F86" s="568">
        <f>IFERROR(IF($E86&gt;0.0000005,$E86/SUMIF($E$11:$E$140,"&gt;0.0000005"),""),"")</f>
        <v/>
      </c>
      <c r="H86" s="579" t="n"/>
      <c r="I86" s="579" t="n"/>
      <c r="J86" s="579" t="n"/>
      <c r="K86" s="579" t="n"/>
      <c r="L86" s="579" t="n"/>
      <c r="M86" s="574" t="n"/>
      <c r="N86" s="574" t="n"/>
      <c r="O86" s="574" t="n"/>
      <c r="P86" s="574" t="n"/>
      <c r="Q86" s="574" t="n"/>
      <c r="R86" s="574" t="n"/>
      <c r="S86" s="574" t="n"/>
      <c r="T86" s="574" t="n"/>
      <c r="U86" s="574" t="n"/>
      <c r="V86" s="574" t="n"/>
      <c r="W86" s="574" t="n"/>
      <c r="X86" s="574" t="n"/>
      <c r="Y86" s="574" t="n"/>
      <c r="Z86" s="574" t="n"/>
      <c r="AA86" s="574" t="n"/>
      <c r="AB86" s="574" t="n"/>
      <c r="AC86" s="574" t="n"/>
      <c r="AD86" s="574" t="n"/>
      <c r="AE86" s="574" t="n"/>
      <c r="AF86" s="574" t="n"/>
      <c r="AG86" s="574" t="n"/>
      <c r="AH86" s="574" t="n"/>
      <c r="AI86" s="574" t="n"/>
      <c r="AJ86" s="574" t="n"/>
      <c r="AK86" s="574" t="n"/>
      <c r="AL86" s="574" t="n"/>
      <c r="AM86" s="574" t="n"/>
      <c r="AN86" s="574" t="n"/>
      <c r="AO86" s="574" t="n"/>
      <c r="AP86" s="574" t="n"/>
      <c r="AQ86" s="574" t="n"/>
      <c r="AR86" s="574" t="n"/>
      <c r="AS86" s="574" t="n"/>
      <c r="AT86" s="574" t="n"/>
      <c r="AU86" s="574" t="n"/>
      <c r="AV86" s="574" t="n"/>
      <c r="AW86" s="574" t="n"/>
      <c r="AX86" s="574" t="n"/>
      <c r="AY86" s="574" t="n"/>
      <c r="AZ86" s="574" t="n"/>
      <c r="BA86" s="574" t="n"/>
      <c r="BB86" s="574" t="n"/>
      <c r="BC86" s="574" t="n"/>
      <c r="BD86" s="574" t="n"/>
      <c r="BE86" s="574" t="n"/>
      <c r="BF86" s="574" t="n"/>
      <c r="BG86" s="574" t="n"/>
      <c r="BH86" s="574" t="n"/>
      <c r="BI86" s="574" t="n"/>
      <c r="BJ86" s="574" t="n"/>
      <c r="BK86" s="574" t="n"/>
      <c r="BL86" s="574" t="n"/>
      <c r="BM86" s="574" t="n"/>
      <c r="BN86" s="574" t="n"/>
      <c r="BO86" s="574" t="n"/>
      <c r="BP86" s="574" t="n"/>
      <c r="BQ86" s="574" t="n"/>
      <c r="BR86" s="574" t="n"/>
      <c r="BS86" s="574" t="n"/>
      <c r="BT86" s="574" t="n"/>
      <c r="BU86" s="574" t="n"/>
      <c r="BV86" s="574" t="n"/>
      <c r="BW86" s="574" t="n"/>
      <c r="BX86" s="574" t="n"/>
      <c r="BY86" s="574" t="n"/>
      <c r="BZ86" s="574" t="n"/>
      <c r="CA86" s="574" t="n"/>
      <c r="CB86" s="574" t="n"/>
      <c r="CC86" s="574" t="n"/>
      <c r="CD86" s="574" t="n"/>
      <c r="CE86" s="574" t="n"/>
      <c r="CF86" s="574" t="n"/>
      <c r="CG86" s="574" t="n"/>
      <c r="CH86" s="574" t="n"/>
      <c r="CI86" s="574" t="n"/>
      <c r="CJ86" s="574" t="n"/>
      <c r="CK86" s="574" t="n"/>
      <c r="CL86" s="574" t="n"/>
      <c r="CM86" s="574" t="n"/>
      <c r="CN86" s="574" t="n"/>
      <c r="CO86" s="574" t="n"/>
      <c r="CP86" s="574" t="n"/>
      <c r="CQ86" s="574" t="n"/>
      <c r="CR86" s="574" t="n"/>
      <c r="CS86" s="574" t="n"/>
      <c r="CT86" s="574" t="n"/>
      <c r="CU86" s="574" t="n"/>
      <c r="CV86" s="574" t="n"/>
      <c r="CW86" s="574" t="n"/>
      <c r="CX86" s="574" t="n"/>
      <c r="CY86" s="574" t="n"/>
      <c r="CZ86" s="574" t="n"/>
      <c r="DA86" s="574" t="n"/>
      <c r="DB86" s="574" t="n"/>
      <c r="DC86" s="574" t="n"/>
      <c r="DD86" s="574" t="n"/>
      <c r="DE86" s="574" t="n"/>
      <c r="DF86" s="574" t="n"/>
      <c r="DG86" s="574" t="n"/>
      <c r="DH86" s="574" t="n"/>
      <c r="DI86" s="574" t="n"/>
      <c r="DJ86" s="574" t="n"/>
      <c r="DK86" s="574" t="n"/>
      <c r="DL86" s="574" t="n"/>
      <c r="DM86" s="574" t="n"/>
      <c r="DN86" s="574" t="n"/>
      <c r="DO86" s="574" t="n"/>
      <c r="DP86" s="574" t="n"/>
      <c r="DQ86" s="574" t="n"/>
      <c r="DR86" s="574" t="n"/>
      <c r="DS86" s="574" t="n"/>
      <c r="DT86" s="574" t="n"/>
      <c r="DU86" s="574" t="n"/>
      <c r="DV86" s="574" t="n"/>
      <c r="DW86" s="574" t="n"/>
      <c r="DX86" s="574" t="n"/>
      <c r="DY86" s="574" t="n"/>
      <c r="DZ86" s="574" t="n"/>
      <c r="EA86" s="574" t="n"/>
      <c r="EB86" s="574" t="n"/>
      <c r="EC86" s="574" t="n"/>
      <c r="ED86" s="574" t="n"/>
      <c r="EE86" s="574" t="n"/>
      <c r="EF86" s="574" t="n"/>
      <c r="EG86" s="574" t="n"/>
      <c r="EH86" s="574" t="n"/>
      <c r="EI86" s="574" t="n"/>
      <c r="EJ86" s="574" t="n"/>
      <c r="EK86" s="574" t="n"/>
      <c r="EL86" s="574" t="n"/>
      <c r="EM86" s="574" t="n"/>
      <c r="EN86" s="574" t="n"/>
      <c r="EO86" s="574" t="n"/>
      <c r="EP86" s="574" t="n"/>
      <c r="EQ86" s="574" t="n"/>
      <c r="ER86" s="574" t="n"/>
      <c r="ES86" s="574" t="n"/>
      <c r="ET86" s="574" t="n"/>
      <c r="EU86" s="574" t="n"/>
      <c r="EV86" s="574" t="n"/>
      <c r="EW86" s="574" t="n"/>
      <c r="EX86" s="574" t="n"/>
      <c r="EY86" s="574" t="n"/>
      <c r="EZ86" s="574" t="n"/>
      <c r="FA86" s="574" t="n"/>
      <c r="FB86" s="574" t="n"/>
      <c r="FC86" s="574" t="n"/>
      <c r="FD86" s="574" t="n"/>
      <c r="FE86" s="574" t="n"/>
      <c r="FF86" s="574" t="n"/>
      <c r="FG86" s="574" t="n"/>
      <c r="FH86" s="574" t="n"/>
      <c r="FI86" s="574" t="n"/>
      <c r="FJ86" s="574" t="n"/>
      <c r="FK86" s="574" t="n"/>
      <c r="FL86" s="574" t="n"/>
      <c r="FM86" s="574" t="n"/>
      <c r="FN86" s="574" t="n"/>
      <c r="FO86" s="574" t="n"/>
      <c r="FP86" s="574" t="n"/>
      <c r="FQ86" s="574" t="n"/>
      <c r="FR86" s="574" t="n"/>
      <c r="FS86" s="574" t="n"/>
      <c r="FT86" s="574" t="n"/>
      <c r="FU86" s="574" t="n"/>
      <c r="FV86" s="574" t="n"/>
      <c r="FW86" s="574" t="n"/>
      <c r="FX86" s="574" t="n"/>
      <c r="FY86" s="574" t="n"/>
      <c r="FZ86" s="574" t="n"/>
      <c r="GA86" s="574" t="n"/>
      <c r="GB86" s="574" t="n"/>
      <c r="GC86" s="574" t="n"/>
      <c r="GD86" s="574" t="n"/>
      <c r="GE86" s="574" t="n"/>
      <c r="GF86" s="574" t="n"/>
    </row>
    <row r="87" customFormat="1" s="568">
      <c r="A87" s="86" t="n"/>
      <c r="B87" s="85" t="n"/>
      <c r="C87" s="84">
        <f>IFERROR(IF(AND($E87&gt;0,$D87&lt;&gt;"The Public"),$E87/SUMIFS($E$10:$E$205,$E$10:$E$205,"&gt;0",$D$10:$D$205,"&lt;&gt;The Public")*$D$5,""),"")</f>
        <v/>
      </c>
      <c r="D87" s="114" t="n"/>
      <c r="E87" s="84">
        <f>SUM(G87:HY87)</f>
        <v/>
      </c>
      <c r="F87" s="568">
        <f>IFERROR(IF($E87&gt;0.0000005,$E87/SUMIF($E$11:$E$140,"&gt;0.0000005"),""),"")</f>
        <v/>
      </c>
      <c r="H87" s="579" t="n"/>
      <c r="I87" s="579" t="n"/>
      <c r="J87" s="579" t="n"/>
      <c r="K87" s="579" t="n"/>
      <c r="L87" s="579" t="n"/>
      <c r="M87" s="574" t="n"/>
      <c r="N87" s="574" t="n"/>
      <c r="O87" s="574" t="n"/>
      <c r="P87" s="574" t="n"/>
      <c r="Q87" s="574" t="n"/>
      <c r="R87" s="574" t="n"/>
      <c r="S87" s="574" t="n"/>
      <c r="T87" s="574" t="n"/>
      <c r="U87" s="574" t="n"/>
      <c r="V87" s="574" t="n"/>
      <c r="W87" s="574" t="n"/>
      <c r="X87" s="574" t="n"/>
      <c r="Y87" s="574" t="n"/>
      <c r="Z87" s="574" t="n"/>
      <c r="AA87" s="574" t="n"/>
      <c r="AB87" s="574" t="n"/>
      <c r="AC87" s="574" t="n"/>
      <c r="AD87" s="574" t="n"/>
      <c r="AE87" s="574" t="n"/>
      <c r="AF87" s="574" t="n"/>
      <c r="AG87" s="574" t="n"/>
      <c r="AH87" s="574" t="n"/>
      <c r="AI87" s="574" t="n"/>
      <c r="AJ87" s="574" t="n"/>
      <c r="AK87" s="574" t="n"/>
      <c r="AL87" s="574" t="n"/>
      <c r="AM87" s="574" t="n"/>
      <c r="AN87" s="574" t="n"/>
      <c r="AO87" s="574" t="n"/>
      <c r="AP87" s="574" t="n"/>
      <c r="AQ87" s="574" t="n"/>
      <c r="AR87" s="574" t="n"/>
      <c r="AS87" s="574" t="n"/>
      <c r="AT87" s="574" t="n"/>
      <c r="AU87" s="574" t="n"/>
      <c r="AV87" s="574" t="n"/>
      <c r="AW87" s="574" t="n"/>
      <c r="AX87" s="574" t="n"/>
      <c r="AY87" s="574" t="n"/>
      <c r="AZ87" s="574" t="n"/>
      <c r="BA87" s="574" t="n"/>
      <c r="BB87" s="574" t="n"/>
      <c r="BC87" s="574" t="n"/>
      <c r="BD87" s="574" t="n"/>
      <c r="BE87" s="574" t="n"/>
      <c r="BF87" s="574" t="n"/>
      <c r="BG87" s="574" t="n"/>
      <c r="BH87" s="574" t="n"/>
      <c r="BI87" s="574" t="n"/>
      <c r="BJ87" s="574" t="n"/>
      <c r="BK87" s="574" t="n"/>
      <c r="BL87" s="574" t="n"/>
      <c r="BM87" s="574" t="n"/>
      <c r="BN87" s="574" t="n"/>
      <c r="BO87" s="574" t="n"/>
      <c r="BP87" s="574" t="n"/>
      <c r="BQ87" s="574" t="n"/>
      <c r="BR87" s="574" t="n"/>
      <c r="BS87" s="574" t="n"/>
      <c r="BT87" s="574" t="n"/>
      <c r="BU87" s="574" t="n"/>
      <c r="BV87" s="574" t="n"/>
      <c r="BW87" s="574" t="n"/>
      <c r="BX87" s="574" t="n"/>
      <c r="BY87" s="574" t="n"/>
      <c r="BZ87" s="574" t="n"/>
      <c r="CA87" s="574" t="n"/>
      <c r="CB87" s="574" t="n"/>
      <c r="CC87" s="574" t="n"/>
      <c r="CD87" s="574" t="n"/>
      <c r="CE87" s="574" t="n"/>
      <c r="CF87" s="574" t="n"/>
      <c r="CG87" s="574" t="n"/>
      <c r="CH87" s="574" t="n"/>
      <c r="CI87" s="574" t="n"/>
      <c r="CJ87" s="574" t="n"/>
      <c r="CK87" s="574" t="n"/>
      <c r="CL87" s="574" t="n"/>
      <c r="CM87" s="574" t="n"/>
      <c r="CN87" s="574" t="n"/>
      <c r="CO87" s="574" t="n"/>
      <c r="CP87" s="574" t="n"/>
      <c r="CQ87" s="574" t="n"/>
      <c r="CR87" s="574" t="n"/>
      <c r="CS87" s="574" t="n"/>
      <c r="CT87" s="574" t="n"/>
      <c r="CU87" s="574" t="n"/>
      <c r="CV87" s="574" t="n"/>
      <c r="CW87" s="574" t="n"/>
      <c r="CX87" s="574" t="n"/>
      <c r="CY87" s="574" t="n"/>
      <c r="CZ87" s="574" t="n"/>
      <c r="DA87" s="574" t="n"/>
      <c r="DB87" s="574" t="n"/>
      <c r="DC87" s="574" t="n"/>
      <c r="DD87" s="574" t="n"/>
      <c r="DE87" s="574" t="n"/>
      <c r="DF87" s="574" t="n"/>
      <c r="DG87" s="574" t="n"/>
      <c r="DH87" s="574" t="n"/>
      <c r="DI87" s="574" t="n"/>
      <c r="DJ87" s="574" t="n"/>
      <c r="DK87" s="574" t="n"/>
      <c r="DL87" s="574" t="n"/>
      <c r="DM87" s="574" t="n"/>
      <c r="DN87" s="574" t="n"/>
      <c r="DO87" s="574" t="n"/>
      <c r="DP87" s="574" t="n"/>
      <c r="DQ87" s="574" t="n"/>
      <c r="DR87" s="574" t="n"/>
      <c r="DS87" s="574" t="n"/>
      <c r="DT87" s="574" t="n"/>
      <c r="DU87" s="574" t="n"/>
      <c r="DV87" s="574" t="n"/>
      <c r="DW87" s="574" t="n"/>
      <c r="DX87" s="574" t="n"/>
      <c r="DY87" s="574" t="n"/>
      <c r="DZ87" s="574" t="n"/>
      <c r="EA87" s="574" t="n"/>
      <c r="EB87" s="574" t="n"/>
      <c r="EC87" s="574" t="n"/>
      <c r="ED87" s="574" t="n"/>
      <c r="EE87" s="574" t="n"/>
      <c r="EF87" s="574" t="n"/>
      <c r="EG87" s="574" t="n"/>
      <c r="EH87" s="574" t="n"/>
      <c r="EI87" s="574" t="n"/>
      <c r="EJ87" s="574" t="n"/>
      <c r="EK87" s="574" t="n"/>
      <c r="EL87" s="574" t="n"/>
      <c r="EM87" s="574" t="n"/>
      <c r="EN87" s="574" t="n"/>
      <c r="EO87" s="574" t="n"/>
      <c r="EP87" s="574" t="n"/>
      <c r="EQ87" s="574" t="n"/>
      <c r="ER87" s="574" t="n"/>
      <c r="ES87" s="574" t="n"/>
      <c r="ET87" s="574" t="n"/>
      <c r="EU87" s="574" t="n"/>
      <c r="EV87" s="574" t="n"/>
      <c r="EW87" s="574" t="n"/>
      <c r="EX87" s="574" t="n"/>
      <c r="EY87" s="574" t="n"/>
      <c r="EZ87" s="574" t="n"/>
      <c r="FA87" s="574" t="n"/>
      <c r="FB87" s="574" t="n"/>
      <c r="FC87" s="574" t="n"/>
      <c r="FD87" s="574" t="n"/>
      <c r="FE87" s="574" t="n"/>
      <c r="FF87" s="574" t="n"/>
      <c r="FG87" s="574" t="n"/>
      <c r="FH87" s="574" t="n"/>
      <c r="FI87" s="574" t="n"/>
      <c r="FJ87" s="574" t="n"/>
      <c r="FK87" s="574" t="n"/>
      <c r="FL87" s="574" t="n"/>
      <c r="FM87" s="574" t="n"/>
      <c r="FN87" s="574" t="n"/>
      <c r="FO87" s="574" t="n"/>
      <c r="FP87" s="574" t="n"/>
      <c r="FQ87" s="574" t="n"/>
      <c r="FR87" s="574" t="n"/>
      <c r="FS87" s="574" t="n"/>
      <c r="FT87" s="574" t="n"/>
      <c r="FU87" s="574" t="n"/>
      <c r="FV87" s="574" t="n"/>
      <c r="FW87" s="574" t="n"/>
      <c r="FX87" s="574" t="n"/>
      <c r="FY87" s="574" t="n"/>
      <c r="FZ87" s="574" t="n"/>
      <c r="GA87" s="574" t="n"/>
      <c r="GB87" s="574" t="n"/>
      <c r="GC87" s="574" t="n"/>
      <c r="GD87" s="574" t="n"/>
      <c r="GE87" s="574" t="n"/>
      <c r="GF87" s="574" t="n"/>
    </row>
    <row r="88" customFormat="1" s="568">
      <c r="A88" s="86" t="n"/>
      <c r="B88" s="85" t="n"/>
      <c r="C88" s="84">
        <f>IFERROR(IF(AND($E88&gt;0,$D88&lt;&gt;"The Public"),$E88/SUMIFS($E$10:$E$205,$E$10:$E$205,"&gt;0",$D$10:$D$205,"&lt;&gt;The Public")*$D$5,""),"")</f>
        <v/>
      </c>
      <c r="D88" s="114" t="n"/>
      <c r="E88" s="84">
        <f>SUM(G88:HY88)</f>
        <v/>
      </c>
      <c r="F88" s="568">
        <f>IFERROR(IF($E88&gt;0.0000005,$E88/SUMIF($E$11:$E$140,"&gt;0.0000005"),""),"")</f>
        <v/>
      </c>
      <c r="H88" s="579" t="n"/>
      <c r="I88" s="579" t="n"/>
      <c r="J88" s="579" t="n"/>
      <c r="K88" s="579" t="n"/>
      <c r="L88" s="579" t="n"/>
      <c r="M88" s="574" t="n"/>
      <c r="N88" s="574" t="n"/>
      <c r="O88" s="574" t="n"/>
      <c r="P88" s="574" t="n"/>
      <c r="Q88" s="574" t="n"/>
      <c r="R88" s="574" t="n"/>
      <c r="S88" s="574" t="n"/>
      <c r="T88" s="574" t="n"/>
      <c r="U88" s="574" t="n"/>
      <c r="V88" s="574" t="n"/>
      <c r="W88" s="574" t="n"/>
      <c r="X88" s="574" t="n"/>
      <c r="Y88" s="574" t="n"/>
      <c r="Z88" s="574" t="n"/>
      <c r="AA88" s="574" t="n"/>
      <c r="AB88" s="574" t="n"/>
      <c r="AC88" s="574" t="n"/>
      <c r="AD88" s="574" t="n"/>
      <c r="AE88" s="574" t="n"/>
      <c r="AF88" s="574" t="n"/>
      <c r="AG88" s="574" t="n"/>
      <c r="AH88" s="574" t="n"/>
      <c r="AI88" s="574" t="n"/>
      <c r="AJ88" s="574" t="n"/>
      <c r="AK88" s="574" t="n"/>
      <c r="AL88" s="574" t="n"/>
      <c r="AM88" s="574" t="n"/>
      <c r="AN88" s="574" t="n"/>
      <c r="AO88" s="574" t="n"/>
      <c r="AP88" s="574" t="n"/>
      <c r="AQ88" s="574" t="n"/>
      <c r="AR88" s="574" t="n"/>
      <c r="AS88" s="574" t="n"/>
      <c r="AT88" s="574" t="n"/>
      <c r="AU88" s="574" t="n"/>
      <c r="AV88" s="574" t="n"/>
      <c r="AW88" s="574" t="n"/>
      <c r="AX88" s="574" t="n"/>
      <c r="AY88" s="574" t="n"/>
      <c r="AZ88" s="574" t="n"/>
      <c r="BA88" s="574" t="n"/>
      <c r="BB88" s="574" t="n"/>
      <c r="BC88" s="574" t="n"/>
      <c r="BD88" s="574" t="n"/>
      <c r="BE88" s="574" t="n"/>
      <c r="BF88" s="574" t="n"/>
      <c r="BG88" s="574" t="n"/>
      <c r="BH88" s="574" t="n"/>
      <c r="BI88" s="574" t="n"/>
      <c r="BJ88" s="574" t="n"/>
      <c r="BK88" s="574" t="n"/>
      <c r="BL88" s="574" t="n"/>
      <c r="BM88" s="574" t="n"/>
      <c r="BN88" s="574" t="n"/>
      <c r="BO88" s="574" t="n"/>
      <c r="BP88" s="574" t="n"/>
      <c r="BQ88" s="574" t="n"/>
      <c r="BR88" s="574" t="n"/>
      <c r="BS88" s="574" t="n"/>
      <c r="BT88" s="574" t="n"/>
      <c r="BU88" s="574" t="n"/>
      <c r="BV88" s="574" t="n"/>
      <c r="BW88" s="574" t="n"/>
      <c r="BX88" s="574" t="n"/>
      <c r="BY88" s="574" t="n"/>
      <c r="BZ88" s="574" t="n"/>
      <c r="CA88" s="574" t="n"/>
      <c r="CB88" s="574" t="n"/>
      <c r="CC88" s="574" t="n"/>
      <c r="CD88" s="574" t="n"/>
      <c r="CE88" s="574" t="n"/>
      <c r="CF88" s="574" t="n"/>
      <c r="CG88" s="574" t="n"/>
      <c r="CH88" s="574" t="n"/>
      <c r="CI88" s="574" t="n"/>
      <c r="CJ88" s="574" t="n"/>
      <c r="CK88" s="574" t="n"/>
      <c r="CL88" s="574" t="n"/>
      <c r="CM88" s="574" t="n"/>
      <c r="CN88" s="574" t="n"/>
      <c r="CO88" s="574" t="n"/>
      <c r="CP88" s="574" t="n"/>
      <c r="CQ88" s="574" t="n"/>
      <c r="CR88" s="574" t="n"/>
      <c r="CS88" s="574" t="n"/>
      <c r="CT88" s="574" t="n"/>
      <c r="CU88" s="574" t="n"/>
      <c r="CV88" s="574" t="n"/>
      <c r="CW88" s="574" t="n"/>
      <c r="CX88" s="574" t="n"/>
      <c r="CY88" s="574" t="n"/>
      <c r="CZ88" s="574" t="n"/>
      <c r="DA88" s="574" t="n"/>
      <c r="DB88" s="574" t="n"/>
      <c r="DC88" s="574" t="n"/>
      <c r="DD88" s="574" t="n"/>
      <c r="DE88" s="574" t="n"/>
      <c r="DF88" s="574" t="n"/>
      <c r="DG88" s="574" t="n"/>
      <c r="DH88" s="574" t="n"/>
      <c r="DI88" s="574" t="n"/>
      <c r="DJ88" s="574" t="n"/>
      <c r="DK88" s="574" t="n"/>
      <c r="DL88" s="574" t="n"/>
      <c r="DM88" s="574" t="n"/>
      <c r="DN88" s="574" t="n"/>
      <c r="DO88" s="574" t="n"/>
      <c r="DP88" s="574" t="n"/>
      <c r="DQ88" s="574" t="n"/>
      <c r="DR88" s="574" t="n"/>
      <c r="DS88" s="574" t="n"/>
      <c r="DT88" s="574" t="n"/>
      <c r="DU88" s="574" t="n"/>
      <c r="DV88" s="574" t="n"/>
      <c r="DW88" s="574" t="n"/>
      <c r="DX88" s="574" t="n"/>
      <c r="DY88" s="574" t="n"/>
      <c r="DZ88" s="574" t="n"/>
      <c r="EA88" s="574" t="n"/>
      <c r="EB88" s="574" t="n"/>
      <c r="EC88" s="574" t="n"/>
      <c r="ED88" s="574" t="n"/>
      <c r="EE88" s="574" t="n"/>
      <c r="EF88" s="574" t="n"/>
      <c r="EG88" s="574" t="n"/>
      <c r="EH88" s="574" t="n"/>
      <c r="EI88" s="574" t="n"/>
      <c r="EJ88" s="574" t="n"/>
      <c r="EK88" s="574" t="n"/>
      <c r="EL88" s="574" t="n"/>
      <c r="EM88" s="574" t="n"/>
      <c r="EN88" s="574" t="n"/>
      <c r="EO88" s="574" t="n"/>
      <c r="EP88" s="574" t="n"/>
      <c r="EQ88" s="574" t="n"/>
      <c r="ER88" s="574" t="n"/>
      <c r="ES88" s="574" t="n"/>
      <c r="ET88" s="574" t="n"/>
      <c r="EU88" s="574" t="n"/>
      <c r="EV88" s="574" t="n"/>
      <c r="EW88" s="574" t="n"/>
      <c r="EX88" s="574" t="n"/>
      <c r="EY88" s="574" t="n"/>
      <c r="EZ88" s="574" t="n"/>
      <c r="FA88" s="574" t="n"/>
      <c r="FB88" s="574" t="n"/>
      <c r="FC88" s="574" t="n"/>
      <c r="FD88" s="574" t="n"/>
      <c r="FE88" s="574" t="n"/>
      <c r="FF88" s="574" t="n"/>
      <c r="FG88" s="574" t="n"/>
      <c r="FH88" s="574" t="n"/>
      <c r="FI88" s="574" t="n"/>
      <c r="FJ88" s="574" t="n"/>
      <c r="FK88" s="574" t="n"/>
      <c r="FL88" s="574" t="n"/>
      <c r="FM88" s="574" t="n"/>
      <c r="FN88" s="574" t="n"/>
      <c r="FO88" s="574" t="n"/>
      <c r="FP88" s="574" t="n"/>
      <c r="FQ88" s="574" t="n"/>
      <c r="FR88" s="574" t="n"/>
      <c r="FS88" s="574" t="n"/>
      <c r="FT88" s="574" t="n"/>
      <c r="FU88" s="574" t="n"/>
      <c r="FV88" s="574" t="n"/>
      <c r="FW88" s="574" t="n"/>
      <c r="FX88" s="574" t="n"/>
      <c r="FY88" s="574" t="n"/>
      <c r="FZ88" s="574" t="n"/>
      <c r="GA88" s="574" t="n"/>
      <c r="GB88" s="574" t="n"/>
      <c r="GC88" s="574" t="n"/>
      <c r="GD88" s="574" t="n"/>
      <c r="GE88" s="574" t="n"/>
      <c r="GF88" s="574" t="n"/>
    </row>
    <row r="89" customFormat="1" s="568">
      <c r="A89" s="86" t="n"/>
      <c r="B89" s="85" t="n"/>
      <c r="C89" s="84">
        <f>IFERROR(IF(AND($E89&gt;0,$D89&lt;&gt;"The Public"),$E89/SUMIFS($E$10:$E$205,$E$10:$E$205,"&gt;0",$D$10:$D$205,"&lt;&gt;The Public")*$D$5,""),"")</f>
        <v/>
      </c>
      <c r="D89" s="114" t="n"/>
      <c r="E89" s="84">
        <f>SUM(G89:HY89)</f>
        <v/>
      </c>
      <c r="F89" s="568">
        <f>IFERROR(IF($E89&gt;0.0000005,$E89/SUMIF($E$11:$E$140,"&gt;0.0000005"),""),"")</f>
        <v/>
      </c>
      <c r="M89" s="574" t="n"/>
      <c r="N89" s="574" t="n"/>
      <c r="O89" s="574" t="n"/>
      <c r="P89" s="574" t="n"/>
      <c r="Q89" s="574" t="n"/>
      <c r="R89" s="574" t="n"/>
      <c r="S89" s="574" t="n"/>
      <c r="T89" s="574" t="n"/>
      <c r="U89" s="574" t="n"/>
      <c r="V89" s="574" t="n"/>
      <c r="W89" s="574" t="n"/>
      <c r="X89" s="574" t="n"/>
      <c r="Y89" s="574" t="n"/>
      <c r="Z89" s="574" t="n"/>
      <c r="AA89" s="574" t="n"/>
      <c r="AB89" s="574" t="n"/>
      <c r="AC89" s="574" t="n"/>
      <c r="AD89" s="574" t="n"/>
      <c r="AE89" s="574" t="n"/>
      <c r="AF89" s="574" t="n"/>
      <c r="AG89" s="574" t="n"/>
      <c r="AH89" s="574" t="n"/>
      <c r="AI89" s="574" t="n"/>
      <c r="AJ89" s="574" t="n"/>
      <c r="AK89" s="574" t="n"/>
      <c r="AL89" s="574" t="n"/>
      <c r="AM89" s="574" t="n"/>
      <c r="AN89" s="574" t="n"/>
      <c r="AO89" s="574" t="n"/>
      <c r="AP89" s="574" t="n"/>
      <c r="AQ89" s="574" t="n"/>
      <c r="AR89" s="574" t="n"/>
      <c r="AS89" s="574" t="n"/>
      <c r="AT89" s="574" t="n"/>
      <c r="AU89" s="574" t="n"/>
      <c r="AV89" s="574" t="n"/>
      <c r="AW89" s="574" t="n"/>
      <c r="AX89" s="574" t="n"/>
      <c r="AY89" s="574" t="n"/>
      <c r="AZ89" s="574" t="n"/>
      <c r="BA89" s="574" t="n"/>
      <c r="BB89" s="574" t="n"/>
      <c r="BC89" s="574" t="n"/>
      <c r="BD89" s="574" t="n"/>
      <c r="BE89" s="574" t="n"/>
      <c r="BF89" s="574" t="n"/>
      <c r="BG89" s="574" t="n"/>
      <c r="BH89" s="574" t="n"/>
      <c r="BI89" s="574" t="n"/>
      <c r="BJ89" s="574" t="n"/>
      <c r="BK89" s="574" t="n"/>
      <c r="BL89" s="574" t="n"/>
      <c r="BM89" s="574" t="n"/>
      <c r="BN89" s="574" t="n"/>
      <c r="BO89" s="574" t="n"/>
      <c r="BP89" s="574" t="n"/>
      <c r="BQ89" s="574" t="n"/>
      <c r="BR89" s="574" t="n"/>
      <c r="BS89" s="574" t="n"/>
      <c r="BT89" s="574" t="n"/>
      <c r="BU89" s="574" t="n"/>
      <c r="BV89" s="574" t="n"/>
      <c r="BW89" s="574" t="n"/>
      <c r="BX89" s="574" t="n"/>
      <c r="BY89" s="574" t="n"/>
      <c r="BZ89" s="574" t="n"/>
      <c r="CA89" s="574" t="n"/>
      <c r="CB89" s="574" t="n"/>
      <c r="CC89" s="574" t="n"/>
      <c r="CD89" s="574" t="n"/>
      <c r="CE89" s="574" t="n"/>
      <c r="CF89" s="574" t="n"/>
      <c r="CG89" s="574" t="n"/>
      <c r="CH89" s="574" t="n"/>
      <c r="CI89" s="574" t="n"/>
      <c r="CJ89" s="574" t="n"/>
      <c r="CK89" s="574" t="n"/>
      <c r="CL89" s="574" t="n"/>
      <c r="CM89" s="574" t="n"/>
      <c r="CN89" s="574" t="n"/>
      <c r="CO89" s="574" t="n"/>
      <c r="CP89" s="574" t="n"/>
      <c r="CQ89" s="574" t="n"/>
      <c r="CR89" s="574" t="n"/>
      <c r="CS89" s="574" t="n"/>
      <c r="CT89" s="574" t="n"/>
      <c r="CU89" s="574" t="n"/>
      <c r="CV89" s="574" t="n"/>
      <c r="CW89" s="574" t="n"/>
      <c r="CX89" s="574" t="n"/>
      <c r="CY89" s="574" t="n"/>
      <c r="CZ89" s="574" t="n"/>
      <c r="DA89" s="574" t="n"/>
      <c r="DB89" s="574" t="n"/>
      <c r="DC89" s="574" t="n"/>
      <c r="DD89" s="574" t="n"/>
      <c r="DE89" s="574" t="n"/>
      <c r="DF89" s="574" t="n"/>
      <c r="DG89" s="574" t="n"/>
      <c r="DH89" s="574" t="n"/>
      <c r="DI89" s="574" t="n"/>
      <c r="DJ89" s="574" t="n"/>
      <c r="DK89" s="574" t="n"/>
      <c r="DL89" s="574" t="n"/>
      <c r="DM89" s="574" t="n"/>
      <c r="DN89" s="574" t="n"/>
      <c r="DO89" s="574" t="n"/>
      <c r="DP89" s="574" t="n"/>
      <c r="DQ89" s="574" t="n"/>
      <c r="DR89" s="574" t="n"/>
      <c r="DS89" s="574" t="n"/>
      <c r="DT89" s="574" t="n"/>
      <c r="DU89" s="574" t="n"/>
      <c r="DV89" s="574" t="n"/>
      <c r="DW89" s="574" t="n"/>
      <c r="DX89" s="574" t="n"/>
      <c r="DY89" s="574" t="n"/>
      <c r="DZ89" s="574" t="n"/>
      <c r="EA89" s="574" t="n"/>
      <c r="EB89" s="574" t="n"/>
      <c r="EC89" s="574" t="n"/>
      <c r="ED89" s="574" t="n"/>
      <c r="EE89" s="574" t="n"/>
      <c r="EF89" s="574" t="n"/>
      <c r="EG89" s="574" t="n"/>
      <c r="EH89" s="574" t="n"/>
      <c r="EI89" s="574" t="n"/>
      <c r="EJ89" s="574" t="n"/>
      <c r="EK89" s="574" t="n"/>
      <c r="EL89" s="574" t="n"/>
      <c r="EM89" s="574" t="n"/>
      <c r="EN89" s="574" t="n"/>
      <c r="EO89" s="574" t="n"/>
      <c r="EP89" s="574" t="n"/>
      <c r="EQ89" s="574" t="n"/>
      <c r="ER89" s="574" t="n"/>
      <c r="ES89" s="574" t="n"/>
      <c r="ET89" s="574" t="n"/>
      <c r="EU89" s="574" t="n"/>
      <c r="EV89" s="574" t="n"/>
      <c r="EW89" s="574" t="n"/>
      <c r="EX89" s="574" t="n"/>
      <c r="EY89" s="574" t="n"/>
      <c r="EZ89" s="574" t="n"/>
      <c r="FA89" s="574" t="n"/>
      <c r="FB89" s="574" t="n"/>
      <c r="FC89" s="574" t="n"/>
      <c r="FD89" s="574" t="n"/>
      <c r="FE89" s="574" t="n"/>
      <c r="FF89" s="574" t="n"/>
      <c r="FG89" s="574" t="n"/>
      <c r="FH89" s="574" t="n"/>
      <c r="FI89" s="574" t="n"/>
      <c r="FJ89" s="574" t="n"/>
      <c r="FK89" s="574" t="n"/>
      <c r="FL89" s="574" t="n"/>
      <c r="FM89" s="574" t="n"/>
      <c r="FN89" s="574" t="n"/>
      <c r="FO89" s="574" t="n"/>
      <c r="FP89" s="574" t="n"/>
      <c r="FQ89" s="574" t="n"/>
      <c r="FR89" s="574" t="n"/>
      <c r="FS89" s="574" t="n"/>
      <c r="FT89" s="574" t="n"/>
      <c r="FU89" s="574" t="n"/>
      <c r="FV89" s="574" t="n"/>
      <c r="FW89" s="574" t="n"/>
      <c r="FX89" s="574" t="n"/>
      <c r="FY89" s="574" t="n"/>
      <c r="FZ89" s="574" t="n"/>
      <c r="GA89" s="574" t="n"/>
      <c r="GB89" s="574" t="n"/>
      <c r="GC89" s="574" t="n"/>
      <c r="GD89" s="574" t="n"/>
      <c r="GE89" s="574" t="n"/>
      <c r="GF89" s="574" t="n"/>
    </row>
    <row r="90" customFormat="1" s="568">
      <c r="A90" s="86" t="n"/>
      <c r="B90" s="85" t="n"/>
      <c r="C90" s="137">
        <f>IFERROR(IF(AND($E90&gt;0,$D90&lt;&gt;"The Public"),$E90/SUMIFS($E$10:$E$205,$E$10:$E$205,"&gt;0",$D$10:$D$205,"&lt;&gt;The Public")*$D$5,""),"")</f>
        <v/>
      </c>
      <c r="D90" s="51" t="n"/>
      <c r="E90" s="137">
        <f>SUM(G90:HY90)</f>
        <v/>
      </c>
      <c r="F90" s="568">
        <f>IFERROR(IF($E90&gt;0.0000005,$E90/SUMIF($E$11:$E$140,"&gt;0.0000005"),""),"")</f>
        <v/>
      </c>
      <c r="M90" s="574" t="n"/>
      <c r="N90" s="574" t="n"/>
      <c r="O90" s="574" t="n"/>
      <c r="P90" s="574" t="n"/>
      <c r="Q90" s="574" t="n"/>
      <c r="R90" s="574" t="n"/>
      <c r="S90" s="574" t="n"/>
      <c r="T90" s="574" t="n"/>
      <c r="U90" s="574" t="n"/>
      <c r="V90" s="574" t="n"/>
      <c r="W90" s="574" t="n"/>
      <c r="X90" s="574" t="n"/>
      <c r="Y90" s="574" t="n"/>
      <c r="Z90" s="574" t="n"/>
      <c r="AA90" s="574" t="n"/>
      <c r="AB90" s="574" t="n"/>
      <c r="AC90" s="574" t="n"/>
      <c r="AD90" s="574" t="n"/>
      <c r="AE90" s="574" t="n"/>
      <c r="AF90" s="574" t="n"/>
      <c r="AG90" s="574" t="n"/>
      <c r="AH90" s="574" t="n"/>
      <c r="AI90" s="574" t="n"/>
      <c r="AJ90" s="574" t="n"/>
      <c r="AK90" s="574" t="n"/>
      <c r="AL90" s="574" t="n"/>
      <c r="AM90" s="574" t="n"/>
      <c r="AN90" s="574" t="n"/>
      <c r="AO90" s="574" t="n"/>
      <c r="AP90" s="574" t="n"/>
      <c r="AQ90" s="574" t="n"/>
      <c r="AR90" s="574" t="n"/>
      <c r="AS90" s="574" t="n"/>
      <c r="AT90" s="574" t="n"/>
      <c r="AU90" s="574" t="n"/>
      <c r="AV90" s="574" t="n"/>
      <c r="AW90" s="574" t="n"/>
      <c r="AX90" s="574" t="n"/>
      <c r="AY90" s="574" t="n"/>
      <c r="AZ90" s="574" t="n"/>
      <c r="BA90" s="574" t="n"/>
      <c r="BB90" s="574" t="n"/>
      <c r="BC90" s="574" t="n"/>
      <c r="BD90" s="574" t="n"/>
      <c r="BE90" s="574" t="n"/>
      <c r="BF90" s="574" t="n"/>
      <c r="BG90" s="574" t="n"/>
      <c r="BH90" s="574" t="n"/>
      <c r="BI90" s="574" t="n"/>
      <c r="BJ90" s="574" t="n"/>
      <c r="BK90" s="574" t="n"/>
      <c r="BL90" s="574" t="n"/>
      <c r="BM90" s="574" t="n"/>
      <c r="BN90" s="574" t="n"/>
      <c r="BO90" s="574" t="n"/>
      <c r="BP90" s="574" t="n"/>
      <c r="BQ90" s="574" t="n"/>
      <c r="BR90" s="574" t="n"/>
      <c r="BS90" s="574" t="n"/>
      <c r="BT90" s="574" t="n"/>
      <c r="BU90" s="574" t="n"/>
      <c r="BV90" s="574" t="n"/>
      <c r="BW90" s="574" t="n"/>
      <c r="BX90" s="574" t="n"/>
      <c r="BY90" s="574" t="n"/>
      <c r="BZ90" s="574" t="n"/>
      <c r="CA90" s="574" t="n"/>
      <c r="CB90" s="574" t="n"/>
      <c r="CC90" s="574" t="n"/>
      <c r="CD90" s="574" t="n"/>
      <c r="CE90" s="574" t="n"/>
      <c r="CF90" s="574" t="n"/>
      <c r="CG90" s="574" t="n"/>
      <c r="CH90" s="574" t="n"/>
      <c r="CI90" s="574" t="n"/>
      <c r="CJ90" s="574" t="n"/>
      <c r="CK90" s="574" t="n"/>
      <c r="CL90" s="574" t="n"/>
      <c r="CM90" s="574" t="n"/>
      <c r="CN90" s="574" t="n"/>
      <c r="CO90" s="574" t="n"/>
      <c r="CP90" s="574" t="n"/>
      <c r="CQ90" s="574" t="n"/>
      <c r="CR90" s="574" t="n"/>
      <c r="CS90" s="574" t="n"/>
      <c r="CT90" s="574" t="n"/>
      <c r="CU90" s="574" t="n"/>
      <c r="CV90" s="574" t="n"/>
      <c r="CW90" s="574" t="n"/>
      <c r="CX90" s="574" t="n"/>
      <c r="CY90" s="574" t="n"/>
      <c r="CZ90" s="574" t="n"/>
      <c r="DA90" s="574" t="n"/>
      <c r="DB90" s="574" t="n"/>
      <c r="DC90" s="574" t="n"/>
      <c r="DD90" s="574" t="n"/>
      <c r="DE90" s="574" t="n"/>
      <c r="DF90" s="574" t="n"/>
      <c r="DG90" s="574" t="n"/>
      <c r="DH90" s="574" t="n"/>
      <c r="DI90" s="574" t="n"/>
      <c r="DJ90" s="574" t="n"/>
      <c r="DK90" s="574" t="n"/>
      <c r="DL90" s="574" t="n"/>
      <c r="DM90" s="574" t="n"/>
      <c r="DN90" s="574" t="n"/>
      <c r="DO90" s="574" t="n"/>
      <c r="DP90" s="574" t="n"/>
      <c r="DQ90" s="574" t="n"/>
      <c r="DR90" s="574" t="n"/>
      <c r="DS90" s="574" t="n"/>
      <c r="DT90" s="574" t="n"/>
      <c r="DU90" s="574" t="n"/>
      <c r="DV90" s="574" t="n"/>
      <c r="DW90" s="574" t="n"/>
      <c r="DX90" s="574" t="n"/>
      <c r="DY90" s="574" t="n"/>
      <c r="DZ90" s="574" t="n"/>
      <c r="EA90" s="574" t="n"/>
      <c r="EB90" s="574" t="n"/>
      <c r="EC90" s="574" t="n"/>
      <c r="ED90" s="574" t="n"/>
      <c r="EE90" s="574" t="n"/>
      <c r="EF90" s="574" t="n"/>
      <c r="EG90" s="574" t="n"/>
      <c r="EH90" s="574" t="n"/>
      <c r="EI90" s="574" t="n"/>
      <c r="EJ90" s="574" t="n"/>
      <c r="EK90" s="574" t="n"/>
      <c r="EL90" s="574" t="n"/>
      <c r="EM90" s="574" t="n"/>
      <c r="EN90" s="574" t="n"/>
      <c r="EO90" s="574" t="n"/>
      <c r="EP90" s="574" t="n"/>
      <c r="EQ90" s="574" t="n"/>
      <c r="ER90" s="574" t="n"/>
      <c r="ES90" s="574" t="n"/>
      <c r="ET90" s="574" t="n"/>
      <c r="EU90" s="574" t="n"/>
      <c r="EV90" s="574" t="n"/>
      <c r="EW90" s="574" t="n"/>
      <c r="EX90" s="574" t="n"/>
      <c r="EY90" s="574" t="n"/>
      <c r="EZ90" s="574" t="n"/>
      <c r="FA90" s="574" t="n"/>
      <c r="FB90" s="574" t="n"/>
      <c r="FC90" s="574" t="n"/>
      <c r="FD90" s="574" t="n"/>
      <c r="FE90" s="574" t="n"/>
      <c r="FF90" s="574" t="n"/>
      <c r="FG90" s="574" t="n"/>
      <c r="FH90" s="574" t="n"/>
      <c r="FI90" s="574" t="n"/>
      <c r="FJ90" s="574" t="n"/>
      <c r="FK90" s="574" t="n"/>
      <c r="FL90" s="574" t="n"/>
      <c r="FM90" s="574" t="n"/>
      <c r="FN90" s="574" t="n"/>
      <c r="FO90" s="574" t="n"/>
      <c r="FP90" s="574" t="n"/>
      <c r="FQ90" s="574" t="n"/>
      <c r="FR90" s="574" t="n"/>
      <c r="FS90" s="574" t="n"/>
      <c r="FT90" s="574" t="n"/>
      <c r="FU90" s="574" t="n"/>
      <c r="FV90" s="574" t="n"/>
      <c r="FW90" s="574" t="n"/>
      <c r="FX90" s="574" t="n"/>
      <c r="FY90" s="574" t="n"/>
      <c r="FZ90" s="574" t="n"/>
      <c r="GA90" s="574" t="n"/>
      <c r="GB90" s="574" t="n"/>
      <c r="GC90" s="574" t="n"/>
      <c r="GD90" s="574" t="n"/>
      <c r="GE90" s="574" t="n"/>
      <c r="GF90" s="574" t="n"/>
    </row>
    <row r="91" customFormat="1" s="568">
      <c r="A91" s="86" t="n"/>
      <c r="B91" s="85" t="n"/>
      <c r="C91" s="84">
        <f>IFERROR(IF(AND($E91&gt;0,$D91&lt;&gt;"The Public"),$E91/SUMIFS($E$10:$E$205,$E$10:$E$205,"&gt;0",$D$10:$D$205,"&lt;&gt;The Public")*$D$5,""),"")</f>
        <v/>
      </c>
      <c r="D91" s="114" t="n"/>
      <c r="E91" s="84">
        <f>SUM(G91:HY91)</f>
        <v/>
      </c>
      <c r="F91" s="568">
        <f>IFERROR(IF($E91&gt;0.0000005,$E91/SUMIF($E$11:$E$140,"&gt;0.0000005"),""),"")</f>
        <v/>
      </c>
      <c r="M91" s="574" t="n"/>
      <c r="N91" s="574" t="n"/>
      <c r="O91" s="574" t="n"/>
      <c r="P91" s="574" t="n"/>
      <c r="Q91" s="574" t="n"/>
      <c r="R91" s="574" t="n"/>
      <c r="S91" s="574" t="n"/>
      <c r="T91" s="574" t="n"/>
      <c r="U91" s="574" t="n"/>
      <c r="V91" s="574" t="n"/>
      <c r="W91" s="574" t="n"/>
      <c r="X91" s="574" t="n"/>
      <c r="Y91" s="574" t="n"/>
      <c r="Z91" s="574" t="n"/>
      <c r="AA91" s="574" t="n"/>
      <c r="AB91" s="574" t="n"/>
      <c r="AC91" s="574" t="n"/>
      <c r="AD91" s="574" t="n"/>
      <c r="AE91" s="574" t="n"/>
      <c r="AF91" s="574" t="n"/>
      <c r="AG91" s="574" t="n"/>
      <c r="AH91" s="574" t="n"/>
      <c r="AI91" s="574" t="n"/>
      <c r="AJ91" s="574" t="n"/>
      <c r="AK91" s="574" t="n"/>
      <c r="AL91" s="574" t="n"/>
      <c r="AM91" s="574" t="n"/>
      <c r="AN91" s="574" t="n"/>
      <c r="AO91" s="574" t="n"/>
      <c r="AP91" s="574" t="n"/>
      <c r="AQ91" s="574" t="n"/>
      <c r="AR91" s="574" t="n"/>
      <c r="AS91" s="574" t="n"/>
      <c r="AT91" s="574" t="n"/>
      <c r="AU91" s="574" t="n"/>
      <c r="AV91" s="574" t="n"/>
      <c r="AW91" s="574" t="n"/>
      <c r="AX91" s="574" t="n"/>
      <c r="AY91" s="574" t="n"/>
      <c r="AZ91" s="574" t="n"/>
      <c r="BA91" s="574" t="n"/>
      <c r="BB91" s="574" t="n"/>
      <c r="BC91" s="574" t="n"/>
      <c r="BD91" s="574" t="n"/>
      <c r="BE91" s="574" t="n"/>
      <c r="BF91" s="574" t="n"/>
      <c r="BG91" s="574" t="n"/>
      <c r="BH91" s="574" t="n"/>
      <c r="BI91" s="574" t="n"/>
      <c r="BJ91" s="574" t="n"/>
      <c r="BK91" s="574" t="n"/>
      <c r="BL91" s="574" t="n"/>
      <c r="BM91" s="574" t="n"/>
      <c r="BN91" s="574" t="n"/>
      <c r="BO91" s="574" t="n"/>
      <c r="BP91" s="574" t="n"/>
      <c r="BQ91" s="574" t="n"/>
      <c r="BR91" s="574" t="n"/>
      <c r="BS91" s="574" t="n"/>
      <c r="BT91" s="574" t="n"/>
      <c r="BU91" s="574" t="n"/>
      <c r="BV91" s="574" t="n"/>
      <c r="BW91" s="574" t="n"/>
      <c r="BX91" s="574" t="n"/>
      <c r="BY91" s="574" t="n"/>
      <c r="BZ91" s="574" t="n"/>
      <c r="CA91" s="574" t="n"/>
      <c r="CB91" s="574" t="n"/>
      <c r="CC91" s="574" t="n"/>
      <c r="CD91" s="574" t="n"/>
      <c r="CE91" s="574" t="n"/>
      <c r="CF91" s="574" t="n"/>
      <c r="CG91" s="574" t="n"/>
      <c r="CH91" s="574" t="n"/>
      <c r="CI91" s="574" t="n"/>
      <c r="CJ91" s="574" t="n"/>
      <c r="CK91" s="574" t="n"/>
      <c r="CL91" s="574" t="n"/>
      <c r="CM91" s="574" t="n"/>
      <c r="CN91" s="574" t="n"/>
      <c r="CO91" s="574" t="n"/>
      <c r="CP91" s="574" t="n"/>
      <c r="CQ91" s="574" t="n"/>
      <c r="CR91" s="574" t="n"/>
      <c r="CS91" s="574" t="n"/>
      <c r="CT91" s="574" t="n"/>
      <c r="CU91" s="574" t="n"/>
      <c r="CV91" s="574" t="n"/>
      <c r="CW91" s="574" t="n"/>
      <c r="CX91" s="574" t="n"/>
      <c r="CY91" s="574" t="n"/>
      <c r="CZ91" s="574" t="n"/>
      <c r="DA91" s="574" t="n"/>
      <c r="DB91" s="574" t="n"/>
      <c r="DC91" s="574" t="n"/>
      <c r="DD91" s="574" t="n"/>
      <c r="DE91" s="574" t="n"/>
      <c r="DF91" s="574" t="n"/>
      <c r="DG91" s="574" t="n"/>
      <c r="DH91" s="574" t="n"/>
      <c r="DI91" s="574" t="n"/>
      <c r="DJ91" s="574" t="n"/>
      <c r="DK91" s="574" t="n"/>
      <c r="DL91" s="574" t="n"/>
      <c r="DM91" s="574" t="n"/>
      <c r="DN91" s="574" t="n"/>
      <c r="DO91" s="574" t="n"/>
      <c r="DP91" s="574" t="n"/>
      <c r="DQ91" s="574" t="n"/>
      <c r="DR91" s="574" t="n"/>
      <c r="DS91" s="574" t="n"/>
      <c r="DT91" s="574" t="n"/>
      <c r="DU91" s="574" t="n"/>
      <c r="DV91" s="574" t="n"/>
      <c r="DW91" s="574" t="n"/>
      <c r="DX91" s="574" t="n"/>
      <c r="DY91" s="574" t="n"/>
      <c r="DZ91" s="574" t="n"/>
      <c r="EA91" s="574" t="n"/>
      <c r="EB91" s="574" t="n"/>
      <c r="EC91" s="574" t="n"/>
      <c r="ED91" s="574" t="n"/>
      <c r="EE91" s="574" t="n"/>
      <c r="EF91" s="574" t="n"/>
      <c r="EG91" s="574" t="n"/>
      <c r="EH91" s="574" t="n"/>
      <c r="EI91" s="574" t="n"/>
      <c r="EJ91" s="574" t="n"/>
      <c r="EK91" s="574" t="n"/>
      <c r="EL91" s="574" t="n"/>
      <c r="EM91" s="574" t="n"/>
      <c r="EN91" s="574" t="n"/>
      <c r="EO91" s="574" t="n"/>
      <c r="EP91" s="574" t="n"/>
      <c r="EQ91" s="574" t="n"/>
      <c r="ER91" s="574" t="n"/>
      <c r="ES91" s="574" t="n"/>
      <c r="ET91" s="574" t="n"/>
      <c r="EU91" s="574" t="n"/>
      <c r="EV91" s="574" t="n"/>
      <c r="EW91" s="574" t="n"/>
      <c r="EX91" s="574" t="n"/>
      <c r="EY91" s="574" t="n"/>
      <c r="EZ91" s="574" t="n"/>
      <c r="FA91" s="574" t="n"/>
      <c r="FB91" s="574" t="n"/>
      <c r="FC91" s="574" t="n"/>
      <c r="FD91" s="574" t="n"/>
      <c r="FE91" s="574" t="n"/>
      <c r="FF91" s="574" t="n"/>
      <c r="FG91" s="574" t="n"/>
      <c r="FH91" s="574" t="n"/>
      <c r="FI91" s="574" t="n"/>
      <c r="FJ91" s="574" t="n"/>
      <c r="FK91" s="574" t="n"/>
      <c r="FL91" s="574" t="n"/>
      <c r="FM91" s="574" t="n"/>
      <c r="FN91" s="574" t="n"/>
      <c r="FO91" s="574" t="n"/>
      <c r="FP91" s="574" t="n"/>
      <c r="FQ91" s="574" t="n"/>
      <c r="FR91" s="574" t="n"/>
      <c r="FS91" s="574" t="n"/>
      <c r="FT91" s="574" t="n"/>
      <c r="FU91" s="574" t="n"/>
      <c r="FV91" s="574" t="n"/>
      <c r="FW91" s="574" t="n"/>
      <c r="FX91" s="574" t="n"/>
      <c r="FY91" s="574" t="n"/>
      <c r="FZ91" s="574" t="n"/>
      <c r="GA91" s="574" t="n"/>
      <c r="GB91" s="574" t="n"/>
      <c r="GC91" s="574" t="n"/>
      <c r="GD91" s="574" t="n"/>
      <c r="GE91" s="574" t="n"/>
      <c r="GF91" s="574" t="n"/>
    </row>
    <row r="92" customFormat="1" s="568">
      <c r="A92" s="86" t="n"/>
      <c r="B92" s="85" t="n"/>
      <c r="C92" s="84">
        <f>IFERROR(IF(AND($E92&gt;0,$D92&lt;&gt;"The Public"),$E92/SUMIFS($E$10:$E$205,$E$10:$E$205,"&gt;0",$D$10:$D$205,"&lt;&gt;The Public")*$D$5,""),"")</f>
        <v/>
      </c>
      <c r="D92" s="114" t="n"/>
      <c r="E92" s="137">
        <f>SUM(G92:HY92)</f>
        <v/>
      </c>
      <c r="F92" s="568">
        <f>IFERROR(IF($E92&gt;0.0000005,$E92/SUMIF($E$11:$E$140,"&gt;0.0000005"),""),"")</f>
        <v/>
      </c>
      <c r="M92" s="574" t="n"/>
      <c r="N92" s="574" t="n"/>
      <c r="O92" s="574" t="n"/>
      <c r="P92" s="574" t="n"/>
      <c r="Q92" s="574" t="n"/>
      <c r="R92" s="574" t="n"/>
      <c r="S92" s="574" t="n"/>
      <c r="T92" s="574" t="n"/>
      <c r="U92" s="574" t="n"/>
      <c r="V92" s="574" t="n"/>
      <c r="W92" s="574" t="n"/>
      <c r="X92" s="574" t="n"/>
      <c r="Y92" s="574" t="n"/>
      <c r="Z92" s="574" t="n"/>
      <c r="AA92" s="574" t="n"/>
      <c r="AB92" s="574" t="n"/>
      <c r="AC92" s="574" t="n"/>
      <c r="AD92" s="574" t="n"/>
      <c r="AE92" s="574" t="n"/>
      <c r="AF92" s="574" t="n"/>
      <c r="AG92" s="574" t="n"/>
      <c r="AH92" s="574" t="n"/>
      <c r="AI92" s="574" t="n"/>
      <c r="AJ92" s="574" t="n"/>
      <c r="AK92" s="574" t="n"/>
      <c r="AL92" s="574" t="n"/>
      <c r="AM92" s="574" t="n"/>
      <c r="AN92" s="574" t="n"/>
      <c r="AO92" s="574" t="n"/>
      <c r="AP92" s="574" t="n"/>
      <c r="AQ92" s="574" t="n"/>
      <c r="AR92" s="574" t="n"/>
      <c r="AS92" s="574" t="n"/>
      <c r="AT92" s="574" t="n"/>
      <c r="AU92" s="574" t="n"/>
      <c r="AV92" s="574" t="n"/>
      <c r="AW92" s="574" t="n"/>
      <c r="AX92" s="574" t="n"/>
      <c r="AY92" s="574" t="n"/>
      <c r="AZ92" s="574" t="n"/>
      <c r="BA92" s="574" t="n"/>
      <c r="BB92" s="574" t="n"/>
      <c r="BC92" s="574" t="n"/>
      <c r="BD92" s="574" t="n"/>
      <c r="BE92" s="574" t="n"/>
      <c r="BF92" s="574" t="n"/>
      <c r="BG92" s="574" t="n"/>
      <c r="BH92" s="574" t="n"/>
      <c r="BI92" s="574" t="n"/>
      <c r="BJ92" s="574" t="n"/>
      <c r="BK92" s="574" t="n"/>
      <c r="BL92" s="574" t="n"/>
      <c r="BM92" s="574" t="n"/>
      <c r="BN92" s="574" t="n"/>
      <c r="BO92" s="574" t="n"/>
      <c r="BP92" s="574" t="n"/>
      <c r="BQ92" s="574" t="n"/>
      <c r="BR92" s="574" t="n"/>
      <c r="BS92" s="574" t="n"/>
      <c r="BT92" s="574" t="n"/>
      <c r="BU92" s="574" t="n"/>
      <c r="BV92" s="574" t="n"/>
      <c r="BW92" s="574" t="n"/>
      <c r="BX92" s="574" t="n"/>
      <c r="BY92" s="574" t="n"/>
      <c r="BZ92" s="574" t="n"/>
      <c r="CA92" s="574" t="n"/>
      <c r="CB92" s="574" t="n"/>
      <c r="CC92" s="574" t="n"/>
      <c r="CD92" s="574" t="n"/>
      <c r="CE92" s="574" t="n"/>
      <c r="CF92" s="574" t="n"/>
      <c r="CG92" s="574" t="n"/>
      <c r="CH92" s="574" t="n"/>
      <c r="CI92" s="574" t="n"/>
      <c r="CJ92" s="574" t="n"/>
      <c r="CK92" s="574" t="n"/>
      <c r="CL92" s="574" t="n"/>
      <c r="CM92" s="574" t="n"/>
      <c r="CN92" s="574" t="n"/>
      <c r="CO92" s="574" t="n"/>
      <c r="CP92" s="574" t="n"/>
      <c r="CQ92" s="574" t="n"/>
      <c r="CR92" s="574" t="n"/>
      <c r="CS92" s="574" t="n"/>
      <c r="CT92" s="574" t="n"/>
      <c r="CU92" s="574" t="n"/>
      <c r="CV92" s="574" t="n"/>
      <c r="CW92" s="574" t="n"/>
      <c r="CX92" s="574" t="n"/>
      <c r="CY92" s="574" t="n"/>
      <c r="CZ92" s="574" t="n"/>
      <c r="DA92" s="574" t="n"/>
      <c r="DB92" s="574" t="n"/>
      <c r="DC92" s="574" t="n"/>
      <c r="DD92" s="574" t="n"/>
      <c r="DE92" s="574" t="n"/>
      <c r="DF92" s="574" t="n"/>
      <c r="DG92" s="574" t="n"/>
      <c r="DH92" s="574" t="n"/>
      <c r="DI92" s="574" t="n"/>
      <c r="DJ92" s="574" t="n"/>
      <c r="DK92" s="574" t="n"/>
      <c r="DL92" s="574" t="n"/>
      <c r="DM92" s="574" t="n"/>
      <c r="DN92" s="574" t="n"/>
      <c r="DO92" s="574" t="n"/>
      <c r="DP92" s="574" t="n"/>
      <c r="DQ92" s="574" t="n"/>
      <c r="DR92" s="574" t="n"/>
      <c r="DS92" s="574" t="n"/>
      <c r="DT92" s="574" t="n"/>
      <c r="DU92" s="574" t="n"/>
      <c r="DV92" s="574" t="n"/>
      <c r="DW92" s="574" t="n"/>
      <c r="DX92" s="574" t="n"/>
      <c r="DY92" s="574" t="n"/>
      <c r="DZ92" s="574" t="n"/>
      <c r="EA92" s="574" t="n"/>
      <c r="EB92" s="574" t="n"/>
      <c r="EC92" s="574" t="n"/>
      <c r="ED92" s="574" t="n"/>
      <c r="EE92" s="574" t="n"/>
      <c r="EF92" s="574" t="n"/>
      <c r="EG92" s="574" t="n"/>
      <c r="EH92" s="574" t="n"/>
      <c r="EI92" s="574" t="n"/>
      <c r="EJ92" s="574" t="n"/>
      <c r="EK92" s="574" t="n"/>
      <c r="EL92" s="574" t="n"/>
      <c r="EM92" s="574" t="n"/>
      <c r="EN92" s="574" t="n"/>
      <c r="EO92" s="574" t="n"/>
      <c r="EP92" s="574" t="n"/>
      <c r="EQ92" s="574" t="n"/>
      <c r="ER92" s="574" t="n"/>
      <c r="ES92" s="574" t="n"/>
      <c r="ET92" s="574" t="n"/>
      <c r="EU92" s="574" t="n"/>
      <c r="EV92" s="574" t="n"/>
      <c r="EW92" s="574" t="n"/>
      <c r="EX92" s="574" t="n"/>
      <c r="EY92" s="574" t="n"/>
      <c r="EZ92" s="574" t="n"/>
      <c r="FA92" s="574" t="n"/>
      <c r="FB92" s="574" t="n"/>
      <c r="FC92" s="574" t="n"/>
      <c r="FD92" s="574" t="n"/>
      <c r="FE92" s="574" t="n"/>
      <c r="FF92" s="574" t="n"/>
      <c r="FG92" s="574" t="n"/>
      <c r="FH92" s="574" t="n"/>
      <c r="FI92" s="574" t="n"/>
      <c r="FJ92" s="574" t="n"/>
      <c r="FK92" s="574" t="n"/>
      <c r="FL92" s="574" t="n"/>
      <c r="FM92" s="574" t="n"/>
      <c r="FN92" s="574" t="n"/>
      <c r="FO92" s="574" t="n"/>
      <c r="FP92" s="574" t="n"/>
      <c r="FQ92" s="574" t="n"/>
      <c r="FR92" s="574" t="n"/>
      <c r="FS92" s="574" t="n"/>
      <c r="FT92" s="574" t="n"/>
      <c r="FU92" s="574" t="n"/>
      <c r="FV92" s="574" t="n"/>
      <c r="FW92" s="574" t="n"/>
      <c r="FX92" s="574" t="n"/>
      <c r="FY92" s="574" t="n"/>
      <c r="FZ92" s="574" t="n"/>
      <c r="GA92" s="574" t="n"/>
      <c r="GB92" s="574" t="n"/>
      <c r="GC92" s="574" t="n"/>
      <c r="GD92" s="574" t="n"/>
      <c r="GE92" s="574" t="n"/>
      <c r="GF92" s="574" t="n"/>
    </row>
    <row r="93" customFormat="1" s="568">
      <c r="A93" s="86" t="n"/>
      <c r="B93" s="85" t="n"/>
      <c r="C93" s="137">
        <f>IFERROR(IF(AND($E93&gt;0,$D93&lt;&gt;"The Public"),$E93/SUMIFS($E$10:$E$205,$E$10:$E$205,"&gt;0",$D$10:$D$205,"&lt;&gt;The Public")*$D$5,""),"")</f>
        <v/>
      </c>
      <c r="D93" s="114" t="n"/>
      <c r="E93" s="137">
        <f>SUM(G93:HY93)</f>
        <v/>
      </c>
      <c r="F93" s="568">
        <f>IFERROR(IF($E93&gt;0.0000005,$E93/SUMIF($E$11:$E$140,"&gt;0.0000005"),""),"")</f>
        <v/>
      </c>
      <c r="M93" s="574" t="n"/>
      <c r="N93" s="574" t="n"/>
      <c r="O93" s="574" t="n"/>
      <c r="P93" s="574" t="n"/>
      <c r="Q93" s="574" t="n"/>
      <c r="R93" s="574" t="n"/>
      <c r="S93" s="574" t="n"/>
      <c r="T93" s="574" t="n"/>
      <c r="U93" s="574" t="n"/>
      <c r="V93" s="574" t="n"/>
      <c r="W93" s="574" t="n"/>
      <c r="X93" s="574" t="n"/>
      <c r="Y93" s="574" t="n"/>
      <c r="Z93" s="574" t="n"/>
      <c r="AA93" s="574" t="n"/>
      <c r="AB93" s="574" t="n"/>
      <c r="AC93" s="574" t="n"/>
      <c r="AD93" s="574" t="n"/>
      <c r="AE93" s="574" t="n"/>
      <c r="AF93" s="574" t="n"/>
      <c r="AG93" s="574" t="n"/>
      <c r="AH93" s="574" t="n"/>
      <c r="AI93" s="574" t="n"/>
      <c r="AJ93" s="574" t="n"/>
      <c r="AK93" s="574" t="n"/>
      <c r="AL93" s="574" t="n"/>
      <c r="AM93" s="574" t="n"/>
      <c r="AN93" s="574" t="n"/>
      <c r="AO93" s="574" t="n"/>
      <c r="AP93" s="574" t="n"/>
      <c r="AQ93" s="574" t="n"/>
      <c r="AR93" s="574" t="n"/>
      <c r="AS93" s="574" t="n"/>
      <c r="AT93" s="574" t="n"/>
      <c r="AU93" s="574" t="n"/>
      <c r="AV93" s="574" t="n"/>
      <c r="AW93" s="574" t="n"/>
      <c r="AX93" s="574" t="n"/>
      <c r="AY93" s="574" t="n"/>
      <c r="AZ93" s="574" t="n"/>
      <c r="BA93" s="574" t="n"/>
      <c r="BB93" s="574" t="n"/>
      <c r="BC93" s="574" t="n"/>
      <c r="BD93" s="574" t="n"/>
      <c r="BE93" s="574" t="n"/>
      <c r="BF93" s="574" t="n"/>
      <c r="BG93" s="574" t="n"/>
      <c r="BH93" s="574" t="n"/>
      <c r="BI93" s="574" t="n"/>
      <c r="BJ93" s="574" t="n"/>
      <c r="BK93" s="574" t="n"/>
      <c r="BL93" s="574" t="n"/>
      <c r="BM93" s="574" t="n"/>
      <c r="BN93" s="574" t="n"/>
      <c r="BO93" s="574" t="n"/>
      <c r="BP93" s="574" t="n"/>
      <c r="BQ93" s="574" t="n"/>
      <c r="BR93" s="574" t="n"/>
      <c r="BS93" s="574" t="n"/>
      <c r="BT93" s="574" t="n"/>
      <c r="BU93" s="574" t="n"/>
      <c r="BV93" s="574" t="n"/>
      <c r="BW93" s="574" t="n"/>
      <c r="BX93" s="574" t="n"/>
      <c r="BY93" s="574" t="n"/>
      <c r="BZ93" s="574" t="n"/>
      <c r="CA93" s="574" t="n"/>
      <c r="CB93" s="574" t="n"/>
      <c r="CC93" s="574" t="n"/>
      <c r="CD93" s="574" t="n"/>
      <c r="CE93" s="574" t="n"/>
      <c r="CF93" s="574" t="n"/>
      <c r="CG93" s="574" t="n"/>
      <c r="CH93" s="574" t="n"/>
      <c r="CI93" s="574" t="n"/>
      <c r="CJ93" s="574" t="n"/>
      <c r="CK93" s="574" t="n"/>
      <c r="CL93" s="574" t="n"/>
      <c r="CM93" s="574" t="n"/>
      <c r="CN93" s="574" t="n"/>
      <c r="CO93" s="574" t="n"/>
      <c r="CP93" s="574" t="n"/>
      <c r="CQ93" s="574" t="n"/>
      <c r="CR93" s="574" t="n"/>
      <c r="CS93" s="574" t="n"/>
      <c r="CT93" s="574" t="n"/>
      <c r="CU93" s="574" t="n"/>
      <c r="CV93" s="574" t="n"/>
      <c r="CW93" s="574" t="n"/>
      <c r="CX93" s="574" t="n"/>
      <c r="CY93" s="574" t="n"/>
      <c r="CZ93" s="574" t="n"/>
      <c r="DA93" s="574" t="n"/>
      <c r="DB93" s="574" t="n"/>
      <c r="DC93" s="574" t="n"/>
      <c r="DD93" s="574" t="n"/>
      <c r="DE93" s="574" t="n"/>
      <c r="DF93" s="574" t="n"/>
      <c r="DG93" s="574" t="n"/>
      <c r="DH93" s="574" t="n"/>
      <c r="DI93" s="574" t="n"/>
      <c r="DJ93" s="574" t="n"/>
      <c r="DK93" s="574" t="n"/>
      <c r="DL93" s="574" t="n"/>
      <c r="DM93" s="574" t="n"/>
      <c r="DN93" s="574" t="n"/>
      <c r="DO93" s="574" t="n"/>
      <c r="DP93" s="574" t="n"/>
      <c r="DQ93" s="574" t="n"/>
      <c r="DR93" s="574" t="n"/>
      <c r="DS93" s="574" t="n"/>
      <c r="DT93" s="574" t="n"/>
      <c r="DU93" s="574" t="n"/>
      <c r="DV93" s="574" t="n"/>
      <c r="DW93" s="574" t="n"/>
      <c r="DX93" s="574" t="n"/>
      <c r="DY93" s="574" t="n"/>
      <c r="DZ93" s="574" t="n"/>
      <c r="EA93" s="574" t="n"/>
      <c r="EB93" s="574" t="n"/>
      <c r="EC93" s="574" t="n"/>
      <c r="ED93" s="574" t="n"/>
      <c r="EE93" s="574" t="n"/>
      <c r="EF93" s="574" t="n"/>
      <c r="EG93" s="574" t="n"/>
      <c r="EH93" s="574" t="n"/>
      <c r="EI93" s="574" t="n"/>
      <c r="EJ93" s="574" t="n"/>
      <c r="EK93" s="574" t="n"/>
      <c r="EL93" s="574" t="n"/>
      <c r="EM93" s="574" t="n"/>
      <c r="EN93" s="574" t="n"/>
      <c r="EO93" s="574" t="n"/>
      <c r="EP93" s="574" t="n"/>
      <c r="EQ93" s="574" t="n"/>
      <c r="ER93" s="574" t="n"/>
      <c r="ES93" s="574" t="n"/>
      <c r="ET93" s="574" t="n"/>
      <c r="EU93" s="574" t="n"/>
      <c r="EV93" s="574" t="n"/>
      <c r="EW93" s="574" t="n"/>
      <c r="EX93" s="574" t="n"/>
      <c r="EY93" s="574" t="n"/>
      <c r="EZ93" s="574" t="n"/>
      <c r="FA93" s="574" t="n"/>
      <c r="FB93" s="574" t="n"/>
      <c r="FC93" s="574" t="n"/>
      <c r="FD93" s="574" t="n"/>
      <c r="FE93" s="574" t="n"/>
      <c r="FF93" s="574" t="n"/>
      <c r="FG93" s="574" t="n"/>
      <c r="FH93" s="574" t="n"/>
      <c r="FI93" s="574" t="n"/>
      <c r="FJ93" s="574" t="n"/>
      <c r="FK93" s="574" t="n"/>
      <c r="FL93" s="574" t="n"/>
      <c r="FM93" s="574" t="n"/>
      <c r="FN93" s="574" t="n"/>
      <c r="FO93" s="574" t="n"/>
      <c r="FP93" s="574" t="n"/>
      <c r="FQ93" s="574" t="n"/>
      <c r="FR93" s="574" t="n"/>
      <c r="FS93" s="574" t="n"/>
      <c r="FT93" s="574" t="n"/>
      <c r="FU93" s="574" t="n"/>
      <c r="FV93" s="574" t="n"/>
      <c r="FW93" s="574" t="n"/>
      <c r="FX93" s="574" t="n"/>
      <c r="FY93" s="574" t="n"/>
      <c r="FZ93" s="574" t="n"/>
      <c r="GA93" s="574" t="n"/>
      <c r="GB93" s="574" t="n"/>
      <c r="GC93" s="574" t="n"/>
      <c r="GD93" s="574" t="n"/>
      <c r="GE93" s="574" t="n"/>
      <c r="GF93" s="574" t="n"/>
    </row>
    <row r="94" customFormat="1" s="568">
      <c r="A94" s="86" t="n"/>
      <c r="B94" s="85" t="n"/>
      <c r="C94" s="84">
        <f>IFERROR(IF(AND($E94&gt;0,$D94&lt;&gt;"The Public"),$E94/SUMIFS($E$10:$E$205,$E$10:$E$205,"&gt;0",$D$10:$D$205,"&lt;&gt;The Public")*$D$5,""),"")</f>
        <v/>
      </c>
      <c r="D94" s="114" t="n"/>
      <c r="E94" s="137">
        <f>SUM(G94:HY94)</f>
        <v/>
      </c>
      <c r="F94" s="568">
        <f>IFERROR(IF($E94&gt;0.0000005,$E94/SUMIF($E$11:$E$140,"&gt;0.0000005"),""),"")</f>
        <v/>
      </c>
      <c r="M94" s="574" t="n"/>
      <c r="N94" s="574" t="n"/>
      <c r="O94" s="574" t="n"/>
      <c r="P94" s="574" t="n"/>
      <c r="Q94" s="574" t="n"/>
      <c r="R94" s="574" t="n"/>
      <c r="S94" s="574" t="n"/>
      <c r="T94" s="574" t="n"/>
      <c r="U94" s="574" t="n"/>
      <c r="V94" s="574" t="n"/>
      <c r="W94" s="574" t="n"/>
      <c r="X94" s="574" t="n"/>
      <c r="Y94" s="574" t="n"/>
      <c r="Z94" s="574" t="n"/>
      <c r="AA94" s="574" t="n"/>
      <c r="AB94" s="574" t="n"/>
      <c r="AC94" s="574" t="n"/>
      <c r="AD94" s="574" t="n"/>
      <c r="AE94" s="574" t="n"/>
      <c r="AF94" s="574" t="n"/>
      <c r="AG94" s="574" t="n"/>
      <c r="AH94" s="574" t="n"/>
      <c r="AI94" s="574" t="n"/>
      <c r="AJ94" s="574" t="n"/>
      <c r="AK94" s="574" t="n"/>
      <c r="AL94" s="574" t="n"/>
      <c r="AM94" s="574" t="n"/>
      <c r="AN94" s="574" t="n"/>
      <c r="AO94" s="574" t="n"/>
      <c r="AP94" s="574" t="n"/>
      <c r="AQ94" s="574" t="n"/>
      <c r="AR94" s="574" t="n"/>
      <c r="AS94" s="574" t="n"/>
      <c r="AT94" s="574" t="n"/>
      <c r="AU94" s="574" t="n"/>
      <c r="AV94" s="574" t="n"/>
      <c r="AW94" s="574" t="n"/>
      <c r="AX94" s="574" t="n"/>
      <c r="AY94" s="574" t="n"/>
      <c r="AZ94" s="574" t="n"/>
      <c r="BA94" s="574" t="n"/>
      <c r="BB94" s="574" t="n"/>
      <c r="BC94" s="574" t="n"/>
      <c r="BD94" s="574" t="n"/>
      <c r="BE94" s="574" t="n"/>
      <c r="BF94" s="574" t="n"/>
      <c r="BG94" s="574" t="n"/>
      <c r="BH94" s="574" t="n"/>
      <c r="BI94" s="574" t="n"/>
      <c r="BJ94" s="574" t="n"/>
      <c r="BK94" s="574" t="n"/>
      <c r="BL94" s="574" t="n"/>
      <c r="BM94" s="574" t="n"/>
      <c r="BN94" s="574" t="n"/>
      <c r="BO94" s="574" t="n"/>
      <c r="BP94" s="574" t="n"/>
      <c r="BQ94" s="574" t="n"/>
      <c r="BR94" s="574" t="n"/>
      <c r="BS94" s="574" t="n"/>
      <c r="BT94" s="574" t="n"/>
      <c r="BU94" s="574" t="n"/>
      <c r="BV94" s="574" t="n"/>
      <c r="BW94" s="574" t="n"/>
      <c r="BX94" s="574" t="n"/>
      <c r="BY94" s="574" t="n"/>
      <c r="BZ94" s="574" t="n"/>
      <c r="CA94" s="574" t="n"/>
      <c r="CB94" s="574" t="n"/>
      <c r="CC94" s="574" t="n"/>
      <c r="CD94" s="574" t="n"/>
      <c r="CE94" s="574" t="n"/>
      <c r="CF94" s="574" t="n"/>
      <c r="CG94" s="574" t="n"/>
      <c r="CH94" s="574" t="n"/>
      <c r="CI94" s="574" t="n"/>
      <c r="CJ94" s="574" t="n"/>
      <c r="CK94" s="574" t="n"/>
      <c r="CL94" s="574" t="n"/>
      <c r="CM94" s="574" t="n"/>
      <c r="CN94" s="574" t="n"/>
      <c r="CO94" s="574" t="n"/>
      <c r="CP94" s="574" t="n"/>
      <c r="CQ94" s="574" t="n"/>
      <c r="CR94" s="574" t="n"/>
      <c r="CS94" s="574" t="n"/>
      <c r="CT94" s="574" t="n"/>
      <c r="CU94" s="574" t="n"/>
      <c r="CV94" s="574" t="n"/>
      <c r="CW94" s="574" t="n"/>
      <c r="CX94" s="574" t="n"/>
      <c r="CY94" s="574" t="n"/>
      <c r="CZ94" s="574" t="n"/>
      <c r="DA94" s="574" t="n"/>
      <c r="DB94" s="574" t="n"/>
      <c r="DC94" s="574" t="n"/>
      <c r="DD94" s="574" t="n"/>
      <c r="DE94" s="574" t="n"/>
      <c r="DF94" s="574" t="n"/>
      <c r="DG94" s="574" t="n"/>
      <c r="DH94" s="574" t="n"/>
      <c r="DI94" s="574" t="n"/>
      <c r="DJ94" s="574" t="n"/>
      <c r="DK94" s="574" t="n"/>
      <c r="DL94" s="574" t="n"/>
      <c r="DM94" s="574" t="n"/>
      <c r="DN94" s="574" t="n"/>
      <c r="DO94" s="574" t="n"/>
      <c r="DP94" s="574" t="n"/>
      <c r="DQ94" s="574" t="n"/>
      <c r="DR94" s="574" t="n"/>
      <c r="DS94" s="574" t="n"/>
      <c r="DT94" s="574" t="n"/>
      <c r="DU94" s="574" t="n"/>
      <c r="DV94" s="574" t="n"/>
      <c r="DW94" s="574" t="n"/>
      <c r="DX94" s="574" t="n"/>
      <c r="DY94" s="574" t="n"/>
      <c r="DZ94" s="574" t="n"/>
      <c r="EA94" s="574" t="n"/>
      <c r="EB94" s="574" t="n"/>
      <c r="EC94" s="574" t="n"/>
      <c r="ED94" s="574" t="n"/>
      <c r="EE94" s="574" t="n"/>
      <c r="EF94" s="574" t="n"/>
      <c r="EG94" s="574" t="n"/>
      <c r="EH94" s="574" t="n"/>
      <c r="EI94" s="574" t="n"/>
      <c r="EJ94" s="574" t="n"/>
      <c r="EK94" s="574" t="n"/>
      <c r="EL94" s="574" t="n"/>
      <c r="EM94" s="574" t="n"/>
      <c r="EN94" s="574" t="n"/>
      <c r="EO94" s="574" t="n"/>
      <c r="EP94" s="574" t="n"/>
      <c r="EQ94" s="574" t="n"/>
      <c r="ER94" s="574" t="n"/>
      <c r="ES94" s="574" t="n"/>
      <c r="ET94" s="574" t="n"/>
      <c r="EU94" s="574" t="n"/>
      <c r="EV94" s="574" t="n"/>
      <c r="EW94" s="574" t="n"/>
      <c r="EX94" s="574" t="n"/>
      <c r="EY94" s="574" t="n"/>
      <c r="EZ94" s="574" t="n"/>
      <c r="FA94" s="574" t="n"/>
      <c r="FB94" s="574" t="n"/>
      <c r="FC94" s="574" t="n"/>
      <c r="FD94" s="574" t="n"/>
      <c r="FE94" s="574" t="n"/>
      <c r="FF94" s="574" t="n"/>
      <c r="FG94" s="574" t="n"/>
      <c r="FH94" s="574" t="n"/>
      <c r="FI94" s="574" t="n"/>
      <c r="FJ94" s="574" t="n"/>
      <c r="FK94" s="574" t="n"/>
      <c r="FL94" s="574" t="n"/>
      <c r="FM94" s="574" t="n"/>
      <c r="FN94" s="574" t="n"/>
      <c r="FO94" s="574" t="n"/>
      <c r="FP94" s="574" t="n"/>
      <c r="FQ94" s="574" t="n"/>
      <c r="FR94" s="574" t="n"/>
      <c r="FS94" s="574" t="n"/>
      <c r="FT94" s="574" t="n"/>
      <c r="FU94" s="574" t="n"/>
      <c r="FV94" s="574" t="n"/>
      <c r="FW94" s="574" t="n"/>
      <c r="FX94" s="574" t="n"/>
      <c r="FY94" s="574" t="n"/>
      <c r="FZ94" s="574" t="n"/>
      <c r="GA94" s="574" t="n"/>
      <c r="GB94" s="574" t="n"/>
      <c r="GC94" s="574" t="n"/>
      <c r="GD94" s="574" t="n"/>
      <c r="GE94" s="574" t="n"/>
      <c r="GF94" s="574" t="n"/>
    </row>
    <row r="95" customFormat="1" s="568">
      <c r="A95" s="86" t="n"/>
      <c r="B95" s="85" t="n"/>
      <c r="C95" s="137">
        <f>IFERROR(IF(AND($E95&gt;0,$D95&lt;&gt;"The Public"),$E95/SUMIFS($E$10:$E$205,$E$10:$E$205,"&gt;0",$D$10:$D$205,"&lt;&gt;The Public")*$D$5,""),"")</f>
        <v/>
      </c>
      <c r="D95" s="114" t="n"/>
      <c r="E95" s="137">
        <f>SUM(G95:HY95)</f>
        <v/>
      </c>
      <c r="F95" s="568">
        <f>IFERROR(IF($E95&gt;0.0000005,$E95/SUMIF($E$11:$E$140,"&gt;0.0000005"),""),"")</f>
        <v/>
      </c>
      <c r="M95" s="574" t="n"/>
      <c r="N95" s="574" t="n"/>
      <c r="O95" s="574" t="n"/>
      <c r="P95" s="574" t="n"/>
      <c r="Q95" s="574" t="n"/>
      <c r="R95" s="574" t="n"/>
      <c r="S95" s="574" t="n"/>
      <c r="T95" s="574" t="n"/>
      <c r="U95" s="574" t="n"/>
      <c r="V95" s="574" t="n"/>
      <c r="W95" s="574" t="n"/>
      <c r="X95" s="574" t="n"/>
      <c r="Y95" s="574" t="n"/>
      <c r="Z95" s="574" t="n"/>
      <c r="AA95" s="574" t="n"/>
      <c r="AB95" s="574" t="n"/>
      <c r="AC95" s="574" t="n"/>
      <c r="AD95" s="574" t="n"/>
      <c r="AE95" s="574" t="n"/>
      <c r="AF95" s="574" t="n"/>
      <c r="AG95" s="574" t="n"/>
      <c r="AH95" s="574" t="n"/>
      <c r="AI95" s="574" t="n"/>
      <c r="AJ95" s="574" t="n"/>
      <c r="AK95" s="574" t="n"/>
      <c r="AL95" s="574" t="n"/>
      <c r="AM95" s="574" t="n"/>
      <c r="AN95" s="574" t="n"/>
      <c r="AO95" s="574" t="n"/>
      <c r="AP95" s="574" t="n"/>
      <c r="AQ95" s="574" t="n"/>
      <c r="AR95" s="574" t="n"/>
      <c r="AS95" s="574" t="n"/>
      <c r="AT95" s="574" t="n"/>
      <c r="AU95" s="574" t="n"/>
      <c r="AV95" s="574" t="n"/>
      <c r="AW95" s="574" t="n"/>
      <c r="AX95" s="574" t="n"/>
      <c r="AY95" s="574" t="n"/>
      <c r="AZ95" s="574" t="n"/>
      <c r="BA95" s="574" t="n"/>
      <c r="BB95" s="574" t="n"/>
      <c r="BC95" s="574" t="n"/>
      <c r="BD95" s="574" t="n"/>
      <c r="BE95" s="574" t="n"/>
      <c r="BF95" s="574" t="n"/>
      <c r="BG95" s="574" t="n"/>
      <c r="BH95" s="574" t="n"/>
      <c r="BI95" s="574" t="n"/>
      <c r="BJ95" s="574" t="n"/>
      <c r="BK95" s="574" t="n"/>
      <c r="BL95" s="574" t="n"/>
      <c r="BM95" s="574" t="n"/>
      <c r="BN95" s="574" t="n"/>
      <c r="BO95" s="574" t="n"/>
      <c r="BP95" s="574" t="n"/>
      <c r="BQ95" s="574" t="n"/>
      <c r="BR95" s="574" t="n"/>
      <c r="BS95" s="574" t="n"/>
      <c r="BT95" s="574" t="n"/>
      <c r="BU95" s="574" t="n"/>
      <c r="BV95" s="574" t="n"/>
      <c r="BW95" s="574" t="n"/>
      <c r="BX95" s="574" t="n"/>
      <c r="BY95" s="574" t="n"/>
      <c r="BZ95" s="574" t="n"/>
      <c r="CA95" s="574" t="n"/>
      <c r="CB95" s="574" t="n"/>
      <c r="CC95" s="574" t="n"/>
      <c r="CD95" s="574" t="n"/>
      <c r="CE95" s="574" t="n"/>
      <c r="CF95" s="574" t="n"/>
      <c r="CG95" s="574" t="n"/>
      <c r="CH95" s="574" t="n"/>
      <c r="CI95" s="574" t="n"/>
      <c r="CJ95" s="574" t="n"/>
      <c r="CK95" s="574" t="n"/>
      <c r="CL95" s="574" t="n"/>
      <c r="CM95" s="574" t="n"/>
      <c r="CN95" s="574" t="n"/>
      <c r="CO95" s="574" t="n"/>
      <c r="CP95" s="574" t="n"/>
      <c r="CQ95" s="574" t="n"/>
      <c r="CR95" s="574" t="n"/>
      <c r="CS95" s="574" t="n"/>
      <c r="CT95" s="574" t="n"/>
      <c r="CU95" s="574" t="n"/>
      <c r="CV95" s="574" t="n"/>
      <c r="CW95" s="574" t="n"/>
      <c r="CX95" s="574" t="n"/>
      <c r="CY95" s="574" t="n"/>
      <c r="CZ95" s="574" t="n"/>
      <c r="DA95" s="574" t="n"/>
      <c r="DB95" s="574" t="n"/>
      <c r="DC95" s="574" t="n"/>
      <c r="DD95" s="574" t="n"/>
      <c r="DE95" s="574" t="n"/>
      <c r="DF95" s="574" t="n"/>
      <c r="DG95" s="574" t="n"/>
      <c r="DH95" s="574" t="n"/>
      <c r="DI95" s="574" t="n"/>
      <c r="DJ95" s="574" t="n"/>
      <c r="DK95" s="574" t="n"/>
      <c r="DL95" s="574" t="n"/>
      <c r="DM95" s="574" t="n"/>
      <c r="DN95" s="574" t="n"/>
      <c r="DO95" s="574" t="n"/>
      <c r="DP95" s="574" t="n"/>
      <c r="DQ95" s="574" t="n"/>
      <c r="DR95" s="574" t="n"/>
      <c r="DS95" s="574" t="n"/>
      <c r="DT95" s="574" t="n"/>
      <c r="DU95" s="574" t="n"/>
      <c r="DV95" s="574" t="n"/>
      <c r="DW95" s="574" t="n"/>
      <c r="DX95" s="574" t="n"/>
      <c r="DY95" s="574" t="n"/>
      <c r="DZ95" s="574" t="n"/>
      <c r="EA95" s="574" t="n"/>
      <c r="EB95" s="574" t="n"/>
      <c r="EC95" s="574" t="n"/>
      <c r="ED95" s="574" t="n"/>
      <c r="EE95" s="574" t="n"/>
      <c r="EF95" s="574" t="n"/>
      <c r="EG95" s="574" t="n"/>
      <c r="EH95" s="574" t="n"/>
      <c r="EI95" s="574" t="n"/>
      <c r="EJ95" s="574" t="n"/>
      <c r="EK95" s="574" t="n"/>
      <c r="EL95" s="574" t="n"/>
      <c r="EM95" s="574" t="n"/>
      <c r="EN95" s="574" t="n"/>
      <c r="EO95" s="574" t="n"/>
      <c r="EP95" s="574" t="n"/>
      <c r="EQ95" s="574" t="n"/>
      <c r="ER95" s="574" t="n"/>
      <c r="ES95" s="574" t="n"/>
      <c r="ET95" s="574" t="n"/>
      <c r="EU95" s="574" t="n"/>
      <c r="EV95" s="574" t="n"/>
      <c r="EW95" s="574" t="n"/>
      <c r="EX95" s="574" t="n"/>
      <c r="EY95" s="574" t="n"/>
      <c r="EZ95" s="574" t="n"/>
      <c r="FA95" s="574" t="n"/>
      <c r="FB95" s="574" t="n"/>
      <c r="FC95" s="574" t="n"/>
      <c r="FD95" s="574" t="n"/>
      <c r="FE95" s="574" t="n"/>
      <c r="FF95" s="574" t="n"/>
      <c r="FG95" s="574" t="n"/>
      <c r="FH95" s="574" t="n"/>
      <c r="FI95" s="574" t="n"/>
      <c r="FJ95" s="574" t="n"/>
      <c r="FK95" s="574" t="n"/>
      <c r="FL95" s="574" t="n"/>
      <c r="FM95" s="574" t="n"/>
      <c r="FN95" s="574" t="n"/>
      <c r="FO95" s="574" t="n"/>
      <c r="FP95" s="574" t="n"/>
      <c r="FQ95" s="574" t="n"/>
      <c r="FR95" s="574" t="n"/>
      <c r="FS95" s="574" t="n"/>
      <c r="FT95" s="574" t="n"/>
      <c r="FU95" s="574" t="n"/>
      <c r="FV95" s="574" t="n"/>
      <c r="FW95" s="574" t="n"/>
      <c r="FX95" s="574" t="n"/>
      <c r="FY95" s="574" t="n"/>
      <c r="FZ95" s="574" t="n"/>
      <c r="GA95" s="574" t="n"/>
      <c r="GB95" s="574" t="n"/>
      <c r="GC95" s="574" t="n"/>
      <c r="GD95" s="574" t="n"/>
      <c r="GE95" s="574" t="n"/>
      <c r="GF95" s="574" t="n"/>
    </row>
    <row r="96" customFormat="1" s="568">
      <c r="A96" s="86" t="n"/>
      <c r="B96" s="85" t="n"/>
      <c r="C96" s="84">
        <f>IFERROR(IF(AND($E96&gt;0,$D96&lt;&gt;"The Public"),$E96/SUMIFS($E$10:$E$205,$E$10:$E$205,"&gt;0",$D$10:$D$205,"&lt;&gt;The Public")*$D$5,""),"")</f>
        <v/>
      </c>
      <c r="D96" s="114" t="n"/>
      <c r="E96" s="137">
        <f>SUM(G96:HY96)</f>
        <v/>
      </c>
      <c r="F96" s="568">
        <f>IFERROR(IF($E96&gt;0.0000005,$E96/SUMIF($E$11:$E$140,"&gt;0.0000005"),""),"")</f>
        <v/>
      </c>
      <c r="M96" s="574" t="n"/>
      <c r="N96" s="574" t="n"/>
      <c r="O96" s="574" t="n"/>
      <c r="P96" s="574" t="n"/>
      <c r="Q96" s="574" t="n"/>
      <c r="R96" s="574" t="n"/>
      <c r="S96" s="574" t="n"/>
      <c r="T96" s="574" t="n"/>
      <c r="U96" s="574" t="n"/>
      <c r="V96" s="574" t="n"/>
      <c r="W96" s="574" t="n"/>
      <c r="X96" s="574" t="n"/>
      <c r="Y96" s="574" t="n"/>
      <c r="Z96" s="574" t="n"/>
      <c r="AA96" s="574" t="n"/>
      <c r="AB96" s="574" t="n"/>
      <c r="AC96" s="574" t="n"/>
      <c r="AD96" s="574" t="n"/>
      <c r="AE96" s="574" t="n"/>
      <c r="AF96" s="574" t="n"/>
      <c r="AG96" s="574" t="n"/>
      <c r="AH96" s="574" t="n"/>
      <c r="AI96" s="574" t="n"/>
      <c r="AJ96" s="574" t="n"/>
      <c r="AK96" s="574" t="n"/>
      <c r="AL96" s="574" t="n"/>
      <c r="AM96" s="574" t="n"/>
      <c r="AN96" s="574" t="n"/>
      <c r="AO96" s="574" t="n"/>
      <c r="AP96" s="574" t="n"/>
      <c r="AQ96" s="574" t="n"/>
      <c r="AR96" s="574" t="n"/>
      <c r="AS96" s="574" t="n"/>
      <c r="AT96" s="574" t="n"/>
      <c r="AU96" s="574" t="n"/>
      <c r="AV96" s="574" t="n"/>
      <c r="AW96" s="574" t="n"/>
      <c r="AX96" s="574" t="n"/>
      <c r="AY96" s="574" t="n"/>
      <c r="AZ96" s="574" t="n"/>
      <c r="BA96" s="574" t="n"/>
      <c r="BB96" s="574" t="n"/>
      <c r="BC96" s="574" t="n"/>
      <c r="BD96" s="574" t="n"/>
      <c r="BE96" s="574" t="n"/>
      <c r="BF96" s="574" t="n"/>
      <c r="BG96" s="574" t="n"/>
      <c r="BH96" s="574" t="n"/>
      <c r="BI96" s="574" t="n"/>
      <c r="BJ96" s="574" t="n"/>
      <c r="BK96" s="574" t="n"/>
      <c r="BL96" s="574" t="n"/>
      <c r="BM96" s="574" t="n"/>
      <c r="BN96" s="574" t="n"/>
      <c r="BO96" s="574" t="n"/>
      <c r="BP96" s="574" t="n"/>
      <c r="BQ96" s="574" t="n"/>
      <c r="BR96" s="574" t="n"/>
      <c r="BS96" s="574" t="n"/>
      <c r="BT96" s="574" t="n"/>
      <c r="BU96" s="574" t="n"/>
      <c r="BV96" s="574" t="n"/>
      <c r="BW96" s="574" t="n"/>
      <c r="BX96" s="574" t="n"/>
      <c r="BY96" s="574" t="n"/>
      <c r="BZ96" s="574" t="n"/>
      <c r="CA96" s="574" t="n"/>
      <c r="CB96" s="574" t="n"/>
      <c r="CC96" s="574" t="n"/>
      <c r="CD96" s="574" t="n"/>
      <c r="CE96" s="574" t="n"/>
      <c r="CF96" s="574" t="n"/>
      <c r="CG96" s="574" t="n"/>
      <c r="CH96" s="574" t="n"/>
      <c r="CI96" s="574" t="n"/>
      <c r="CJ96" s="574" t="n"/>
      <c r="CK96" s="574" t="n"/>
      <c r="CL96" s="574" t="n"/>
      <c r="CM96" s="574" t="n"/>
      <c r="CN96" s="574" t="n"/>
      <c r="CO96" s="574" t="n"/>
      <c r="CP96" s="574" t="n"/>
      <c r="CQ96" s="574" t="n"/>
      <c r="CR96" s="574" t="n"/>
      <c r="CS96" s="574" t="n"/>
      <c r="CT96" s="574" t="n"/>
      <c r="CU96" s="574" t="n"/>
      <c r="CV96" s="574" t="n"/>
      <c r="CW96" s="574" t="n"/>
      <c r="CX96" s="574" t="n"/>
      <c r="CY96" s="574" t="n"/>
      <c r="CZ96" s="574" t="n"/>
      <c r="DA96" s="574" t="n"/>
      <c r="DB96" s="574" t="n"/>
      <c r="DC96" s="574" t="n"/>
      <c r="DD96" s="574" t="n"/>
      <c r="DE96" s="574" t="n"/>
      <c r="DF96" s="574" t="n"/>
      <c r="DG96" s="574" t="n"/>
      <c r="DH96" s="574" t="n"/>
      <c r="DI96" s="574" t="n"/>
      <c r="DJ96" s="574" t="n"/>
      <c r="DK96" s="574" t="n"/>
      <c r="DL96" s="574" t="n"/>
      <c r="DM96" s="574" t="n"/>
      <c r="DN96" s="574" t="n"/>
      <c r="DO96" s="574" t="n"/>
      <c r="DP96" s="574" t="n"/>
      <c r="DQ96" s="574" t="n"/>
      <c r="DR96" s="574" t="n"/>
      <c r="DS96" s="574" t="n"/>
      <c r="DT96" s="574" t="n"/>
      <c r="DU96" s="574" t="n"/>
      <c r="DV96" s="574" t="n"/>
      <c r="DW96" s="574" t="n"/>
      <c r="DX96" s="574" t="n"/>
      <c r="DY96" s="574" t="n"/>
      <c r="DZ96" s="574" t="n"/>
      <c r="EA96" s="574" t="n"/>
      <c r="EB96" s="574" t="n"/>
      <c r="EC96" s="574" t="n"/>
      <c r="ED96" s="574" t="n"/>
      <c r="EE96" s="574" t="n"/>
      <c r="EF96" s="574" t="n"/>
      <c r="EG96" s="574" t="n"/>
      <c r="EH96" s="574" t="n"/>
      <c r="EI96" s="574" t="n"/>
      <c r="EJ96" s="574" t="n"/>
      <c r="EK96" s="574" t="n"/>
      <c r="EL96" s="574" t="n"/>
      <c r="EM96" s="574" t="n"/>
      <c r="EN96" s="574" t="n"/>
      <c r="EO96" s="574" t="n"/>
      <c r="EP96" s="574" t="n"/>
      <c r="EQ96" s="574" t="n"/>
      <c r="ER96" s="574" t="n"/>
      <c r="ES96" s="574" t="n"/>
      <c r="ET96" s="574" t="n"/>
      <c r="EU96" s="574" t="n"/>
      <c r="EV96" s="574" t="n"/>
      <c r="EW96" s="574" t="n"/>
      <c r="EX96" s="574" t="n"/>
      <c r="EY96" s="574" t="n"/>
      <c r="EZ96" s="574" t="n"/>
      <c r="FA96" s="574" t="n"/>
      <c r="FB96" s="574" t="n"/>
      <c r="FC96" s="574" t="n"/>
      <c r="FD96" s="574" t="n"/>
      <c r="FE96" s="574" t="n"/>
      <c r="FF96" s="574" t="n"/>
      <c r="FG96" s="574" t="n"/>
      <c r="FH96" s="574" t="n"/>
      <c r="FI96" s="574" t="n"/>
      <c r="FJ96" s="574" t="n"/>
      <c r="FK96" s="574" t="n"/>
      <c r="FL96" s="574" t="n"/>
      <c r="FM96" s="574" t="n"/>
      <c r="FN96" s="574" t="n"/>
      <c r="FO96" s="574" t="n"/>
      <c r="FP96" s="574" t="n"/>
      <c r="FQ96" s="574" t="n"/>
      <c r="FR96" s="574" t="n"/>
      <c r="FS96" s="574" t="n"/>
      <c r="FT96" s="574" t="n"/>
      <c r="FU96" s="574" t="n"/>
      <c r="FV96" s="574" t="n"/>
      <c r="FW96" s="574" t="n"/>
      <c r="FX96" s="574" t="n"/>
      <c r="FY96" s="574" t="n"/>
      <c r="FZ96" s="574" t="n"/>
      <c r="GA96" s="574" t="n"/>
      <c r="GB96" s="574" t="n"/>
      <c r="GC96" s="574" t="n"/>
      <c r="GD96" s="574" t="n"/>
      <c r="GE96" s="574" t="n"/>
      <c r="GF96" s="574" t="n"/>
    </row>
    <row r="97" customFormat="1" s="568">
      <c r="A97" s="86" t="n"/>
      <c r="B97" s="85" t="n"/>
      <c r="C97" s="137">
        <f>IFERROR(IF(AND($E97&gt;0,$D97&lt;&gt;"The Public"),$E97/SUMIFS($E$10:$E$205,$E$10:$E$205,"&gt;0",$D$10:$D$205,"&lt;&gt;The Public")*$D$5,""),"")</f>
        <v/>
      </c>
      <c r="D97" s="114" t="n"/>
      <c r="E97" s="137">
        <f>SUM(G97:HY97)</f>
        <v/>
      </c>
      <c r="F97" s="568">
        <f>IFERROR(IF($E97&gt;0.0000005,$E97/SUMIF($E$11:$E$140,"&gt;0.0000005"),""),"")</f>
        <v/>
      </c>
      <c r="M97" s="574" t="n"/>
      <c r="N97" s="574" t="n"/>
      <c r="O97" s="574" t="n"/>
      <c r="P97" s="574" t="n"/>
      <c r="Q97" s="574" t="n"/>
      <c r="R97" s="574" t="n"/>
      <c r="S97" s="574" t="n"/>
      <c r="T97" s="574" t="n"/>
      <c r="U97" s="574" t="n"/>
      <c r="V97" s="574" t="n"/>
      <c r="W97" s="574" t="n"/>
      <c r="X97" s="574" t="n"/>
      <c r="Y97" s="574" t="n"/>
      <c r="Z97" s="574" t="n"/>
      <c r="AA97" s="574" t="n"/>
      <c r="AB97" s="574" t="n"/>
      <c r="AC97" s="574" t="n"/>
      <c r="AD97" s="574" t="n"/>
      <c r="AE97" s="574" t="n"/>
      <c r="AF97" s="574" t="n"/>
      <c r="AG97" s="574" t="n"/>
      <c r="AH97" s="574" t="n"/>
      <c r="AI97" s="574" t="n"/>
      <c r="AJ97" s="574" t="n"/>
      <c r="AK97" s="574" t="n"/>
      <c r="AL97" s="574" t="n"/>
      <c r="AM97" s="574" t="n"/>
      <c r="AN97" s="574" t="n"/>
      <c r="AO97" s="574" t="n"/>
      <c r="AP97" s="574" t="n"/>
      <c r="AQ97" s="574" t="n"/>
      <c r="AR97" s="574" t="n"/>
      <c r="AS97" s="574" t="n"/>
      <c r="AT97" s="574" t="n"/>
      <c r="AU97" s="574" t="n"/>
      <c r="AV97" s="574" t="n"/>
      <c r="AW97" s="574" t="n"/>
      <c r="AX97" s="574" t="n"/>
      <c r="AY97" s="574" t="n"/>
      <c r="AZ97" s="574" t="n"/>
      <c r="BA97" s="574" t="n"/>
      <c r="BB97" s="574" t="n"/>
      <c r="BC97" s="574" t="n"/>
      <c r="BD97" s="574" t="n"/>
      <c r="BE97" s="574" t="n"/>
      <c r="BF97" s="574" t="n"/>
      <c r="BG97" s="574" t="n"/>
      <c r="BH97" s="574" t="n"/>
      <c r="BI97" s="574" t="n"/>
      <c r="BJ97" s="574" t="n"/>
      <c r="BK97" s="574" t="n"/>
      <c r="BL97" s="574" t="n"/>
      <c r="BM97" s="574" t="n"/>
      <c r="BN97" s="574" t="n"/>
      <c r="BO97" s="574" t="n"/>
      <c r="BP97" s="574" t="n"/>
      <c r="BQ97" s="574" t="n"/>
      <c r="BR97" s="574" t="n"/>
      <c r="BS97" s="574" t="n"/>
      <c r="BT97" s="574" t="n"/>
      <c r="BU97" s="574" t="n"/>
      <c r="BV97" s="574" t="n"/>
      <c r="BW97" s="574" t="n"/>
      <c r="BX97" s="574" t="n"/>
      <c r="BY97" s="574" t="n"/>
      <c r="BZ97" s="574" t="n"/>
      <c r="CA97" s="574" t="n"/>
      <c r="CB97" s="574" t="n"/>
      <c r="CC97" s="574" t="n"/>
      <c r="CD97" s="574" t="n"/>
      <c r="CE97" s="574" t="n"/>
      <c r="CF97" s="574" t="n"/>
      <c r="CG97" s="574" t="n"/>
      <c r="CH97" s="574" t="n"/>
      <c r="CI97" s="574" t="n"/>
      <c r="CJ97" s="574" t="n"/>
      <c r="CK97" s="574" t="n"/>
      <c r="CL97" s="574" t="n"/>
      <c r="CM97" s="574" t="n"/>
      <c r="CN97" s="574" t="n"/>
      <c r="CO97" s="574" t="n"/>
      <c r="CP97" s="574" t="n"/>
      <c r="CQ97" s="574" t="n"/>
      <c r="CR97" s="574" t="n"/>
      <c r="CS97" s="574" t="n"/>
      <c r="CT97" s="574" t="n"/>
      <c r="CU97" s="574" t="n"/>
      <c r="CV97" s="574" t="n"/>
      <c r="CW97" s="574" t="n"/>
      <c r="CX97" s="574" t="n"/>
      <c r="CY97" s="574" t="n"/>
      <c r="CZ97" s="574" t="n"/>
      <c r="DA97" s="574" t="n"/>
      <c r="DB97" s="574" t="n"/>
      <c r="DC97" s="574" t="n"/>
      <c r="DD97" s="574" t="n"/>
      <c r="DE97" s="574" t="n"/>
      <c r="DF97" s="574" t="n"/>
      <c r="DG97" s="574" t="n"/>
      <c r="DH97" s="574" t="n"/>
      <c r="DI97" s="574" t="n"/>
      <c r="DJ97" s="574" t="n"/>
      <c r="DK97" s="574" t="n"/>
      <c r="DL97" s="574" t="n"/>
      <c r="DM97" s="574" t="n"/>
      <c r="DN97" s="574" t="n"/>
      <c r="DO97" s="574" t="n"/>
      <c r="DP97" s="574" t="n"/>
      <c r="DQ97" s="574" t="n"/>
      <c r="DR97" s="574" t="n"/>
      <c r="DS97" s="574" t="n"/>
      <c r="DT97" s="574" t="n"/>
      <c r="DU97" s="574" t="n"/>
      <c r="DV97" s="574" t="n"/>
      <c r="DW97" s="574" t="n"/>
      <c r="DX97" s="574" t="n"/>
      <c r="DY97" s="574" t="n"/>
      <c r="DZ97" s="574" t="n"/>
      <c r="EA97" s="574" t="n"/>
      <c r="EB97" s="574" t="n"/>
      <c r="EC97" s="574" t="n"/>
      <c r="ED97" s="574" t="n"/>
      <c r="EE97" s="574" t="n"/>
      <c r="EF97" s="574" t="n"/>
      <c r="EG97" s="574" t="n"/>
      <c r="EH97" s="574" t="n"/>
      <c r="EI97" s="574" t="n"/>
      <c r="EJ97" s="574" t="n"/>
      <c r="EK97" s="574" t="n"/>
      <c r="EL97" s="574" t="n"/>
      <c r="EM97" s="574" t="n"/>
      <c r="EN97" s="574" t="n"/>
      <c r="EO97" s="574" t="n"/>
      <c r="EP97" s="574" t="n"/>
      <c r="EQ97" s="574" t="n"/>
      <c r="ER97" s="574" t="n"/>
      <c r="ES97" s="574" t="n"/>
      <c r="ET97" s="574" t="n"/>
      <c r="EU97" s="574" t="n"/>
      <c r="EV97" s="574" t="n"/>
      <c r="EW97" s="574" t="n"/>
      <c r="EX97" s="574" t="n"/>
      <c r="EY97" s="574" t="n"/>
      <c r="EZ97" s="574" t="n"/>
      <c r="FA97" s="574" t="n"/>
      <c r="FB97" s="574" t="n"/>
      <c r="FC97" s="574" t="n"/>
      <c r="FD97" s="574" t="n"/>
      <c r="FE97" s="574" t="n"/>
      <c r="FF97" s="574" t="n"/>
      <c r="FG97" s="574" t="n"/>
      <c r="FH97" s="574" t="n"/>
      <c r="FI97" s="574" t="n"/>
      <c r="FJ97" s="574" t="n"/>
      <c r="FK97" s="574" t="n"/>
      <c r="FL97" s="574" t="n"/>
      <c r="FM97" s="574" t="n"/>
      <c r="FN97" s="574" t="n"/>
      <c r="FO97" s="574" t="n"/>
      <c r="FP97" s="574" t="n"/>
      <c r="FQ97" s="574" t="n"/>
      <c r="FR97" s="574" t="n"/>
      <c r="FS97" s="574" t="n"/>
      <c r="FT97" s="574" t="n"/>
      <c r="FU97" s="574" t="n"/>
      <c r="FV97" s="574" t="n"/>
      <c r="FW97" s="574" t="n"/>
      <c r="FX97" s="574" t="n"/>
      <c r="FY97" s="574" t="n"/>
      <c r="FZ97" s="574" t="n"/>
      <c r="GA97" s="574" t="n"/>
      <c r="GB97" s="574" t="n"/>
      <c r="GC97" s="574" t="n"/>
      <c r="GD97" s="574" t="n"/>
      <c r="GE97" s="574" t="n"/>
      <c r="GF97" s="574" t="n"/>
    </row>
    <row r="98" customFormat="1" s="568">
      <c r="A98" s="86" t="n"/>
      <c r="B98" s="85" t="n"/>
      <c r="C98" s="84">
        <f>IFERROR(IF(AND($E98&gt;0,$D98&lt;&gt;"The Public"),$E98/SUMIFS($E$10:$E$205,$E$10:$E$205,"&gt;0",$D$10:$D$205,"&lt;&gt;The Public")*$D$5,""),"")</f>
        <v/>
      </c>
      <c r="D98" s="114" t="n"/>
      <c r="E98" s="84">
        <f>SUM(G98:HY98)</f>
        <v/>
      </c>
      <c r="F98" s="568">
        <f>IFERROR(IF($E98&gt;0.0000005,$E98/SUMIF($E$11:$E$140,"&gt;0.0000005"),""),"")</f>
        <v/>
      </c>
      <c r="M98" s="574" t="n"/>
      <c r="N98" s="574" t="n"/>
      <c r="O98" s="574" t="n"/>
      <c r="P98" s="574" t="n"/>
      <c r="Q98" s="574" t="n"/>
      <c r="R98" s="574" t="n"/>
      <c r="S98" s="574" t="n"/>
      <c r="T98" s="574" t="n"/>
      <c r="U98" s="574" t="n"/>
      <c r="V98" s="574" t="n"/>
      <c r="W98" s="574" t="n"/>
      <c r="X98" s="574" t="n"/>
      <c r="Y98" s="574" t="n"/>
      <c r="Z98" s="574" t="n"/>
      <c r="AA98" s="574" t="n"/>
      <c r="AB98" s="574" t="n"/>
      <c r="AC98" s="574" t="n"/>
      <c r="AD98" s="574" t="n"/>
      <c r="AE98" s="574" t="n"/>
      <c r="AF98" s="574" t="n"/>
      <c r="AG98" s="574" t="n"/>
      <c r="AH98" s="574" t="n"/>
      <c r="AI98" s="574" t="n"/>
      <c r="AJ98" s="574" t="n"/>
      <c r="AK98" s="574" t="n"/>
      <c r="AL98" s="574" t="n"/>
      <c r="AM98" s="574" t="n"/>
      <c r="AN98" s="574" t="n"/>
      <c r="AO98" s="574" t="n"/>
      <c r="AP98" s="574" t="n"/>
      <c r="AQ98" s="574" t="n"/>
      <c r="AR98" s="574" t="n"/>
      <c r="AS98" s="574" t="n"/>
      <c r="AT98" s="574" t="n"/>
      <c r="AU98" s="574" t="n"/>
      <c r="AV98" s="574" t="n"/>
      <c r="AW98" s="574" t="n"/>
      <c r="AX98" s="574" t="n"/>
      <c r="AY98" s="574" t="n"/>
      <c r="AZ98" s="574" t="n"/>
      <c r="BA98" s="574" t="n"/>
      <c r="BB98" s="574" t="n"/>
      <c r="BC98" s="574" t="n"/>
      <c r="BD98" s="574" t="n"/>
      <c r="BE98" s="574" t="n"/>
      <c r="BF98" s="574" t="n"/>
      <c r="BG98" s="574" t="n"/>
      <c r="BH98" s="574" t="n"/>
      <c r="BI98" s="574" t="n"/>
      <c r="BJ98" s="574" t="n"/>
      <c r="BK98" s="574" t="n"/>
      <c r="BL98" s="574" t="n"/>
      <c r="BM98" s="574" t="n"/>
      <c r="BN98" s="574" t="n"/>
      <c r="BO98" s="574" t="n"/>
      <c r="BP98" s="574" t="n"/>
      <c r="BQ98" s="574" t="n"/>
      <c r="BR98" s="574" t="n"/>
      <c r="BS98" s="574" t="n"/>
      <c r="BT98" s="574" t="n"/>
      <c r="BU98" s="574" t="n"/>
      <c r="BV98" s="574" t="n"/>
      <c r="BW98" s="574" t="n"/>
      <c r="BX98" s="574" t="n"/>
      <c r="BY98" s="574" t="n"/>
      <c r="BZ98" s="574" t="n"/>
      <c r="CA98" s="574" t="n"/>
      <c r="CB98" s="574" t="n"/>
      <c r="CC98" s="574" t="n"/>
      <c r="CD98" s="574" t="n"/>
      <c r="CE98" s="574" t="n"/>
      <c r="CF98" s="574" t="n"/>
      <c r="CG98" s="574" t="n"/>
      <c r="CH98" s="574" t="n"/>
      <c r="CI98" s="574" t="n"/>
      <c r="CJ98" s="574" t="n"/>
      <c r="CK98" s="574" t="n"/>
      <c r="CL98" s="574" t="n"/>
      <c r="CM98" s="574" t="n"/>
      <c r="CN98" s="574" t="n"/>
      <c r="CO98" s="574" t="n"/>
      <c r="CP98" s="574" t="n"/>
      <c r="CQ98" s="574" t="n"/>
      <c r="CR98" s="574" t="n"/>
      <c r="CS98" s="574" t="n"/>
      <c r="CT98" s="574" t="n"/>
      <c r="CU98" s="574" t="n"/>
      <c r="CV98" s="574" t="n"/>
      <c r="CW98" s="574" t="n"/>
      <c r="CX98" s="574" t="n"/>
      <c r="CY98" s="574" t="n"/>
      <c r="CZ98" s="574" t="n"/>
      <c r="DA98" s="574" t="n"/>
      <c r="DB98" s="574" t="n"/>
      <c r="DC98" s="574" t="n"/>
      <c r="DD98" s="574" t="n"/>
      <c r="DE98" s="574" t="n"/>
      <c r="DF98" s="574" t="n"/>
      <c r="DG98" s="574" t="n"/>
      <c r="DH98" s="574" t="n"/>
      <c r="DI98" s="574" t="n"/>
      <c r="DJ98" s="574" t="n"/>
      <c r="DK98" s="574" t="n"/>
      <c r="DL98" s="574" t="n"/>
      <c r="DM98" s="574" t="n"/>
      <c r="DN98" s="574" t="n"/>
      <c r="DO98" s="574" t="n"/>
      <c r="DP98" s="574" t="n"/>
      <c r="DQ98" s="574" t="n"/>
      <c r="DR98" s="574" t="n"/>
      <c r="DS98" s="574" t="n"/>
      <c r="DT98" s="574" t="n"/>
      <c r="DU98" s="574" t="n"/>
      <c r="DV98" s="574" t="n"/>
      <c r="DW98" s="574" t="n"/>
      <c r="DX98" s="574" t="n"/>
      <c r="DY98" s="574" t="n"/>
      <c r="DZ98" s="574" t="n"/>
      <c r="EA98" s="574" t="n"/>
      <c r="EB98" s="574" t="n"/>
      <c r="EC98" s="574" t="n"/>
      <c r="ED98" s="574" t="n"/>
      <c r="EE98" s="574" t="n"/>
      <c r="EF98" s="574" t="n"/>
      <c r="EG98" s="574" t="n"/>
      <c r="EH98" s="574" t="n"/>
      <c r="EI98" s="574" t="n"/>
      <c r="EJ98" s="574" t="n"/>
      <c r="EK98" s="574" t="n"/>
      <c r="EL98" s="574" t="n"/>
      <c r="EM98" s="574" t="n"/>
      <c r="EN98" s="574" t="n"/>
      <c r="EO98" s="574" t="n"/>
      <c r="EP98" s="574" t="n"/>
      <c r="EQ98" s="574" t="n"/>
      <c r="ER98" s="574" t="n"/>
      <c r="ES98" s="574" t="n"/>
      <c r="ET98" s="574" t="n"/>
      <c r="EU98" s="574" t="n"/>
      <c r="EV98" s="574" t="n"/>
      <c r="EW98" s="574" t="n"/>
      <c r="EX98" s="574" t="n"/>
      <c r="EY98" s="574" t="n"/>
      <c r="EZ98" s="574" t="n"/>
      <c r="FA98" s="574" t="n"/>
      <c r="FB98" s="574" t="n"/>
      <c r="FC98" s="574" t="n"/>
      <c r="FD98" s="574" t="n"/>
      <c r="FE98" s="574" t="n"/>
      <c r="FF98" s="574" t="n"/>
      <c r="FG98" s="574" t="n"/>
      <c r="FH98" s="574" t="n"/>
      <c r="FI98" s="574" t="n"/>
      <c r="FJ98" s="574" t="n"/>
      <c r="FK98" s="574" t="n"/>
      <c r="FL98" s="574" t="n"/>
      <c r="FM98" s="574" t="n"/>
      <c r="FN98" s="574" t="n"/>
      <c r="FO98" s="574" t="n"/>
      <c r="FP98" s="574" t="n"/>
      <c r="FQ98" s="574" t="n"/>
      <c r="FR98" s="574" t="n"/>
      <c r="FS98" s="574" t="n"/>
      <c r="FT98" s="574" t="n"/>
      <c r="FU98" s="574" t="n"/>
      <c r="FV98" s="574" t="n"/>
      <c r="FW98" s="574" t="n"/>
      <c r="FX98" s="574" t="n"/>
      <c r="FY98" s="574" t="n"/>
      <c r="FZ98" s="574" t="n"/>
      <c r="GA98" s="574" t="n"/>
      <c r="GB98" s="574" t="n"/>
      <c r="GC98" s="574" t="n"/>
      <c r="GD98" s="574" t="n"/>
      <c r="GE98" s="574" t="n"/>
      <c r="GF98" s="574" t="n"/>
    </row>
    <row r="99" customFormat="1" s="568">
      <c r="A99" s="86" t="n"/>
      <c r="B99" s="85" t="n"/>
      <c r="C99" s="84">
        <f>IFERROR(IF(AND($E99&gt;0,$D99&lt;&gt;"The Public"),$E99/SUMIFS($E$10:$E$205,$E$10:$E$205,"&gt;0",$D$10:$D$205,"&lt;&gt;The Public")*$D$5,""),"")</f>
        <v/>
      </c>
      <c r="D99" s="114" t="n"/>
      <c r="E99" s="84">
        <f>SUM(G99:HY99)</f>
        <v/>
      </c>
      <c r="F99" s="568">
        <f>IFERROR(IF($E99&gt;0.0000005,$E99/SUMIF($E$11:$E$140,"&gt;0.0000005"),""),"")</f>
        <v/>
      </c>
      <c r="M99" s="574" t="n"/>
      <c r="N99" s="574" t="n"/>
      <c r="O99" s="574" t="n"/>
      <c r="P99" s="574" t="n"/>
      <c r="Q99" s="574" t="n"/>
      <c r="R99" s="574" t="n"/>
      <c r="S99" s="574" t="n"/>
      <c r="T99" s="574" t="n"/>
      <c r="U99" s="574" t="n"/>
      <c r="V99" s="574" t="n"/>
      <c r="W99" s="574" t="n"/>
      <c r="X99" s="574" t="n"/>
      <c r="Y99" s="574" t="n"/>
      <c r="Z99" s="574" t="n"/>
      <c r="AA99" s="574" t="n"/>
      <c r="AB99" s="574" t="n"/>
      <c r="AC99" s="574" t="n"/>
      <c r="AD99" s="574" t="n"/>
      <c r="AE99" s="574" t="n"/>
      <c r="AF99" s="574" t="n"/>
      <c r="AG99" s="574" t="n"/>
      <c r="AH99" s="574" t="n"/>
      <c r="AI99" s="574" t="n"/>
      <c r="AJ99" s="574" t="n"/>
      <c r="AK99" s="574" t="n"/>
      <c r="AL99" s="574" t="n"/>
      <c r="AM99" s="574" t="n"/>
      <c r="AN99" s="574" t="n"/>
      <c r="AO99" s="574" t="n"/>
      <c r="AP99" s="574" t="n"/>
      <c r="AQ99" s="574" t="n"/>
      <c r="AR99" s="574" t="n"/>
      <c r="AS99" s="574" t="n"/>
      <c r="AT99" s="574" t="n"/>
      <c r="AU99" s="574" t="n"/>
      <c r="AV99" s="574" t="n"/>
      <c r="AW99" s="574" t="n"/>
      <c r="AX99" s="574" t="n"/>
      <c r="AY99" s="574" t="n"/>
      <c r="AZ99" s="574" t="n"/>
      <c r="BA99" s="574" t="n"/>
      <c r="BB99" s="574" t="n"/>
      <c r="BC99" s="574" t="n"/>
      <c r="BD99" s="574" t="n"/>
      <c r="BE99" s="574" t="n"/>
      <c r="BF99" s="574" t="n"/>
      <c r="BG99" s="574" t="n"/>
      <c r="BH99" s="574" t="n"/>
      <c r="BI99" s="574" t="n"/>
      <c r="BJ99" s="574" t="n"/>
      <c r="BK99" s="574" t="n"/>
      <c r="BL99" s="574" t="n"/>
      <c r="BM99" s="574" t="n"/>
      <c r="BN99" s="574" t="n"/>
      <c r="BO99" s="574" t="n"/>
      <c r="BP99" s="574" t="n"/>
      <c r="BQ99" s="574" t="n"/>
      <c r="BR99" s="574" t="n"/>
      <c r="BS99" s="574" t="n"/>
      <c r="BT99" s="574" t="n"/>
      <c r="BU99" s="574" t="n"/>
      <c r="BV99" s="574" t="n"/>
      <c r="BW99" s="574" t="n"/>
      <c r="BX99" s="574" t="n"/>
      <c r="BY99" s="574" t="n"/>
      <c r="BZ99" s="574" t="n"/>
      <c r="CA99" s="574" t="n"/>
      <c r="CB99" s="574" t="n"/>
      <c r="CC99" s="574" t="n"/>
      <c r="CD99" s="574" t="n"/>
      <c r="CE99" s="574" t="n"/>
      <c r="CF99" s="574" t="n"/>
      <c r="CG99" s="574" t="n"/>
      <c r="CH99" s="574" t="n"/>
      <c r="CI99" s="574" t="n"/>
      <c r="CJ99" s="574" t="n"/>
      <c r="CK99" s="574" t="n"/>
      <c r="CL99" s="574" t="n"/>
      <c r="CM99" s="574" t="n"/>
      <c r="CN99" s="574" t="n"/>
      <c r="CO99" s="574" t="n"/>
      <c r="CP99" s="574" t="n"/>
      <c r="CQ99" s="574" t="n"/>
      <c r="CR99" s="574" t="n"/>
      <c r="CS99" s="574" t="n"/>
      <c r="CT99" s="574" t="n"/>
      <c r="CU99" s="574" t="n"/>
      <c r="CV99" s="574" t="n"/>
      <c r="CW99" s="574" t="n"/>
      <c r="CX99" s="574" t="n"/>
      <c r="CY99" s="574" t="n"/>
      <c r="CZ99" s="574" t="n"/>
      <c r="DA99" s="574" t="n"/>
      <c r="DB99" s="574" t="n"/>
      <c r="DC99" s="574" t="n"/>
      <c r="DD99" s="574" t="n"/>
      <c r="DE99" s="574" t="n"/>
      <c r="DF99" s="574" t="n"/>
      <c r="DG99" s="574" t="n"/>
      <c r="DH99" s="574" t="n"/>
      <c r="DI99" s="574" t="n"/>
      <c r="DJ99" s="574" t="n"/>
      <c r="DK99" s="574" t="n"/>
      <c r="DL99" s="574" t="n"/>
      <c r="DM99" s="574" t="n"/>
      <c r="DN99" s="574" t="n"/>
      <c r="DO99" s="574" t="n"/>
      <c r="DP99" s="574" t="n"/>
      <c r="DQ99" s="574" t="n"/>
      <c r="DR99" s="574" t="n"/>
      <c r="DS99" s="574" t="n"/>
      <c r="DT99" s="574" t="n"/>
      <c r="DU99" s="574" t="n"/>
      <c r="DV99" s="574" t="n"/>
      <c r="DW99" s="574" t="n"/>
      <c r="DX99" s="574" t="n"/>
      <c r="DY99" s="574" t="n"/>
      <c r="DZ99" s="574" t="n"/>
      <c r="EA99" s="574" t="n"/>
      <c r="EB99" s="574" t="n"/>
      <c r="EC99" s="574" t="n"/>
      <c r="ED99" s="574" t="n"/>
      <c r="EE99" s="574" t="n"/>
      <c r="EF99" s="574" t="n"/>
      <c r="EG99" s="574" t="n"/>
      <c r="EH99" s="574" t="n"/>
      <c r="EI99" s="574" t="n"/>
      <c r="EJ99" s="574" t="n"/>
      <c r="EK99" s="574" t="n"/>
      <c r="EL99" s="574" t="n"/>
      <c r="EM99" s="574" t="n"/>
      <c r="EN99" s="574" t="n"/>
      <c r="EO99" s="574" t="n"/>
      <c r="EP99" s="574" t="n"/>
      <c r="EQ99" s="574" t="n"/>
      <c r="ER99" s="574" t="n"/>
      <c r="ES99" s="574" t="n"/>
      <c r="ET99" s="574" t="n"/>
      <c r="EU99" s="574" t="n"/>
      <c r="EV99" s="574" t="n"/>
      <c r="EW99" s="574" t="n"/>
      <c r="EX99" s="574" t="n"/>
      <c r="EY99" s="574" t="n"/>
      <c r="EZ99" s="574" t="n"/>
      <c r="FA99" s="574" t="n"/>
      <c r="FB99" s="574" t="n"/>
      <c r="FC99" s="574" t="n"/>
      <c r="FD99" s="574" t="n"/>
      <c r="FE99" s="574" t="n"/>
      <c r="FF99" s="574" t="n"/>
      <c r="FG99" s="574" t="n"/>
      <c r="FH99" s="574" t="n"/>
      <c r="FI99" s="574" t="n"/>
      <c r="FJ99" s="574" t="n"/>
      <c r="FK99" s="574" t="n"/>
      <c r="FL99" s="574" t="n"/>
      <c r="FM99" s="574" t="n"/>
      <c r="FN99" s="574" t="n"/>
      <c r="FO99" s="574" t="n"/>
      <c r="FP99" s="574" t="n"/>
      <c r="FQ99" s="574" t="n"/>
      <c r="FR99" s="574" t="n"/>
      <c r="FS99" s="574" t="n"/>
      <c r="FT99" s="574" t="n"/>
      <c r="FU99" s="574" t="n"/>
      <c r="FV99" s="574" t="n"/>
      <c r="FW99" s="574" t="n"/>
      <c r="FX99" s="574" t="n"/>
      <c r="FY99" s="574" t="n"/>
      <c r="FZ99" s="574" t="n"/>
      <c r="GA99" s="574" t="n"/>
      <c r="GB99" s="574" t="n"/>
      <c r="GC99" s="574" t="n"/>
      <c r="GD99" s="574" t="n"/>
      <c r="GE99" s="574" t="n"/>
      <c r="GF99" s="574" t="n"/>
    </row>
    <row r="100" customFormat="1" s="568">
      <c r="A100" s="86" t="n"/>
      <c r="B100" s="85" t="n"/>
      <c r="C100" s="84">
        <f>IFERROR(IF(AND($E100&gt;0,$D100&lt;&gt;"The Public"),$E100/SUMIFS($E$10:$E$205,$E$10:$E$205,"&gt;0",$D$10:$D$205,"&lt;&gt;The Public")*$D$5,""),"")</f>
        <v/>
      </c>
      <c r="D100" s="114" t="n"/>
      <c r="E100" s="84">
        <f>SUM(G100:HY100)</f>
        <v/>
      </c>
      <c r="F100" s="568">
        <f>IFERROR(IF($E100&gt;0.0000005,$E100/SUMIF($E$11:$E$140,"&gt;0.0000005"),""),"")</f>
        <v/>
      </c>
      <c r="M100" s="574" t="n"/>
      <c r="N100" s="574" t="n"/>
      <c r="O100" s="574" t="n"/>
      <c r="P100" s="574" t="n"/>
      <c r="Q100" s="574" t="n"/>
      <c r="R100" s="574" t="n"/>
      <c r="S100" s="574" t="n"/>
      <c r="T100" s="574" t="n"/>
      <c r="U100" s="574" t="n"/>
      <c r="V100" s="574" t="n"/>
      <c r="W100" s="574" t="n"/>
      <c r="X100" s="574" t="n"/>
      <c r="Y100" s="574" t="n"/>
      <c r="Z100" s="574" t="n"/>
      <c r="AA100" s="574" t="n"/>
      <c r="AB100" s="574" t="n"/>
      <c r="AC100" s="574" t="n"/>
      <c r="AD100" s="574" t="n"/>
      <c r="AE100" s="574" t="n"/>
      <c r="AF100" s="574" t="n"/>
      <c r="AG100" s="574" t="n"/>
      <c r="AH100" s="574" t="n"/>
      <c r="AI100" s="574" t="n"/>
      <c r="AJ100" s="574" t="n"/>
      <c r="AK100" s="574" t="n"/>
      <c r="AL100" s="574" t="n"/>
      <c r="AM100" s="574" t="n"/>
      <c r="AN100" s="574" t="n"/>
      <c r="AO100" s="574" t="n"/>
      <c r="AP100" s="574" t="n"/>
      <c r="AQ100" s="574" t="n"/>
      <c r="AR100" s="574" t="n"/>
      <c r="AS100" s="574" t="n"/>
      <c r="AT100" s="574" t="n"/>
      <c r="AU100" s="574" t="n"/>
      <c r="AV100" s="574" t="n"/>
      <c r="AW100" s="574" t="n"/>
      <c r="AX100" s="574" t="n"/>
      <c r="AY100" s="574" t="n"/>
      <c r="AZ100" s="574" t="n"/>
      <c r="BA100" s="574" t="n"/>
      <c r="BB100" s="574" t="n"/>
      <c r="BC100" s="574" t="n"/>
      <c r="BD100" s="574" t="n"/>
      <c r="BE100" s="574" t="n"/>
      <c r="BF100" s="574" t="n"/>
      <c r="BG100" s="574" t="n"/>
      <c r="BH100" s="574" t="n"/>
      <c r="BI100" s="574" t="n"/>
      <c r="BJ100" s="574" t="n"/>
      <c r="BK100" s="574" t="n"/>
      <c r="BL100" s="574" t="n"/>
      <c r="BM100" s="574" t="n"/>
      <c r="BN100" s="574" t="n"/>
      <c r="BO100" s="574" t="n"/>
      <c r="BP100" s="574" t="n"/>
      <c r="BQ100" s="574" t="n"/>
      <c r="BR100" s="574" t="n"/>
      <c r="BS100" s="574" t="n"/>
      <c r="BT100" s="574" t="n"/>
      <c r="BU100" s="574" t="n"/>
      <c r="BV100" s="574" t="n"/>
      <c r="BW100" s="574" t="n"/>
      <c r="BX100" s="574" t="n"/>
      <c r="BY100" s="574" t="n"/>
      <c r="BZ100" s="574" t="n"/>
      <c r="CA100" s="574" t="n"/>
      <c r="CB100" s="574" t="n"/>
      <c r="CC100" s="574" t="n"/>
      <c r="CD100" s="574" t="n"/>
      <c r="CE100" s="574" t="n"/>
      <c r="CF100" s="574" t="n"/>
      <c r="CG100" s="574" t="n"/>
      <c r="CH100" s="574" t="n"/>
      <c r="CI100" s="574" t="n"/>
      <c r="CJ100" s="574" t="n"/>
      <c r="CK100" s="574" t="n"/>
      <c r="CL100" s="574" t="n"/>
      <c r="CM100" s="574" t="n"/>
      <c r="CN100" s="574" t="n"/>
      <c r="CO100" s="574" t="n"/>
      <c r="CP100" s="574" t="n"/>
      <c r="CQ100" s="574" t="n"/>
      <c r="CR100" s="574" t="n"/>
      <c r="CS100" s="574" t="n"/>
      <c r="CT100" s="574" t="n"/>
      <c r="CU100" s="574" t="n"/>
      <c r="CV100" s="574" t="n"/>
      <c r="CW100" s="574" t="n"/>
      <c r="CX100" s="574" t="n"/>
      <c r="CY100" s="574" t="n"/>
      <c r="CZ100" s="574" t="n"/>
      <c r="DA100" s="574" t="n"/>
      <c r="DB100" s="574" t="n"/>
      <c r="DC100" s="574" t="n"/>
      <c r="DD100" s="574" t="n"/>
      <c r="DE100" s="574" t="n"/>
      <c r="DF100" s="574" t="n"/>
      <c r="DG100" s="574" t="n"/>
      <c r="DH100" s="574" t="n"/>
      <c r="DI100" s="574" t="n"/>
      <c r="DJ100" s="574" t="n"/>
      <c r="DK100" s="574" t="n"/>
      <c r="DL100" s="574" t="n"/>
      <c r="DM100" s="574" t="n"/>
      <c r="DN100" s="574" t="n"/>
      <c r="DO100" s="574" t="n"/>
      <c r="DP100" s="574" t="n"/>
      <c r="DQ100" s="574" t="n"/>
      <c r="DR100" s="574" t="n"/>
      <c r="DS100" s="574" t="n"/>
      <c r="DT100" s="574" t="n"/>
      <c r="DU100" s="574" t="n"/>
      <c r="DV100" s="574" t="n"/>
      <c r="DW100" s="574" t="n"/>
      <c r="DX100" s="574" t="n"/>
      <c r="DY100" s="574" t="n"/>
      <c r="DZ100" s="574" t="n"/>
      <c r="EA100" s="574" t="n"/>
      <c r="EB100" s="574" t="n"/>
      <c r="EC100" s="574" t="n"/>
      <c r="ED100" s="574" t="n"/>
      <c r="EE100" s="574" t="n"/>
      <c r="EF100" s="574" t="n"/>
      <c r="EG100" s="574" t="n"/>
      <c r="EH100" s="574" t="n"/>
      <c r="EI100" s="574" t="n"/>
      <c r="EJ100" s="574" t="n"/>
      <c r="EK100" s="574" t="n"/>
      <c r="EL100" s="574" t="n"/>
      <c r="EM100" s="574" t="n"/>
      <c r="EN100" s="574" t="n"/>
      <c r="EO100" s="574" t="n"/>
      <c r="EP100" s="574" t="n"/>
      <c r="EQ100" s="574" t="n"/>
      <c r="ER100" s="574" t="n"/>
      <c r="ES100" s="574" t="n"/>
      <c r="ET100" s="574" t="n"/>
      <c r="EU100" s="574" t="n"/>
      <c r="EV100" s="574" t="n"/>
      <c r="EW100" s="574" t="n"/>
      <c r="EX100" s="574" t="n"/>
      <c r="EY100" s="574" t="n"/>
      <c r="EZ100" s="574" t="n"/>
      <c r="FA100" s="574" t="n"/>
      <c r="FB100" s="574" t="n"/>
      <c r="FC100" s="574" t="n"/>
      <c r="FD100" s="574" t="n"/>
      <c r="FE100" s="574" t="n"/>
      <c r="FF100" s="574" t="n"/>
      <c r="FG100" s="574" t="n"/>
      <c r="FH100" s="574" t="n"/>
      <c r="FI100" s="574" t="n"/>
      <c r="FJ100" s="574" t="n"/>
      <c r="FK100" s="574" t="n"/>
      <c r="FL100" s="574" t="n"/>
      <c r="FM100" s="574" t="n"/>
      <c r="FN100" s="574" t="n"/>
      <c r="FO100" s="574" t="n"/>
      <c r="FP100" s="574" t="n"/>
      <c r="FQ100" s="574" t="n"/>
      <c r="FR100" s="574" t="n"/>
      <c r="FS100" s="574" t="n"/>
      <c r="FT100" s="574" t="n"/>
      <c r="FU100" s="574" t="n"/>
      <c r="FV100" s="574" t="n"/>
      <c r="FW100" s="574" t="n"/>
      <c r="FX100" s="574" t="n"/>
      <c r="FY100" s="574" t="n"/>
      <c r="FZ100" s="574" t="n"/>
      <c r="GA100" s="574" t="n"/>
      <c r="GB100" s="574" t="n"/>
      <c r="GC100" s="574" t="n"/>
      <c r="GD100" s="574" t="n"/>
      <c r="GE100" s="574" t="n"/>
      <c r="GF100" s="574" t="n"/>
    </row>
    <row r="101" customFormat="1" s="568">
      <c r="A101" s="86" t="n"/>
      <c r="B101" s="85" t="n"/>
      <c r="C101" s="84">
        <f>IFERROR(IF(AND($E101&gt;0,$D101&lt;&gt;"The Public"),$E101/SUMIFS($E$10:$E$205,$E$10:$E$205,"&gt;0",$D$10:$D$205,"&lt;&gt;The Public")*$D$5,""),"")</f>
        <v/>
      </c>
      <c r="D101" s="51" t="n"/>
      <c r="E101" s="84">
        <f>SUM(G101:HY101)</f>
        <v/>
      </c>
      <c r="F101" s="568">
        <f>IFERROR(IF($E101&gt;0.0000005,$E101/SUMIF($E$11:$E$140,"&gt;0.0000005"),""),"")</f>
        <v/>
      </c>
      <c r="M101" s="574" t="n"/>
      <c r="N101" s="574" t="n"/>
      <c r="O101" s="574" t="n"/>
      <c r="P101" s="574" t="n"/>
      <c r="Q101" s="574" t="n"/>
      <c r="R101" s="574" t="n"/>
      <c r="S101" s="574" t="n"/>
      <c r="T101" s="574" t="n"/>
      <c r="U101" s="574" t="n"/>
      <c r="V101" s="574" t="n"/>
      <c r="W101" s="574" t="n"/>
      <c r="X101" s="574" t="n"/>
      <c r="Y101" s="574" t="n"/>
      <c r="Z101" s="574" t="n"/>
      <c r="AA101" s="574" t="n"/>
      <c r="AB101" s="574" t="n"/>
      <c r="AC101" s="574" t="n"/>
      <c r="AD101" s="574" t="n"/>
      <c r="AE101" s="574" t="n"/>
      <c r="AF101" s="574" t="n"/>
      <c r="AG101" s="574" t="n"/>
      <c r="AH101" s="574" t="n"/>
      <c r="AI101" s="574" t="n"/>
      <c r="AJ101" s="574" t="n"/>
      <c r="AK101" s="574" t="n"/>
      <c r="AL101" s="574" t="n"/>
      <c r="AM101" s="574" t="n"/>
      <c r="AN101" s="574" t="n"/>
      <c r="AO101" s="574" t="n"/>
      <c r="AP101" s="574" t="n"/>
      <c r="AQ101" s="574" t="n"/>
      <c r="AR101" s="574" t="n"/>
      <c r="AS101" s="574" t="n"/>
      <c r="AT101" s="574" t="n"/>
      <c r="AU101" s="574" t="n"/>
      <c r="AV101" s="574" t="n"/>
      <c r="AW101" s="574" t="n"/>
      <c r="AX101" s="574" t="n"/>
      <c r="AY101" s="574" t="n"/>
      <c r="AZ101" s="574" t="n"/>
      <c r="BA101" s="574" t="n"/>
      <c r="BB101" s="574" t="n"/>
      <c r="BC101" s="574" t="n"/>
      <c r="BD101" s="574" t="n"/>
      <c r="BE101" s="574" t="n"/>
      <c r="BF101" s="574" t="n"/>
      <c r="BG101" s="574" t="n"/>
      <c r="BH101" s="574" t="n"/>
      <c r="BI101" s="574" t="n"/>
      <c r="BJ101" s="574" t="n"/>
      <c r="BK101" s="574" t="n"/>
      <c r="BL101" s="574" t="n"/>
      <c r="BM101" s="574" t="n"/>
      <c r="BN101" s="574" t="n"/>
      <c r="BO101" s="574" t="n"/>
      <c r="BP101" s="574" t="n"/>
      <c r="BQ101" s="574" t="n"/>
      <c r="BR101" s="574" t="n"/>
      <c r="BS101" s="574" t="n"/>
      <c r="BT101" s="574" t="n"/>
      <c r="BU101" s="574" t="n"/>
      <c r="BV101" s="574" t="n"/>
      <c r="BW101" s="574" t="n"/>
      <c r="BX101" s="574" t="n"/>
      <c r="BY101" s="574" t="n"/>
      <c r="BZ101" s="574" t="n"/>
      <c r="CA101" s="574" t="n"/>
      <c r="CB101" s="574" t="n"/>
      <c r="CC101" s="574" t="n"/>
      <c r="CD101" s="574" t="n"/>
      <c r="CE101" s="574" t="n"/>
      <c r="CF101" s="574" t="n"/>
      <c r="CG101" s="574" t="n"/>
      <c r="CH101" s="574" t="n"/>
      <c r="CI101" s="574" t="n"/>
      <c r="CJ101" s="574" t="n"/>
      <c r="CK101" s="574" t="n"/>
      <c r="CL101" s="574" t="n"/>
      <c r="CM101" s="574" t="n"/>
      <c r="CN101" s="574" t="n"/>
      <c r="CO101" s="574" t="n"/>
      <c r="CP101" s="574" t="n"/>
      <c r="CQ101" s="574" t="n"/>
      <c r="CR101" s="574" t="n"/>
      <c r="CS101" s="574" t="n"/>
      <c r="CT101" s="574" t="n"/>
      <c r="CU101" s="574" t="n"/>
      <c r="CV101" s="574" t="n"/>
      <c r="CW101" s="574" t="n"/>
      <c r="CX101" s="574" t="n"/>
      <c r="CY101" s="574" t="n"/>
      <c r="CZ101" s="574" t="n"/>
      <c r="DA101" s="574" t="n"/>
      <c r="DB101" s="574" t="n"/>
      <c r="DC101" s="574" t="n"/>
      <c r="DD101" s="574" t="n"/>
      <c r="DE101" s="574" t="n"/>
      <c r="DF101" s="574" t="n"/>
      <c r="DG101" s="574" t="n"/>
      <c r="DH101" s="574" t="n"/>
      <c r="DI101" s="574" t="n"/>
      <c r="DJ101" s="574" t="n"/>
      <c r="DK101" s="574" t="n"/>
      <c r="DL101" s="574" t="n"/>
      <c r="DM101" s="574" t="n"/>
      <c r="DN101" s="574" t="n"/>
      <c r="DO101" s="574" t="n"/>
      <c r="DP101" s="574" t="n"/>
      <c r="DQ101" s="574" t="n"/>
      <c r="DR101" s="574" t="n"/>
      <c r="DS101" s="574" t="n"/>
      <c r="DT101" s="574" t="n"/>
      <c r="DU101" s="574" t="n"/>
      <c r="DV101" s="574" t="n"/>
      <c r="DW101" s="574" t="n"/>
      <c r="DX101" s="574" t="n"/>
      <c r="DY101" s="574" t="n"/>
      <c r="DZ101" s="574" t="n"/>
      <c r="EA101" s="574" t="n"/>
      <c r="EB101" s="574" t="n"/>
      <c r="EC101" s="574" t="n"/>
      <c r="ED101" s="574" t="n"/>
      <c r="EE101" s="574" t="n"/>
      <c r="EF101" s="574" t="n"/>
      <c r="EG101" s="574" t="n"/>
      <c r="EH101" s="574" t="n"/>
      <c r="EI101" s="574" t="n"/>
      <c r="EJ101" s="574" t="n"/>
      <c r="EK101" s="574" t="n"/>
      <c r="EL101" s="574" t="n"/>
      <c r="EM101" s="574" t="n"/>
      <c r="EN101" s="574" t="n"/>
      <c r="EO101" s="574" t="n"/>
      <c r="EP101" s="574" t="n"/>
      <c r="EQ101" s="574" t="n"/>
      <c r="ER101" s="574" t="n"/>
      <c r="ES101" s="574" t="n"/>
      <c r="ET101" s="574" t="n"/>
      <c r="EU101" s="574" t="n"/>
      <c r="EV101" s="574" t="n"/>
      <c r="EW101" s="574" t="n"/>
      <c r="EX101" s="574" t="n"/>
      <c r="EY101" s="574" t="n"/>
      <c r="EZ101" s="574" t="n"/>
      <c r="FA101" s="574" t="n"/>
      <c r="FB101" s="574" t="n"/>
      <c r="FC101" s="574" t="n"/>
      <c r="FD101" s="574" t="n"/>
      <c r="FE101" s="574" t="n"/>
      <c r="FF101" s="574" t="n"/>
      <c r="FG101" s="574" t="n"/>
      <c r="FH101" s="574" t="n"/>
      <c r="FI101" s="574" t="n"/>
      <c r="FJ101" s="574" t="n"/>
      <c r="FK101" s="574" t="n"/>
      <c r="FL101" s="574" t="n"/>
      <c r="FM101" s="574" t="n"/>
      <c r="FN101" s="574" t="n"/>
      <c r="FO101" s="574" t="n"/>
      <c r="FP101" s="574" t="n"/>
      <c r="FQ101" s="574" t="n"/>
      <c r="FR101" s="574" t="n"/>
      <c r="FS101" s="574" t="n"/>
      <c r="FT101" s="574" t="n"/>
      <c r="FU101" s="574" t="n"/>
      <c r="FV101" s="574" t="n"/>
      <c r="FW101" s="574" t="n"/>
      <c r="FX101" s="574" t="n"/>
      <c r="FY101" s="574" t="n"/>
      <c r="FZ101" s="574" t="n"/>
      <c r="GA101" s="574" t="n"/>
      <c r="GB101" s="574" t="n"/>
      <c r="GC101" s="574" t="n"/>
      <c r="GD101" s="574" t="n"/>
      <c r="GE101" s="574" t="n"/>
      <c r="GF101" s="574" t="n"/>
    </row>
    <row r="102" customFormat="1" s="568">
      <c r="A102" s="86" t="n"/>
      <c r="B102" s="85" t="n"/>
      <c r="C102" s="84">
        <f>IFERROR(IF(AND($E102&gt;0,$D102&lt;&gt;"The Public"),$E102/SUMIFS($E$10:$E$205,$E$10:$E$205,"&gt;0",$D$10:$D$205,"&lt;&gt;The Public")*$D$5,""),"")</f>
        <v/>
      </c>
      <c r="D102" s="51" t="n"/>
      <c r="E102" s="84">
        <f>SUM(G102:HY102)</f>
        <v/>
      </c>
      <c r="F102" s="568">
        <f>IFERROR(IF($E102&gt;0.0000005,$E102/SUMIF($E$11:$E$140,"&gt;0.0000005"),""),"")</f>
        <v/>
      </c>
      <c r="M102" s="574" t="n"/>
      <c r="N102" s="574" t="n"/>
      <c r="O102" s="574" t="n"/>
      <c r="P102" s="574" t="n"/>
      <c r="Q102" s="574" t="n"/>
      <c r="R102" s="574" t="n"/>
      <c r="S102" s="574" t="n"/>
      <c r="T102" s="574" t="n"/>
      <c r="U102" s="574" t="n"/>
      <c r="V102" s="574" t="n"/>
      <c r="W102" s="574" t="n"/>
      <c r="X102" s="574" t="n"/>
      <c r="Y102" s="574" t="n"/>
      <c r="Z102" s="574" t="n"/>
      <c r="AA102" s="574" t="n"/>
      <c r="AB102" s="574" t="n"/>
      <c r="AC102" s="574" t="n"/>
      <c r="AD102" s="574" t="n"/>
      <c r="AE102" s="574" t="n"/>
      <c r="AF102" s="574" t="n"/>
      <c r="AG102" s="574" t="n"/>
      <c r="AH102" s="574" t="n"/>
      <c r="AI102" s="574" t="n"/>
      <c r="AJ102" s="574" t="n"/>
      <c r="AK102" s="574" t="n"/>
      <c r="AL102" s="574" t="n"/>
      <c r="AM102" s="574" t="n"/>
      <c r="AN102" s="574" t="n"/>
      <c r="AO102" s="574" t="n"/>
      <c r="AP102" s="574" t="n"/>
      <c r="AQ102" s="574" t="n"/>
      <c r="AR102" s="574" t="n"/>
      <c r="AS102" s="574" t="n"/>
      <c r="AT102" s="574" t="n"/>
      <c r="AU102" s="574" t="n"/>
      <c r="AV102" s="574" t="n"/>
      <c r="AW102" s="574" t="n"/>
      <c r="AX102" s="574" t="n"/>
      <c r="AY102" s="574" t="n"/>
      <c r="AZ102" s="574" t="n"/>
      <c r="BA102" s="574" t="n"/>
      <c r="BB102" s="574" t="n"/>
      <c r="BC102" s="574" t="n"/>
      <c r="BD102" s="574" t="n"/>
      <c r="BE102" s="574" t="n"/>
      <c r="BF102" s="574" t="n"/>
      <c r="BG102" s="574" t="n"/>
      <c r="BH102" s="574" t="n"/>
      <c r="BI102" s="574" t="n"/>
      <c r="BJ102" s="574" t="n"/>
      <c r="BK102" s="574" t="n"/>
      <c r="BL102" s="574" t="n"/>
      <c r="BM102" s="574" t="n"/>
      <c r="BN102" s="574" t="n"/>
      <c r="BO102" s="574" t="n"/>
      <c r="BP102" s="574" t="n"/>
      <c r="BQ102" s="574" t="n"/>
      <c r="BR102" s="574" t="n"/>
      <c r="BS102" s="574" t="n"/>
      <c r="BT102" s="574" t="n"/>
      <c r="BU102" s="574" t="n"/>
      <c r="BV102" s="574" t="n"/>
      <c r="BW102" s="574" t="n"/>
      <c r="BX102" s="574" t="n"/>
      <c r="BY102" s="574" t="n"/>
      <c r="BZ102" s="574" t="n"/>
      <c r="CA102" s="574" t="n"/>
      <c r="CB102" s="574" t="n"/>
      <c r="CC102" s="574" t="n"/>
      <c r="CD102" s="574" t="n"/>
      <c r="CE102" s="574" t="n"/>
      <c r="CF102" s="574" t="n"/>
      <c r="CG102" s="574" t="n"/>
      <c r="CH102" s="574" t="n"/>
      <c r="CI102" s="574" t="n"/>
      <c r="CJ102" s="574" t="n"/>
      <c r="CK102" s="574" t="n"/>
      <c r="CL102" s="574" t="n"/>
      <c r="CM102" s="574" t="n"/>
      <c r="CN102" s="574" t="n"/>
      <c r="CO102" s="574" t="n"/>
      <c r="CP102" s="574" t="n"/>
      <c r="CQ102" s="574" t="n"/>
      <c r="CR102" s="574" t="n"/>
      <c r="CS102" s="574" t="n"/>
      <c r="CT102" s="574" t="n"/>
      <c r="CU102" s="574" t="n"/>
      <c r="CV102" s="574" t="n"/>
      <c r="CW102" s="574" t="n"/>
      <c r="CX102" s="574" t="n"/>
      <c r="CY102" s="574" t="n"/>
      <c r="CZ102" s="574" t="n"/>
      <c r="DA102" s="574" t="n"/>
      <c r="DB102" s="574" t="n"/>
      <c r="DC102" s="574" t="n"/>
      <c r="DD102" s="574" t="n"/>
      <c r="DE102" s="574" t="n"/>
      <c r="DF102" s="574" t="n"/>
      <c r="DG102" s="574" t="n"/>
      <c r="DH102" s="574" t="n"/>
      <c r="DI102" s="574" t="n"/>
      <c r="DJ102" s="574" t="n"/>
      <c r="DK102" s="574" t="n"/>
      <c r="DL102" s="574" t="n"/>
      <c r="DM102" s="574" t="n"/>
      <c r="DN102" s="574" t="n"/>
      <c r="DO102" s="574" t="n"/>
      <c r="DP102" s="574" t="n"/>
      <c r="DQ102" s="574" t="n"/>
      <c r="DR102" s="574" t="n"/>
      <c r="DS102" s="574" t="n"/>
      <c r="DT102" s="574" t="n"/>
      <c r="DU102" s="574" t="n"/>
      <c r="DV102" s="574" t="n"/>
      <c r="DW102" s="574" t="n"/>
      <c r="DX102" s="574" t="n"/>
      <c r="DY102" s="574" t="n"/>
      <c r="DZ102" s="574" t="n"/>
      <c r="EA102" s="574" t="n"/>
      <c r="EB102" s="574" t="n"/>
      <c r="EC102" s="574" t="n"/>
      <c r="ED102" s="574" t="n"/>
      <c r="EE102" s="574" t="n"/>
      <c r="EF102" s="574" t="n"/>
      <c r="EG102" s="574" t="n"/>
      <c r="EH102" s="574" t="n"/>
      <c r="EI102" s="574" t="n"/>
      <c r="EJ102" s="574" t="n"/>
      <c r="EK102" s="574" t="n"/>
      <c r="EL102" s="574" t="n"/>
      <c r="EM102" s="574" t="n"/>
      <c r="EN102" s="574" t="n"/>
      <c r="EO102" s="574" t="n"/>
      <c r="EP102" s="574" t="n"/>
      <c r="EQ102" s="574" t="n"/>
      <c r="ER102" s="574" t="n"/>
      <c r="ES102" s="574" t="n"/>
      <c r="ET102" s="574" t="n"/>
      <c r="EU102" s="574" t="n"/>
      <c r="EV102" s="574" t="n"/>
      <c r="EW102" s="574" t="n"/>
      <c r="EX102" s="574" t="n"/>
      <c r="EY102" s="574" t="n"/>
      <c r="EZ102" s="574" t="n"/>
      <c r="FA102" s="574" t="n"/>
      <c r="FB102" s="574" t="n"/>
      <c r="FC102" s="574" t="n"/>
      <c r="FD102" s="574" t="n"/>
      <c r="FE102" s="574" t="n"/>
      <c r="FF102" s="574" t="n"/>
      <c r="FG102" s="574" t="n"/>
      <c r="FH102" s="574" t="n"/>
      <c r="FI102" s="574" t="n"/>
      <c r="FJ102" s="574" t="n"/>
      <c r="FK102" s="574" t="n"/>
      <c r="FL102" s="574" t="n"/>
      <c r="FM102" s="574" t="n"/>
      <c r="FN102" s="574" t="n"/>
      <c r="FO102" s="574" t="n"/>
      <c r="FP102" s="574" t="n"/>
      <c r="FQ102" s="574" t="n"/>
      <c r="FR102" s="574" t="n"/>
      <c r="FS102" s="574" t="n"/>
      <c r="FT102" s="574" t="n"/>
      <c r="FU102" s="574" t="n"/>
      <c r="FV102" s="574" t="n"/>
      <c r="FW102" s="574" t="n"/>
      <c r="FX102" s="574" t="n"/>
      <c r="FY102" s="574" t="n"/>
      <c r="FZ102" s="574" t="n"/>
      <c r="GA102" s="574" t="n"/>
      <c r="GB102" s="574" t="n"/>
      <c r="GC102" s="574" t="n"/>
      <c r="GD102" s="574" t="n"/>
      <c r="GE102" s="574" t="n"/>
      <c r="GF102" s="574" t="n"/>
    </row>
    <row r="103" customFormat="1" s="568">
      <c r="A103" s="86" t="n"/>
      <c r="B103" s="85" t="n"/>
      <c r="C103" s="84">
        <f>IFERROR(IF(AND($E103&gt;0,$D103&lt;&gt;"The Public"),$E103/SUMIFS($E$10:$E$205,$E$10:$E$205,"&gt;0",$D$10:$D$205,"&lt;&gt;The Public")*$D$5,""),"")</f>
        <v/>
      </c>
      <c r="D103" s="68" t="n"/>
      <c r="E103" s="84">
        <f>SUM(G103:HY103)</f>
        <v/>
      </c>
      <c r="F103" s="568">
        <f>IFERROR(IF($E103&gt;0.0000005,$E103/SUMIF($E$11:$E$140,"&gt;0.0000005"),""),"")</f>
        <v/>
      </c>
      <c r="M103" s="574" t="n"/>
      <c r="N103" s="574" t="n"/>
      <c r="O103" s="574" t="n"/>
      <c r="P103" s="574" t="n"/>
      <c r="Q103" s="574" t="n"/>
      <c r="R103" s="574" t="n"/>
      <c r="S103" s="574" t="n"/>
      <c r="T103" s="574" t="n"/>
      <c r="U103" s="574" t="n"/>
      <c r="V103" s="574" t="n"/>
      <c r="W103" s="574" t="n"/>
      <c r="X103" s="574" t="n"/>
      <c r="Y103" s="574" t="n"/>
      <c r="Z103" s="574" t="n"/>
      <c r="AA103" s="574" t="n"/>
      <c r="AB103" s="574" t="n"/>
      <c r="AC103" s="574" t="n"/>
      <c r="AD103" s="574" t="n"/>
      <c r="AE103" s="574" t="n"/>
      <c r="AF103" s="574" t="n"/>
      <c r="AG103" s="574" t="n"/>
      <c r="AH103" s="574" t="n"/>
      <c r="AI103" s="574" t="n"/>
      <c r="AJ103" s="574" t="n"/>
      <c r="AK103" s="574" t="n"/>
      <c r="AL103" s="574" t="n"/>
      <c r="AM103" s="574" t="n"/>
      <c r="AN103" s="574" t="n"/>
      <c r="AO103" s="574" t="n"/>
      <c r="AP103" s="574" t="n"/>
      <c r="AQ103" s="574" t="n"/>
      <c r="AR103" s="574" t="n"/>
      <c r="AS103" s="574" t="n"/>
      <c r="AT103" s="574" t="n"/>
      <c r="AU103" s="574" t="n"/>
      <c r="AV103" s="574" t="n"/>
      <c r="AW103" s="574" t="n"/>
      <c r="AX103" s="574" t="n"/>
      <c r="AY103" s="574" t="n"/>
      <c r="AZ103" s="574" t="n"/>
      <c r="BA103" s="574" t="n"/>
      <c r="BB103" s="574" t="n"/>
      <c r="BC103" s="574" t="n"/>
      <c r="BD103" s="574" t="n"/>
      <c r="BE103" s="574" t="n"/>
      <c r="BF103" s="574" t="n"/>
      <c r="BG103" s="574" t="n"/>
      <c r="BH103" s="574" t="n"/>
      <c r="BI103" s="574" t="n"/>
      <c r="BJ103" s="574" t="n"/>
      <c r="BK103" s="574" t="n"/>
      <c r="BL103" s="574" t="n"/>
      <c r="BM103" s="574" t="n"/>
      <c r="BN103" s="574" t="n"/>
      <c r="BO103" s="574" t="n"/>
      <c r="BP103" s="574" t="n"/>
      <c r="BQ103" s="574" t="n"/>
      <c r="BR103" s="574" t="n"/>
      <c r="BS103" s="574" t="n"/>
      <c r="BT103" s="574" t="n"/>
      <c r="BU103" s="574" t="n"/>
      <c r="BV103" s="574" t="n"/>
      <c r="BW103" s="574" t="n"/>
      <c r="BX103" s="574" t="n"/>
      <c r="BY103" s="574" t="n"/>
      <c r="BZ103" s="574" t="n"/>
      <c r="CA103" s="574" t="n"/>
      <c r="CB103" s="574" t="n"/>
      <c r="CC103" s="574" t="n"/>
      <c r="CD103" s="574" t="n"/>
      <c r="CE103" s="574" t="n"/>
      <c r="CF103" s="574" t="n"/>
      <c r="CG103" s="574" t="n"/>
      <c r="CH103" s="574" t="n"/>
      <c r="CI103" s="574" t="n"/>
      <c r="CJ103" s="574" t="n"/>
      <c r="CK103" s="574" t="n"/>
      <c r="CL103" s="574" t="n"/>
      <c r="CM103" s="574" t="n"/>
      <c r="CN103" s="574" t="n"/>
      <c r="CO103" s="574" t="n"/>
      <c r="CP103" s="574" t="n"/>
      <c r="CQ103" s="574" t="n"/>
      <c r="CR103" s="574" t="n"/>
      <c r="CS103" s="574" t="n"/>
      <c r="CT103" s="574" t="n"/>
      <c r="CU103" s="574" t="n"/>
      <c r="CV103" s="574" t="n"/>
      <c r="CW103" s="574" t="n"/>
      <c r="CX103" s="574" t="n"/>
      <c r="CY103" s="574" t="n"/>
      <c r="CZ103" s="574" t="n"/>
      <c r="DA103" s="574" t="n"/>
      <c r="DB103" s="574" t="n"/>
      <c r="DC103" s="574" t="n"/>
      <c r="DD103" s="574" t="n"/>
      <c r="DE103" s="574" t="n"/>
      <c r="DF103" s="574" t="n"/>
      <c r="DG103" s="574" t="n"/>
      <c r="DH103" s="574" t="n"/>
      <c r="DI103" s="574" t="n"/>
      <c r="DJ103" s="574" t="n"/>
      <c r="DK103" s="574" t="n"/>
      <c r="DL103" s="574" t="n"/>
      <c r="DM103" s="574" t="n"/>
      <c r="DN103" s="574" t="n"/>
      <c r="DO103" s="574" t="n"/>
      <c r="DP103" s="574" t="n"/>
      <c r="DQ103" s="574" t="n"/>
      <c r="DR103" s="574" t="n"/>
      <c r="DS103" s="574" t="n"/>
      <c r="DT103" s="574" t="n"/>
      <c r="DU103" s="574" t="n"/>
      <c r="DV103" s="574" t="n"/>
      <c r="DW103" s="574" t="n"/>
      <c r="DX103" s="574" t="n"/>
      <c r="DY103" s="574" t="n"/>
      <c r="DZ103" s="574" t="n"/>
      <c r="EA103" s="574" t="n"/>
      <c r="EB103" s="574" t="n"/>
      <c r="EC103" s="574" t="n"/>
      <c r="ED103" s="574" t="n"/>
      <c r="EE103" s="574" t="n"/>
      <c r="EF103" s="574" t="n"/>
      <c r="EG103" s="574" t="n"/>
      <c r="EH103" s="574" t="n"/>
      <c r="EI103" s="574" t="n"/>
      <c r="EJ103" s="574" t="n"/>
      <c r="EK103" s="574" t="n"/>
      <c r="EL103" s="574" t="n"/>
      <c r="EM103" s="574" t="n"/>
      <c r="EN103" s="574" t="n"/>
      <c r="EO103" s="574" t="n"/>
      <c r="EP103" s="574" t="n"/>
      <c r="EQ103" s="574" t="n"/>
      <c r="ER103" s="574" t="n"/>
      <c r="ES103" s="574" t="n"/>
      <c r="ET103" s="574" t="n"/>
      <c r="EU103" s="574" t="n"/>
      <c r="EV103" s="574" t="n"/>
      <c r="EW103" s="574" t="n"/>
      <c r="EX103" s="574" t="n"/>
      <c r="EY103" s="574" t="n"/>
      <c r="EZ103" s="574" t="n"/>
      <c r="FA103" s="574" t="n"/>
      <c r="FB103" s="574" t="n"/>
      <c r="FC103" s="574" t="n"/>
      <c r="FD103" s="574" t="n"/>
      <c r="FE103" s="574" t="n"/>
      <c r="FF103" s="574" t="n"/>
      <c r="FG103" s="574" t="n"/>
      <c r="FH103" s="574" t="n"/>
      <c r="FI103" s="574" t="n"/>
      <c r="FJ103" s="574" t="n"/>
      <c r="FK103" s="574" t="n"/>
      <c r="FL103" s="574" t="n"/>
      <c r="FM103" s="574" t="n"/>
      <c r="FN103" s="574" t="n"/>
      <c r="FO103" s="574" t="n"/>
      <c r="FP103" s="574" t="n"/>
      <c r="FQ103" s="574" t="n"/>
      <c r="FR103" s="574" t="n"/>
      <c r="FS103" s="574" t="n"/>
      <c r="FT103" s="574" t="n"/>
      <c r="FU103" s="574" t="n"/>
      <c r="FV103" s="574" t="n"/>
      <c r="FW103" s="574" t="n"/>
      <c r="FX103" s="574" t="n"/>
      <c r="FY103" s="574" t="n"/>
      <c r="FZ103" s="574" t="n"/>
      <c r="GA103" s="574" t="n"/>
      <c r="GB103" s="574" t="n"/>
      <c r="GC103" s="574" t="n"/>
      <c r="GD103" s="574" t="n"/>
      <c r="GE103" s="574" t="n"/>
      <c r="GF103" s="574" t="n"/>
    </row>
    <row r="104" customFormat="1" s="568">
      <c r="A104" s="86" t="n"/>
      <c r="B104" s="85" t="n"/>
      <c r="C104" s="84">
        <f>IFERROR(IF(AND($E104&gt;0,$D104&lt;&gt;"The Public"),$E104/SUMIFS($E$10:$E$205,$E$10:$E$205,"&gt;0",$D$10:$D$205,"&lt;&gt;The Public")*$D$5,""),"")</f>
        <v/>
      </c>
      <c r="D104" s="68" t="n"/>
      <c r="E104" s="84">
        <f>SUM(G104:HY104)</f>
        <v/>
      </c>
      <c r="F104" s="568">
        <f>IFERROR(IF($E104&gt;0.0000005,$E104/SUMIF($E$11:$E$140,"&gt;0.0000005"),""),"")</f>
        <v/>
      </c>
      <c r="M104" s="574" t="n"/>
      <c r="N104" s="574" t="n"/>
      <c r="O104" s="574" t="n"/>
      <c r="P104" s="574" t="n"/>
      <c r="Q104" s="574" t="n"/>
      <c r="R104" s="574" t="n"/>
      <c r="S104" s="574" t="n"/>
      <c r="T104" s="574" t="n"/>
      <c r="U104" s="574" t="n"/>
      <c r="V104" s="574" t="n"/>
      <c r="W104" s="574" t="n"/>
      <c r="X104" s="574" t="n"/>
      <c r="Y104" s="574" t="n"/>
      <c r="Z104" s="574" t="n"/>
      <c r="AA104" s="574" t="n"/>
      <c r="AB104" s="574" t="n"/>
      <c r="AC104" s="574" t="n"/>
      <c r="AD104" s="574" t="n"/>
      <c r="AE104" s="574" t="n"/>
      <c r="AF104" s="574" t="n"/>
      <c r="AG104" s="574" t="n"/>
      <c r="AH104" s="574" t="n"/>
      <c r="AI104" s="574" t="n"/>
      <c r="AJ104" s="574" t="n"/>
      <c r="AK104" s="574" t="n"/>
      <c r="AL104" s="574" t="n"/>
      <c r="AM104" s="574" t="n"/>
      <c r="AN104" s="574" t="n"/>
      <c r="AO104" s="574" t="n"/>
      <c r="AP104" s="574" t="n"/>
      <c r="AQ104" s="574" t="n"/>
      <c r="AR104" s="574" t="n"/>
      <c r="AS104" s="574" t="n"/>
      <c r="AT104" s="574" t="n"/>
      <c r="AU104" s="574" t="n"/>
      <c r="AV104" s="574" t="n"/>
      <c r="AW104" s="574" t="n"/>
      <c r="AX104" s="574" t="n"/>
      <c r="AY104" s="574" t="n"/>
      <c r="AZ104" s="574" t="n"/>
      <c r="BA104" s="574" t="n"/>
      <c r="BB104" s="574" t="n"/>
      <c r="BC104" s="574" t="n"/>
      <c r="BD104" s="574" t="n"/>
      <c r="BE104" s="574" t="n"/>
      <c r="BF104" s="574" t="n"/>
      <c r="BG104" s="574" t="n"/>
      <c r="BH104" s="574" t="n"/>
      <c r="BI104" s="574" t="n"/>
      <c r="BJ104" s="574" t="n"/>
      <c r="BK104" s="574" t="n"/>
      <c r="BL104" s="574" t="n"/>
      <c r="BM104" s="574" t="n"/>
      <c r="BN104" s="574" t="n"/>
      <c r="BO104" s="574" t="n"/>
      <c r="BP104" s="574" t="n"/>
      <c r="BQ104" s="574" t="n"/>
      <c r="BR104" s="574" t="n"/>
      <c r="BS104" s="574" t="n"/>
      <c r="BT104" s="574" t="n"/>
      <c r="BU104" s="574" t="n"/>
      <c r="BV104" s="574" t="n"/>
      <c r="BW104" s="574" t="n"/>
      <c r="BX104" s="574" t="n"/>
      <c r="BY104" s="574" t="n"/>
      <c r="BZ104" s="574" t="n"/>
      <c r="CA104" s="574" t="n"/>
      <c r="CB104" s="574" t="n"/>
      <c r="CC104" s="574" t="n"/>
      <c r="CD104" s="574" t="n"/>
      <c r="CE104" s="574" t="n"/>
      <c r="CF104" s="574" t="n"/>
      <c r="CG104" s="574" t="n"/>
      <c r="CH104" s="574" t="n"/>
      <c r="CI104" s="574" t="n"/>
      <c r="CJ104" s="574" t="n"/>
      <c r="CK104" s="574" t="n"/>
      <c r="CL104" s="574" t="n"/>
      <c r="CM104" s="574" t="n"/>
      <c r="CN104" s="574" t="n"/>
      <c r="CO104" s="574" t="n"/>
      <c r="CP104" s="574" t="n"/>
      <c r="CQ104" s="574" t="n"/>
      <c r="CR104" s="574" t="n"/>
      <c r="CS104" s="574" t="n"/>
      <c r="CT104" s="574" t="n"/>
      <c r="CU104" s="574" t="n"/>
      <c r="CV104" s="574" t="n"/>
      <c r="CW104" s="574" t="n"/>
      <c r="CX104" s="574" t="n"/>
      <c r="CY104" s="574" t="n"/>
      <c r="CZ104" s="574" t="n"/>
      <c r="DA104" s="574" t="n"/>
      <c r="DB104" s="574" t="n"/>
      <c r="DC104" s="574" t="n"/>
      <c r="DD104" s="574" t="n"/>
      <c r="DE104" s="574" t="n"/>
      <c r="DF104" s="574" t="n"/>
      <c r="DG104" s="574" t="n"/>
      <c r="DH104" s="574" t="n"/>
      <c r="DI104" s="574" t="n"/>
      <c r="DJ104" s="574" t="n"/>
      <c r="DK104" s="574" t="n"/>
      <c r="DL104" s="574" t="n"/>
      <c r="DM104" s="574" t="n"/>
      <c r="DN104" s="574" t="n"/>
      <c r="DO104" s="574" t="n"/>
      <c r="DP104" s="574" t="n"/>
      <c r="DQ104" s="574" t="n"/>
      <c r="DR104" s="574" t="n"/>
      <c r="DS104" s="574" t="n"/>
      <c r="DT104" s="574" t="n"/>
      <c r="DU104" s="574" t="n"/>
      <c r="DV104" s="574" t="n"/>
      <c r="DW104" s="574" t="n"/>
      <c r="DX104" s="574" t="n"/>
      <c r="DY104" s="574" t="n"/>
      <c r="DZ104" s="574" t="n"/>
      <c r="EA104" s="574" t="n"/>
      <c r="EB104" s="574" t="n"/>
      <c r="EC104" s="574" t="n"/>
      <c r="ED104" s="574" t="n"/>
      <c r="EE104" s="574" t="n"/>
      <c r="EF104" s="574" t="n"/>
      <c r="EG104" s="574" t="n"/>
      <c r="EH104" s="574" t="n"/>
      <c r="EI104" s="574" t="n"/>
      <c r="EJ104" s="574" t="n"/>
      <c r="EK104" s="574" t="n"/>
      <c r="EL104" s="574" t="n"/>
      <c r="EM104" s="574" t="n"/>
      <c r="EN104" s="574" t="n"/>
      <c r="EO104" s="574" t="n"/>
      <c r="EP104" s="574" t="n"/>
      <c r="EQ104" s="574" t="n"/>
      <c r="ER104" s="574" t="n"/>
      <c r="ES104" s="574" t="n"/>
      <c r="ET104" s="574" t="n"/>
      <c r="EU104" s="574" t="n"/>
      <c r="EV104" s="574" t="n"/>
      <c r="EW104" s="574" t="n"/>
      <c r="EX104" s="574" t="n"/>
      <c r="EY104" s="574" t="n"/>
      <c r="EZ104" s="574" t="n"/>
      <c r="FA104" s="574" t="n"/>
      <c r="FB104" s="574" t="n"/>
      <c r="FC104" s="574" t="n"/>
      <c r="FD104" s="574" t="n"/>
      <c r="FE104" s="574" t="n"/>
      <c r="FF104" s="574" t="n"/>
      <c r="FG104" s="574" t="n"/>
      <c r="FH104" s="574" t="n"/>
      <c r="FI104" s="574" t="n"/>
      <c r="FJ104" s="574" t="n"/>
      <c r="FK104" s="574" t="n"/>
      <c r="FL104" s="574" t="n"/>
      <c r="FM104" s="574" t="n"/>
      <c r="FN104" s="574" t="n"/>
      <c r="FO104" s="574" t="n"/>
      <c r="FP104" s="574" t="n"/>
      <c r="FQ104" s="574" t="n"/>
      <c r="FR104" s="574" t="n"/>
      <c r="FS104" s="574" t="n"/>
      <c r="FT104" s="574" t="n"/>
      <c r="FU104" s="574" t="n"/>
      <c r="FV104" s="574" t="n"/>
      <c r="FW104" s="574" t="n"/>
      <c r="FX104" s="574" t="n"/>
      <c r="FY104" s="574" t="n"/>
      <c r="FZ104" s="574" t="n"/>
      <c r="GA104" s="574" t="n"/>
      <c r="GB104" s="574" t="n"/>
      <c r="GC104" s="574" t="n"/>
      <c r="GD104" s="574" t="n"/>
      <c r="GE104" s="574" t="n"/>
      <c r="GF104" s="574" t="n"/>
    </row>
    <row r="105" customFormat="1" s="568">
      <c r="A105" s="86" t="n"/>
      <c r="B105" s="85" t="n"/>
      <c r="C105" s="84">
        <f>IFERROR(IF(AND($E105&gt;0,$D105&lt;&gt;"The Public"),$E105/SUMIFS($E$10:$E$205,$E$10:$E$205,"&gt;0",$D$10:$D$205,"&lt;&gt;The Public")*$D$5,""),"")</f>
        <v/>
      </c>
      <c r="D105" s="68" t="n"/>
      <c r="E105" s="84">
        <f>SUM(G105:HY105)</f>
        <v/>
      </c>
      <c r="F105" s="568">
        <f>IFERROR(IF($E105&gt;0.0000005,$E105/SUMIF($E$11:$E$140,"&gt;0.0000005"),""),"")</f>
        <v/>
      </c>
      <c r="M105" s="574" t="n"/>
      <c r="N105" s="574" t="n"/>
      <c r="O105" s="574" t="n"/>
      <c r="P105" s="574" t="n"/>
      <c r="Q105" s="574" t="n"/>
      <c r="R105" s="574" t="n"/>
      <c r="S105" s="574" t="n"/>
      <c r="T105" s="574" t="n"/>
      <c r="U105" s="574" t="n"/>
      <c r="V105" s="574" t="n"/>
      <c r="W105" s="574" t="n"/>
      <c r="X105" s="574" t="n"/>
      <c r="Y105" s="574" t="n"/>
      <c r="Z105" s="574" t="n"/>
      <c r="AA105" s="574" t="n"/>
      <c r="AB105" s="574" t="n"/>
      <c r="AC105" s="574" t="n"/>
      <c r="AD105" s="574" t="n"/>
      <c r="AE105" s="574" t="n"/>
      <c r="AF105" s="574" t="n"/>
      <c r="AG105" s="574" t="n"/>
      <c r="AH105" s="574" t="n"/>
      <c r="AI105" s="574" t="n"/>
      <c r="AJ105" s="574" t="n"/>
      <c r="AK105" s="574" t="n"/>
      <c r="AL105" s="574" t="n"/>
      <c r="AM105" s="574" t="n"/>
      <c r="AN105" s="574" t="n"/>
      <c r="AO105" s="574" t="n"/>
      <c r="AP105" s="574" t="n"/>
      <c r="AQ105" s="574" t="n"/>
      <c r="AR105" s="574" t="n"/>
      <c r="AS105" s="574" t="n"/>
      <c r="AT105" s="574" t="n"/>
      <c r="AU105" s="574" t="n"/>
      <c r="AV105" s="574" t="n"/>
      <c r="AW105" s="574" t="n"/>
      <c r="AX105" s="574" t="n"/>
      <c r="AY105" s="574" t="n"/>
      <c r="AZ105" s="574" t="n"/>
      <c r="BA105" s="574" t="n"/>
      <c r="BB105" s="574" t="n"/>
      <c r="BC105" s="574" t="n"/>
      <c r="BD105" s="574" t="n"/>
      <c r="BE105" s="574" t="n"/>
      <c r="BF105" s="574" t="n"/>
      <c r="BG105" s="574" t="n"/>
      <c r="BH105" s="574" t="n"/>
      <c r="BI105" s="574" t="n"/>
      <c r="BJ105" s="574" t="n"/>
      <c r="BK105" s="574" t="n"/>
      <c r="BL105" s="574" t="n"/>
      <c r="BM105" s="574" t="n"/>
      <c r="BN105" s="574" t="n"/>
      <c r="BO105" s="574" t="n"/>
      <c r="BP105" s="574" t="n"/>
      <c r="BQ105" s="574" t="n"/>
      <c r="BR105" s="574" t="n"/>
      <c r="BS105" s="574" t="n"/>
      <c r="BT105" s="574" t="n"/>
      <c r="BU105" s="574" t="n"/>
      <c r="BV105" s="574" t="n"/>
      <c r="BW105" s="574" t="n"/>
      <c r="BX105" s="574" t="n"/>
      <c r="BY105" s="574" t="n"/>
      <c r="BZ105" s="574" t="n"/>
      <c r="CA105" s="574" t="n"/>
      <c r="CB105" s="574" t="n"/>
      <c r="CC105" s="574" t="n"/>
      <c r="CD105" s="574" t="n"/>
      <c r="CE105" s="574" t="n"/>
      <c r="CF105" s="574" t="n"/>
      <c r="CG105" s="574" t="n"/>
      <c r="CH105" s="574" t="n"/>
      <c r="CI105" s="574" t="n"/>
      <c r="CJ105" s="574" t="n"/>
      <c r="CK105" s="574" t="n"/>
      <c r="CL105" s="574" t="n"/>
      <c r="CM105" s="574" t="n"/>
      <c r="CN105" s="574" t="n"/>
      <c r="CO105" s="574" t="n"/>
      <c r="CP105" s="574" t="n"/>
      <c r="CQ105" s="574" t="n"/>
      <c r="CR105" s="574" t="n"/>
      <c r="CS105" s="574" t="n"/>
      <c r="CT105" s="574" t="n"/>
      <c r="CU105" s="574" t="n"/>
      <c r="CV105" s="574" t="n"/>
      <c r="CW105" s="574" t="n"/>
      <c r="CX105" s="574" t="n"/>
      <c r="CY105" s="574" t="n"/>
      <c r="CZ105" s="574" t="n"/>
      <c r="DA105" s="574" t="n"/>
      <c r="DB105" s="574" t="n"/>
      <c r="DC105" s="574" t="n"/>
      <c r="DD105" s="574" t="n"/>
      <c r="DE105" s="574" t="n"/>
      <c r="DF105" s="574" t="n"/>
      <c r="DG105" s="574" t="n"/>
      <c r="DH105" s="574" t="n"/>
      <c r="DI105" s="574" t="n"/>
      <c r="DJ105" s="574" t="n"/>
      <c r="DK105" s="574" t="n"/>
      <c r="DL105" s="574" t="n"/>
      <c r="DM105" s="574" t="n"/>
      <c r="DN105" s="574" t="n"/>
      <c r="DO105" s="574" t="n"/>
      <c r="DP105" s="574" t="n"/>
      <c r="DQ105" s="574" t="n"/>
      <c r="DR105" s="574" t="n"/>
      <c r="DS105" s="574" t="n"/>
      <c r="DT105" s="574" t="n"/>
      <c r="DU105" s="574" t="n"/>
      <c r="DV105" s="574" t="n"/>
      <c r="DW105" s="574" t="n"/>
      <c r="DX105" s="574" t="n"/>
      <c r="DY105" s="574" t="n"/>
      <c r="DZ105" s="574" t="n"/>
      <c r="EA105" s="574" t="n"/>
      <c r="EB105" s="574" t="n"/>
      <c r="EC105" s="574" t="n"/>
      <c r="ED105" s="574" t="n"/>
      <c r="EE105" s="574" t="n"/>
      <c r="EF105" s="574" t="n"/>
      <c r="EG105" s="574" t="n"/>
      <c r="EH105" s="574" t="n"/>
      <c r="EI105" s="574" t="n"/>
      <c r="EJ105" s="574" t="n"/>
      <c r="EK105" s="574" t="n"/>
      <c r="EL105" s="574" t="n"/>
      <c r="EM105" s="574" t="n"/>
      <c r="EN105" s="574" t="n"/>
      <c r="EO105" s="574" t="n"/>
      <c r="EP105" s="574" t="n"/>
      <c r="EQ105" s="574" t="n"/>
      <c r="ER105" s="574" t="n"/>
      <c r="ES105" s="574" t="n"/>
      <c r="ET105" s="574" t="n"/>
      <c r="EU105" s="574" t="n"/>
      <c r="EV105" s="574" t="n"/>
      <c r="EW105" s="574" t="n"/>
      <c r="EX105" s="574" t="n"/>
      <c r="EY105" s="574" t="n"/>
      <c r="EZ105" s="574" t="n"/>
      <c r="FA105" s="574" t="n"/>
      <c r="FB105" s="574" t="n"/>
      <c r="FC105" s="574" t="n"/>
      <c r="FD105" s="574" t="n"/>
      <c r="FE105" s="574" t="n"/>
      <c r="FF105" s="574" t="n"/>
      <c r="FG105" s="574" t="n"/>
      <c r="FH105" s="574" t="n"/>
      <c r="FI105" s="574" t="n"/>
      <c r="FJ105" s="574" t="n"/>
      <c r="FK105" s="574" t="n"/>
      <c r="FL105" s="574" t="n"/>
      <c r="FM105" s="574" t="n"/>
      <c r="FN105" s="574" t="n"/>
      <c r="FO105" s="574" t="n"/>
      <c r="FP105" s="574" t="n"/>
      <c r="FQ105" s="574" t="n"/>
      <c r="FR105" s="574" t="n"/>
      <c r="FS105" s="574" t="n"/>
      <c r="FT105" s="574" t="n"/>
      <c r="FU105" s="574" t="n"/>
      <c r="FV105" s="574" t="n"/>
      <c r="FW105" s="574" t="n"/>
      <c r="FX105" s="574" t="n"/>
      <c r="FY105" s="574" t="n"/>
      <c r="FZ105" s="574" t="n"/>
      <c r="GA105" s="574" t="n"/>
      <c r="GB105" s="574" t="n"/>
      <c r="GC105" s="574" t="n"/>
      <c r="GD105" s="574" t="n"/>
      <c r="GE105" s="574" t="n"/>
      <c r="GF105" s="574" t="n"/>
    </row>
    <row r="106" customFormat="1" s="568">
      <c r="A106" s="86" t="n"/>
      <c r="B106" s="85" t="n"/>
      <c r="C106" s="84">
        <f>IFERROR(IF(AND($E106&gt;0,$D106&lt;&gt;"The Public"),$E106/SUMIFS($E$10:$E$205,$E$10:$E$205,"&gt;0",$D$10:$D$205,"&lt;&gt;The Public")*$D$5,""),"")</f>
        <v/>
      </c>
      <c r="D106" s="68" t="n"/>
      <c r="E106" s="84">
        <f>SUM(G106:HY106)</f>
        <v/>
      </c>
      <c r="F106" s="568">
        <f>IFERROR(IF($E106&gt;0.0000005,$E106/SUMIF($E$11:$E$140,"&gt;0.0000005"),""),"")</f>
        <v/>
      </c>
      <c r="M106" s="574" t="n"/>
      <c r="N106" s="574" t="n"/>
      <c r="O106" s="574" t="n"/>
      <c r="P106" s="574" t="n"/>
      <c r="Q106" s="574" t="n"/>
      <c r="R106" s="574" t="n"/>
      <c r="S106" s="574" t="n"/>
      <c r="T106" s="574" t="n"/>
      <c r="U106" s="574" t="n"/>
      <c r="V106" s="574" t="n"/>
      <c r="W106" s="574" t="n"/>
      <c r="X106" s="574" t="n"/>
      <c r="Y106" s="574" t="n"/>
      <c r="Z106" s="574" t="n"/>
      <c r="AA106" s="574" t="n"/>
      <c r="AB106" s="574" t="n"/>
      <c r="AC106" s="574" t="n"/>
      <c r="AD106" s="574" t="n"/>
      <c r="AE106" s="574" t="n"/>
      <c r="AF106" s="574" t="n"/>
      <c r="AG106" s="574" t="n"/>
      <c r="AH106" s="574" t="n"/>
      <c r="AI106" s="574" t="n"/>
      <c r="AJ106" s="574" t="n"/>
      <c r="AK106" s="574" t="n"/>
      <c r="AL106" s="574" t="n"/>
      <c r="AM106" s="574" t="n"/>
      <c r="AN106" s="574" t="n"/>
      <c r="AO106" s="574" t="n"/>
      <c r="AP106" s="574" t="n"/>
      <c r="AQ106" s="574" t="n"/>
      <c r="AR106" s="574" t="n"/>
      <c r="AS106" s="574" t="n"/>
      <c r="AT106" s="574" t="n"/>
      <c r="AU106" s="574" t="n"/>
      <c r="AV106" s="574" t="n"/>
      <c r="AW106" s="574" t="n"/>
      <c r="AX106" s="574" t="n"/>
      <c r="AY106" s="574" t="n"/>
      <c r="AZ106" s="574" t="n"/>
      <c r="BA106" s="574" t="n"/>
      <c r="BB106" s="574" t="n"/>
      <c r="BC106" s="574" t="n"/>
      <c r="BD106" s="574" t="n"/>
      <c r="BE106" s="574" t="n"/>
      <c r="BF106" s="574" t="n"/>
      <c r="BG106" s="574" t="n"/>
      <c r="BH106" s="574" t="n"/>
      <c r="BI106" s="574" t="n"/>
      <c r="BJ106" s="574" t="n"/>
      <c r="BK106" s="574" t="n"/>
      <c r="BL106" s="574" t="n"/>
      <c r="BM106" s="574" t="n"/>
      <c r="BN106" s="574" t="n"/>
      <c r="BO106" s="574" t="n"/>
      <c r="BP106" s="574" t="n"/>
      <c r="BQ106" s="574" t="n"/>
      <c r="BR106" s="574" t="n"/>
      <c r="BS106" s="574" t="n"/>
      <c r="BT106" s="574" t="n"/>
      <c r="BU106" s="574" t="n"/>
      <c r="BV106" s="574" t="n"/>
      <c r="BW106" s="574" t="n"/>
      <c r="BX106" s="574" t="n"/>
      <c r="BY106" s="574" t="n"/>
      <c r="BZ106" s="574" t="n"/>
      <c r="CA106" s="574" t="n"/>
      <c r="CB106" s="574" t="n"/>
      <c r="CC106" s="574" t="n"/>
      <c r="CD106" s="574" t="n"/>
      <c r="CE106" s="574" t="n"/>
      <c r="CF106" s="574" t="n"/>
      <c r="CG106" s="574" t="n"/>
      <c r="CH106" s="574" t="n"/>
      <c r="CI106" s="574" t="n"/>
      <c r="CJ106" s="574" t="n"/>
      <c r="CK106" s="574" t="n"/>
      <c r="CL106" s="574" t="n"/>
      <c r="CM106" s="574" t="n"/>
      <c r="CN106" s="574" t="n"/>
      <c r="CO106" s="574" t="n"/>
      <c r="CP106" s="574" t="n"/>
      <c r="CQ106" s="574" t="n"/>
      <c r="CR106" s="574" t="n"/>
      <c r="CS106" s="574" t="n"/>
      <c r="CT106" s="574" t="n"/>
      <c r="CU106" s="574" t="n"/>
      <c r="CV106" s="574" t="n"/>
      <c r="CW106" s="574" t="n"/>
      <c r="CX106" s="574" t="n"/>
      <c r="CY106" s="574" t="n"/>
      <c r="CZ106" s="574" t="n"/>
      <c r="DA106" s="574" t="n"/>
      <c r="DB106" s="574" t="n"/>
      <c r="DC106" s="574" t="n"/>
      <c r="DD106" s="574" t="n"/>
      <c r="DE106" s="574" t="n"/>
      <c r="DF106" s="574" t="n"/>
      <c r="DG106" s="574" t="n"/>
      <c r="DH106" s="574" t="n"/>
      <c r="DI106" s="574" t="n"/>
      <c r="DJ106" s="574" t="n"/>
      <c r="DK106" s="574" t="n"/>
      <c r="DL106" s="574" t="n"/>
      <c r="DM106" s="574" t="n"/>
      <c r="DN106" s="574" t="n"/>
      <c r="DO106" s="574" t="n"/>
      <c r="DP106" s="574" t="n"/>
      <c r="DQ106" s="574" t="n"/>
      <c r="DR106" s="574" t="n"/>
      <c r="DS106" s="574" t="n"/>
      <c r="DT106" s="574" t="n"/>
      <c r="DU106" s="574" t="n"/>
      <c r="DV106" s="574" t="n"/>
      <c r="DW106" s="574" t="n"/>
      <c r="DX106" s="574" t="n"/>
      <c r="DY106" s="574" t="n"/>
      <c r="DZ106" s="574" t="n"/>
      <c r="EA106" s="574" t="n"/>
      <c r="EB106" s="574" t="n"/>
      <c r="EC106" s="574" t="n"/>
      <c r="ED106" s="574" t="n"/>
      <c r="EE106" s="574" t="n"/>
      <c r="EF106" s="574" t="n"/>
      <c r="EG106" s="574" t="n"/>
      <c r="EH106" s="574" t="n"/>
      <c r="EI106" s="574" t="n"/>
      <c r="EJ106" s="574" t="n"/>
      <c r="EK106" s="574" t="n"/>
      <c r="EL106" s="574" t="n"/>
      <c r="EM106" s="574" t="n"/>
      <c r="EN106" s="574" t="n"/>
      <c r="EO106" s="574" t="n"/>
      <c r="EP106" s="574" t="n"/>
      <c r="EQ106" s="574" t="n"/>
      <c r="ER106" s="574" t="n"/>
      <c r="ES106" s="574" t="n"/>
      <c r="ET106" s="574" t="n"/>
      <c r="EU106" s="574" t="n"/>
      <c r="EV106" s="574" t="n"/>
      <c r="EW106" s="574" t="n"/>
      <c r="EX106" s="574" t="n"/>
      <c r="EY106" s="574" t="n"/>
      <c r="EZ106" s="574" t="n"/>
      <c r="FA106" s="574" t="n"/>
      <c r="FB106" s="574" t="n"/>
      <c r="FC106" s="574" t="n"/>
      <c r="FD106" s="574" t="n"/>
      <c r="FE106" s="574" t="n"/>
      <c r="FF106" s="574" t="n"/>
      <c r="FG106" s="574" t="n"/>
      <c r="FH106" s="574" t="n"/>
      <c r="FI106" s="574" t="n"/>
      <c r="FJ106" s="574" t="n"/>
      <c r="FK106" s="574" t="n"/>
      <c r="FL106" s="574" t="n"/>
      <c r="FM106" s="574" t="n"/>
      <c r="FN106" s="574" t="n"/>
      <c r="FO106" s="574" t="n"/>
      <c r="FP106" s="574" t="n"/>
      <c r="FQ106" s="574" t="n"/>
      <c r="FR106" s="574" t="n"/>
      <c r="FS106" s="574" t="n"/>
      <c r="FT106" s="574" t="n"/>
      <c r="FU106" s="574" t="n"/>
      <c r="FV106" s="574" t="n"/>
      <c r="FW106" s="574" t="n"/>
      <c r="FX106" s="574" t="n"/>
      <c r="FY106" s="574" t="n"/>
      <c r="FZ106" s="574" t="n"/>
      <c r="GA106" s="574" t="n"/>
      <c r="GB106" s="574" t="n"/>
      <c r="GC106" s="574" t="n"/>
      <c r="GD106" s="574" t="n"/>
      <c r="GE106" s="574" t="n"/>
      <c r="GF106" s="574" t="n"/>
    </row>
    <row r="107" customFormat="1" s="568">
      <c r="A107" s="86" t="n"/>
      <c r="B107" s="85" t="n"/>
      <c r="C107" s="84">
        <f>IFERROR(IF(AND($E107&gt;0,$D107&lt;&gt;"The Public"),$E107/SUMIFS($E$10:$E$205,$E$10:$E$205,"&gt;0",$D$10:$D$205,"&lt;&gt;The Public")*$D$5,""),"")</f>
        <v/>
      </c>
      <c r="D107" s="68" t="n"/>
      <c r="E107" s="84">
        <f>SUM(G107:HY107)</f>
        <v/>
      </c>
      <c r="F107" s="568">
        <f>IFERROR(IF($E107&gt;0.0000005,$E107/SUMIF($E$11:$E$140,"&gt;0.0000005"),""),"")</f>
        <v/>
      </c>
      <c r="M107" s="574" t="n"/>
      <c r="N107" s="574" t="n"/>
      <c r="O107" s="574" t="n"/>
      <c r="P107" s="574" t="n"/>
      <c r="Q107" s="574" t="n"/>
      <c r="R107" s="574" t="n"/>
      <c r="S107" s="574" t="n"/>
      <c r="T107" s="574" t="n"/>
      <c r="U107" s="574" t="n"/>
      <c r="V107" s="574" t="n"/>
      <c r="W107" s="574" t="n"/>
      <c r="X107" s="574" t="n"/>
      <c r="Y107" s="574" t="n"/>
      <c r="Z107" s="574" t="n"/>
      <c r="AA107" s="574" t="n"/>
      <c r="AB107" s="574" t="n"/>
      <c r="AC107" s="574" t="n"/>
      <c r="AD107" s="574" t="n"/>
      <c r="AE107" s="574" t="n"/>
      <c r="AF107" s="574" t="n"/>
      <c r="AG107" s="574" t="n"/>
      <c r="AH107" s="574" t="n"/>
      <c r="AI107" s="574" t="n"/>
      <c r="AJ107" s="574" t="n"/>
      <c r="AK107" s="574" t="n"/>
      <c r="AL107" s="574" t="n"/>
      <c r="AM107" s="574" t="n"/>
      <c r="AN107" s="574" t="n"/>
      <c r="AO107" s="574" t="n"/>
      <c r="AP107" s="574" t="n"/>
      <c r="AQ107" s="574" t="n"/>
      <c r="AR107" s="574" t="n"/>
      <c r="AS107" s="574" t="n"/>
      <c r="AT107" s="574" t="n"/>
      <c r="AU107" s="574" t="n"/>
      <c r="AV107" s="574" t="n"/>
      <c r="AW107" s="574" t="n"/>
      <c r="AX107" s="574" t="n"/>
      <c r="AY107" s="574" t="n"/>
      <c r="AZ107" s="574" t="n"/>
      <c r="BA107" s="574" t="n"/>
      <c r="BB107" s="574" t="n"/>
      <c r="BC107" s="574" t="n"/>
      <c r="BD107" s="574" t="n"/>
      <c r="BE107" s="574" t="n"/>
      <c r="BF107" s="574" t="n"/>
      <c r="BG107" s="574" t="n"/>
      <c r="BH107" s="574" t="n"/>
      <c r="BI107" s="574" t="n"/>
      <c r="BJ107" s="574" t="n"/>
      <c r="BK107" s="574" t="n"/>
      <c r="BL107" s="574" t="n"/>
      <c r="BM107" s="574" t="n"/>
      <c r="BN107" s="574" t="n"/>
      <c r="BO107" s="574" t="n"/>
      <c r="BP107" s="574" t="n"/>
      <c r="BQ107" s="574" t="n"/>
      <c r="BR107" s="574" t="n"/>
      <c r="BS107" s="574" t="n"/>
      <c r="BT107" s="574" t="n"/>
      <c r="BU107" s="574" t="n"/>
      <c r="BV107" s="574" t="n"/>
      <c r="BW107" s="574" t="n"/>
      <c r="BX107" s="574" t="n"/>
      <c r="BY107" s="574" t="n"/>
      <c r="BZ107" s="574" t="n"/>
      <c r="CA107" s="574" t="n"/>
      <c r="CB107" s="574" t="n"/>
      <c r="CC107" s="574" t="n"/>
      <c r="CD107" s="574" t="n"/>
      <c r="CE107" s="574" t="n"/>
      <c r="CF107" s="574" t="n"/>
      <c r="CG107" s="574" t="n"/>
      <c r="CH107" s="574" t="n"/>
      <c r="CI107" s="574" t="n"/>
      <c r="CJ107" s="574" t="n"/>
      <c r="CK107" s="574" t="n"/>
      <c r="CL107" s="574" t="n"/>
      <c r="CM107" s="574" t="n"/>
      <c r="CN107" s="574" t="n"/>
      <c r="CO107" s="574" t="n"/>
      <c r="CP107" s="574" t="n"/>
      <c r="CQ107" s="574" t="n"/>
      <c r="CR107" s="574" t="n"/>
      <c r="CS107" s="574" t="n"/>
      <c r="CT107" s="574" t="n"/>
      <c r="CU107" s="574" t="n"/>
      <c r="CV107" s="574" t="n"/>
      <c r="CW107" s="574" t="n"/>
      <c r="CX107" s="574" t="n"/>
      <c r="CY107" s="574" t="n"/>
      <c r="CZ107" s="574" t="n"/>
      <c r="DA107" s="574" t="n"/>
      <c r="DB107" s="574" t="n"/>
      <c r="DC107" s="574" t="n"/>
      <c r="DD107" s="574" t="n"/>
      <c r="DE107" s="574" t="n"/>
      <c r="DF107" s="574" t="n"/>
      <c r="DG107" s="574" t="n"/>
      <c r="DH107" s="574" t="n"/>
      <c r="DI107" s="574" t="n"/>
      <c r="DJ107" s="574" t="n"/>
      <c r="DK107" s="574" t="n"/>
      <c r="DL107" s="574" t="n"/>
      <c r="DM107" s="574" t="n"/>
      <c r="DN107" s="574" t="n"/>
      <c r="DO107" s="574" t="n"/>
      <c r="DP107" s="574" t="n"/>
      <c r="DQ107" s="574" t="n"/>
      <c r="DR107" s="574" t="n"/>
      <c r="DS107" s="574" t="n"/>
      <c r="DT107" s="574" t="n"/>
      <c r="DU107" s="574" t="n"/>
      <c r="DV107" s="574" t="n"/>
      <c r="DW107" s="574" t="n"/>
      <c r="DX107" s="574" t="n"/>
      <c r="DY107" s="574" t="n"/>
      <c r="DZ107" s="574" t="n"/>
      <c r="EA107" s="574" t="n"/>
      <c r="EB107" s="574" t="n"/>
      <c r="EC107" s="574" t="n"/>
      <c r="ED107" s="574" t="n"/>
      <c r="EE107" s="574" t="n"/>
      <c r="EF107" s="574" t="n"/>
      <c r="EG107" s="574" t="n"/>
      <c r="EH107" s="574" t="n"/>
      <c r="EI107" s="574" t="n"/>
      <c r="EJ107" s="574" t="n"/>
      <c r="EK107" s="574" t="n"/>
      <c r="EL107" s="574" t="n"/>
      <c r="EM107" s="574" t="n"/>
      <c r="EN107" s="574" t="n"/>
      <c r="EO107" s="574" t="n"/>
      <c r="EP107" s="574" t="n"/>
      <c r="EQ107" s="574" t="n"/>
      <c r="ER107" s="574" t="n"/>
      <c r="ES107" s="574" t="n"/>
      <c r="ET107" s="574" t="n"/>
      <c r="EU107" s="574" t="n"/>
      <c r="EV107" s="574" t="n"/>
      <c r="EW107" s="574" t="n"/>
      <c r="EX107" s="574" t="n"/>
      <c r="EY107" s="574" t="n"/>
      <c r="EZ107" s="574" t="n"/>
      <c r="FA107" s="574" t="n"/>
      <c r="FB107" s="574" t="n"/>
      <c r="FC107" s="574" t="n"/>
      <c r="FD107" s="574" t="n"/>
      <c r="FE107" s="574" t="n"/>
      <c r="FF107" s="574" t="n"/>
      <c r="FG107" s="574" t="n"/>
      <c r="FH107" s="574" t="n"/>
      <c r="FI107" s="574" t="n"/>
      <c r="FJ107" s="574" t="n"/>
      <c r="FK107" s="574" t="n"/>
      <c r="FL107" s="574" t="n"/>
      <c r="FM107" s="574" t="n"/>
      <c r="FN107" s="574" t="n"/>
      <c r="FO107" s="574" t="n"/>
      <c r="FP107" s="574" t="n"/>
      <c r="FQ107" s="574" t="n"/>
      <c r="FR107" s="574" t="n"/>
      <c r="FS107" s="574" t="n"/>
      <c r="FT107" s="574" t="n"/>
      <c r="FU107" s="574" t="n"/>
      <c r="FV107" s="574" t="n"/>
      <c r="FW107" s="574" t="n"/>
      <c r="FX107" s="574" t="n"/>
      <c r="FY107" s="574" t="n"/>
      <c r="FZ107" s="574" t="n"/>
      <c r="GA107" s="574" t="n"/>
      <c r="GB107" s="574" t="n"/>
      <c r="GC107" s="574" t="n"/>
      <c r="GD107" s="574" t="n"/>
      <c r="GE107" s="574" t="n"/>
      <c r="GF107" s="574" t="n"/>
    </row>
    <row r="108" customFormat="1" s="568">
      <c r="A108" s="86" t="n"/>
      <c r="B108" s="85" t="n"/>
      <c r="C108" s="84">
        <f>IFERROR(IF(AND($E108&gt;0,$D108&lt;&gt;"The Public"),$E108/SUMIFS($E$10:$E$205,$E$10:$E$205,"&gt;0",$D$10:$D$205,"&lt;&gt;The Public")*$D$5,""),"")</f>
        <v/>
      </c>
      <c r="D108" s="68" t="n"/>
      <c r="E108" s="84">
        <f>SUM(G108:HY108)</f>
        <v/>
      </c>
      <c r="F108" s="568">
        <f>IFERROR(IF($E108&gt;0.0000005,$E108/SUMIF($E$11:$E$140,"&gt;0.0000005"),""),"")</f>
        <v/>
      </c>
      <c r="M108" s="574" t="n"/>
      <c r="N108" s="574" t="n"/>
      <c r="O108" s="574" t="n"/>
      <c r="P108" s="574" t="n"/>
      <c r="Q108" s="574" t="n"/>
      <c r="R108" s="574" t="n"/>
      <c r="S108" s="574" t="n"/>
      <c r="T108" s="574" t="n"/>
      <c r="U108" s="574" t="n"/>
      <c r="V108" s="574" t="n"/>
      <c r="W108" s="574" t="n"/>
      <c r="X108" s="574" t="n"/>
      <c r="Y108" s="574" t="n"/>
      <c r="Z108" s="574" t="n"/>
      <c r="AA108" s="574" t="n"/>
      <c r="AB108" s="574" t="n"/>
      <c r="AC108" s="574" t="n"/>
      <c r="AD108" s="574" t="n"/>
      <c r="AE108" s="574" t="n"/>
      <c r="AF108" s="574" t="n"/>
      <c r="AG108" s="574" t="n"/>
      <c r="AH108" s="574" t="n"/>
      <c r="AI108" s="574" t="n"/>
      <c r="AJ108" s="574" t="n"/>
      <c r="AK108" s="574" t="n"/>
      <c r="AL108" s="574" t="n"/>
      <c r="AM108" s="574" t="n"/>
      <c r="AN108" s="574" t="n"/>
      <c r="AO108" s="574" t="n"/>
      <c r="AP108" s="574" t="n"/>
      <c r="AQ108" s="574" t="n"/>
      <c r="AR108" s="574" t="n"/>
      <c r="AS108" s="574" t="n"/>
      <c r="AT108" s="574" t="n"/>
      <c r="AU108" s="574" t="n"/>
      <c r="AV108" s="574" t="n"/>
      <c r="AW108" s="574" t="n"/>
      <c r="AX108" s="574" t="n"/>
      <c r="AY108" s="574" t="n"/>
      <c r="AZ108" s="574" t="n"/>
      <c r="BA108" s="574" t="n"/>
      <c r="BB108" s="574" t="n"/>
      <c r="BC108" s="574" t="n"/>
      <c r="BD108" s="574" t="n"/>
      <c r="BE108" s="574" t="n"/>
      <c r="BF108" s="574" t="n"/>
      <c r="BG108" s="574" t="n"/>
      <c r="BH108" s="574" t="n"/>
      <c r="BI108" s="574" t="n"/>
      <c r="BJ108" s="574" t="n"/>
      <c r="BK108" s="574" t="n"/>
      <c r="BL108" s="574" t="n"/>
      <c r="BM108" s="574" t="n"/>
      <c r="BN108" s="574" t="n"/>
      <c r="BO108" s="574" t="n"/>
      <c r="BP108" s="574" t="n"/>
      <c r="BQ108" s="574" t="n"/>
      <c r="BR108" s="574" t="n"/>
      <c r="BS108" s="574" t="n"/>
      <c r="BT108" s="574" t="n"/>
      <c r="BU108" s="574" t="n"/>
      <c r="BV108" s="574" t="n"/>
      <c r="BW108" s="574" t="n"/>
      <c r="BX108" s="574" t="n"/>
      <c r="BY108" s="574" t="n"/>
      <c r="BZ108" s="574" t="n"/>
      <c r="CA108" s="574" t="n"/>
      <c r="CB108" s="574" t="n"/>
      <c r="CC108" s="574" t="n"/>
      <c r="CD108" s="574" t="n"/>
      <c r="CE108" s="574" t="n"/>
      <c r="CF108" s="574" t="n"/>
      <c r="CG108" s="574" t="n"/>
      <c r="CH108" s="574" t="n"/>
      <c r="CI108" s="574" t="n"/>
      <c r="CJ108" s="574" t="n"/>
      <c r="CK108" s="574" t="n"/>
      <c r="CL108" s="574" t="n"/>
      <c r="CM108" s="574" t="n"/>
      <c r="CN108" s="574" t="n"/>
      <c r="CO108" s="574" t="n"/>
      <c r="CP108" s="574" t="n"/>
      <c r="CQ108" s="574" t="n"/>
      <c r="CR108" s="574" t="n"/>
      <c r="CS108" s="574" t="n"/>
      <c r="CT108" s="574" t="n"/>
      <c r="CU108" s="574" t="n"/>
      <c r="CV108" s="574" t="n"/>
      <c r="CW108" s="574" t="n"/>
      <c r="CX108" s="574" t="n"/>
      <c r="CY108" s="574" t="n"/>
      <c r="CZ108" s="574" t="n"/>
      <c r="DA108" s="574" t="n"/>
      <c r="DB108" s="574" t="n"/>
      <c r="DC108" s="574" t="n"/>
      <c r="DD108" s="574" t="n"/>
      <c r="DE108" s="574" t="n"/>
      <c r="DF108" s="574" t="n"/>
      <c r="DG108" s="574" t="n"/>
      <c r="DH108" s="574" t="n"/>
      <c r="DI108" s="574" t="n"/>
      <c r="DJ108" s="574" t="n"/>
      <c r="DK108" s="574" t="n"/>
      <c r="DL108" s="574" t="n"/>
      <c r="DM108" s="574" t="n"/>
      <c r="DN108" s="574" t="n"/>
      <c r="DO108" s="574" t="n"/>
      <c r="DP108" s="574" t="n"/>
      <c r="DQ108" s="574" t="n"/>
      <c r="DR108" s="574" t="n"/>
      <c r="DS108" s="574" t="n"/>
      <c r="DT108" s="574" t="n"/>
      <c r="DU108" s="574" t="n"/>
      <c r="DV108" s="574" t="n"/>
      <c r="DW108" s="574" t="n"/>
      <c r="DX108" s="574" t="n"/>
      <c r="DY108" s="574" t="n"/>
      <c r="DZ108" s="574" t="n"/>
      <c r="EA108" s="574" t="n"/>
      <c r="EB108" s="574" t="n"/>
      <c r="EC108" s="574" t="n"/>
      <c r="ED108" s="574" t="n"/>
      <c r="EE108" s="574" t="n"/>
      <c r="EF108" s="574" t="n"/>
      <c r="EG108" s="574" t="n"/>
      <c r="EH108" s="574" t="n"/>
      <c r="EI108" s="574" t="n"/>
      <c r="EJ108" s="574" t="n"/>
      <c r="EK108" s="574" t="n"/>
      <c r="EL108" s="574" t="n"/>
      <c r="EM108" s="574" t="n"/>
      <c r="EN108" s="574" t="n"/>
      <c r="EO108" s="574" t="n"/>
      <c r="EP108" s="574" t="n"/>
      <c r="EQ108" s="574" t="n"/>
      <c r="ER108" s="574" t="n"/>
      <c r="ES108" s="574" t="n"/>
      <c r="ET108" s="574" t="n"/>
      <c r="EU108" s="574" t="n"/>
      <c r="EV108" s="574" t="n"/>
      <c r="EW108" s="574" t="n"/>
      <c r="EX108" s="574" t="n"/>
      <c r="EY108" s="574" t="n"/>
      <c r="EZ108" s="574" t="n"/>
      <c r="FA108" s="574" t="n"/>
      <c r="FB108" s="574" t="n"/>
      <c r="FC108" s="574" t="n"/>
      <c r="FD108" s="574" t="n"/>
      <c r="FE108" s="574" t="n"/>
      <c r="FF108" s="574" t="n"/>
      <c r="FG108" s="574" t="n"/>
      <c r="FH108" s="574" t="n"/>
      <c r="FI108" s="574" t="n"/>
      <c r="FJ108" s="574" t="n"/>
      <c r="FK108" s="574" t="n"/>
      <c r="FL108" s="574" t="n"/>
      <c r="FM108" s="574" t="n"/>
      <c r="FN108" s="574" t="n"/>
      <c r="FO108" s="574" t="n"/>
      <c r="FP108" s="574" t="n"/>
      <c r="FQ108" s="574" t="n"/>
      <c r="FR108" s="574" t="n"/>
      <c r="FS108" s="574" t="n"/>
      <c r="FT108" s="574" t="n"/>
      <c r="FU108" s="574" t="n"/>
      <c r="FV108" s="574" t="n"/>
      <c r="FW108" s="574" t="n"/>
      <c r="FX108" s="574" t="n"/>
      <c r="FY108" s="574" t="n"/>
      <c r="FZ108" s="574" t="n"/>
      <c r="GA108" s="574" t="n"/>
      <c r="GB108" s="574" t="n"/>
      <c r="GC108" s="574" t="n"/>
      <c r="GD108" s="574" t="n"/>
      <c r="GE108" s="574" t="n"/>
      <c r="GF108" s="574" t="n"/>
    </row>
    <row r="109" customFormat="1" s="568">
      <c r="A109" s="86" t="n"/>
      <c r="B109" s="85" t="n"/>
      <c r="C109" s="84">
        <f>IFERROR(IF(AND($E109&gt;0,$D109&lt;&gt;"The Public"),$E109/SUMIFS($E$10:$E$205,$E$10:$E$205,"&gt;0",$D$10:$D$205,"&lt;&gt;The Public")*$D$5,""),"")</f>
        <v/>
      </c>
      <c r="D109" s="68" t="n"/>
      <c r="E109" s="84">
        <f>SUM(G109:HY109)</f>
        <v/>
      </c>
      <c r="F109" s="568">
        <f>IFERROR(IF($E109&gt;0.0000005,$E109/SUMIF($E$11:$E$140,"&gt;0.0000005"),""),"")</f>
        <v/>
      </c>
      <c r="M109" s="574" t="n"/>
      <c r="N109" s="574" t="n"/>
      <c r="O109" s="574" t="n"/>
      <c r="P109" s="574" t="n"/>
      <c r="Q109" s="574" t="n"/>
      <c r="R109" s="574" t="n"/>
      <c r="S109" s="574" t="n"/>
      <c r="T109" s="574" t="n"/>
      <c r="U109" s="574" t="n"/>
      <c r="V109" s="574" t="n"/>
      <c r="W109" s="574" t="n"/>
      <c r="X109" s="574" t="n"/>
      <c r="Y109" s="574" t="n"/>
      <c r="Z109" s="574" t="n"/>
      <c r="AA109" s="574" t="n"/>
      <c r="AB109" s="574" t="n"/>
      <c r="AC109" s="574" t="n"/>
      <c r="AD109" s="574" t="n"/>
      <c r="AE109" s="574" t="n"/>
      <c r="AF109" s="574" t="n"/>
      <c r="AG109" s="574" t="n"/>
      <c r="AH109" s="574" t="n"/>
      <c r="AI109" s="574" t="n"/>
      <c r="AJ109" s="574" t="n"/>
      <c r="AK109" s="574" t="n"/>
      <c r="AL109" s="574" t="n"/>
      <c r="AM109" s="574" t="n"/>
      <c r="AN109" s="574" t="n"/>
      <c r="AO109" s="574" t="n"/>
      <c r="AP109" s="574" t="n"/>
      <c r="AQ109" s="574" t="n"/>
      <c r="AR109" s="574" t="n"/>
      <c r="AS109" s="574" t="n"/>
      <c r="AT109" s="574" t="n"/>
      <c r="AU109" s="574" t="n"/>
      <c r="AV109" s="574" t="n"/>
      <c r="AW109" s="574" t="n"/>
      <c r="AX109" s="574" t="n"/>
      <c r="AY109" s="574" t="n"/>
      <c r="AZ109" s="574" t="n"/>
      <c r="BA109" s="574" t="n"/>
      <c r="BB109" s="574" t="n"/>
      <c r="BC109" s="574" t="n"/>
      <c r="BD109" s="574" t="n"/>
      <c r="BE109" s="574" t="n"/>
      <c r="BF109" s="574" t="n"/>
      <c r="BG109" s="574" t="n"/>
      <c r="BH109" s="574" t="n"/>
      <c r="BI109" s="574" t="n"/>
      <c r="BJ109" s="574" t="n"/>
      <c r="BK109" s="574" t="n"/>
      <c r="BL109" s="574" t="n"/>
      <c r="BM109" s="574" t="n"/>
      <c r="BN109" s="574" t="n"/>
      <c r="BO109" s="574" t="n"/>
      <c r="BP109" s="574" t="n"/>
      <c r="BQ109" s="574" t="n"/>
      <c r="BR109" s="574" t="n"/>
      <c r="BS109" s="574" t="n"/>
      <c r="BT109" s="574" t="n"/>
      <c r="BU109" s="574" t="n"/>
      <c r="BV109" s="574" t="n"/>
      <c r="BW109" s="574" t="n"/>
      <c r="BX109" s="574" t="n"/>
      <c r="BY109" s="574" t="n"/>
      <c r="BZ109" s="574" t="n"/>
      <c r="CA109" s="574" t="n"/>
      <c r="CB109" s="574" t="n"/>
      <c r="CC109" s="574" t="n"/>
      <c r="CD109" s="574" t="n"/>
      <c r="CE109" s="574" t="n"/>
      <c r="CF109" s="574" t="n"/>
      <c r="CG109" s="574" t="n"/>
      <c r="CH109" s="574" t="n"/>
      <c r="CI109" s="574" t="n"/>
      <c r="CJ109" s="574" t="n"/>
      <c r="CK109" s="574" t="n"/>
      <c r="CL109" s="574" t="n"/>
      <c r="CM109" s="574" t="n"/>
      <c r="CN109" s="574" t="n"/>
      <c r="CO109" s="574" t="n"/>
      <c r="CP109" s="574" t="n"/>
      <c r="CQ109" s="574" t="n"/>
      <c r="CR109" s="574" t="n"/>
      <c r="CS109" s="574" t="n"/>
      <c r="CT109" s="574" t="n"/>
      <c r="CU109" s="574" t="n"/>
      <c r="CV109" s="574" t="n"/>
      <c r="CW109" s="574" t="n"/>
      <c r="CX109" s="574" t="n"/>
      <c r="CY109" s="574" t="n"/>
      <c r="CZ109" s="574" t="n"/>
      <c r="DA109" s="574" t="n"/>
      <c r="DB109" s="574" t="n"/>
      <c r="DC109" s="574" t="n"/>
      <c r="DD109" s="574" t="n"/>
      <c r="DE109" s="574" t="n"/>
      <c r="DF109" s="574" t="n"/>
      <c r="DG109" s="574" t="n"/>
      <c r="DH109" s="574" t="n"/>
      <c r="DI109" s="574" t="n"/>
      <c r="DJ109" s="574" t="n"/>
      <c r="DK109" s="574" t="n"/>
      <c r="DL109" s="574" t="n"/>
      <c r="DM109" s="574" t="n"/>
      <c r="DN109" s="574" t="n"/>
      <c r="DO109" s="574" t="n"/>
      <c r="DP109" s="574" t="n"/>
      <c r="DQ109" s="574" t="n"/>
      <c r="DR109" s="574" t="n"/>
      <c r="DS109" s="574" t="n"/>
      <c r="DT109" s="574" t="n"/>
      <c r="DU109" s="574" t="n"/>
      <c r="DV109" s="574" t="n"/>
      <c r="DW109" s="574" t="n"/>
      <c r="DX109" s="574" t="n"/>
      <c r="DY109" s="574" t="n"/>
      <c r="DZ109" s="574" t="n"/>
      <c r="EA109" s="574" t="n"/>
      <c r="EB109" s="574" t="n"/>
      <c r="EC109" s="574" t="n"/>
      <c r="ED109" s="574" t="n"/>
      <c r="EE109" s="574" t="n"/>
      <c r="EF109" s="574" t="n"/>
      <c r="EG109" s="574" t="n"/>
      <c r="EH109" s="574" t="n"/>
      <c r="EI109" s="574" t="n"/>
      <c r="EJ109" s="574" t="n"/>
      <c r="EK109" s="574" t="n"/>
      <c r="EL109" s="574" t="n"/>
      <c r="EM109" s="574" t="n"/>
      <c r="EN109" s="574" t="n"/>
      <c r="EO109" s="574" t="n"/>
      <c r="EP109" s="574" t="n"/>
      <c r="EQ109" s="574" t="n"/>
      <c r="ER109" s="574" t="n"/>
      <c r="ES109" s="574" t="n"/>
      <c r="ET109" s="574" t="n"/>
      <c r="EU109" s="574" t="n"/>
      <c r="EV109" s="574" t="n"/>
      <c r="EW109" s="574" t="n"/>
      <c r="EX109" s="574" t="n"/>
      <c r="EY109" s="574" t="n"/>
      <c r="EZ109" s="574" t="n"/>
      <c r="FA109" s="574" t="n"/>
      <c r="FB109" s="574" t="n"/>
      <c r="FC109" s="574" t="n"/>
      <c r="FD109" s="574" t="n"/>
      <c r="FE109" s="574" t="n"/>
      <c r="FF109" s="574" t="n"/>
      <c r="FG109" s="574" t="n"/>
      <c r="FH109" s="574" t="n"/>
      <c r="FI109" s="574" t="n"/>
      <c r="FJ109" s="574" t="n"/>
      <c r="FK109" s="574" t="n"/>
      <c r="FL109" s="574" t="n"/>
      <c r="FM109" s="574" t="n"/>
      <c r="FN109" s="574" t="n"/>
      <c r="FO109" s="574" t="n"/>
      <c r="FP109" s="574" t="n"/>
      <c r="FQ109" s="574" t="n"/>
      <c r="FR109" s="574" t="n"/>
      <c r="FS109" s="574" t="n"/>
      <c r="FT109" s="574" t="n"/>
      <c r="FU109" s="574" t="n"/>
      <c r="FV109" s="574" t="n"/>
      <c r="FW109" s="574" t="n"/>
      <c r="FX109" s="574" t="n"/>
      <c r="FY109" s="574" t="n"/>
      <c r="FZ109" s="574" t="n"/>
      <c r="GA109" s="574" t="n"/>
      <c r="GB109" s="574" t="n"/>
      <c r="GC109" s="574" t="n"/>
      <c r="GD109" s="574" t="n"/>
      <c r="GE109" s="574" t="n"/>
      <c r="GF109" s="574" t="n"/>
    </row>
    <row r="110" customFormat="1" s="568">
      <c r="A110" s="86" t="n"/>
      <c r="B110" s="85" t="n"/>
      <c r="C110" s="84">
        <f>IFERROR(IF(AND($E110&gt;0,$D110&lt;&gt;"The Public"),$E110/SUMIFS($E$10:$E$205,$E$10:$E$205,"&gt;0",$D$10:$D$205,"&lt;&gt;The Public")*$D$5,""),"")</f>
        <v/>
      </c>
      <c r="D110" s="68" t="n"/>
      <c r="E110" s="84">
        <f>SUM(G110:HY110)</f>
        <v/>
      </c>
      <c r="F110" s="568">
        <f>IFERROR(IF($E110&gt;0.0000005,$E110/SUMIF($E$11:$E$140,"&gt;0.0000005"),""),"")</f>
        <v/>
      </c>
      <c r="M110" s="574" t="n"/>
      <c r="N110" s="574" t="n"/>
      <c r="O110" s="574" t="n"/>
      <c r="P110" s="574" t="n"/>
      <c r="Q110" s="574" t="n"/>
      <c r="R110" s="574" t="n"/>
      <c r="S110" s="574" t="n"/>
      <c r="T110" s="574" t="n"/>
      <c r="U110" s="574" t="n"/>
      <c r="V110" s="574" t="n"/>
      <c r="W110" s="574" t="n"/>
      <c r="X110" s="574" t="n"/>
      <c r="Y110" s="574" t="n"/>
      <c r="Z110" s="574" t="n"/>
      <c r="AA110" s="574" t="n"/>
      <c r="AB110" s="574" t="n"/>
      <c r="AC110" s="574" t="n"/>
      <c r="AD110" s="574" t="n"/>
      <c r="AE110" s="574" t="n"/>
      <c r="AF110" s="574" t="n"/>
      <c r="AG110" s="574" t="n"/>
      <c r="AH110" s="574" t="n"/>
      <c r="AI110" s="574" t="n"/>
      <c r="AJ110" s="574" t="n"/>
      <c r="AK110" s="574" t="n"/>
      <c r="AL110" s="574" t="n"/>
      <c r="AM110" s="574" t="n"/>
      <c r="AN110" s="574" t="n"/>
      <c r="AO110" s="574" t="n"/>
      <c r="AP110" s="574" t="n"/>
      <c r="AQ110" s="574" t="n"/>
      <c r="AR110" s="574" t="n"/>
      <c r="AS110" s="574" t="n"/>
      <c r="AT110" s="574" t="n"/>
      <c r="AU110" s="574" t="n"/>
      <c r="AV110" s="574" t="n"/>
      <c r="AW110" s="574" t="n"/>
      <c r="AX110" s="574" t="n"/>
      <c r="AY110" s="574" t="n"/>
      <c r="AZ110" s="574" t="n"/>
      <c r="BA110" s="574" t="n"/>
      <c r="BB110" s="574" t="n"/>
      <c r="BC110" s="574" t="n"/>
      <c r="BD110" s="574" t="n"/>
      <c r="BE110" s="574" t="n"/>
      <c r="BF110" s="574" t="n"/>
      <c r="BG110" s="574" t="n"/>
      <c r="BH110" s="574" t="n"/>
      <c r="BI110" s="574" t="n"/>
      <c r="BJ110" s="574" t="n"/>
      <c r="BK110" s="574" t="n"/>
      <c r="BL110" s="574" t="n"/>
      <c r="BM110" s="574" t="n"/>
      <c r="BN110" s="574" t="n"/>
      <c r="BO110" s="574" t="n"/>
      <c r="BP110" s="574" t="n"/>
      <c r="BQ110" s="574" t="n"/>
      <c r="BR110" s="574" t="n"/>
      <c r="BS110" s="574" t="n"/>
      <c r="BT110" s="574" t="n"/>
      <c r="BU110" s="574" t="n"/>
      <c r="BV110" s="574" t="n"/>
      <c r="BW110" s="574" t="n"/>
      <c r="BX110" s="574" t="n"/>
      <c r="BY110" s="574" t="n"/>
      <c r="BZ110" s="574" t="n"/>
      <c r="CA110" s="574" t="n"/>
      <c r="CB110" s="574" t="n"/>
      <c r="CC110" s="574" t="n"/>
      <c r="CD110" s="574" t="n"/>
      <c r="CE110" s="574" t="n"/>
      <c r="CF110" s="574" t="n"/>
      <c r="CG110" s="574" t="n"/>
      <c r="CH110" s="574" t="n"/>
      <c r="CI110" s="574" t="n"/>
      <c r="CJ110" s="574" t="n"/>
      <c r="CK110" s="574" t="n"/>
      <c r="CL110" s="574" t="n"/>
      <c r="CM110" s="574" t="n"/>
      <c r="CN110" s="574" t="n"/>
      <c r="CO110" s="574" t="n"/>
      <c r="CP110" s="574" t="n"/>
      <c r="CQ110" s="574" t="n"/>
      <c r="CR110" s="574" t="n"/>
      <c r="CS110" s="574" t="n"/>
      <c r="CT110" s="574" t="n"/>
      <c r="CU110" s="574" t="n"/>
      <c r="CV110" s="574" t="n"/>
      <c r="CW110" s="574" t="n"/>
      <c r="CX110" s="574" t="n"/>
      <c r="CY110" s="574" t="n"/>
      <c r="CZ110" s="574" t="n"/>
      <c r="DA110" s="574" t="n"/>
      <c r="DB110" s="574" t="n"/>
      <c r="DC110" s="574" t="n"/>
      <c r="DD110" s="574" t="n"/>
      <c r="DE110" s="574" t="n"/>
      <c r="DF110" s="574" t="n"/>
      <c r="DG110" s="574" t="n"/>
      <c r="DH110" s="574" t="n"/>
      <c r="DI110" s="574" t="n"/>
      <c r="DJ110" s="574" t="n"/>
      <c r="DK110" s="574" t="n"/>
      <c r="DL110" s="574" t="n"/>
      <c r="DM110" s="574" t="n"/>
      <c r="DN110" s="574" t="n"/>
      <c r="DO110" s="574" t="n"/>
      <c r="DP110" s="574" t="n"/>
      <c r="DQ110" s="574" t="n"/>
      <c r="DR110" s="574" t="n"/>
      <c r="DS110" s="574" t="n"/>
      <c r="DT110" s="574" t="n"/>
      <c r="DU110" s="574" t="n"/>
      <c r="DV110" s="574" t="n"/>
      <c r="DW110" s="574" t="n"/>
      <c r="DX110" s="574" t="n"/>
      <c r="DY110" s="574" t="n"/>
      <c r="DZ110" s="574" t="n"/>
      <c r="EA110" s="574" t="n"/>
      <c r="EB110" s="574" t="n"/>
      <c r="EC110" s="574" t="n"/>
      <c r="ED110" s="574" t="n"/>
      <c r="EE110" s="574" t="n"/>
      <c r="EF110" s="574" t="n"/>
      <c r="EG110" s="574" t="n"/>
      <c r="EH110" s="574" t="n"/>
      <c r="EI110" s="574" t="n"/>
      <c r="EJ110" s="574" t="n"/>
      <c r="EK110" s="574" t="n"/>
      <c r="EL110" s="574" t="n"/>
      <c r="EM110" s="574" t="n"/>
      <c r="EN110" s="574" t="n"/>
      <c r="EO110" s="574" t="n"/>
      <c r="EP110" s="574" t="n"/>
      <c r="EQ110" s="574" t="n"/>
      <c r="ER110" s="574" t="n"/>
      <c r="ES110" s="574" t="n"/>
      <c r="ET110" s="574" t="n"/>
      <c r="EU110" s="574" t="n"/>
      <c r="EV110" s="574" t="n"/>
      <c r="EW110" s="574" t="n"/>
      <c r="EX110" s="574" t="n"/>
      <c r="EY110" s="574" t="n"/>
      <c r="EZ110" s="574" t="n"/>
      <c r="FA110" s="574" t="n"/>
      <c r="FB110" s="574" t="n"/>
      <c r="FC110" s="574" t="n"/>
      <c r="FD110" s="574" t="n"/>
      <c r="FE110" s="574" t="n"/>
      <c r="FF110" s="574" t="n"/>
      <c r="FG110" s="574" t="n"/>
      <c r="FH110" s="574" t="n"/>
      <c r="FI110" s="574" t="n"/>
      <c r="FJ110" s="574" t="n"/>
      <c r="FK110" s="574" t="n"/>
      <c r="FL110" s="574" t="n"/>
      <c r="FM110" s="574" t="n"/>
      <c r="FN110" s="574" t="n"/>
      <c r="FO110" s="574" t="n"/>
      <c r="FP110" s="574" t="n"/>
      <c r="FQ110" s="574" t="n"/>
      <c r="FR110" s="574" t="n"/>
      <c r="FS110" s="574" t="n"/>
      <c r="FT110" s="574" t="n"/>
      <c r="FU110" s="574" t="n"/>
      <c r="FV110" s="574" t="n"/>
      <c r="FW110" s="574" t="n"/>
      <c r="FX110" s="574" t="n"/>
      <c r="FY110" s="574" t="n"/>
      <c r="FZ110" s="574" t="n"/>
      <c r="GA110" s="574" t="n"/>
      <c r="GB110" s="574" t="n"/>
      <c r="GC110" s="574" t="n"/>
      <c r="GD110" s="574" t="n"/>
      <c r="GE110" s="574" t="n"/>
      <c r="GF110" s="574" t="n"/>
    </row>
    <row r="111" customFormat="1" s="568">
      <c r="A111" s="86" t="n"/>
      <c r="B111" s="85" t="n"/>
      <c r="C111" s="84">
        <f>IFERROR(IF(AND($E111&gt;0,$D111&lt;&gt;"The Public"),$E111/SUMIFS($E$10:$E$205,$E$10:$E$205,"&gt;0",$D$10:$D$205,"&lt;&gt;The Public")*$D$5,""),"")</f>
        <v/>
      </c>
      <c r="D111" s="68" t="n"/>
      <c r="E111" s="84">
        <f>SUM(G111:HY111)</f>
        <v/>
      </c>
      <c r="F111" s="568">
        <f>IFERROR(IF($E111&gt;0.0000005,$E111/SUMIF($E$11:$E$140,"&gt;0.0000005"),""),"")</f>
        <v/>
      </c>
      <c r="M111" s="574" t="n"/>
      <c r="N111" s="574" t="n"/>
      <c r="O111" s="574" t="n"/>
      <c r="P111" s="574" t="n"/>
      <c r="Q111" s="574" t="n"/>
      <c r="R111" s="574" t="n"/>
      <c r="S111" s="574" t="n"/>
      <c r="T111" s="574" t="n"/>
      <c r="U111" s="574" t="n"/>
      <c r="V111" s="574" t="n"/>
      <c r="W111" s="574" t="n"/>
      <c r="X111" s="574" t="n"/>
      <c r="Y111" s="574" t="n"/>
      <c r="Z111" s="574" t="n"/>
      <c r="AA111" s="574" t="n"/>
      <c r="AB111" s="574" t="n"/>
      <c r="AC111" s="574" t="n"/>
      <c r="AD111" s="574" t="n"/>
      <c r="AE111" s="574" t="n"/>
      <c r="AF111" s="574" t="n"/>
      <c r="AG111" s="574" t="n"/>
      <c r="AH111" s="574" t="n"/>
      <c r="AI111" s="574" t="n"/>
      <c r="AJ111" s="574" t="n"/>
      <c r="AK111" s="574" t="n"/>
      <c r="AL111" s="574" t="n"/>
      <c r="AM111" s="574" t="n"/>
      <c r="AN111" s="574" t="n"/>
      <c r="AO111" s="574" t="n"/>
      <c r="AP111" s="574" t="n"/>
      <c r="AQ111" s="574" t="n"/>
      <c r="AR111" s="574" t="n"/>
      <c r="AS111" s="574" t="n"/>
      <c r="AT111" s="574" t="n"/>
      <c r="AU111" s="574" t="n"/>
      <c r="AV111" s="574" t="n"/>
      <c r="AW111" s="574" t="n"/>
      <c r="AX111" s="574" t="n"/>
      <c r="AY111" s="574" t="n"/>
      <c r="AZ111" s="574" t="n"/>
      <c r="BA111" s="574" t="n"/>
      <c r="BB111" s="574" t="n"/>
      <c r="BC111" s="574" t="n"/>
      <c r="BD111" s="574" t="n"/>
      <c r="BE111" s="574" t="n"/>
      <c r="BF111" s="574" t="n"/>
      <c r="BG111" s="574" t="n"/>
      <c r="BH111" s="574" t="n"/>
      <c r="BI111" s="574" t="n"/>
      <c r="BJ111" s="574" t="n"/>
      <c r="BK111" s="574" t="n"/>
      <c r="BL111" s="574" t="n"/>
      <c r="BM111" s="574" t="n"/>
      <c r="BN111" s="574" t="n"/>
      <c r="BO111" s="574" t="n"/>
      <c r="BP111" s="574" t="n"/>
      <c r="BQ111" s="574" t="n"/>
      <c r="BR111" s="574" t="n"/>
      <c r="BS111" s="574" t="n"/>
      <c r="BT111" s="574" t="n"/>
      <c r="BU111" s="574" t="n"/>
      <c r="BV111" s="574" t="n"/>
      <c r="BW111" s="574" t="n"/>
      <c r="BX111" s="574" t="n"/>
      <c r="BY111" s="574" t="n"/>
      <c r="BZ111" s="574" t="n"/>
      <c r="CA111" s="574" t="n"/>
      <c r="CB111" s="574" t="n"/>
      <c r="CC111" s="574" t="n"/>
      <c r="CD111" s="574" t="n"/>
      <c r="CE111" s="574" t="n"/>
      <c r="CF111" s="574" t="n"/>
      <c r="CG111" s="574" t="n"/>
      <c r="CH111" s="574" t="n"/>
      <c r="CI111" s="574" t="n"/>
      <c r="CJ111" s="574" t="n"/>
      <c r="CK111" s="574" t="n"/>
      <c r="CL111" s="574" t="n"/>
      <c r="CM111" s="574" t="n"/>
      <c r="CN111" s="574" t="n"/>
      <c r="CO111" s="574" t="n"/>
      <c r="CP111" s="574" t="n"/>
      <c r="CQ111" s="574" t="n"/>
      <c r="CR111" s="574" t="n"/>
      <c r="CS111" s="574" t="n"/>
      <c r="CT111" s="574" t="n"/>
      <c r="CU111" s="574" t="n"/>
      <c r="CV111" s="574" t="n"/>
      <c r="CW111" s="574" t="n"/>
      <c r="CX111" s="574" t="n"/>
      <c r="CY111" s="574" t="n"/>
      <c r="CZ111" s="574" t="n"/>
      <c r="DA111" s="574" t="n"/>
      <c r="DB111" s="574" t="n"/>
      <c r="DC111" s="574" t="n"/>
      <c r="DD111" s="574" t="n"/>
      <c r="DE111" s="574" t="n"/>
      <c r="DF111" s="574" t="n"/>
      <c r="DG111" s="574" t="n"/>
      <c r="DH111" s="574" t="n"/>
      <c r="DI111" s="574" t="n"/>
      <c r="DJ111" s="574" t="n"/>
      <c r="DK111" s="574" t="n"/>
      <c r="DL111" s="574" t="n"/>
      <c r="DM111" s="574" t="n"/>
      <c r="DN111" s="574" t="n"/>
      <c r="DO111" s="574" t="n"/>
      <c r="DP111" s="574" t="n"/>
      <c r="DQ111" s="574" t="n"/>
      <c r="DR111" s="574" t="n"/>
      <c r="DS111" s="574" t="n"/>
      <c r="DT111" s="574" t="n"/>
      <c r="DU111" s="574" t="n"/>
      <c r="DV111" s="574" t="n"/>
      <c r="DW111" s="574" t="n"/>
      <c r="DX111" s="574" t="n"/>
      <c r="DY111" s="574" t="n"/>
      <c r="DZ111" s="574" t="n"/>
      <c r="EA111" s="574" t="n"/>
      <c r="EB111" s="574" t="n"/>
      <c r="EC111" s="574" t="n"/>
      <c r="ED111" s="574" t="n"/>
      <c r="EE111" s="574" t="n"/>
      <c r="EF111" s="574" t="n"/>
      <c r="EG111" s="574" t="n"/>
      <c r="EH111" s="574" t="n"/>
      <c r="EI111" s="574" t="n"/>
      <c r="EJ111" s="574" t="n"/>
      <c r="EK111" s="574" t="n"/>
      <c r="EL111" s="574" t="n"/>
      <c r="EM111" s="574" t="n"/>
      <c r="EN111" s="574" t="n"/>
      <c r="EO111" s="574" t="n"/>
      <c r="EP111" s="574" t="n"/>
      <c r="EQ111" s="574" t="n"/>
      <c r="ER111" s="574" t="n"/>
      <c r="ES111" s="574" t="n"/>
      <c r="ET111" s="574" t="n"/>
      <c r="EU111" s="574" t="n"/>
      <c r="EV111" s="574" t="n"/>
      <c r="EW111" s="574" t="n"/>
      <c r="EX111" s="574" t="n"/>
      <c r="EY111" s="574" t="n"/>
      <c r="EZ111" s="574" t="n"/>
      <c r="FA111" s="574" t="n"/>
      <c r="FB111" s="574" t="n"/>
      <c r="FC111" s="574" t="n"/>
      <c r="FD111" s="574" t="n"/>
      <c r="FE111" s="574" t="n"/>
      <c r="FF111" s="574" t="n"/>
      <c r="FG111" s="574" t="n"/>
      <c r="FH111" s="574" t="n"/>
      <c r="FI111" s="574" t="n"/>
      <c r="FJ111" s="574" t="n"/>
      <c r="FK111" s="574" t="n"/>
      <c r="FL111" s="574" t="n"/>
      <c r="FM111" s="574" t="n"/>
      <c r="FN111" s="574" t="n"/>
      <c r="FO111" s="574" t="n"/>
      <c r="FP111" s="574" t="n"/>
      <c r="FQ111" s="574" t="n"/>
      <c r="FR111" s="574" t="n"/>
      <c r="FS111" s="574" t="n"/>
      <c r="FT111" s="574" t="n"/>
      <c r="FU111" s="574" t="n"/>
      <c r="FV111" s="574" t="n"/>
      <c r="FW111" s="574" t="n"/>
      <c r="FX111" s="574" t="n"/>
      <c r="FY111" s="574" t="n"/>
      <c r="FZ111" s="574" t="n"/>
      <c r="GA111" s="574" t="n"/>
      <c r="GB111" s="574" t="n"/>
      <c r="GC111" s="574" t="n"/>
      <c r="GD111" s="574" t="n"/>
      <c r="GE111" s="574" t="n"/>
      <c r="GF111" s="574" t="n"/>
    </row>
    <row r="112" customFormat="1" s="568">
      <c r="A112" s="86" t="n"/>
      <c r="B112" s="85" t="n"/>
      <c r="C112" s="84">
        <f>IFERROR(IF(AND($E112&gt;0,$D112&lt;&gt;"The Public"),$E112/SUMIFS($E$10:$E$205,$E$10:$E$205,"&gt;0",$D$10:$D$205,"&lt;&gt;The Public")*$D$5,""),"")</f>
        <v/>
      </c>
      <c r="D112" s="68" t="n"/>
      <c r="E112" s="84">
        <f>SUM(G112:HY112)</f>
        <v/>
      </c>
      <c r="F112" s="568">
        <f>IFERROR(IF($E112&gt;0.0000005,$E112/SUMIF($E$11:$E$140,"&gt;0.0000005"),""),"")</f>
        <v/>
      </c>
      <c r="M112" s="574" t="n"/>
      <c r="N112" s="574" t="n"/>
      <c r="O112" s="574" t="n"/>
      <c r="P112" s="574" t="n"/>
      <c r="Q112" s="574" t="n"/>
      <c r="R112" s="574" t="n"/>
      <c r="S112" s="574" t="n"/>
      <c r="T112" s="574" t="n"/>
      <c r="U112" s="574" t="n"/>
      <c r="V112" s="574" t="n"/>
      <c r="W112" s="574" t="n"/>
      <c r="X112" s="574" t="n"/>
      <c r="Y112" s="574" t="n"/>
      <c r="Z112" s="574" t="n"/>
      <c r="AA112" s="574" t="n"/>
      <c r="AB112" s="574" t="n"/>
      <c r="AC112" s="574" t="n"/>
      <c r="AD112" s="574" t="n"/>
      <c r="AE112" s="574" t="n"/>
      <c r="AF112" s="574" t="n"/>
      <c r="AG112" s="574" t="n"/>
      <c r="AH112" s="574" t="n"/>
      <c r="AI112" s="574" t="n"/>
      <c r="AJ112" s="574" t="n"/>
      <c r="AK112" s="574" t="n"/>
      <c r="AL112" s="574" t="n"/>
      <c r="AM112" s="574" t="n"/>
      <c r="AN112" s="574" t="n"/>
      <c r="AO112" s="574" t="n"/>
      <c r="AP112" s="574" t="n"/>
      <c r="AQ112" s="574" t="n"/>
      <c r="AR112" s="574" t="n"/>
      <c r="AS112" s="574" t="n"/>
      <c r="AT112" s="574" t="n"/>
      <c r="AU112" s="574" t="n"/>
      <c r="AV112" s="574" t="n"/>
      <c r="AW112" s="574" t="n"/>
      <c r="AX112" s="574" t="n"/>
      <c r="AY112" s="574" t="n"/>
      <c r="AZ112" s="574" t="n"/>
      <c r="BA112" s="574" t="n"/>
      <c r="BB112" s="574" t="n"/>
      <c r="BC112" s="574" t="n"/>
      <c r="BD112" s="574" t="n"/>
      <c r="BE112" s="574" t="n"/>
      <c r="BF112" s="574" t="n"/>
      <c r="BG112" s="574" t="n"/>
      <c r="BH112" s="574" t="n"/>
      <c r="BI112" s="574" t="n"/>
      <c r="BJ112" s="574" t="n"/>
      <c r="BK112" s="574" t="n"/>
      <c r="BL112" s="574" t="n"/>
      <c r="BM112" s="574" t="n"/>
      <c r="BN112" s="574" t="n"/>
      <c r="BO112" s="574" t="n"/>
      <c r="BP112" s="574" t="n"/>
      <c r="BQ112" s="574" t="n"/>
      <c r="BR112" s="574" t="n"/>
      <c r="BS112" s="574" t="n"/>
      <c r="BT112" s="574" t="n"/>
      <c r="BU112" s="574" t="n"/>
      <c r="BV112" s="574" t="n"/>
      <c r="BW112" s="574" t="n"/>
      <c r="BX112" s="574" t="n"/>
      <c r="BY112" s="574" t="n"/>
      <c r="BZ112" s="574" t="n"/>
      <c r="CA112" s="574" t="n"/>
      <c r="CB112" s="574" t="n"/>
      <c r="CC112" s="574" t="n"/>
      <c r="CD112" s="574" t="n"/>
      <c r="CE112" s="574" t="n"/>
      <c r="CF112" s="574" t="n"/>
      <c r="CG112" s="574" t="n"/>
      <c r="CH112" s="574" t="n"/>
      <c r="CI112" s="574" t="n"/>
      <c r="CJ112" s="574" t="n"/>
      <c r="CK112" s="574" t="n"/>
      <c r="CL112" s="574" t="n"/>
      <c r="CM112" s="574" t="n"/>
      <c r="CN112" s="574" t="n"/>
      <c r="CO112" s="574" t="n"/>
      <c r="CP112" s="574" t="n"/>
      <c r="CQ112" s="574" t="n"/>
      <c r="CR112" s="574" t="n"/>
      <c r="CS112" s="574" t="n"/>
      <c r="CT112" s="574" t="n"/>
      <c r="CU112" s="574" t="n"/>
      <c r="CV112" s="574" t="n"/>
      <c r="CW112" s="574" t="n"/>
      <c r="CX112" s="574" t="n"/>
      <c r="CY112" s="574" t="n"/>
      <c r="CZ112" s="574" t="n"/>
      <c r="DA112" s="574" t="n"/>
      <c r="DB112" s="574" t="n"/>
      <c r="DC112" s="574" t="n"/>
      <c r="DD112" s="574" t="n"/>
      <c r="DE112" s="574" t="n"/>
      <c r="DF112" s="574" t="n"/>
      <c r="DG112" s="574" t="n"/>
      <c r="DH112" s="574" t="n"/>
      <c r="DI112" s="574" t="n"/>
      <c r="DJ112" s="574" t="n"/>
      <c r="DK112" s="574" t="n"/>
      <c r="DL112" s="574" t="n"/>
      <c r="DM112" s="574" t="n"/>
      <c r="DN112" s="574" t="n"/>
      <c r="DO112" s="574" t="n"/>
      <c r="DP112" s="574" t="n"/>
      <c r="DQ112" s="574" t="n"/>
      <c r="DR112" s="574" t="n"/>
      <c r="DS112" s="574" t="n"/>
      <c r="DT112" s="574" t="n"/>
      <c r="DU112" s="574" t="n"/>
      <c r="DV112" s="574" t="n"/>
      <c r="DW112" s="574" t="n"/>
      <c r="DX112" s="574" t="n"/>
      <c r="DY112" s="574" t="n"/>
      <c r="DZ112" s="574" t="n"/>
      <c r="EA112" s="574" t="n"/>
      <c r="EB112" s="574" t="n"/>
      <c r="EC112" s="574" t="n"/>
      <c r="ED112" s="574" t="n"/>
      <c r="EE112" s="574" t="n"/>
      <c r="EF112" s="574" t="n"/>
      <c r="EG112" s="574" t="n"/>
      <c r="EH112" s="574" t="n"/>
      <c r="EI112" s="574" t="n"/>
      <c r="EJ112" s="574" t="n"/>
      <c r="EK112" s="574" t="n"/>
      <c r="EL112" s="574" t="n"/>
      <c r="EM112" s="574" t="n"/>
      <c r="EN112" s="574" t="n"/>
      <c r="EO112" s="574" t="n"/>
      <c r="EP112" s="574" t="n"/>
      <c r="EQ112" s="574" t="n"/>
      <c r="ER112" s="574" t="n"/>
      <c r="ES112" s="574" t="n"/>
      <c r="ET112" s="574" t="n"/>
      <c r="EU112" s="574" t="n"/>
      <c r="EV112" s="574" t="n"/>
      <c r="EW112" s="574" t="n"/>
      <c r="EX112" s="574" t="n"/>
      <c r="EY112" s="574" t="n"/>
      <c r="EZ112" s="574" t="n"/>
      <c r="FA112" s="574" t="n"/>
      <c r="FB112" s="574" t="n"/>
      <c r="FC112" s="574" t="n"/>
      <c r="FD112" s="574" t="n"/>
      <c r="FE112" s="574" t="n"/>
      <c r="FF112" s="574" t="n"/>
      <c r="FG112" s="574" t="n"/>
      <c r="FH112" s="574" t="n"/>
      <c r="FI112" s="574" t="n"/>
      <c r="FJ112" s="574" t="n"/>
      <c r="FK112" s="574" t="n"/>
      <c r="FL112" s="574" t="n"/>
      <c r="FM112" s="574" t="n"/>
      <c r="FN112" s="574" t="n"/>
      <c r="FO112" s="574" t="n"/>
      <c r="FP112" s="574" t="n"/>
      <c r="FQ112" s="574" t="n"/>
      <c r="FR112" s="574" t="n"/>
      <c r="FS112" s="574" t="n"/>
      <c r="FT112" s="574" t="n"/>
      <c r="FU112" s="574" t="n"/>
      <c r="FV112" s="574" t="n"/>
      <c r="FW112" s="574" t="n"/>
      <c r="FX112" s="574" t="n"/>
      <c r="FY112" s="574" t="n"/>
      <c r="FZ112" s="574" t="n"/>
      <c r="GA112" s="574" t="n"/>
      <c r="GB112" s="574" t="n"/>
      <c r="GC112" s="574" t="n"/>
      <c r="GD112" s="574" t="n"/>
      <c r="GE112" s="574" t="n"/>
      <c r="GF112" s="574" t="n"/>
    </row>
    <row r="113" customFormat="1" s="568">
      <c r="A113" s="86" t="n"/>
      <c r="B113" s="85" t="n"/>
      <c r="C113" s="84">
        <f>IFERROR(IF(AND($E113&gt;0,$D113&lt;&gt;"The Public"),$E113/SUMIFS($E$10:$E$205,$E$10:$E$205,"&gt;0",$D$10:$D$205,"&lt;&gt;The Public")*$D$5,""),"")</f>
        <v/>
      </c>
      <c r="D113" s="68" t="n"/>
      <c r="E113" s="84">
        <f>SUM(G113:HY113)</f>
        <v/>
      </c>
      <c r="F113" s="568">
        <f>IFERROR(IF($E113&gt;0.0000005,$E113/SUMIF($E$11:$E$140,"&gt;0.0000005"),""),"")</f>
        <v/>
      </c>
      <c r="M113" s="574" t="n"/>
      <c r="N113" s="574" t="n"/>
      <c r="O113" s="574" t="n"/>
      <c r="P113" s="574" t="n"/>
      <c r="Q113" s="574" t="n"/>
      <c r="R113" s="574" t="n"/>
      <c r="S113" s="574" t="n"/>
      <c r="T113" s="574" t="n"/>
      <c r="U113" s="574" t="n"/>
      <c r="V113" s="574" t="n"/>
      <c r="W113" s="574" t="n"/>
      <c r="X113" s="574" t="n"/>
      <c r="Y113" s="574" t="n"/>
      <c r="Z113" s="574" t="n"/>
      <c r="AA113" s="574" t="n"/>
      <c r="AB113" s="574" t="n"/>
      <c r="AC113" s="574" t="n"/>
      <c r="AD113" s="574" t="n"/>
      <c r="AE113" s="574" t="n"/>
      <c r="AF113" s="574" t="n"/>
      <c r="AG113" s="574" t="n"/>
      <c r="AH113" s="574" t="n"/>
      <c r="AI113" s="574" t="n"/>
      <c r="AJ113" s="574" t="n"/>
      <c r="AK113" s="574" t="n"/>
      <c r="AL113" s="574" t="n"/>
      <c r="AM113" s="574" t="n"/>
      <c r="AN113" s="574" t="n"/>
      <c r="AO113" s="574" t="n"/>
      <c r="AP113" s="574" t="n"/>
      <c r="AQ113" s="574" t="n"/>
      <c r="AR113" s="574" t="n"/>
      <c r="AS113" s="574" t="n"/>
      <c r="AT113" s="574" t="n"/>
      <c r="AU113" s="574" t="n"/>
      <c r="AV113" s="574" t="n"/>
      <c r="AW113" s="574" t="n"/>
      <c r="AX113" s="574" t="n"/>
      <c r="AY113" s="574" t="n"/>
      <c r="AZ113" s="574" t="n"/>
      <c r="BA113" s="574" t="n"/>
      <c r="BB113" s="574" t="n"/>
      <c r="BC113" s="574" t="n"/>
      <c r="BD113" s="574" t="n"/>
      <c r="BE113" s="574" t="n"/>
      <c r="BF113" s="574" t="n"/>
      <c r="BG113" s="574" t="n"/>
      <c r="BH113" s="574" t="n"/>
      <c r="BI113" s="574" t="n"/>
      <c r="BJ113" s="574" t="n"/>
      <c r="BK113" s="574" t="n"/>
      <c r="BL113" s="574" t="n"/>
      <c r="BM113" s="574" t="n"/>
      <c r="BN113" s="574" t="n"/>
      <c r="BO113" s="574" t="n"/>
      <c r="BP113" s="574" t="n"/>
      <c r="BQ113" s="574" t="n"/>
      <c r="BR113" s="574" t="n"/>
      <c r="BS113" s="574" t="n"/>
      <c r="BT113" s="574" t="n"/>
      <c r="BU113" s="574" t="n"/>
      <c r="BV113" s="574" t="n"/>
      <c r="BW113" s="574" t="n"/>
      <c r="BX113" s="574" t="n"/>
      <c r="BY113" s="574" t="n"/>
      <c r="BZ113" s="574" t="n"/>
      <c r="CA113" s="574" t="n"/>
      <c r="CB113" s="574" t="n"/>
      <c r="CC113" s="574" t="n"/>
      <c r="CD113" s="574" t="n"/>
      <c r="CE113" s="574" t="n"/>
      <c r="CF113" s="574" t="n"/>
      <c r="CG113" s="574" t="n"/>
      <c r="CH113" s="574" t="n"/>
      <c r="CI113" s="574" t="n"/>
      <c r="CJ113" s="574" t="n"/>
      <c r="CK113" s="574" t="n"/>
      <c r="CL113" s="574" t="n"/>
      <c r="CM113" s="574" t="n"/>
      <c r="CN113" s="574" t="n"/>
      <c r="CO113" s="574" t="n"/>
      <c r="CP113" s="574" t="n"/>
      <c r="CQ113" s="574" t="n"/>
      <c r="CR113" s="574" t="n"/>
      <c r="CS113" s="574" t="n"/>
      <c r="CT113" s="574" t="n"/>
      <c r="CU113" s="574" t="n"/>
      <c r="CV113" s="574" t="n"/>
      <c r="CW113" s="574" t="n"/>
      <c r="CX113" s="574" t="n"/>
      <c r="CY113" s="574" t="n"/>
      <c r="CZ113" s="574" t="n"/>
      <c r="DA113" s="574" t="n"/>
      <c r="DB113" s="574" t="n"/>
      <c r="DC113" s="574" t="n"/>
      <c r="DD113" s="574" t="n"/>
      <c r="DE113" s="574" t="n"/>
      <c r="DF113" s="574" t="n"/>
      <c r="DG113" s="574" t="n"/>
      <c r="DH113" s="574" t="n"/>
      <c r="DI113" s="574" t="n"/>
      <c r="DJ113" s="574" t="n"/>
      <c r="DK113" s="574" t="n"/>
      <c r="DL113" s="574" t="n"/>
      <c r="DM113" s="574" t="n"/>
      <c r="DN113" s="574" t="n"/>
      <c r="DO113" s="574" t="n"/>
      <c r="DP113" s="574" t="n"/>
      <c r="DQ113" s="574" t="n"/>
      <c r="DR113" s="574" t="n"/>
      <c r="DS113" s="574" t="n"/>
      <c r="DT113" s="574" t="n"/>
      <c r="DU113" s="574" t="n"/>
      <c r="DV113" s="574" t="n"/>
      <c r="DW113" s="574" t="n"/>
      <c r="DX113" s="574" t="n"/>
      <c r="DY113" s="574" t="n"/>
      <c r="DZ113" s="574" t="n"/>
      <c r="EA113" s="574" t="n"/>
      <c r="EB113" s="574" t="n"/>
      <c r="EC113" s="574" t="n"/>
      <c r="ED113" s="574" t="n"/>
      <c r="EE113" s="574" t="n"/>
      <c r="EF113" s="574" t="n"/>
      <c r="EG113" s="574" t="n"/>
      <c r="EH113" s="574" t="n"/>
      <c r="EI113" s="574" t="n"/>
      <c r="EJ113" s="574" t="n"/>
      <c r="EK113" s="574" t="n"/>
      <c r="EL113" s="574" t="n"/>
      <c r="EM113" s="574" t="n"/>
      <c r="EN113" s="574" t="n"/>
      <c r="EO113" s="574" t="n"/>
      <c r="EP113" s="574" t="n"/>
      <c r="EQ113" s="574" t="n"/>
      <c r="ER113" s="574" t="n"/>
      <c r="ES113" s="574" t="n"/>
      <c r="ET113" s="574" t="n"/>
      <c r="EU113" s="574" t="n"/>
      <c r="EV113" s="574" t="n"/>
      <c r="EW113" s="574" t="n"/>
      <c r="EX113" s="574" t="n"/>
      <c r="EY113" s="574" t="n"/>
      <c r="EZ113" s="574" t="n"/>
      <c r="FA113" s="574" t="n"/>
      <c r="FB113" s="574" t="n"/>
      <c r="FC113" s="574" t="n"/>
      <c r="FD113" s="574" t="n"/>
      <c r="FE113" s="574" t="n"/>
      <c r="FF113" s="574" t="n"/>
      <c r="FG113" s="574" t="n"/>
      <c r="FH113" s="574" t="n"/>
      <c r="FI113" s="574" t="n"/>
      <c r="FJ113" s="574" t="n"/>
      <c r="FK113" s="574" t="n"/>
      <c r="FL113" s="574" t="n"/>
      <c r="FM113" s="574" t="n"/>
      <c r="FN113" s="574" t="n"/>
      <c r="FO113" s="574" t="n"/>
      <c r="FP113" s="574" t="n"/>
      <c r="FQ113" s="574" t="n"/>
      <c r="FR113" s="574" t="n"/>
      <c r="FS113" s="574" t="n"/>
      <c r="FT113" s="574" t="n"/>
      <c r="FU113" s="574" t="n"/>
      <c r="FV113" s="574" t="n"/>
      <c r="FW113" s="574" t="n"/>
      <c r="FX113" s="574" t="n"/>
      <c r="FY113" s="574" t="n"/>
      <c r="FZ113" s="574" t="n"/>
      <c r="GA113" s="574" t="n"/>
      <c r="GB113" s="574" t="n"/>
      <c r="GC113" s="574" t="n"/>
      <c r="GD113" s="574" t="n"/>
      <c r="GE113" s="574" t="n"/>
      <c r="GF113" s="574" t="n"/>
    </row>
    <row r="114" customFormat="1" s="568">
      <c r="A114" s="86" t="n"/>
      <c r="B114" s="85" t="n"/>
      <c r="C114" s="84">
        <f>IFERROR(IF(AND($E114&gt;0,$D114&lt;&gt;"The Public"),$E114/SUMIFS($E$10:$E$205,$E$10:$E$205,"&gt;0",$D$10:$D$205,"&lt;&gt;The Public")*$D$5,""),"")</f>
        <v/>
      </c>
      <c r="D114" s="68" t="n"/>
      <c r="E114" s="84">
        <f>SUM(G114:HY114)</f>
        <v/>
      </c>
      <c r="F114" s="568">
        <f>IFERROR(IF($E114&gt;0.0000005,$E114/SUMIF($E$11:$E$140,"&gt;0.0000005"),""),"")</f>
        <v/>
      </c>
      <c r="M114" s="574" t="n"/>
      <c r="N114" s="574" t="n"/>
      <c r="O114" s="574" t="n"/>
      <c r="P114" s="574" t="n"/>
      <c r="Q114" s="574" t="n"/>
      <c r="R114" s="574" t="n"/>
      <c r="S114" s="574" t="n"/>
      <c r="T114" s="574" t="n"/>
      <c r="U114" s="574" t="n"/>
      <c r="V114" s="574" t="n"/>
      <c r="W114" s="574" t="n"/>
      <c r="X114" s="574" t="n"/>
      <c r="Y114" s="574" t="n"/>
      <c r="Z114" s="574" t="n"/>
      <c r="AA114" s="574" t="n"/>
      <c r="AB114" s="574" t="n"/>
      <c r="AC114" s="574" t="n"/>
      <c r="AD114" s="574" t="n"/>
      <c r="AE114" s="574" t="n"/>
      <c r="AF114" s="574" t="n"/>
      <c r="AG114" s="574" t="n"/>
      <c r="AH114" s="574" t="n"/>
      <c r="AI114" s="574" t="n"/>
      <c r="AJ114" s="574" t="n"/>
      <c r="AK114" s="574" t="n"/>
      <c r="AL114" s="574" t="n"/>
      <c r="AM114" s="574" t="n"/>
      <c r="AN114" s="574" t="n"/>
      <c r="AO114" s="574" t="n"/>
      <c r="AP114" s="574" t="n"/>
      <c r="AQ114" s="574" t="n"/>
      <c r="AR114" s="574" t="n"/>
      <c r="AS114" s="574" t="n"/>
      <c r="AT114" s="574" t="n"/>
      <c r="AU114" s="574" t="n"/>
      <c r="AV114" s="574" t="n"/>
      <c r="AW114" s="574" t="n"/>
      <c r="AX114" s="574" t="n"/>
      <c r="AY114" s="574" t="n"/>
      <c r="AZ114" s="574" t="n"/>
      <c r="BA114" s="574" t="n"/>
      <c r="BB114" s="574" t="n"/>
      <c r="BC114" s="574" t="n"/>
      <c r="BD114" s="574" t="n"/>
      <c r="BE114" s="574" t="n"/>
      <c r="BF114" s="574" t="n"/>
      <c r="BG114" s="574" t="n"/>
      <c r="BH114" s="574" t="n"/>
      <c r="BI114" s="574" t="n"/>
      <c r="BJ114" s="574" t="n"/>
      <c r="BK114" s="574" t="n"/>
      <c r="BL114" s="574" t="n"/>
      <c r="BM114" s="574" t="n"/>
      <c r="BN114" s="574" t="n"/>
      <c r="BO114" s="574" t="n"/>
      <c r="BP114" s="574" t="n"/>
      <c r="BQ114" s="574" t="n"/>
      <c r="BR114" s="574" t="n"/>
      <c r="BS114" s="574" t="n"/>
      <c r="BT114" s="574" t="n"/>
      <c r="BU114" s="574" t="n"/>
      <c r="BV114" s="574" t="n"/>
      <c r="BW114" s="574" t="n"/>
      <c r="BX114" s="574" t="n"/>
      <c r="BY114" s="574" t="n"/>
      <c r="BZ114" s="574" t="n"/>
      <c r="CA114" s="574" t="n"/>
      <c r="CB114" s="574" t="n"/>
      <c r="CC114" s="574" t="n"/>
      <c r="CD114" s="574" t="n"/>
      <c r="CE114" s="574" t="n"/>
      <c r="CF114" s="574" t="n"/>
      <c r="CG114" s="574" t="n"/>
      <c r="CH114" s="574" t="n"/>
      <c r="CI114" s="574" t="n"/>
      <c r="CJ114" s="574" t="n"/>
      <c r="CK114" s="574" t="n"/>
      <c r="CL114" s="574" t="n"/>
      <c r="CM114" s="574" t="n"/>
      <c r="CN114" s="574" t="n"/>
      <c r="CO114" s="574" t="n"/>
      <c r="CP114" s="574" t="n"/>
      <c r="CQ114" s="574" t="n"/>
      <c r="CR114" s="574" t="n"/>
      <c r="CS114" s="574" t="n"/>
      <c r="CT114" s="574" t="n"/>
      <c r="CU114" s="574" t="n"/>
      <c r="CV114" s="574" t="n"/>
      <c r="CW114" s="574" t="n"/>
      <c r="CX114" s="574" t="n"/>
      <c r="CY114" s="574" t="n"/>
      <c r="CZ114" s="574" t="n"/>
      <c r="DA114" s="574" t="n"/>
      <c r="DB114" s="574" t="n"/>
      <c r="DC114" s="574" t="n"/>
      <c r="DD114" s="574" t="n"/>
      <c r="DE114" s="574" t="n"/>
      <c r="DF114" s="574" t="n"/>
      <c r="DG114" s="574" t="n"/>
      <c r="DH114" s="574" t="n"/>
      <c r="DI114" s="574" t="n"/>
      <c r="DJ114" s="574" t="n"/>
      <c r="DK114" s="574" t="n"/>
      <c r="DL114" s="574" t="n"/>
      <c r="DM114" s="574" t="n"/>
      <c r="DN114" s="574" t="n"/>
      <c r="DO114" s="574" t="n"/>
      <c r="DP114" s="574" t="n"/>
      <c r="DQ114" s="574" t="n"/>
      <c r="DR114" s="574" t="n"/>
      <c r="DS114" s="574" t="n"/>
      <c r="DT114" s="574" t="n"/>
      <c r="DU114" s="574" t="n"/>
      <c r="DV114" s="574" t="n"/>
      <c r="DW114" s="574" t="n"/>
      <c r="DX114" s="574" t="n"/>
      <c r="DY114" s="574" t="n"/>
      <c r="DZ114" s="574" t="n"/>
      <c r="EA114" s="574" t="n"/>
      <c r="EB114" s="574" t="n"/>
      <c r="EC114" s="574" t="n"/>
      <c r="ED114" s="574" t="n"/>
      <c r="EE114" s="574" t="n"/>
      <c r="EF114" s="574" t="n"/>
      <c r="EG114" s="574" t="n"/>
      <c r="EH114" s="574" t="n"/>
      <c r="EI114" s="574" t="n"/>
      <c r="EJ114" s="574" t="n"/>
      <c r="EK114" s="574" t="n"/>
      <c r="EL114" s="574" t="n"/>
      <c r="EM114" s="574" t="n"/>
      <c r="EN114" s="574" t="n"/>
      <c r="EO114" s="574" t="n"/>
      <c r="EP114" s="574" t="n"/>
      <c r="EQ114" s="574" t="n"/>
      <c r="ER114" s="574" t="n"/>
      <c r="ES114" s="574" t="n"/>
      <c r="ET114" s="574" t="n"/>
      <c r="EU114" s="574" t="n"/>
      <c r="EV114" s="574" t="n"/>
      <c r="EW114" s="574" t="n"/>
      <c r="EX114" s="574" t="n"/>
      <c r="EY114" s="574" t="n"/>
      <c r="EZ114" s="574" t="n"/>
      <c r="FA114" s="574" t="n"/>
      <c r="FB114" s="574" t="n"/>
      <c r="FC114" s="574" t="n"/>
      <c r="FD114" s="574" t="n"/>
      <c r="FE114" s="574" t="n"/>
      <c r="FF114" s="574" t="n"/>
      <c r="FG114" s="574" t="n"/>
      <c r="FH114" s="574" t="n"/>
      <c r="FI114" s="574" t="n"/>
      <c r="FJ114" s="574" t="n"/>
      <c r="FK114" s="574" t="n"/>
      <c r="FL114" s="574" t="n"/>
      <c r="FM114" s="574" t="n"/>
      <c r="FN114" s="574" t="n"/>
      <c r="FO114" s="574" t="n"/>
      <c r="FP114" s="574" t="n"/>
      <c r="FQ114" s="574" t="n"/>
      <c r="FR114" s="574" t="n"/>
      <c r="FS114" s="574" t="n"/>
      <c r="FT114" s="574" t="n"/>
      <c r="FU114" s="574" t="n"/>
      <c r="FV114" s="574" t="n"/>
      <c r="FW114" s="574" t="n"/>
      <c r="FX114" s="574" t="n"/>
      <c r="FY114" s="574" t="n"/>
      <c r="FZ114" s="574" t="n"/>
      <c r="GA114" s="574" t="n"/>
      <c r="GB114" s="574" t="n"/>
      <c r="GC114" s="574" t="n"/>
      <c r="GD114" s="574" t="n"/>
      <c r="GE114" s="574" t="n"/>
      <c r="GF114" s="574" t="n"/>
    </row>
    <row r="115" customFormat="1" s="568">
      <c r="A115" s="86" t="n"/>
      <c r="B115" s="85" t="n"/>
      <c r="C115" s="84">
        <f>IFERROR(IF(AND($E115&gt;0,$D115&lt;&gt;"The Public"),$E115/SUMIFS($E$10:$E$205,$E$10:$E$205,"&gt;0",$D$10:$D$205,"&lt;&gt;The Public")*$D$5,""),"")</f>
        <v/>
      </c>
      <c r="D115" s="68" t="n"/>
      <c r="E115" s="84">
        <f>SUM(G115:HY115)</f>
        <v/>
      </c>
      <c r="F115" s="568">
        <f>IFERROR(IF($E115&gt;0.0000005,$E115/SUMIF($E$11:$E$140,"&gt;0.0000005"),""),"")</f>
        <v/>
      </c>
      <c r="M115" s="574" t="n"/>
      <c r="N115" s="574" t="n"/>
      <c r="O115" s="574" t="n"/>
      <c r="P115" s="574" t="n"/>
      <c r="Q115" s="574" t="n"/>
      <c r="R115" s="574" t="n"/>
      <c r="S115" s="574" t="n"/>
      <c r="T115" s="574" t="n"/>
      <c r="U115" s="574" t="n"/>
      <c r="V115" s="574" t="n"/>
      <c r="W115" s="574" t="n"/>
      <c r="X115" s="574" t="n"/>
      <c r="Y115" s="574" t="n"/>
      <c r="Z115" s="574" t="n"/>
      <c r="AA115" s="574" t="n"/>
      <c r="AB115" s="574" t="n"/>
      <c r="AC115" s="574" t="n"/>
      <c r="AD115" s="574" t="n"/>
      <c r="AE115" s="574" t="n"/>
      <c r="AF115" s="574" t="n"/>
      <c r="AG115" s="574" t="n"/>
      <c r="AH115" s="574" t="n"/>
      <c r="AI115" s="574" t="n"/>
      <c r="AJ115" s="574" t="n"/>
      <c r="AK115" s="574" t="n"/>
      <c r="AL115" s="574" t="n"/>
      <c r="AM115" s="574" t="n"/>
      <c r="AN115" s="574" t="n"/>
      <c r="AO115" s="574" t="n"/>
      <c r="AP115" s="574" t="n"/>
      <c r="AQ115" s="574" t="n"/>
      <c r="AR115" s="574" t="n"/>
      <c r="AS115" s="574" t="n"/>
      <c r="AT115" s="574" t="n"/>
      <c r="AU115" s="574" t="n"/>
      <c r="AV115" s="574" t="n"/>
      <c r="AW115" s="574" t="n"/>
      <c r="AX115" s="574" t="n"/>
      <c r="AY115" s="574" t="n"/>
      <c r="AZ115" s="574" t="n"/>
      <c r="BA115" s="574" t="n"/>
      <c r="BB115" s="574" t="n"/>
      <c r="BC115" s="574" t="n"/>
      <c r="BD115" s="574" t="n"/>
      <c r="BE115" s="574" t="n"/>
      <c r="BF115" s="574" t="n"/>
      <c r="BG115" s="574" t="n"/>
      <c r="BH115" s="574" t="n"/>
      <c r="BI115" s="574" t="n"/>
      <c r="BJ115" s="574" t="n"/>
      <c r="BK115" s="574" t="n"/>
      <c r="BL115" s="574" t="n"/>
      <c r="BM115" s="574" t="n"/>
      <c r="BN115" s="574" t="n"/>
      <c r="BO115" s="574" t="n"/>
      <c r="BP115" s="574" t="n"/>
      <c r="BQ115" s="574" t="n"/>
      <c r="BR115" s="574" t="n"/>
      <c r="BS115" s="574" t="n"/>
      <c r="BT115" s="574" t="n"/>
      <c r="BU115" s="574" t="n"/>
      <c r="BV115" s="574" t="n"/>
      <c r="BW115" s="574" t="n"/>
      <c r="BX115" s="574" t="n"/>
      <c r="BY115" s="574" t="n"/>
      <c r="BZ115" s="574" t="n"/>
      <c r="CA115" s="574" t="n"/>
      <c r="CB115" s="574" t="n"/>
      <c r="CC115" s="574" t="n"/>
      <c r="CD115" s="574" t="n"/>
      <c r="CE115" s="574" t="n"/>
      <c r="CF115" s="574" t="n"/>
      <c r="CG115" s="574" t="n"/>
      <c r="CH115" s="574" t="n"/>
      <c r="CI115" s="574" t="n"/>
      <c r="CJ115" s="574" t="n"/>
      <c r="CK115" s="574" t="n"/>
      <c r="CL115" s="574" t="n"/>
      <c r="CM115" s="574" t="n"/>
      <c r="CN115" s="574" t="n"/>
      <c r="CO115" s="574" t="n"/>
      <c r="CP115" s="574" t="n"/>
      <c r="CQ115" s="574" t="n"/>
      <c r="CR115" s="574" t="n"/>
      <c r="CS115" s="574" t="n"/>
      <c r="CT115" s="574" t="n"/>
      <c r="CU115" s="574" t="n"/>
      <c r="CV115" s="574" t="n"/>
      <c r="CW115" s="574" t="n"/>
      <c r="CX115" s="574" t="n"/>
      <c r="CY115" s="574" t="n"/>
      <c r="CZ115" s="574" t="n"/>
      <c r="DA115" s="574" t="n"/>
      <c r="DB115" s="574" t="n"/>
      <c r="DC115" s="574" t="n"/>
      <c r="DD115" s="574" t="n"/>
      <c r="DE115" s="574" t="n"/>
      <c r="DF115" s="574" t="n"/>
      <c r="DG115" s="574" t="n"/>
      <c r="DH115" s="574" t="n"/>
      <c r="DI115" s="574" t="n"/>
      <c r="DJ115" s="574" t="n"/>
      <c r="DK115" s="574" t="n"/>
      <c r="DL115" s="574" t="n"/>
      <c r="DM115" s="574" t="n"/>
      <c r="DN115" s="574" t="n"/>
      <c r="DO115" s="574" t="n"/>
      <c r="DP115" s="574" t="n"/>
      <c r="DQ115" s="574" t="n"/>
      <c r="DR115" s="574" t="n"/>
      <c r="DS115" s="574" t="n"/>
      <c r="DT115" s="574" t="n"/>
      <c r="DU115" s="574" t="n"/>
      <c r="DV115" s="574" t="n"/>
      <c r="DW115" s="574" t="n"/>
      <c r="DX115" s="574" t="n"/>
      <c r="DY115" s="574" t="n"/>
      <c r="DZ115" s="574" t="n"/>
      <c r="EA115" s="574" t="n"/>
      <c r="EB115" s="574" t="n"/>
      <c r="EC115" s="574" t="n"/>
      <c r="ED115" s="574" t="n"/>
      <c r="EE115" s="574" t="n"/>
      <c r="EF115" s="574" t="n"/>
      <c r="EG115" s="574" t="n"/>
      <c r="EH115" s="574" t="n"/>
      <c r="EI115" s="574" t="n"/>
      <c r="EJ115" s="574" t="n"/>
      <c r="EK115" s="574" t="n"/>
      <c r="EL115" s="574" t="n"/>
      <c r="EM115" s="574" t="n"/>
      <c r="EN115" s="574" t="n"/>
      <c r="EO115" s="574" t="n"/>
      <c r="EP115" s="574" t="n"/>
      <c r="EQ115" s="574" t="n"/>
      <c r="ER115" s="574" t="n"/>
      <c r="ES115" s="574" t="n"/>
      <c r="ET115" s="574" t="n"/>
      <c r="EU115" s="574" t="n"/>
      <c r="EV115" s="574" t="n"/>
      <c r="EW115" s="574" t="n"/>
      <c r="EX115" s="574" t="n"/>
      <c r="EY115" s="574" t="n"/>
      <c r="EZ115" s="574" t="n"/>
      <c r="FA115" s="574" t="n"/>
      <c r="FB115" s="574" t="n"/>
      <c r="FC115" s="574" t="n"/>
      <c r="FD115" s="574" t="n"/>
      <c r="FE115" s="574" t="n"/>
      <c r="FF115" s="574" t="n"/>
      <c r="FG115" s="574" t="n"/>
      <c r="FH115" s="574" t="n"/>
      <c r="FI115" s="574" t="n"/>
      <c r="FJ115" s="574" t="n"/>
      <c r="FK115" s="574" t="n"/>
      <c r="FL115" s="574" t="n"/>
      <c r="FM115" s="574" t="n"/>
      <c r="FN115" s="574" t="n"/>
      <c r="FO115" s="574" t="n"/>
      <c r="FP115" s="574" t="n"/>
      <c r="FQ115" s="574" t="n"/>
      <c r="FR115" s="574" t="n"/>
      <c r="FS115" s="574" t="n"/>
      <c r="FT115" s="574" t="n"/>
      <c r="FU115" s="574" t="n"/>
      <c r="FV115" s="574" t="n"/>
      <c r="FW115" s="574" t="n"/>
      <c r="FX115" s="574" t="n"/>
      <c r="FY115" s="574" t="n"/>
      <c r="FZ115" s="574" t="n"/>
      <c r="GA115" s="574" t="n"/>
      <c r="GB115" s="574" t="n"/>
      <c r="GC115" s="574" t="n"/>
      <c r="GD115" s="574" t="n"/>
      <c r="GE115" s="574" t="n"/>
      <c r="GF115" s="574" t="n"/>
    </row>
    <row r="116" customFormat="1" s="568">
      <c r="A116" s="86" t="n"/>
      <c r="B116" s="85" t="n"/>
      <c r="C116" s="84">
        <f>IFERROR(IF(AND($E116&gt;0,$D116&lt;&gt;"The Public"),$E116/SUMIFS($E$10:$E$205,$E$10:$E$205,"&gt;0",$D$10:$D$205,"&lt;&gt;The Public")*$D$5,""),"")</f>
        <v/>
      </c>
      <c r="D116" s="68" t="n"/>
      <c r="E116" s="84">
        <f>SUM(G116:HY116)</f>
        <v/>
      </c>
      <c r="F116" s="568">
        <f>IFERROR(IF($E116&gt;0.0000005,$E116/SUMIF($E$11:$E$140,"&gt;0.0000005"),""),"")</f>
        <v/>
      </c>
      <c r="M116" s="574" t="n"/>
      <c r="N116" s="574" t="n"/>
      <c r="O116" s="574" t="n"/>
      <c r="P116" s="574" t="n"/>
      <c r="Q116" s="574" t="n"/>
      <c r="R116" s="574" t="n"/>
      <c r="S116" s="574" t="n"/>
      <c r="T116" s="574" t="n"/>
      <c r="U116" s="574" t="n"/>
      <c r="V116" s="574" t="n"/>
      <c r="W116" s="574" t="n"/>
      <c r="X116" s="574" t="n"/>
      <c r="Y116" s="574" t="n"/>
      <c r="Z116" s="574" t="n"/>
      <c r="AA116" s="574" t="n"/>
      <c r="AB116" s="574" t="n"/>
      <c r="AC116" s="574" t="n"/>
      <c r="AD116" s="574" t="n"/>
      <c r="AE116" s="574" t="n"/>
      <c r="AF116" s="574" t="n"/>
      <c r="AG116" s="574" t="n"/>
      <c r="AH116" s="574" t="n"/>
      <c r="AI116" s="574" t="n"/>
      <c r="AJ116" s="574" t="n"/>
      <c r="AK116" s="574" t="n"/>
      <c r="AL116" s="574" t="n"/>
      <c r="AM116" s="574" t="n"/>
      <c r="AN116" s="574" t="n"/>
      <c r="AO116" s="574" t="n"/>
      <c r="AP116" s="574" t="n"/>
      <c r="AQ116" s="574" t="n"/>
      <c r="AR116" s="574" t="n"/>
      <c r="AS116" s="574" t="n"/>
      <c r="AT116" s="574" t="n"/>
      <c r="AU116" s="574" t="n"/>
      <c r="AV116" s="574" t="n"/>
      <c r="AW116" s="574" t="n"/>
      <c r="AX116" s="574" t="n"/>
      <c r="AY116" s="574" t="n"/>
      <c r="AZ116" s="574" t="n"/>
      <c r="BA116" s="574" t="n"/>
      <c r="BB116" s="574" t="n"/>
      <c r="BC116" s="574" t="n"/>
      <c r="BD116" s="574" t="n"/>
      <c r="BE116" s="574" t="n"/>
      <c r="BF116" s="574" t="n"/>
      <c r="BG116" s="574" t="n"/>
      <c r="BH116" s="574" t="n"/>
      <c r="BI116" s="574" t="n"/>
      <c r="BJ116" s="574" t="n"/>
      <c r="BK116" s="574" t="n"/>
      <c r="BL116" s="574" t="n"/>
      <c r="BM116" s="574" t="n"/>
      <c r="BN116" s="574" t="n"/>
      <c r="BO116" s="574" t="n"/>
      <c r="BP116" s="574" t="n"/>
      <c r="BQ116" s="574" t="n"/>
      <c r="BR116" s="574" t="n"/>
      <c r="BS116" s="574" t="n"/>
      <c r="BT116" s="574" t="n"/>
      <c r="BU116" s="574" t="n"/>
      <c r="BV116" s="574" t="n"/>
      <c r="BW116" s="574" t="n"/>
      <c r="BX116" s="574" t="n"/>
      <c r="BY116" s="574" t="n"/>
      <c r="BZ116" s="574" t="n"/>
      <c r="CA116" s="574" t="n"/>
      <c r="CB116" s="574" t="n"/>
      <c r="CC116" s="574" t="n"/>
      <c r="CD116" s="574" t="n"/>
      <c r="CE116" s="574" t="n"/>
      <c r="CF116" s="574" t="n"/>
      <c r="CG116" s="574" t="n"/>
      <c r="CH116" s="574" t="n"/>
      <c r="CI116" s="574" t="n"/>
      <c r="CJ116" s="574" t="n"/>
      <c r="CK116" s="574" t="n"/>
      <c r="CL116" s="574" t="n"/>
      <c r="CM116" s="574" t="n"/>
      <c r="CN116" s="574" t="n"/>
      <c r="CO116" s="574" t="n"/>
      <c r="CP116" s="574" t="n"/>
      <c r="CQ116" s="574" t="n"/>
      <c r="CR116" s="574" t="n"/>
      <c r="CS116" s="574" t="n"/>
      <c r="CT116" s="574" t="n"/>
      <c r="CU116" s="574" t="n"/>
      <c r="CV116" s="574" t="n"/>
      <c r="CW116" s="574" t="n"/>
      <c r="CX116" s="574" t="n"/>
      <c r="CY116" s="574" t="n"/>
      <c r="CZ116" s="574" t="n"/>
      <c r="DA116" s="574" t="n"/>
      <c r="DB116" s="574" t="n"/>
      <c r="DC116" s="574" t="n"/>
      <c r="DD116" s="574" t="n"/>
      <c r="DE116" s="574" t="n"/>
      <c r="DF116" s="574" t="n"/>
      <c r="DG116" s="574" t="n"/>
      <c r="DH116" s="574" t="n"/>
      <c r="DI116" s="574" t="n"/>
      <c r="DJ116" s="574" t="n"/>
      <c r="DK116" s="574" t="n"/>
      <c r="DL116" s="574" t="n"/>
      <c r="DM116" s="574" t="n"/>
      <c r="DN116" s="574" t="n"/>
      <c r="DO116" s="574" t="n"/>
      <c r="DP116" s="574" t="n"/>
      <c r="DQ116" s="574" t="n"/>
      <c r="DR116" s="574" t="n"/>
      <c r="DS116" s="574" t="n"/>
      <c r="DT116" s="574" t="n"/>
      <c r="DU116" s="574" t="n"/>
      <c r="DV116" s="574" t="n"/>
      <c r="DW116" s="574" t="n"/>
      <c r="DX116" s="574" t="n"/>
      <c r="DY116" s="574" t="n"/>
      <c r="DZ116" s="574" t="n"/>
      <c r="EA116" s="574" t="n"/>
      <c r="EB116" s="574" t="n"/>
      <c r="EC116" s="574" t="n"/>
      <c r="ED116" s="574" t="n"/>
      <c r="EE116" s="574" t="n"/>
      <c r="EF116" s="574" t="n"/>
      <c r="EG116" s="574" t="n"/>
      <c r="EH116" s="574" t="n"/>
      <c r="EI116" s="574" t="n"/>
      <c r="EJ116" s="574" t="n"/>
      <c r="EK116" s="574" t="n"/>
      <c r="EL116" s="574" t="n"/>
      <c r="EM116" s="574" t="n"/>
      <c r="EN116" s="574" t="n"/>
      <c r="EO116" s="574" t="n"/>
      <c r="EP116" s="574" t="n"/>
      <c r="EQ116" s="574" t="n"/>
      <c r="ER116" s="574" t="n"/>
      <c r="ES116" s="574" t="n"/>
      <c r="ET116" s="574" t="n"/>
      <c r="EU116" s="574" t="n"/>
      <c r="EV116" s="574" t="n"/>
      <c r="EW116" s="574" t="n"/>
      <c r="EX116" s="574" t="n"/>
      <c r="EY116" s="574" t="n"/>
      <c r="EZ116" s="574" t="n"/>
      <c r="FA116" s="574" t="n"/>
      <c r="FB116" s="574" t="n"/>
      <c r="FC116" s="574" t="n"/>
      <c r="FD116" s="574" t="n"/>
      <c r="FE116" s="574" t="n"/>
      <c r="FF116" s="574" t="n"/>
      <c r="FG116" s="574" t="n"/>
      <c r="FH116" s="574" t="n"/>
      <c r="FI116" s="574" t="n"/>
      <c r="FJ116" s="574" t="n"/>
      <c r="FK116" s="574" t="n"/>
      <c r="FL116" s="574" t="n"/>
      <c r="FM116" s="574" t="n"/>
      <c r="FN116" s="574" t="n"/>
      <c r="FO116" s="574" t="n"/>
      <c r="FP116" s="574" t="n"/>
      <c r="FQ116" s="574" t="n"/>
      <c r="FR116" s="574" t="n"/>
      <c r="FS116" s="574" t="n"/>
      <c r="FT116" s="574" t="n"/>
      <c r="FU116" s="574" t="n"/>
      <c r="FV116" s="574" t="n"/>
      <c r="FW116" s="574" t="n"/>
      <c r="FX116" s="574" t="n"/>
      <c r="FY116" s="574" t="n"/>
      <c r="FZ116" s="574" t="n"/>
      <c r="GA116" s="574" t="n"/>
      <c r="GB116" s="574" t="n"/>
      <c r="GC116" s="574" t="n"/>
      <c r="GD116" s="574" t="n"/>
      <c r="GE116" s="574" t="n"/>
      <c r="GF116" s="574" t="n"/>
    </row>
    <row r="117" customFormat="1" s="568">
      <c r="A117" s="86" t="n"/>
      <c r="B117" s="85" t="n"/>
      <c r="C117" s="84">
        <f>IFERROR(IF(AND($E117&gt;0,$D117&lt;&gt;"The Public"),$E117/SUMIFS($E$10:$E$205,$E$10:$E$205,"&gt;0",$D$10:$D$205,"&lt;&gt;The Public")*$D$5,""),"")</f>
        <v/>
      </c>
      <c r="D117" s="68" t="n"/>
      <c r="E117" s="84">
        <f>SUM(G117:HY117)</f>
        <v/>
      </c>
      <c r="F117" s="568">
        <f>IFERROR(IF($E117&gt;0.0000005,$E117/SUMIF($E$11:$E$140,"&gt;0.0000005"),""),"")</f>
        <v/>
      </c>
      <c r="M117" s="574" t="n"/>
      <c r="N117" s="574" t="n"/>
      <c r="O117" s="574" t="n"/>
      <c r="P117" s="574" t="n"/>
      <c r="Q117" s="574" t="n"/>
      <c r="R117" s="574" t="n"/>
      <c r="S117" s="574" t="n"/>
      <c r="T117" s="574" t="n"/>
      <c r="U117" s="574" t="n"/>
      <c r="V117" s="574" t="n"/>
      <c r="W117" s="574" t="n"/>
      <c r="X117" s="574" t="n"/>
      <c r="Y117" s="574" t="n"/>
      <c r="Z117" s="574" t="n"/>
      <c r="AA117" s="574" t="n"/>
      <c r="AB117" s="574" t="n"/>
      <c r="AC117" s="574" t="n"/>
      <c r="AD117" s="574" t="n"/>
      <c r="AE117" s="574" t="n"/>
      <c r="AF117" s="574" t="n"/>
      <c r="AG117" s="574" t="n"/>
      <c r="AH117" s="574" t="n"/>
      <c r="AI117" s="574" t="n"/>
      <c r="AJ117" s="574" t="n"/>
      <c r="AK117" s="574" t="n"/>
      <c r="AL117" s="574" t="n"/>
      <c r="AM117" s="574" t="n"/>
      <c r="AN117" s="574" t="n"/>
      <c r="AO117" s="574" t="n"/>
      <c r="AP117" s="574" t="n"/>
      <c r="AQ117" s="574" t="n"/>
      <c r="AR117" s="574" t="n"/>
      <c r="AS117" s="574" t="n"/>
      <c r="AT117" s="574" t="n"/>
      <c r="AU117" s="574" t="n"/>
      <c r="AV117" s="574" t="n"/>
      <c r="AW117" s="574" t="n"/>
      <c r="AX117" s="574" t="n"/>
      <c r="AY117" s="574" t="n"/>
      <c r="AZ117" s="574" t="n"/>
      <c r="BA117" s="574" t="n"/>
      <c r="BB117" s="574" t="n"/>
      <c r="BC117" s="574" t="n"/>
      <c r="BD117" s="574" t="n"/>
      <c r="BE117" s="574" t="n"/>
      <c r="BF117" s="574" t="n"/>
      <c r="BG117" s="574" t="n"/>
      <c r="BH117" s="574" t="n"/>
      <c r="BI117" s="574" t="n"/>
      <c r="BJ117" s="574" t="n"/>
      <c r="BK117" s="574" t="n"/>
      <c r="BL117" s="574" t="n"/>
      <c r="BM117" s="574" t="n"/>
      <c r="BN117" s="574" t="n"/>
      <c r="BO117" s="574" t="n"/>
      <c r="BP117" s="574" t="n"/>
      <c r="BQ117" s="574" t="n"/>
      <c r="BR117" s="574" t="n"/>
      <c r="BS117" s="574" t="n"/>
      <c r="BT117" s="574" t="n"/>
      <c r="BU117" s="574" t="n"/>
      <c r="BV117" s="574" t="n"/>
      <c r="BW117" s="574" t="n"/>
      <c r="BX117" s="574" t="n"/>
      <c r="BY117" s="574" t="n"/>
      <c r="BZ117" s="574" t="n"/>
      <c r="CA117" s="574" t="n"/>
      <c r="CB117" s="574" t="n"/>
      <c r="CC117" s="574" t="n"/>
      <c r="CD117" s="574" t="n"/>
      <c r="CE117" s="574" t="n"/>
      <c r="CF117" s="574" t="n"/>
      <c r="CG117" s="574" t="n"/>
      <c r="CH117" s="574" t="n"/>
      <c r="CI117" s="574" t="n"/>
      <c r="CJ117" s="574" t="n"/>
      <c r="CK117" s="574" t="n"/>
      <c r="CL117" s="574" t="n"/>
      <c r="CM117" s="574" t="n"/>
      <c r="CN117" s="574" t="n"/>
      <c r="CO117" s="574" t="n"/>
      <c r="CP117" s="574" t="n"/>
      <c r="CQ117" s="574" t="n"/>
      <c r="CR117" s="574" t="n"/>
      <c r="CS117" s="574" t="n"/>
      <c r="CT117" s="574" t="n"/>
      <c r="CU117" s="574" t="n"/>
      <c r="CV117" s="574" t="n"/>
      <c r="CW117" s="574" t="n"/>
      <c r="CX117" s="574" t="n"/>
      <c r="CY117" s="574" t="n"/>
      <c r="CZ117" s="574" t="n"/>
      <c r="DA117" s="574" t="n"/>
      <c r="DB117" s="574" t="n"/>
      <c r="DC117" s="574" t="n"/>
      <c r="DD117" s="574" t="n"/>
      <c r="DE117" s="574" t="n"/>
      <c r="DF117" s="574" t="n"/>
      <c r="DG117" s="574" t="n"/>
      <c r="DH117" s="574" t="n"/>
      <c r="DI117" s="574" t="n"/>
      <c r="DJ117" s="574" t="n"/>
      <c r="DK117" s="574" t="n"/>
      <c r="DL117" s="574" t="n"/>
      <c r="DM117" s="574" t="n"/>
      <c r="DN117" s="574" t="n"/>
      <c r="DO117" s="574" t="n"/>
      <c r="DP117" s="574" t="n"/>
      <c r="DQ117" s="574" t="n"/>
      <c r="DR117" s="574" t="n"/>
      <c r="DS117" s="574" t="n"/>
      <c r="DT117" s="574" t="n"/>
      <c r="DU117" s="574" t="n"/>
      <c r="DV117" s="574" t="n"/>
      <c r="DW117" s="574" t="n"/>
      <c r="DX117" s="574" t="n"/>
      <c r="DY117" s="574" t="n"/>
      <c r="DZ117" s="574" t="n"/>
      <c r="EA117" s="574" t="n"/>
      <c r="EB117" s="574" t="n"/>
      <c r="EC117" s="574" t="n"/>
      <c r="ED117" s="574" t="n"/>
      <c r="EE117" s="574" t="n"/>
      <c r="EF117" s="574" t="n"/>
      <c r="EG117" s="574" t="n"/>
      <c r="EH117" s="574" t="n"/>
      <c r="EI117" s="574" t="n"/>
      <c r="EJ117" s="574" t="n"/>
      <c r="EK117" s="574" t="n"/>
      <c r="EL117" s="574" t="n"/>
      <c r="EM117" s="574" t="n"/>
      <c r="EN117" s="574" t="n"/>
      <c r="EO117" s="574" t="n"/>
      <c r="EP117" s="574" t="n"/>
      <c r="EQ117" s="574" t="n"/>
      <c r="ER117" s="574" t="n"/>
      <c r="ES117" s="574" t="n"/>
      <c r="ET117" s="574" t="n"/>
      <c r="EU117" s="574" t="n"/>
      <c r="EV117" s="574" t="n"/>
      <c r="EW117" s="574" t="n"/>
      <c r="EX117" s="574" t="n"/>
      <c r="EY117" s="574" t="n"/>
      <c r="EZ117" s="574" t="n"/>
      <c r="FA117" s="574" t="n"/>
      <c r="FB117" s="574" t="n"/>
      <c r="FC117" s="574" t="n"/>
      <c r="FD117" s="574" t="n"/>
      <c r="FE117" s="574" t="n"/>
      <c r="FF117" s="574" t="n"/>
      <c r="FG117" s="574" t="n"/>
      <c r="FH117" s="574" t="n"/>
      <c r="FI117" s="574" t="n"/>
      <c r="FJ117" s="574" t="n"/>
      <c r="FK117" s="574" t="n"/>
      <c r="FL117" s="574" t="n"/>
      <c r="FM117" s="574" t="n"/>
      <c r="FN117" s="574" t="n"/>
      <c r="FO117" s="574" t="n"/>
      <c r="FP117" s="574" t="n"/>
      <c r="FQ117" s="574" t="n"/>
      <c r="FR117" s="574" t="n"/>
      <c r="FS117" s="574" t="n"/>
      <c r="FT117" s="574" t="n"/>
      <c r="FU117" s="574" t="n"/>
      <c r="FV117" s="574" t="n"/>
      <c r="FW117" s="574" t="n"/>
      <c r="FX117" s="574" t="n"/>
      <c r="FY117" s="574" t="n"/>
      <c r="FZ117" s="574" t="n"/>
      <c r="GA117" s="574" t="n"/>
      <c r="GB117" s="574" t="n"/>
      <c r="GC117" s="574" t="n"/>
      <c r="GD117" s="574" t="n"/>
      <c r="GE117" s="574" t="n"/>
      <c r="GF117" s="574" t="n"/>
    </row>
    <row r="118" customFormat="1" s="568">
      <c r="A118" s="86" t="n"/>
      <c r="B118" s="85" t="n"/>
      <c r="C118" s="84">
        <f>IFERROR(IF(AND($E118&gt;0,$D118&lt;&gt;"The Public"),$E118/SUMIFS($E$10:$E$205,$E$10:$E$205,"&gt;0",$D$10:$D$205,"&lt;&gt;The Public")*$D$5,""),"")</f>
        <v/>
      </c>
      <c r="D118" s="68" t="n"/>
      <c r="E118" s="84">
        <f>SUM(G118:HY118)</f>
        <v/>
      </c>
      <c r="F118" s="568">
        <f>IFERROR(IF($E118&gt;0.0000005,$E118/SUMIF($E$11:$E$140,"&gt;0.0000005"),""),"")</f>
        <v/>
      </c>
      <c r="M118" s="574" t="n"/>
      <c r="N118" s="574" t="n"/>
      <c r="O118" s="574" t="n"/>
      <c r="P118" s="574" t="n"/>
      <c r="Q118" s="574" t="n"/>
      <c r="R118" s="574" t="n"/>
      <c r="S118" s="574" t="n"/>
      <c r="T118" s="574" t="n"/>
      <c r="U118" s="574" t="n"/>
      <c r="V118" s="574" t="n"/>
      <c r="W118" s="574" t="n"/>
      <c r="X118" s="574" t="n"/>
      <c r="Y118" s="574" t="n"/>
      <c r="Z118" s="574" t="n"/>
      <c r="AA118" s="574" t="n"/>
      <c r="AB118" s="574" t="n"/>
      <c r="AC118" s="574" t="n"/>
      <c r="AD118" s="574" t="n"/>
      <c r="AE118" s="574" t="n"/>
      <c r="AF118" s="574" t="n"/>
      <c r="AG118" s="574" t="n"/>
      <c r="AH118" s="574" t="n"/>
      <c r="AI118" s="574" t="n"/>
      <c r="AJ118" s="574" t="n"/>
      <c r="AK118" s="574" t="n"/>
      <c r="AL118" s="574" t="n"/>
      <c r="AM118" s="574" t="n"/>
      <c r="AN118" s="574" t="n"/>
      <c r="AO118" s="574" t="n"/>
      <c r="AP118" s="574" t="n"/>
      <c r="AQ118" s="574" t="n"/>
      <c r="AR118" s="574" t="n"/>
      <c r="AS118" s="574" t="n"/>
      <c r="AT118" s="574" t="n"/>
      <c r="AU118" s="574" t="n"/>
      <c r="AV118" s="574" t="n"/>
      <c r="AW118" s="574" t="n"/>
      <c r="AX118" s="574" t="n"/>
      <c r="AY118" s="574" t="n"/>
      <c r="AZ118" s="574" t="n"/>
      <c r="BA118" s="574" t="n"/>
      <c r="BB118" s="574" t="n"/>
      <c r="BC118" s="574" t="n"/>
      <c r="BD118" s="574" t="n"/>
      <c r="BE118" s="574" t="n"/>
      <c r="BF118" s="574" t="n"/>
      <c r="BG118" s="574" t="n"/>
      <c r="BH118" s="574" t="n"/>
      <c r="BI118" s="574" t="n"/>
      <c r="BJ118" s="574" t="n"/>
      <c r="BK118" s="574" t="n"/>
      <c r="BL118" s="574" t="n"/>
      <c r="BM118" s="574" t="n"/>
      <c r="BN118" s="574" t="n"/>
      <c r="BO118" s="574" t="n"/>
      <c r="BP118" s="574" t="n"/>
      <c r="BQ118" s="574" t="n"/>
      <c r="BR118" s="574" t="n"/>
      <c r="BS118" s="574" t="n"/>
      <c r="BT118" s="574" t="n"/>
      <c r="BU118" s="574" t="n"/>
      <c r="BV118" s="574" t="n"/>
      <c r="BW118" s="574" t="n"/>
      <c r="BX118" s="574" t="n"/>
      <c r="BY118" s="574" t="n"/>
      <c r="BZ118" s="574" t="n"/>
      <c r="CA118" s="574" t="n"/>
      <c r="CB118" s="574" t="n"/>
      <c r="CC118" s="574" t="n"/>
      <c r="CD118" s="574" t="n"/>
      <c r="CE118" s="574" t="n"/>
      <c r="CF118" s="574" t="n"/>
      <c r="CG118" s="574" t="n"/>
      <c r="CH118" s="574" t="n"/>
      <c r="CI118" s="574" t="n"/>
      <c r="CJ118" s="574" t="n"/>
      <c r="CK118" s="574" t="n"/>
      <c r="CL118" s="574" t="n"/>
      <c r="CM118" s="574" t="n"/>
      <c r="CN118" s="574" t="n"/>
      <c r="CO118" s="574" t="n"/>
      <c r="CP118" s="574" t="n"/>
      <c r="CQ118" s="574" t="n"/>
      <c r="CR118" s="574" t="n"/>
      <c r="CS118" s="574" t="n"/>
      <c r="CT118" s="574" t="n"/>
      <c r="CU118" s="574" t="n"/>
      <c r="CV118" s="574" t="n"/>
      <c r="CW118" s="574" t="n"/>
      <c r="CX118" s="574" t="n"/>
      <c r="CY118" s="574" t="n"/>
      <c r="CZ118" s="574" t="n"/>
      <c r="DA118" s="574" t="n"/>
      <c r="DB118" s="574" t="n"/>
      <c r="DC118" s="574" t="n"/>
      <c r="DD118" s="574" t="n"/>
      <c r="DE118" s="574" t="n"/>
      <c r="DF118" s="574" t="n"/>
      <c r="DG118" s="574" t="n"/>
      <c r="DH118" s="574" t="n"/>
      <c r="DI118" s="574" t="n"/>
      <c r="DJ118" s="574" t="n"/>
      <c r="DK118" s="574" t="n"/>
      <c r="DL118" s="574" t="n"/>
      <c r="DM118" s="574" t="n"/>
      <c r="DN118" s="574" t="n"/>
      <c r="DO118" s="574" t="n"/>
      <c r="DP118" s="574" t="n"/>
      <c r="DQ118" s="574" t="n"/>
      <c r="DR118" s="574" t="n"/>
      <c r="DS118" s="574" t="n"/>
      <c r="DT118" s="574" t="n"/>
      <c r="DU118" s="574" t="n"/>
      <c r="DV118" s="574" t="n"/>
      <c r="DW118" s="574" t="n"/>
      <c r="DX118" s="574" t="n"/>
      <c r="DY118" s="574" t="n"/>
      <c r="DZ118" s="574" t="n"/>
      <c r="EA118" s="574" t="n"/>
      <c r="EB118" s="574" t="n"/>
      <c r="EC118" s="574" t="n"/>
      <c r="ED118" s="574" t="n"/>
      <c r="EE118" s="574" t="n"/>
      <c r="EF118" s="574" t="n"/>
      <c r="EG118" s="574" t="n"/>
      <c r="EH118" s="574" t="n"/>
      <c r="EI118" s="574" t="n"/>
      <c r="EJ118" s="574" t="n"/>
      <c r="EK118" s="574" t="n"/>
      <c r="EL118" s="574" t="n"/>
      <c r="EM118" s="574" t="n"/>
      <c r="EN118" s="574" t="n"/>
      <c r="EO118" s="574" t="n"/>
      <c r="EP118" s="574" t="n"/>
      <c r="EQ118" s="574" t="n"/>
      <c r="ER118" s="574" t="n"/>
      <c r="ES118" s="574" t="n"/>
      <c r="ET118" s="574" t="n"/>
      <c r="EU118" s="574" t="n"/>
      <c r="EV118" s="574" t="n"/>
      <c r="EW118" s="574" t="n"/>
      <c r="EX118" s="574" t="n"/>
      <c r="EY118" s="574" t="n"/>
      <c r="EZ118" s="574" t="n"/>
      <c r="FA118" s="574" t="n"/>
      <c r="FB118" s="574" t="n"/>
      <c r="FC118" s="574" t="n"/>
      <c r="FD118" s="574" t="n"/>
      <c r="FE118" s="574" t="n"/>
      <c r="FF118" s="574" t="n"/>
      <c r="FG118" s="574" t="n"/>
      <c r="FH118" s="574" t="n"/>
      <c r="FI118" s="574" t="n"/>
      <c r="FJ118" s="574" t="n"/>
      <c r="FK118" s="574" t="n"/>
      <c r="FL118" s="574" t="n"/>
      <c r="FM118" s="574" t="n"/>
      <c r="FN118" s="574" t="n"/>
      <c r="FO118" s="574" t="n"/>
      <c r="FP118" s="574" t="n"/>
      <c r="FQ118" s="574" t="n"/>
      <c r="FR118" s="574" t="n"/>
      <c r="FS118" s="574" t="n"/>
      <c r="FT118" s="574" t="n"/>
      <c r="FU118" s="574" t="n"/>
      <c r="FV118" s="574" t="n"/>
      <c r="FW118" s="574" t="n"/>
      <c r="FX118" s="574" t="n"/>
      <c r="FY118" s="574" t="n"/>
      <c r="FZ118" s="574" t="n"/>
      <c r="GA118" s="574" t="n"/>
      <c r="GB118" s="574" t="n"/>
      <c r="GC118" s="574" t="n"/>
      <c r="GD118" s="574" t="n"/>
      <c r="GE118" s="574" t="n"/>
      <c r="GF118" s="574" t="n"/>
    </row>
    <row r="119" customFormat="1" s="568">
      <c r="A119" s="86" t="n"/>
      <c r="B119" s="85" t="n"/>
      <c r="C119" s="84">
        <f>IFERROR(IF(AND($E119&gt;0,$D119&lt;&gt;"The Public"),$E119/SUMIFS($E$10:$E$205,$E$10:$E$205,"&gt;0",$D$10:$D$205,"&lt;&gt;The Public")*$D$5,""),"")</f>
        <v/>
      </c>
      <c r="D119" s="68" t="n"/>
      <c r="E119" s="84">
        <f>SUM(G119:HY119)</f>
        <v/>
      </c>
      <c r="F119" s="568">
        <f>IFERROR(IF($E119&gt;0.0000005,$E119/SUMIF($E$11:$E$140,"&gt;0.0000005"),""),"")</f>
        <v/>
      </c>
      <c r="M119" s="574" t="n"/>
      <c r="N119" s="574" t="n"/>
      <c r="O119" s="574" t="n"/>
      <c r="P119" s="574" t="n"/>
      <c r="Q119" s="574" t="n"/>
      <c r="R119" s="574" t="n"/>
      <c r="S119" s="574" t="n"/>
      <c r="T119" s="574" t="n"/>
      <c r="U119" s="574" t="n"/>
      <c r="V119" s="574" t="n"/>
      <c r="W119" s="574" t="n"/>
      <c r="X119" s="574" t="n"/>
      <c r="Y119" s="574" t="n"/>
      <c r="Z119" s="574" t="n"/>
      <c r="AA119" s="574" t="n"/>
      <c r="AB119" s="574" t="n"/>
      <c r="AC119" s="574" t="n"/>
      <c r="AD119" s="574" t="n"/>
      <c r="AE119" s="574" t="n"/>
      <c r="AF119" s="574" t="n"/>
      <c r="AG119" s="574" t="n"/>
      <c r="AH119" s="574" t="n"/>
      <c r="AI119" s="574" t="n"/>
      <c r="AJ119" s="574" t="n"/>
      <c r="AK119" s="574" t="n"/>
      <c r="AL119" s="574" t="n"/>
      <c r="AM119" s="574" t="n"/>
      <c r="AN119" s="574" t="n"/>
      <c r="AO119" s="574" t="n"/>
      <c r="AP119" s="574" t="n"/>
      <c r="AQ119" s="574" t="n"/>
      <c r="AR119" s="574" t="n"/>
      <c r="AS119" s="574" t="n"/>
      <c r="AT119" s="574" t="n"/>
      <c r="AU119" s="574" t="n"/>
      <c r="AV119" s="574" t="n"/>
      <c r="AW119" s="574" t="n"/>
      <c r="AX119" s="574" t="n"/>
      <c r="AY119" s="574" t="n"/>
      <c r="AZ119" s="574" t="n"/>
      <c r="BA119" s="574" t="n"/>
      <c r="BB119" s="574" t="n"/>
      <c r="BC119" s="574" t="n"/>
      <c r="BD119" s="574" t="n"/>
      <c r="BE119" s="574" t="n"/>
      <c r="BF119" s="574" t="n"/>
      <c r="BG119" s="574" t="n"/>
      <c r="BH119" s="574" t="n"/>
      <c r="BI119" s="574" t="n"/>
      <c r="BJ119" s="574" t="n"/>
      <c r="BK119" s="574" t="n"/>
      <c r="BL119" s="574" t="n"/>
      <c r="BM119" s="574" t="n"/>
      <c r="BN119" s="574" t="n"/>
      <c r="BO119" s="574" t="n"/>
      <c r="BP119" s="574" t="n"/>
      <c r="BQ119" s="574" t="n"/>
      <c r="BR119" s="574" t="n"/>
      <c r="BS119" s="574" t="n"/>
      <c r="BT119" s="574" t="n"/>
      <c r="BU119" s="574" t="n"/>
      <c r="BV119" s="574" t="n"/>
      <c r="BW119" s="574" t="n"/>
      <c r="BX119" s="574" t="n"/>
      <c r="BY119" s="574" t="n"/>
      <c r="BZ119" s="574" t="n"/>
      <c r="CA119" s="574" t="n"/>
      <c r="CB119" s="574" t="n"/>
      <c r="CC119" s="574" t="n"/>
      <c r="CD119" s="574" t="n"/>
      <c r="CE119" s="574" t="n"/>
      <c r="CF119" s="574" t="n"/>
      <c r="CG119" s="574" t="n"/>
      <c r="CH119" s="574" t="n"/>
      <c r="CI119" s="574" t="n"/>
      <c r="CJ119" s="574" t="n"/>
      <c r="CK119" s="574" t="n"/>
      <c r="CL119" s="574" t="n"/>
      <c r="CM119" s="574" t="n"/>
      <c r="CN119" s="574" t="n"/>
      <c r="CO119" s="574" t="n"/>
      <c r="CP119" s="574" t="n"/>
      <c r="CQ119" s="574" t="n"/>
      <c r="CR119" s="574" t="n"/>
      <c r="CS119" s="574" t="n"/>
      <c r="CT119" s="574" t="n"/>
      <c r="CU119" s="574" t="n"/>
      <c r="CV119" s="574" t="n"/>
      <c r="CW119" s="574" t="n"/>
      <c r="CX119" s="574" t="n"/>
      <c r="CY119" s="574" t="n"/>
      <c r="CZ119" s="574" t="n"/>
      <c r="DA119" s="574" t="n"/>
      <c r="DB119" s="574" t="n"/>
      <c r="DC119" s="574" t="n"/>
      <c r="DD119" s="574" t="n"/>
      <c r="DE119" s="574" t="n"/>
      <c r="DF119" s="574" t="n"/>
      <c r="DG119" s="574" t="n"/>
      <c r="DH119" s="574" t="n"/>
      <c r="DI119" s="574" t="n"/>
      <c r="DJ119" s="574" t="n"/>
      <c r="DK119" s="574" t="n"/>
      <c r="DL119" s="574" t="n"/>
      <c r="DM119" s="574" t="n"/>
      <c r="DN119" s="574" t="n"/>
      <c r="DO119" s="574" t="n"/>
      <c r="DP119" s="574" t="n"/>
      <c r="DQ119" s="574" t="n"/>
      <c r="DR119" s="574" t="n"/>
      <c r="DS119" s="574" t="n"/>
      <c r="DT119" s="574" t="n"/>
      <c r="DU119" s="574" t="n"/>
      <c r="DV119" s="574" t="n"/>
      <c r="DW119" s="574" t="n"/>
      <c r="DX119" s="574" t="n"/>
      <c r="DY119" s="574" t="n"/>
      <c r="DZ119" s="574" t="n"/>
      <c r="EA119" s="574" t="n"/>
      <c r="EB119" s="574" t="n"/>
      <c r="EC119" s="574" t="n"/>
      <c r="ED119" s="574" t="n"/>
      <c r="EE119" s="574" t="n"/>
      <c r="EF119" s="574" t="n"/>
      <c r="EG119" s="574" t="n"/>
      <c r="EH119" s="574" t="n"/>
      <c r="EI119" s="574" t="n"/>
      <c r="EJ119" s="574" t="n"/>
      <c r="EK119" s="574" t="n"/>
      <c r="EL119" s="574" t="n"/>
      <c r="EM119" s="574" t="n"/>
      <c r="EN119" s="574" t="n"/>
      <c r="EO119" s="574" t="n"/>
      <c r="EP119" s="574" t="n"/>
      <c r="EQ119" s="574" t="n"/>
      <c r="ER119" s="574" t="n"/>
      <c r="ES119" s="574" t="n"/>
      <c r="ET119" s="574" t="n"/>
      <c r="EU119" s="574" t="n"/>
      <c r="EV119" s="574" t="n"/>
      <c r="EW119" s="574" t="n"/>
      <c r="EX119" s="574" t="n"/>
      <c r="EY119" s="574" t="n"/>
      <c r="EZ119" s="574" t="n"/>
      <c r="FA119" s="574" t="n"/>
      <c r="FB119" s="574" t="n"/>
      <c r="FC119" s="574" t="n"/>
      <c r="FD119" s="574" t="n"/>
      <c r="FE119" s="574" t="n"/>
      <c r="FF119" s="574" t="n"/>
      <c r="FG119" s="574" t="n"/>
      <c r="FH119" s="574" t="n"/>
      <c r="FI119" s="574" t="n"/>
      <c r="FJ119" s="574" t="n"/>
      <c r="FK119" s="574" t="n"/>
      <c r="FL119" s="574" t="n"/>
      <c r="FM119" s="574" t="n"/>
      <c r="FN119" s="574" t="n"/>
      <c r="FO119" s="574" t="n"/>
      <c r="FP119" s="574" t="n"/>
      <c r="FQ119" s="574" t="n"/>
      <c r="FR119" s="574" t="n"/>
      <c r="FS119" s="574" t="n"/>
      <c r="FT119" s="574" t="n"/>
      <c r="FU119" s="574" t="n"/>
      <c r="FV119" s="574" t="n"/>
      <c r="FW119" s="574" t="n"/>
      <c r="FX119" s="574" t="n"/>
      <c r="FY119" s="574" t="n"/>
      <c r="FZ119" s="574" t="n"/>
      <c r="GA119" s="574" t="n"/>
      <c r="GB119" s="574" t="n"/>
      <c r="GC119" s="574" t="n"/>
      <c r="GD119" s="574" t="n"/>
      <c r="GE119" s="574" t="n"/>
      <c r="GF119" s="574" t="n"/>
    </row>
    <row r="120" customFormat="1" s="568">
      <c r="A120" s="86" t="n"/>
      <c r="B120" s="85" t="n"/>
      <c r="C120" s="84">
        <f>IFERROR(IF(AND($E120&gt;0,$D120&lt;&gt;"The Public"),$E120/SUMIFS($E$10:$E$205,$E$10:$E$205,"&gt;0",$D$10:$D$205,"&lt;&gt;The Public")*$D$5,""),"")</f>
        <v/>
      </c>
      <c r="D120" s="68" t="n"/>
      <c r="E120" s="84">
        <f>SUM(G120:HY120)</f>
        <v/>
      </c>
      <c r="F120" s="568">
        <f>IFERROR(IF($E120&gt;0.0000005,$E120/SUMIF($E$11:$E$140,"&gt;0.0000005"),""),"")</f>
        <v/>
      </c>
      <c r="M120" s="574" t="n"/>
      <c r="N120" s="574" t="n"/>
      <c r="O120" s="574" t="n"/>
      <c r="P120" s="574" t="n"/>
      <c r="Q120" s="574" t="n"/>
      <c r="R120" s="574" t="n"/>
      <c r="S120" s="574" t="n"/>
      <c r="T120" s="574" t="n"/>
      <c r="U120" s="574" t="n"/>
      <c r="V120" s="574" t="n"/>
      <c r="W120" s="574" t="n"/>
      <c r="X120" s="574" t="n"/>
      <c r="Y120" s="574" t="n"/>
      <c r="Z120" s="574" t="n"/>
      <c r="AA120" s="574" t="n"/>
      <c r="AB120" s="574" t="n"/>
      <c r="AC120" s="574" t="n"/>
      <c r="AD120" s="574" t="n"/>
      <c r="AE120" s="574" t="n"/>
      <c r="AF120" s="574" t="n"/>
      <c r="AG120" s="574" t="n"/>
      <c r="AH120" s="574" t="n"/>
      <c r="AI120" s="574" t="n"/>
      <c r="AJ120" s="574" t="n"/>
      <c r="AK120" s="574" t="n"/>
      <c r="AL120" s="574" t="n"/>
      <c r="AM120" s="574" t="n"/>
      <c r="AN120" s="574" t="n"/>
      <c r="AO120" s="574" t="n"/>
      <c r="AP120" s="574" t="n"/>
      <c r="AQ120" s="574" t="n"/>
      <c r="AR120" s="574" t="n"/>
      <c r="AS120" s="574" t="n"/>
      <c r="AT120" s="574" t="n"/>
      <c r="AU120" s="574" t="n"/>
      <c r="AV120" s="574" t="n"/>
      <c r="AW120" s="574" t="n"/>
      <c r="AX120" s="574" t="n"/>
      <c r="AY120" s="574" t="n"/>
      <c r="AZ120" s="574" t="n"/>
      <c r="BA120" s="574" t="n"/>
      <c r="BB120" s="574" t="n"/>
      <c r="BC120" s="574" t="n"/>
      <c r="BD120" s="574" t="n"/>
      <c r="BE120" s="574" t="n"/>
      <c r="BF120" s="574" t="n"/>
      <c r="BG120" s="574" t="n"/>
      <c r="BH120" s="574" t="n"/>
      <c r="BI120" s="574" t="n"/>
      <c r="BJ120" s="574" t="n"/>
      <c r="BK120" s="574" t="n"/>
      <c r="BL120" s="574" t="n"/>
      <c r="BM120" s="574" t="n"/>
      <c r="BN120" s="574" t="n"/>
      <c r="BO120" s="574" t="n"/>
      <c r="BP120" s="574" t="n"/>
      <c r="BQ120" s="574" t="n"/>
      <c r="BR120" s="574" t="n"/>
      <c r="BS120" s="574" t="n"/>
      <c r="BT120" s="574" t="n"/>
      <c r="BU120" s="574" t="n"/>
      <c r="BV120" s="574" t="n"/>
      <c r="BW120" s="574" t="n"/>
      <c r="BX120" s="574" t="n"/>
      <c r="BY120" s="574" t="n"/>
      <c r="BZ120" s="574" t="n"/>
      <c r="CA120" s="574" t="n"/>
      <c r="CB120" s="574" t="n"/>
      <c r="CC120" s="574" t="n"/>
      <c r="CD120" s="574" t="n"/>
      <c r="CE120" s="574" t="n"/>
      <c r="CF120" s="574" t="n"/>
      <c r="CG120" s="574" t="n"/>
      <c r="CH120" s="574" t="n"/>
      <c r="CI120" s="574" t="n"/>
      <c r="CJ120" s="574" t="n"/>
      <c r="CK120" s="574" t="n"/>
      <c r="CL120" s="574" t="n"/>
      <c r="CM120" s="574" t="n"/>
      <c r="CN120" s="574" t="n"/>
      <c r="CO120" s="574" t="n"/>
      <c r="CP120" s="574" t="n"/>
      <c r="CQ120" s="574" t="n"/>
      <c r="CR120" s="574" t="n"/>
      <c r="CS120" s="574" t="n"/>
      <c r="CT120" s="574" t="n"/>
      <c r="CU120" s="574" t="n"/>
      <c r="CV120" s="574" t="n"/>
      <c r="CW120" s="574" t="n"/>
      <c r="CX120" s="574" t="n"/>
      <c r="CY120" s="574" t="n"/>
      <c r="CZ120" s="574" t="n"/>
      <c r="DA120" s="574" t="n"/>
      <c r="DB120" s="574" t="n"/>
      <c r="DC120" s="574" t="n"/>
      <c r="DD120" s="574" t="n"/>
      <c r="DE120" s="574" t="n"/>
      <c r="DF120" s="574" t="n"/>
      <c r="DG120" s="574" t="n"/>
      <c r="DH120" s="574" t="n"/>
      <c r="DI120" s="574" t="n"/>
      <c r="DJ120" s="574" t="n"/>
      <c r="DK120" s="574" t="n"/>
      <c r="DL120" s="574" t="n"/>
      <c r="DM120" s="574" t="n"/>
      <c r="DN120" s="574" t="n"/>
      <c r="DO120" s="574" t="n"/>
      <c r="DP120" s="574" t="n"/>
      <c r="DQ120" s="574" t="n"/>
      <c r="DR120" s="574" t="n"/>
      <c r="DS120" s="574" t="n"/>
      <c r="DT120" s="574" t="n"/>
      <c r="DU120" s="574" t="n"/>
      <c r="DV120" s="574" t="n"/>
      <c r="DW120" s="574" t="n"/>
      <c r="DX120" s="574" t="n"/>
      <c r="DY120" s="574" t="n"/>
      <c r="DZ120" s="574" t="n"/>
      <c r="EA120" s="574" t="n"/>
      <c r="EB120" s="574" t="n"/>
      <c r="EC120" s="574" t="n"/>
      <c r="ED120" s="574" t="n"/>
      <c r="EE120" s="574" t="n"/>
      <c r="EF120" s="574" t="n"/>
      <c r="EG120" s="574" t="n"/>
      <c r="EH120" s="574" t="n"/>
      <c r="EI120" s="574" t="n"/>
      <c r="EJ120" s="574" t="n"/>
      <c r="EK120" s="574" t="n"/>
      <c r="EL120" s="574" t="n"/>
      <c r="EM120" s="574" t="n"/>
      <c r="EN120" s="574" t="n"/>
      <c r="EO120" s="574" t="n"/>
      <c r="EP120" s="574" t="n"/>
      <c r="EQ120" s="574" t="n"/>
      <c r="ER120" s="574" t="n"/>
      <c r="ES120" s="574" t="n"/>
      <c r="ET120" s="574" t="n"/>
      <c r="EU120" s="574" t="n"/>
      <c r="EV120" s="574" t="n"/>
      <c r="EW120" s="574" t="n"/>
      <c r="EX120" s="574" t="n"/>
      <c r="EY120" s="574" t="n"/>
      <c r="EZ120" s="574" t="n"/>
      <c r="FA120" s="574" t="n"/>
      <c r="FB120" s="574" t="n"/>
      <c r="FC120" s="574" t="n"/>
      <c r="FD120" s="574" t="n"/>
      <c r="FE120" s="574" t="n"/>
      <c r="FF120" s="574" t="n"/>
      <c r="FG120" s="574" t="n"/>
      <c r="FH120" s="574" t="n"/>
      <c r="FI120" s="574" t="n"/>
      <c r="FJ120" s="574" t="n"/>
      <c r="FK120" s="574" t="n"/>
      <c r="FL120" s="574" t="n"/>
      <c r="FM120" s="574" t="n"/>
      <c r="FN120" s="574" t="n"/>
      <c r="FO120" s="574" t="n"/>
      <c r="FP120" s="574" t="n"/>
      <c r="FQ120" s="574" t="n"/>
      <c r="FR120" s="574" t="n"/>
      <c r="FS120" s="574" t="n"/>
      <c r="FT120" s="574" t="n"/>
      <c r="FU120" s="574" t="n"/>
      <c r="FV120" s="574" t="n"/>
      <c r="FW120" s="574" t="n"/>
      <c r="FX120" s="574" t="n"/>
      <c r="FY120" s="574" t="n"/>
      <c r="FZ120" s="574" t="n"/>
      <c r="GA120" s="574" t="n"/>
      <c r="GB120" s="574" t="n"/>
      <c r="GC120" s="574" t="n"/>
      <c r="GD120" s="574" t="n"/>
      <c r="GE120" s="574" t="n"/>
      <c r="GF120" s="574" t="n"/>
    </row>
    <row r="121" customFormat="1" s="568">
      <c r="A121" s="86" t="n"/>
      <c r="B121" s="85" t="n"/>
      <c r="C121" s="84">
        <f>IFERROR(IF(AND($E121&gt;0,$D121&lt;&gt;"The Public"),$E121/SUMIFS($E$10:$E$205,$E$10:$E$205,"&gt;0",$D$10:$D$205,"&lt;&gt;The Public")*$D$5,""),"")</f>
        <v/>
      </c>
      <c r="D121" s="68" t="n"/>
      <c r="E121" s="84">
        <f>SUM(G121:HY121)</f>
        <v/>
      </c>
      <c r="F121" s="568">
        <f>IFERROR(IF($E121&gt;0.0000005,$E121/SUMIF($E$11:$E$140,"&gt;0.0000005"),""),"")</f>
        <v/>
      </c>
      <c r="M121" s="574" t="n"/>
      <c r="N121" s="574" t="n"/>
      <c r="O121" s="574" t="n"/>
      <c r="P121" s="574" t="n"/>
      <c r="Q121" s="574" t="n"/>
      <c r="R121" s="574" t="n"/>
      <c r="S121" s="574" t="n"/>
      <c r="T121" s="574" t="n"/>
      <c r="U121" s="574" t="n"/>
      <c r="V121" s="574" t="n"/>
      <c r="W121" s="574" t="n"/>
      <c r="X121" s="574" t="n"/>
      <c r="Y121" s="574" t="n"/>
      <c r="Z121" s="574" t="n"/>
      <c r="AA121" s="574" t="n"/>
      <c r="AB121" s="574" t="n"/>
      <c r="AC121" s="574" t="n"/>
      <c r="AD121" s="574" t="n"/>
      <c r="AE121" s="574" t="n"/>
      <c r="AF121" s="574" t="n"/>
      <c r="AG121" s="574" t="n"/>
      <c r="AH121" s="574" t="n"/>
      <c r="AI121" s="574" t="n"/>
      <c r="AJ121" s="574" t="n"/>
      <c r="AK121" s="574" t="n"/>
      <c r="AL121" s="574" t="n"/>
      <c r="AM121" s="574" t="n"/>
      <c r="AN121" s="574" t="n"/>
      <c r="AO121" s="574" t="n"/>
      <c r="AP121" s="574" t="n"/>
      <c r="AQ121" s="574" t="n"/>
      <c r="AR121" s="574" t="n"/>
      <c r="AS121" s="574" t="n"/>
      <c r="AT121" s="574" t="n"/>
      <c r="AU121" s="574" t="n"/>
      <c r="AV121" s="574" t="n"/>
      <c r="AW121" s="574" t="n"/>
      <c r="AX121" s="574" t="n"/>
      <c r="AY121" s="574" t="n"/>
      <c r="AZ121" s="574" t="n"/>
      <c r="BA121" s="574" t="n"/>
      <c r="BB121" s="574" t="n"/>
      <c r="BC121" s="574" t="n"/>
      <c r="BD121" s="574" t="n"/>
      <c r="BE121" s="574" t="n"/>
      <c r="BF121" s="574" t="n"/>
      <c r="BG121" s="574" t="n"/>
      <c r="BH121" s="574" t="n"/>
      <c r="BI121" s="574" t="n"/>
      <c r="BJ121" s="574" t="n"/>
      <c r="BK121" s="574" t="n"/>
      <c r="BL121" s="574" t="n"/>
      <c r="BM121" s="574" t="n"/>
      <c r="BN121" s="574" t="n"/>
      <c r="BO121" s="574" t="n"/>
      <c r="BP121" s="574" t="n"/>
      <c r="BQ121" s="574" t="n"/>
      <c r="BR121" s="574" t="n"/>
      <c r="BS121" s="574" t="n"/>
      <c r="BT121" s="574" t="n"/>
      <c r="BU121" s="574" t="n"/>
      <c r="BV121" s="574" t="n"/>
      <c r="BW121" s="574" t="n"/>
      <c r="BX121" s="574" t="n"/>
      <c r="BY121" s="574" t="n"/>
      <c r="BZ121" s="574" t="n"/>
      <c r="CA121" s="574" t="n"/>
      <c r="CB121" s="574" t="n"/>
      <c r="CC121" s="574" t="n"/>
      <c r="CD121" s="574" t="n"/>
      <c r="CE121" s="574" t="n"/>
      <c r="CF121" s="574" t="n"/>
      <c r="CG121" s="574" t="n"/>
      <c r="CH121" s="574" t="n"/>
      <c r="CI121" s="574" t="n"/>
      <c r="CJ121" s="574" t="n"/>
      <c r="CK121" s="574" t="n"/>
      <c r="CL121" s="574" t="n"/>
      <c r="CM121" s="574" t="n"/>
      <c r="CN121" s="574" t="n"/>
      <c r="CO121" s="574" t="n"/>
      <c r="CP121" s="574" t="n"/>
      <c r="CQ121" s="574" t="n"/>
      <c r="CR121" s="574" t="n"/>
      <c r="CS121" s="574" t="n"/>
      <c r="CT121" s="574" t="n"/>
      <c r="CU121" s="574" t="n"/>
      <c r="CV121" s="574" t="n"/>
      <c r="CW121" s="574" t="n"/>
      <c r="CX121" s="574" t="n"/>
      <c r="CY121" s="574" t="n"/>
      <c r="CZ121" s="574" t="n"/>
      <c r="DA121" s="574" t="n"/>
      <c r="DB121" s="574" t="n"/>
      <c r="DC121" s="574" t="n"/>
      <c r="DD121" s="574" t="n"/>
      <c r="DE121" s="574" t="n"/>
      <c r="DF121" s="574" t="n"/>
      <c r="DG121" s="574" t="n"/>
      <c r="DH121" s="574" t="n"/>
      <c r="DI121" s="574" t="n"/>
      <c r="DJ121" s="574" t="n"/>
      <c r="DK121" s="574" t="n"/>
      <c r="DL121" s="574" t="n"/>
      <c r="DM121" s="574" t="n"/>
      <c r="DN121" s="574" t="n"/>
      <c r="DO121" s="574" t="n"/>
      <c r="DP121" s="574" t="n"/>
      <c r="DQ121" s="574" t="n"/>
      <c r="DR121" s="574" t="n"/>
      <c r="DS121" s="574" t="n"/>
      <c r="DT121" s="574" t="n"/>
      <c r="DU121" s="574" t="n"/>
      <c r="DV121" s="574" t="n"/>
      <c r="DW121" s="574" t="n"/>
      <c r="DX121" s="574" t="n"/>
      <c r="DY121" s="574" t="n"/>
      <c r="DZ121" s="574" t="n"/>
      <c r="EA121" s="574" t="n"/>
      <c r="EB121" s="574" t="n"/>
      <c r="EC121" s="574" t="n"/>
      <c r="ED121" s="574" t="n"/>
      <c r="EE121" s="574" t="n"/>
      <c r="EF121" s="574" t="n"/>
      <c r="EG121" s="574" t="n"/>
      <c r="EH121" s="574" t="n"/>
      <c r="EI121" s="574" t="n"/>
      <c r="EJ121" s="574" t="n"/>
      <c r="EK121" s="574" t="n"/>
      <c r="EL121" s="574" t="n"/>
      <c r="EM121" s="574" t="n"/>
      <c r="EN121" s="574" t="n"/>
      <c r="EO121" s="574" t="n"/>
      <c r="EP121" s="574" t="n"/>
      <c r="EQ121" s="574" t="n"/>
      <c r="ER121" s="574" t="n"/>
      <c r="ES121" s="574" t="n"/>
      <c r="ET121" s="574" t="n"/>
      <c r="EU121" s="574" t="n"/>
      <c r="EV121" s="574" t="n"/>
      <c r="EW121" s="574" t="n"/>
      <c r="EX121" s="574" t="n"/>
      <c r="EY121" s="574" t="n"/>
      <c r="EZ121" s="574" t="n"/>
      <c r="FA121" s="574" t="n"/>
      <c r="FB121" s="574" t="n"/>
      <c r="FC121" s="574" t="n"/>
      <c r="FD121" s="574" t="n"/>
      <c r="FE121" s="574" t="n"/>
      <c r="FF121" s="574" t="n"/>
      <c r="FG121" s="574" t="n"/>
      <c r="FH121" s="574" t="n"/>
      <c r="FI121" s="574" t="n"/>
      <c r="FJ121" s="574" t="n"/>
      <c r="FK121" s="574" t="n"/>
      <c r="FL121" s="574" t="n"/>
      <c r="FM121" s="574" t="n"/>
      <c r="FN121" s="574" t="n"/>
      <c r="FO121" s="574" t="n"/>
      <c r="FP121" s="574" t="n"/>
      <c r="FQ121" s="574" t="n"/>
      <c r="FR121" s="574" t="n"/>
      <c r="FS121" s="574" t="n"/>
      <c r="FT121" s="574" t="n"/>
      <c r="FU121" s="574" t="n"/>
      <c r="FV121" s="574" t="n"/>
      <c r="FW121" s="574" t="n"/>
      <c r="FX121" s="574" t="n"/>
      <c r="FY121" s="574" t="n"/>
      <c r="FZ121" s="574" t="n"/>
      <c r="GA121" s="574" t="n"/>
      <c r="GB121" s="574" t="n"/>
      <c r="GC121" s="574" t="n"/>
      <c r="GD121" s="574" t="n"/>
      <c r="GE121" s="574" t="n"/>
      <c r="GF121" s="574" t="n"/>
    </row>
    <row r="122" customFormat="1" s="568">
      <c r="A122" s="86" t="n"/>
      <c r="B122" s="85" t="n"/>
      <c r="C122" s="84">
        <f>IFERROR(IF(AND($E122&gt;0,$D122&lt;&gt;"The Public"),$E122/SUMIFS($E$10:$E$205,$E$10:$E$205,"&gt;0",$D$10:$D$205,"&lt;&gt;The Public")*$D$5,""),"")</f>
        <v/>
      </c>
      <c r="D122" s="68" t="n"/>
      <c r="E122" s="84">
        <f>SUM(G122:HY122)</f>
        <v/>
      </c>
      <c r="F122" s="568">
        <f>IFERROR(IF($E122&gt;0.0000005,$E122/SUMIF($E$11:$E$140,"&gt;0.0000005"),""),"")</f>
        <v/>
      </c>
      <c r="M122" s="574" t="n"/>
      <c r="N122" s="574" t="n"/>
      <c r="O122" s="574" t="n"/>
      <c r="P122" s="574" t="n"/>
      <c r="Q122" s="574" t="n"/>
      <c r="R122" s="574" t="n"/>
      <c r="S122" s="574" t="n"/>
      <c r="T122" s="574" t="n"/>
      <c r="U122" s="574" t="n"/>
      <c r="V122" s="574" t="n"/>
      <c r="W122" s="574" t="n"/>
      <c r="X122" s="574" t="n"/>
      <c r="Y122" s="574" t="n"/>
      <c r="Z122" s="574" t="n"/>
      <c r="AA122" s="574" t="n"/>
      <c r="AB122" s="574" t="n"/>
      <c r="AC122" s="574" t="n"/>
      <c r="AD122" s="574" t="n"/>
      <c r="AE122" s="574" t="n"/>
      <c r="AF122" s="574" t="n"/>
      <c r="AG122" s="574" t="n"/>
      <c r="AH122" s="574" t="n"/>
      <c r="AI122" s="574" t="n"/>
      <c r="AJ122" s="574" t="n"/>
      <c r="AK122" s="574" t="n"/>
      <c r="AL122" s="574" t="n"/>
      <c r="AM122" s="574" t="n"/>
      <c r="AN122" s="574" t="n"/>
      <c r="AO122" s="574" t="n"/>
      <c r="AP122" s="574" t="n"/>
      <c r="AQ122" s="574" t="n"/>
      <c r="AR122" s="574" t="n"/>
      <c r="AS122" s="574" t="n"/>
      <c r="AT122" s="574" t="n"/>
      <c r="AU122" s="574" t="n"/>
      <c r="AV122" s="574" t="n"/>
      <c r="AW122" s="574" t="n"/>
      <c r="AX122" s="574" t="n"/>
      <c r="AY122" s="574" t="n"/>
      <c r="AZ122" s="574" t="n"/>
      <c r="BA122" s="574" t="n"/>
      <c r="BB122" s="574" t="n"/>
      <c r="BC122" s="574" t="n"/>
      <c r="BD122" s="574" t="n"/>
      <c r="BE122" s="574" t="n"/>
      <c r="BF122" s="574" t="n"/>
      <c r="BG122" s="574" t="n"/>
      <c r="BH122" s="574" t="n"/>
      <c r="BI122" s="574" t="n"/>
      <c r="BJ122" s="574" t="n"/>
      <c r="BK122" s="574" t="n"/>
      <c r="BL122" s="574" t="n"/>
      <c r="BM122" s="574" t="n"/>
      <c r="BN122" s="574" t="n"/>
      <c r="BO122" s="574" t="n"/>
      <c r="BP122" s="574" t="n"/>
      <c r="BQ122" s="574" t="n"/>
      <c r="BR122" s="574" t="n"/>
      <c r="BS122" s="574" t="n"/>
      <c r="BT122" s="574" t="n"/>
      <c r="BU122" s="574" t="n"/>
      <c r="BV122" s="574" t="n"/>
      <c r="BW122" s="574" t="n"/>
      <c r="BX122" s="574" t="n"/>
      <c r="BY122" s="574" t="n"/>
      <c r="BZ122" s="574" t="n"/>
      <c r="CA122" s="574" t="n"/>
      <c r="CB122" s="574" t="n"/>
      <c r="CC122" s="574" t="n"/>
      <c r="CD122" s="574" t="n"/>
      <c r="CE122" s="574" t="n"/>
      <c r="CF122" s="574" t="n"/>
      <c r="CG122" s="574" t="n"/>
      <c r="CH122" s="574" t="n"/>
      <c r="CI122" s="574" t="n"/>
      <c r="CJ122" s="574" t="n"/>
      <c r="CK122" s="574" t="n"/>
      <c r="CL122" s="574" t="n"/>
      <c r="CM122" s="574" t="n"/>
      <c r="CN122" s="574" t="n"/>
      <c r="CO122" s="574" t="n"/>
      <c r="CP122" s="574" t="n"/>
      <c r="CQ122" s="574" t="n"/>
      <c r="CR122" s="574" t="n"/>
      <c r="CS122" s="574" t="n"/>
      <c r="CT122" s="574" t="n"/>
      <c r="CU122" s="574" t="n"/>
      <c r="CV122" s="574" t="n"/>
      <c r="CW122" s="574" t="n"/>
      <c r="CX122" s="574" t="n"/>
      <c r="CY122" s="574" t="n"/>
      <c r="CZ122" s="574" t="n"/>
      <c r="DA122" s="574" t="n"/>
      <c r="DB122" s="574" t="n"/>
      <c r="DC122" s="574" t="n"/>
      <c r="DD122" s="574" t="n"/>
      <c r="DE122" s="574" t="n"/>
      <c r="DF122" s="574" t="n"/>
      <c r="DG122" s="574" t="n"/>
      <c r="DH122" s="574" t="n"/>
      <c r="DI122" s="574" t="n"/>
      <c r="DJ122" s="574" t="n"/>
      <c r="DK122" s="574" t="n"/>
      <c r="DL122" s="574" t="n"/>
      <c r="DM122" s="574" t="n"/>
      <c r="DN122" s="574" t="n"/>
      <c r="DO122" s="574" t="n"/>
      <c r="DP122" s="574" t="n"/>
      <c r="DQ122" s="574" t="n"/>
      <c r="DR122" s="574" t="n"/>
      <c r="DS122" s="574" t="n"/>
      <c r="DT122" s="574" t="n"/>
      <c r="DU122" s="574" t="n"/>
      <c r="DV122" s="574" t="n"/>
      <c r="DW122" s="574" t="n"/>
      <c r="DX122" s="574" t="n"/>
      <c r="DY122" s="574" t="n"/>
      <c r="DZ122" s="574" t="n"/>
      <c r="EA122" s="574" t="n"/>
      <c r="EB122" s="574" t="n"/>
      <c r="EC122" s="574" t="n"/>
      <c r="ED122" s="574" t="n"/>
      <c r="EE122" s="574" t="n"/>
      <c r="EF122" s="574" t="n"/>
      <c r="EG122" s="574" t="n"/>
      <c r="EH122" s="574" t="n"/>
      <c r="EI122" s="574" t="n"/>
      <c r="EJ122" s="574" t="n"/>
      <c r="EK122" s="574" t="n"/>
      <c r="EL122" s="574" t="n"/>
      <c r="EM122" s="574" t="n"/>
      <c r="EN122" s="574" t="n"/>
      <c r="EO122" s="574" t="n"/>
      <c r="EP122" s="574" t="n"/>
      <c r="EQ122" s="574" t="n"/>
      <c r="ER122" s="574" t="n"/>
      <c r="ES122" s="574" t="n"/>
      <c r="ET122" s="574" t="n"/>
      <c r="EU122" s="574" t="n"/>
      <c r="EV122" s="574" t="n"/>
      <c r="EW122" s="574" t="n"/>
      <c r="EX122" s="574" t="n"/>
      <c r="EY122" s="574" t="n"/>
      <c r="EZ122" s="574" t="n"/>
      <c r="FA122" s="574" t="n"/>
      <c r="FB122" s="574" t="n"/>
      <c r="FC122" s="574" t="n"/>
      <c r="FD122" s="574" t="n"/>
      <c r="FE122" s="574" t="n"/>
      <c r="FF122" s="574" t="n"/>
      <c r="FG122" s="574" t="n"/>
      <c r="FH122" s="574" t="n"/>
      <c r="FI122" s="574" t="n"/>
      <c r="FJ122" s="574" t="n"/>
      <c r="FK122" s="574" t="n"/>
      <c r="FL122" s="574" t="n"/>
      <c r="FM122" s="574" t="n"/>
      <c r="FN122" s="574" t="n"/>
      <c r="FO122" s="574" t="n"/>
      <c r="FP122" s="574" t="n"/>
      <c r="FQ122" s="574" t="n"/>
      <c r="FR122" s="574" t="n"/>
      <c r="FS122" s="574" t="n"/>
      <c r="FT122" s="574" t="n"/>
      <c r="FU122" s="574" t="n"/>
      <c r="FV122" s="574" t="n"/>
      <c r="FW122" s="574" t="n"/>
      <c r="FX122" s="574" t="n"/>
      <c r="FY122" s="574" t="n"/>
      <c r="FZ122" s="574" t="n"/>
      <c r="GA122" s="574" t="n"/>
      <c r="GB122" s="574" t="n"/>
      <c r="GC122" s="574" t="n"/>
      <c r="GD122" s="574" t="n"/>
      <c r="GE122" s="574" t="n"/>
      <c r="GF122" s="574" t="n"/>
    </row>
    <row r="123" customFormat="1" s="568">
      <c r="A123" s="86" t="n"/>
      <c r="B123" s="85" t="n"/>
      <c r="C123" s="84">
        <f>IFERROR(IF(AND($E123&gt;0,$D123&lt;&gt;"The Public"),$E123/SUMIFS($E$10:$E$205,$E$10:$E$205,"&gt;0",$D$10:$D$205,"&lt;&gt;The Public")*$D$5,""),"")</f>
        <v/>
      </c>
      <c r="D123" s="68" t="n"/>
      <c r="E123" s="84">
        <f>SUM(G123:HY123)</f>
        <v/>
      </c>
      <c r="F123" s="568">
        <f>IFERROR(IF($E123&gt;0.0000005,$E123/SUMIF($E$11:$E$140,"&gt;0.0000005"),""),"")</f>
        <v/>
      </c>
      <c r="M123" s="574" t="n"/>
      <c r="N123" s="574" t="n"/>
      <c r="O123" s="574" t="n"/>
      <c r="P123" s="574" t="n"/>
      <c r="Q123" s="574" t="n"/>
      <c r="R123" s="574" t="n"/>
      <c r="S123" s="574" t="n"/>
      <c r="T123" s="574" t="n"/>
      <c r="U123" s="574" t="n"/>
      <c r="V123" s="574" t="n"/>
      <c r="W123" s="574" t="n"/>
      <c r="X123" s="574" t="n"/>
      <c r="Y123" s="574" t="n"/>
      <c r="Z123" s="574" t="n"/>
      <c r="AA123" s="574" t="n"/>
      <c r="AB123" s="574" t="n"/>
      <c r="AC123" s="574" t="n"/>
      <c r="AD123" s="574" t="n"/>
      <c r="AE123" s="574" t="n"/>
      <c r="AF123" s="574" t="n"/>
      <c r="AG123" s="574" t="n"/>
      <c r="AH123" s="574" t="n"/>
      <c r="AI123" s="574" t="n"/>
      <c r="AJ123" s="574" t="n"/>
      <c r="AK123" s="574" t="n"/>
      <c r="AL123" s="574" t="n"/>
      <c r="AM123" s="574" t="n"/>
      <c r="AN123" s="574" t="n"/>
      <c r="AO123" s="574" t="n"/>
      <c r="AP123" s="574" t="n"/>
      <c r="AQ123" s="574" t="n"/>
      <c r="AR123" s="574" t="n"/>
      <c r="AS123" s="574" t="n"/>
      <c r="AT123" s="574" t="n"/>
      <c r="AU123" s="574" t="n"/>
      <c r="AV123" s="574" t="n"/>
      <c r="AW123" s="574" t="n"/>
      <c r="AX123" s="574" t="n"/>
      <c r="AY123" s="574" t="n"/>
      <c r="AZ123" s="574" t="n"/>
      <c r="BA123" s="574" t="n"/>
      <c r="BB123" s="574" t="n"/>
      <c r="BC123" s="574" t="n"/>
      <c r="BD123" s="574" t="n"/>
      <c r="BE123" s="574" t="n"/>
      <c r="BF123" s="574" t="n"/>
      <c r="BG123" s="574" t="n"/>
      <c r="BH123" s="574" t="n"/>
      <c r="BI123" s="574" t="n"/>
      <c r="BJ123" s="574" t="n"/>
      <c r="BK123" s="574" t="n"/>
      <c r="BL123" s="574" t="n"/>
      <c r="BM123" s="574" t="n"/>
      <c r="BN123" s="574" t="n"/>
      <c r="BO123" s="574" t="n"/>
      <c r="BP123" s="574" t="n"/>
      <c r="BQ123" s="574" t="n"/>
      <c r="BR123" s="574" t="n"/>
      <c r="BS123" s="574" t="n"/>
      <c r="BT123" s="574" t="n"/>
      <c r="BU123" s="574" t="n"/>
      <c r="BV123" s="574" t="n"/>
      <c r="BW123" s="574" t="n"/>
      <c r="BX123" s="574" t="n"/>
      <c r="BY123" s="574" t="n"/>
      <c r="BZ123" s="574" t="n"/>
      <c r="CA123" s="574" t="n"/>
      <c r="CB123" s="574" t="n"/>
      <c r="CC123" s="574" t="n"/>
      <c r="CD123" s="574" t="n"/>
      <c r="CE123" s="574" t="n"/>
      <c r="CF123" s="574" t="n"/>
      <c r="CG123" s="574" t="n"/>
      <c r="CH123" s="574" t="n"/>
      <c r="CI123" s="574" t="n"/>
      <c r="CJ123" s="574" t="n"/>
      <c r="CK123" s="574" t="n"/>
      <c r="CL123" s="574" t="n"/>
      <c r="CM123" s="574" t="n"/>
      <c r="CN123" s="574" t="n"/>
      <c r="CO123" s="574" t="n"/>
      <c r="CP123" s="574" t="n"/>
      <c r="CQ123" s="574" t="n"/>
      <c r="CR123" s="574" t="n"/>
      <c r="CS123" s="574" t="n"/>
      <c r="CT123" s="574" t="n"/>
      <c r="CU123" s="574" t="n"/>
      <c r="CV123" s="574" t="n"/>
      <c r="CW123" s="574" t="n"/>
      <c r="CX123" s="574" t="n"/>
      <c r="CY123" s="574" t="n"/>
      <c r="CZ123" s="574" t="n"/>
      <c r="DA123" s="574" t="n"/>
      <c r="DB123" s="574" t="n"/>
      <c r="DC123" s="574" t="n"/>
      <c r="DD123" s="574" t="n"/>
      <c r="DE123" s="574" t="n"/>
      <c r="DF123" s="574" t="n"/>
      <c r="DG123" s="574" t="n"/>
      <c r="DH123" s="574" t="n"/>
      <c r="DI123" s="574" t="n"/>
      <c r="DJ123" s="574" t="n"/>
      <c r="DK123" s="574" t="n"/>
      <c r="DL123" s="574" t="n"/>
      <c r="DM123" s="574" t="n"/>
      <c r="DN123" s="574" t="n"/>
      <c r="DO123" s="574" t="n"/>
      <c r="DP123" s="574" t="n"/>
      <c r="DQ123" s="574" t="n"/>
      <c r="DR123" s="574" t="n"/>
      <c r="DS123" s="574" t="n"/>
      <c r="DT123" s="574" t="n"/>
      <c r="DU123" s="574" t="n"/>
      <c r="DV123" s="574" t="n"/>
      <c r="DW123" s="574" t="n"/>
      <c r="DX123" s="574" t="n"/>
      <c r="DY123" s="574" t="n"/>
      <c r="DZ123" s="574" t="n"/>
      <c r="EA123" s="574" t="n"/>
      <c r="EB123" s="574" t="n"/>
      <c r="EC123" s="574" t="n"/>
      <c r="ED123" s="574" t="n"/>
      <c r="EE123" s="574" t="n"/>
      <c r="EF123" s="574" t="n"/>
      <c r="EG123" s="574" t="n"/>
      <c r="EH123" s="574" t="n"/>
      <c r="EI123" s="574" t="n"/>
      <c r="EJ123" s="574" t="n"/>
      <c r="EK123" s="574" t="n"/>
      <c r="EL123" s="574" t="n"/>
      <c r="EM123" s="574" t="n"/>
      <c r="EN123" s="574" t="n"/>
      <c r="EO123" s="574" t="n"/>
      <c r="EP123" s="574" t="n"/>
      <c r="EQ123" s="574" t="n"/>
      <c r="ER123" s="574" t="n"/>
      <c r="ES123" s="574" t="n"/>
      <c r="ET123" s="574" t="n"/>
      <c r="EU123" s="574" t="n"/>
      <c r="EV123" s="574" t="n"/>
      <c r="EW123" s="574" t="n"/>
      <c r="EX123" s="574" t="n"/>
      <c r="EY123" s="574" t="n"/>
      <c r="EZ123" s="574" t="n"/>
      <c r="FA123" s="574" t="n"/>
      <c r="FB123" s="574" t="n"/>
      <c r="FC123" s="574" t="n"/>
      <c r="FD123" s="574" t="n"/>
      <c r="FE123" s="574" t="n"/>
      <c r="FF123" s="574" t="n"/>
      <c r="FG123" s="574" t="n"/>
      <c r="FH123" s="574" t="n"/>
      <c r="FI123" s="574" t="n"/>
      <c r="FJ123" s="574" t="n"/>
      <c r="FK123" s="574" t="n"/>
      <c r="FL123" s="574" t="n"/>
      <c r="FM123" s="574" t="n"/>
      <c r="FN123" s="574" t="n"/>
      <c r="FO123" s="574" t="n"/>
      <c r="FP123" s="574" t="n"/>
      <c r="FQ123" s="574" t="n"/>
      <c r="FR123" s="574" t="n"/>
      <c r="FS123" s="574" t="n"/>
      <c r="FT123" s="574" t="n"/>
      <c r="FU123" s="574" t="n"/>
      <c r="FV123" s="574" t="n"/>
      <c r="FW123" s="574" t="n"/>
      <c r="FX123" s="574" t="n"/>
      <c r="FY123" s="574" t="n"/>
      <c r="FZ123" s="574" t="n"/>
      <c r="GA123" s="574" t="n"/>
      <c r="GB123" s="574" t="n"/>
      <c r="GC123" s="574" t="n"/>
      <c r="GD123" s="574" t="n"/>
      <c r="GE123" s="574" t="n"/>
      <c r="GF123" s="574" t="n"/>
    </row>
    <row r="124" customFormat="1" s="568">
      <c r="A124" s="86" t="n"/>
      <c r="B124" s="85" t="n"/>
      <c r="C124" s="84">
        <f>IFERROR(IF(AND($E124&gt;0,$D124&lt;&gt;"The Public"),$E124/SUMIFS($E$10:$E$205,$E$10:$E$205,"&gt;0",$D$10:$D$205,"&lt;&gt;The Public")*$D$5,""),"")</f>
        <v/>
      </c>
      <c r="D124" s="68" t="n"/>
      <c r="E124" s="84">
        <f>SUM(G124:HY124)</f>
        <v/>
      </c>
      <c r="F124" s="568">
        <f>IFERROR(IF($E124&gt;0.0000005,$E124/SUMIF($E$11:$E$140,"&gt;0.0000005"),""),"")</f>
        <v/>
      </c>
      <c r="M124" s="574" t="n"/>
      <c r="N124" s="574" t="n"/>
      <c r="O124" s="574" t="n"/>
      <c r="P124" s="574" t="n"/>
      <c r="Q124" s="574" t="n"/>
      <c r="R124" s="574" t="n"/>
      <c r="S124" s="574" t="n"/>
      <c r="T124" s="574" t="n"/>
      <c r="U124" s="574" t="n"/>
      <c r="V124" s="574" t="n"/>
      <c r="W124" s="574" t="n"/>
      <c r="X124" s="574" t="n"/>
      <c r="Y124" s="574" t="n"/>
      <c r="Z124" s="574" t="n"/>
      <c r="AA124" s="574" t="n"/>
      <c r="AB124" s="574" t="n"/>
      <c r="AC124" s="574" t="n"/>
      <c r="AD124" s="574" t="n"/>
      <c r="AE124" s="574" t="n"/>
      <c r="AF124" s="574" t="n"/>
      <c r="AG124" s="574" t="n"/>
      <c r="AH124" s="574" t="n"/>
      <c r="AI124" s="574" t="n"/>
      <c r="AJ124" s="574" t="n"/>
      <c r="AK124" s="574" t="n"/>
      <c r="AL124" s="574" t="n"/>
      <c r="AM124" s="574" t="n"/>
      <c r="AN124" s="574" t="n"/>
      <c r="AO124" s="574" t="n"/>
      <c r="AP124" s="574" t="n"/>
      <c r="AQ124" s="574" t="n"/>
      <c r="AR124" s="574" t="n"/>
      <c r="AS124" s="574" t="n"/>
      <c r="AT124" s="574" t="n"/>
      <c r="AU124" s="574" t="n"/>
      <c r="AV124" s="574" t="n"/>
      <c r="AW124" s="574" t="n"/>
      <c r="AX124" s="574" t="n"/>
      <c r="AY124" s="574" t="n"/>
      <c r="AZ124" s="574" t="n"/>
      <c r="BA124" s="574" t="n"/>
      <c r="BB124" s="574" t="n"/>
      <c r="BC124" s="574" t="n"/>
      <c r="BD124" s="574" t="n"/>
      <c r="BE124" s="574" t="n"/>
      <c r="BF124" s="574" t="n"/>
      <c r="BG124" s="574" t="n"/>
      <c r="BH124" s="574" t="n"/>
      <c r="BI124" s="574" t="n"/>
      <c r="BJ124" s="574" t="n"/>
      <c r="BK124" s="574" t="n"/>
      <c r="BL124" s="574" t="n"/>
      <c r="BM124" s="574" t="n"/>
      <c r="BN124" s="574" t="n"/>
      <c r="BO124" s="574" t="n"/>
      <c r="BP124" s="574" t="n"/>
      <c r="BQ124" s="574" t="n"/>
      <c r="BR124" s="574" t="n"/>
      <c r="BS124" s="574" t="n"/>
      <c r="BT124" s="574" t="n"/>
      <c r="BU124" s="574" t="n"/>
      <c r="BV124" s="574" t="n"/>
      <c r="BW124" s="574" t="n"/>
      <c r="BX124" s="574" t="n"/>
      <c r="BY124" s="574" t="n"/>
      <c r="BZ124" s="574" t="n"/>
      <c r="CA124" s="574" t="n"/>
      <c r="CB124" s="574" t="n"/>
      <c r="CC124" s="574" t="n"/>
      <c r="CD124" s="574" t="n"/>
      <c r="CE124" s="574" t="n"/>
      <c r="CF124" s="574" t="n"/>
      <c r="CG124" s="574" t="n"/>
      <c r="CH124" s="574" t="n"/>
      <c r="CI124" s="574" t="n"/>
      <c r="CJ124" s="574" t="n"/>
      <c r="CK124" s="574" t="n"/>
      <c r="CL124" s="574" t="n"/>
      <c r="CM124" s="574" t="n"/>
      <c r="CN124" s="574" t="n"/>
      <c r="CO124" s="574" t="n"/>
      <c r="CP124" s="574" t="n"/>
      <c r="CQ124" s="574" t="n"/>
      <c r="CR124" s="574" t="n"/>
      <c r="CS124" s="574" t="n"/>
      <c r="CT124" s="574" t="n"/>
      <c r="CU124" s="574" t="n"/>
      <c r="CV124" s="574" t="n"/>
      <c r="CW124" s="574" t="n"/>
      <c r="CX124" s="574" t="n"/>
      <c r="CY124" s="574" t="n"/>
      <c r="CZ124" s="574" t="n"/>
      <c r="DA124" s="574" t="n"/>
      <c r="DB124" s="574" t="n"/>
      <c r="DC124" s="574" t="n"/>
      <c r="DD124" s="574" t="n"/>
      <c r="DE124" s="574" t="n"/>
      <c r="DF124" s="574" t="n"/>
      <c r="DG124" s="574" t="n"/>
      <c r="DH124" s="574" t="n"/>
      <c r="DI124" s="574" t="n"/>
      <c r="DJ124" s="574" t="n"/>
      <c r="DK124" s="574" t="n"/>
      <c r="DL124" s="574" t="n"/>
      <c r="DM124" s="574" t="n"/>
      <c r="DN124" s="574" t="n"/>
      <c r="DO124" s="574" t="n"/>
      <c r="DP124" s="574" t="n"/>
      <c r="DQ124" s="574" t="n"/>
      <c r="DR124" s="574" t="n"/>
      <c r="DS124" s="574" t="n"/>
      <c r="DT124" s="574" t="n"/>
      <c r="DU124" s="574" t="n"/>
      <c r="DV124" s="574" t="n"/>
      <c r="DW124" s="574" t="n"/>
      <c r="DX124" s="574" t="n"/>
      <c r="DY124" s="574" t="n"/>
      <c r="DZ124" s="574" t="n"/>
      <c r="EA124" s="574" t="n"/>
      <c r="EB124" s="574" t="n"/>
      <c r="EC124" s="574" t="n"/>
      <c r="ED124" s="574" t="n"/>
      <c r="EE124" s="574" t="n"/>
      <c r="EF124" s="574" t="n"/>
      <c r="EG124" s="574" t="n"/>
      <c r="EH124" s="574" t="n"/>
      <c r="EI124" s="574" t="n"/>
      <c r="EJ124" s="574" t="n"/>
      <c r="EK124" s="574" t="n"/>
      <c r="EL124" s="574" t="n"/>
      <c r="EM124" s="574" t="n"/>
      <c r="EN124" s="574" t="n"/>
      <c r="EO124" s="574" t="n"/>
      <c r="EP124" s="574" t="n"/>
      <c r="EQ124" s="574" t="n"/>
      <c r="ER124" s="574" t="n"/>
      <c r="ES124" s="574" t="n"/>
      <c r="ET124" s="574" t="n"/>
      <c r="EU124" s="574" t="n"/>
      <c r="EV124" s="574" t="n"/>
      <c r="EW124" s="574" t="n"/>
      <c r="EX124" s="574" t="n"/>
      <c r="EY124" s="574" t="n"/>
      <c r="EZ124" s="574" t="n"/>
      <c r="FA124" s="574" t="n"/>
      <c r="FB124" s="574" t="n"/>
      <c r="FC124" s="574" t="n"/>
      <c r="FD124" s="574" t="n"/>
      <c r="FE124" s="574" t="n"/>
      <c r="FF124" s="574" t="n"/>
      <c r="FG124" s="574" t="n"/>
      <c r="FH124" s="574" t="n"/>
      <c r="FI124" s="574" t="n"/>
      <c r="FJ124" s="574" t="n"/>
      <c r="FK124" s="574" t="n"/>
      <c r="FL124" s="574" t="n"/>
      <c r="FM124" s="574" t="n"/>
      <c r="FN124" s="574" t="n"/>
      <c r="FO124" s="574" t="n"/>
      <c r="FP124" s="574" t="n"/>
      <c r="FQ124" s="574" t="n"/>
      <c r="FR124" s="574" t="n"/>
      <c r="FS124" s="574" t="n"/>
      <c r="FT124" s="574" t="n"/>
      <c r="FU124" s="574" t="n"/>
      <c r="FV124" s="574" t="n"/>
      <c r="FW124" s="574" t="n"/>
      <c r="FX124" s="574" t="n"/>
      <c r="FY124" s="574" t="n"/>
      <c r="FZ124" s="574" t="n"/>
      <c r="GA124" s="574" t="n"/>
      <c r="GB124" s="574" t="n"/>
      <c r="GC124" s="574" t="n"/>
      <c r="GD124" s="574" t="n"/>
      <c r="GE124" s="574" t="n"/>
      <c r="GF124" s="574" t="n"/>
    </row>
    <row r="125" customFormat="1" s="568">
      <c r="A125" s="86" t="n"/>
      <c r="B125" s="85" t="n"/>
      <c r="C125" s="84">
        <f>IFERROR(IF(AND($E125&gt;0,$D125&lt;&gt;"The Public"),$E125/SUMIFS($E$10:$E$205,$E$10:$E$205,"&gt;0",$D$10:$D$205,"&lt;&gt;The Public")*$D$5,""),"")</f>
        <v/>
      </c>
      <c r="D125" s="68" t="n"/>
      <c r="E125" s="84">
        <f>SUM(G125:HY125)</f>
        <v/>
      </c>
      <c r="F125" s="568">
        <f>IFERROR(IF($E125&gt;0.0000005,$E125/SUMIF($E$11:$E$140,"&gt;0.0000005"),""),"")</f>
        <v/>
      </c>
      <c r="M125" s="574" t="n"/>
      <c r="N125" s="574" t="n"/>
      <c r="O125" s="574" t="n"/>
      <c r="P125" s="574" t="n"/>
      <c r="Q125" s="574" t="n"/>
      <c r="R125" s="574" t="n"/>
      <c r="S125" s="574" t="n"/>
      <c r="T125" s="574" t="n"/>
      <c r="U125" s="574" t="n"/>
      <c r="V125" s="574" t="n"/>
      <c r="W125" s="574" t="n"/>
      <c r="X125" s="574" t="n"/>
      <c r="Y125" s="574" t="n"/>
      <c r="Z125" s="574" t="n"/>
      <c r="AA125" s="574" t="n"/>
      <c r="AB125" s="574" t="n"/>
      <c r="AC125" s="574" t="n"/>
      <c r="AD125" s="574" t="n"/>
      <c r="AE125" s="574" t="n"/>
      <c r="AF125" s="574" t="n"/>
      <c r="AG125" s="574" t="n"/>
      <c r="AH125" s="574" t="n"/>
      <c r="AI125" s="574" t="n"/>
      <c r="AJ125" s="574" t="n"/>
      <c r="AK125" s="574" t="n"/>
      <c r="AL125" s="574" t="n"/>
      <c r="AM125" s="574" t="n"/>
      <c r="AN125" s="574" t="n"/>
      <c r="AO125" s="574" t="n"/>
      <c r="AP125" s="574" t="n"/>
      <c r="AQ125" s="574" t="n"/>
      <c r="AR125" s="574" t="n"/>
      <c r="AS125" s="574" t="n"/>
      <c r="AT125" s="574" t="n"/>
      <c r="AU125" s="574" t="n"/>
      <c r="AV125" s="574" t="n"/>
      <c r="AW125" s="574" t="n"/>
      <c r="AX125" s="574" t="n"/>
      <c r="AY125" s="574" t="n"/>
      <c r="AZ125" s="574" t="n"/>
      <c r="BA125" s="574" t="n"/>
      <c r="BB125" s="574" t="n"/>
      <c r="BC125" s="574" t="n"/>
      <c r="BD125" s="574" t="n"/>
      <c r="BE125" s="574" t="n"/>
      <c r="BF125" s="574" t="n"/>
      <c r="BG125" s="574" t="n"/>
      <c r="BH125" s="574" t="n"/>
      <c r="BI125" s="574" t="n"/>
      <c r="BJ125" s="574" t="n"/>
      <c r="BK125" s="574" t="n"/>
      <c r="BL125" s="574" t="n"/>
      <c r="BM125" s="574" t="n"/>
      <c r="BN125" s="574" t="n"/>
      <c r="BO125" s="574" t="n"/>
      <c r="BP125" s="574" t="n"/>
      <c r="BQ125" s="574" t="n"/>
      <c r="BR125" s="574" t="n"/>
      <c r="BS125" s="574" t="n"/>
      <c r="BT125" s="574" t="n"/>
      <c r="BU125" s="574" t="n"/>
      <c r="BV125" s="574" t="n"/>
      <c r="BW125" s="574" t="n"/>
      <c r="BX125" s="574" t="n"/>
      <c r="BY125" s="574" t="n"/>
      <c r="BZ125" s="574" t="n"/>
      <c r="CA125" s="574" t="n"/>
      <c r="CB125" s="574" t="n"/>
      <c r="CC125" s="574" t="n"/>
      <c r="CD125" s="574" t="n"/>
      <c r="CE125" s="574" t="n"/>
      <c r="CF125" s="574" t="n"/>
      <c r="CG125" s="574" t="n"/>
      <c r="CH125" s="574" t="n"/>
      <c r="CI125" s="574" t="n"/>
      <c r="CJ125" s="574" t="n"/>
      <c r="CK125" s="574" t="n"/>
      <c r="CL125" s="574" t="n"/>
      <c r="CM125" s="574" t="n"/>
      <c r="CN125" s="574" t="n"/>
      <c r="CO125" s="574" t="n"/>
      <c r="CP125" s="574" t="n"/>
      <c r="CQ125" s="574" t="n"/>
      <c r="CR125" s="574" t="n"/>
      <c r="CS125" s="574" t="n"/>
      <c r="CT125" s="574" t="n"/>
      <c r="CU125" s="574" t="n"/>
      <c r="CV125" s="574" t="n"/>
      <c r="CW125" s="574" t="n"/>
      <c r="CX125" s="574" t="n"/>
      <c r="CY125" s="574" t="n"/>
      <c r="CZ125" s="574" t="n"/>
      <c r="DA125" s="574" t="n"/>
      <c r="DB125" s="574" t="n"/>
      <c r="DC125" s="574" t="n"/>
      <c r="DD125" s="574" t="n"/>
      <c r="DE125" s="574" t="n"/>
      <c r="DF125" s="574" t="n"/>
      <c r="DG125" s="574" t="n"/>
      <c r="DH125" s="574" t="n"/>
      <c r="DI125" s="574" t="n"/>
      <c r="DJ125" s="574" t="n"/>
      <c r="DK125" s="574" t="n"/>
      <c r="DL125" s="574" t="n"/>
      <c r="DM125" s="574" t="n"/>
      <c r="DN125" s="574" t="n"/>
      <c r="DO125" s="574" t="n"/>
      <c r="DP125" s="574" t="n"/>
      <c r="DQ125" s="574" t="n"/>
      <c r="DR125" s="574" t="n"/>
      <c r="DS125" s="574" t="n"/>
      <c r="DT125" s="574" t="n"/>
      <c r="DU125" s="574" t="n"/>
      <c r="DV125" s="574" t="n"/>
      <c r="DW125" s="574" t="n"/>
      <c r="DX125" s="574" t="n"/>
      <c r="DY125" s="574" t="n"/>
      <c r="DZ125" s="574" t="n"/>
      <c r="EA125" s="574" t="n"/>
      <c r="EB125" s="574" t="n"/>
      <c r="EC125" s="574" t="n"/>
      <c r="ED125" s="574" t="n"/>
      <c r="EE125" s="574" t="n"/>
      <c r="EF125" s="574" t="n"/>
      <c r="EG125" s="574" t="n"/>
      <c r="EH125" s="574" t="n"/>
      <c r="EI125" s="574" t="n"/>
      <c r="EJ125" s="574" t="n"/>
      <c r="EK125" s="574" t="n"/>
      <c r="EL125" s="574" t="n"/>
      <c r="EM125" s="574" t="n"/>
      <c r="EN125" s="574" t="n"/>
      <c r="EO125" s="574" t="n"/>
      <c r="EP125" s="574" t="n"/>
      <c r="EQ125" s="574" t="n"/>
      <c r="ER125" s="574" t="n"/>
      <c r="ES125" s="574" t="n"/>
      <c r="ET125" s="574" t="n"/>
      <c r="EU125" s="574" t="n"/>
      <c r="EV125" s="574" t="n"/>
      <c r="EW125" s="574" t="n"/>
      <c r="EX125" s="574" t="n"/>
      <c r="EY125" s="574" t="n"/>
      <c r="EZ125" s="574" t="n"/>
      <c r="FA125" s="574" t="n"/>
      <c r="FB125" s="574" t="n"/>
      <c r="FC125" s="574" t="n"/>
      <c r="FD125" s="574" t="n"/>
      <c r="FE125" s="574" t="n"/>
      <c r="FF125" s="574" t="n"/>
      <c r="FG125" s="574" t="n"/>
      <c r="FH125" s="574" t="n"/>
      <c r="FI125" s="574" t="n"/>
      <c r="FJ125" s="574" t="n"/>
      <c r="FK125" s="574" t="n"/>
      <c r="FL125" s="574" t="n"/>
      <c r="FM125" s="574" t="n"/>
      <c r="FN125" s="574" t="n"/>
      <c r="FO125" s="574" t="n"/>
      <c r="FP125" s="574" t="n"/>
      <c r="FQ125" s="574" t="n"/>
      <c r="FR125" s="574" t="n"/>
      <c r="FS125" s="574" t="n"/>
      <c r="FT125" s="574" t="n"/>
      <c r="FU125" s="574" t="n"/>
      <c r="FV125" s="574" t="n"/>
      <c r="FW125" s="574" t="n"/>
      <c r="FX125" s="574" t="n"/>
      <c r="FY125" s="574" t="n"/>
      <c r="FZ125" s="574" t="n"/>
      <c r="GA125" s="574" t="n"/>
      <c r="GB125" s="574" t="n"/>
      <c r="GC125" s="574" t="n"/>
      <c r="GD125" s="574" t="n"/>
      <c r="GE125" s="574" t="n"/>
      <c r="GF125" s="574" t="n"/>
    </row>
    <row r="126" customFormat="1" s="568">
      <c r="A126" s="86" t="n"/>
      <c r="B126" s="85" t="n"/>
      <c r="C126" s="84">
        <f>IFERROR(IF(AND($E126&gt;0,$D126&lt;&gt;"The Public"),$E126/SUMIFS($E$10:$E$205,$E$10:$E$205,"&gt;0",$D$10:$D$205,"&lt;&gt;The Public")*$D$5,""),"")</f>
        <v/>
      </c>
      <c r="D126" s="68" t="n"/>
      <c r="E126" s="84">
        <f>SUM(G126:HY126)</f>
        <v/>
      </c>
      <c r="F126" s="568">
        <f>IFERROR(IF($E126&gt;0.0000005,$E126/SUMIF($E$11:$E$140,"&gt;0.0000005"),""),"")</f>
        <v/>
      </c>
      <c r="M126" s="574" t="n"/>
      <c r="N126" s="574" t="n"/>
      <c r="O126" s="574" t="n"/>
      <c r="P126" s="574" t="n"/>
      <c r="Q126" s="574" t="n"/>
      <c r="R126" s="574" t="n"/>
      <c r="S126" s="574" t="n"/>
      <c r="T126" s="574" t="n"/>
      <c r="U126" s="574" t="n"/>
      <c r="V126" s="574" t="n"/>
      <c r="W126" s="574" t="n"/>
      <c r="X126" s="574" t="n"/>
      <c r="Y126" s="574" t="n"/>
      <c r="Z126" s="574" t="n"/>
      <c r="AA126" s="574" t="n"/>
      <c r="AB126" s="574" t="n"/>
      <c r="AC126" s="574" t="n"/>
      <c r="AD126" s="574" t="n"/>
      <c r="AE126" s="574" t="n"/>
      <c r="AF126" s="574" t="n"/>
      <c r="AG126" s="574" t="n"/>
      <c r="AH126" s="574" t="n"/>
      <c r="AI126" s="574" t="n"/>
      <c r="AJ126" s="574" t="n"/>
      <c r="AK126" s="574" t="n"/>
      <c r="AL126" s="574" t="n"/>
      <c r="AM126" s="574" t="n"/>
      <c r="AN126" s="574" t="n"/>
      <c r="AO126" s="574" t="n"/>
      <c r="AP126" s="574" t="n"/>
      <c r="AQ126" s="574" t="n"/>
      <c r="AR126" s="574" t="n"/>
      <c r="AS126" s="574" t="n"/>
      <c r="AT126" s="574" t="n"/>
      <c r="AU126" s="574" t="n"/>
      <c r="AV126" s="574" t="n"/>
      <c r="AW126" s="574" t="n"/>
      <c r="AX126" s="574" t="n"/>
      <c r="AY126" s="574" t="n"/>
      <c r="AZ126" s="574" t="n"/>
      <c r="BA126" s="574" t="n"/>
      <c r="BB126" s="574" t="n"/>
      <c r="BC126" s="574" t="n"/>
      <c r="BD126" s="574" t="n"/>
      <c r="BE126" s="574" t="n"/>
      <c r="BF126" s="574" t="n"/>
      <c r="BG126" s="574" t="n"/>
      <c r="BH126" s="574" t="n"/>
      <c r="BI126" s="574" t="n"/>
      <c r="BJ126" s="574" t="n"/>
      <c r="BK126" s="574" t="n"/>
      <c r="BL126" s="574" t="n"/>
      <c r="BM126" s="574" t="n"/>
      <c r="BN126" s="574" t="n"/>
      <c r="BO126" s="574" t="n"/>
      <c r="BP126" s="574" t="n"/>
      <c r="BQ126" s="574" t="n"/>
      <c r="BR126" s="574" t="n"/>
      <c r="BS126" s="574" t="n"/>
      <c r="BT126" s="574" t="n"/>
      <c r="BU126" s="574" t="n"/>
      <c r="BV126" s="574" t="n"/>
      <c r="BW126" s="574" t="n"/>
      <c r="BX126" s="574" t="n"/>
      <c r="BY126" s="574" t="n"/>
      <c r="BZ126" s="574" t="n"/>
      <c r="CA126" s="574" t="n"/>
      <c r="CB126" s="574" t="n"/>
      <c r="CC126" s="574" t="n"/>
      <c r="CD126" s="574" t="n"/>
      <c r="CE126" s="574" t="n"/>
      <c r="CF126" s="574" t="n"/>
      <c r="CG126" s="574" t="n"/>
      <c r="CH126" s="574" t="n"/>
      <c r="CI126" s="574" t="n"/>
      <c r="CJ126" s="574" t="n"/>
      <c r="CK126" s="574" t="n"/>
      <c r="CL126" s="574" t="n"/>
      <c r="CM126" s="574" t="n"/>
      <c r="CN126" s="574" t="n"/>
      <c r="CO126" s="574" t="n"/>
      <c r="CP126" s="574" t="n"/>
      <c r="CQ126" s="574" t="n"/>
      <c r="CR126" s="574" t="n"/>
      <c r="CS126" s="574" t="n"/>
      <c r="CT126" s="574" t="n"/>
      <c r="CU126" s="574" t="n"/>
      <c r="CV126" s="574" t="n"/>
      <c r="CW126" s="574" t="n"/>
      <c r="CX126" s="574" t="n"/>
      <c r="CY126" s="574" t="n"/>
      <c r="CZ126" s="574" t="n"/>
      <c r="DA126" s="574" t="n"/>
      <c r="DB126" s="574" t="n"/>
      <c r="DC126" s="574" t="n"/>
      <c r="DD126" s="574" t="n"/>
      <c r="DE126" s="574" t="n"/>
      <c r="DF126" s="574" t="n"/>
      <c r="DG126" s="574" t="n"/>
      <c r="DH126" s="574" t="n"/>
      <c r="DI126" s="574" t="n"/>
      <c r="DJ126" s="574" t="n"/>
      <c r="DK126" s="574" t="n"/>
      <c r="DL126" s="574" t="n"/>
      <c r="DM126" s="574" t="n"/>
      <c r="DN126" s="574" t="n"/>
      <c r="DO126" s="574" t="n"/>
      <c r="DP126" s="574" t="n"/>
      <c r="DQ126" s="574" t="n"/>
      <c r="DR126" s="574" t="n"/>
      <c r="DS126" s="574" t="n"/>
      <c r="DT126" s="574" t="n"/>
      <c r="DU126" s="574" t="n"/>
      <c r="DV126" s="574" t="n"/>
      <c r="DW126" s="574" t="n"/>
      <c r="DX126" s="574" t="n"/>
      <c r="DY126" s="574" t="n"/>
      <c r="DZ126" s="574" t="n"/>
      <c r="EA126" s="574" t="n"/>
      <c r="EB126" s="574" t="n"/>
      <c r="EC126" s="574" t="n"/>
      <c r="ED126" s="574" t="n"/>
      <c r="EE126" s="574" t="n"/>
      <c r="EF126" s="574" t="n"/>
      <c r="EG126" s="574" t="n"/>
      <c r="EH126" s="574" t="n"/>
      <c r="EI126" s="574" t="n"/>
      <c r="EJ126" s="574" t="n"/>
      <c r="EK126" s="574" t="n"/>
      <c r="EL126" s="574" t="n"/>
      <c r="EM126" s="574" t="n"/>
      <c r="EN126" s="574" t="n"/>
      <c r="EO126" s="574" t="n"/>
      <c r="EP126" s="574" t="n"/>
      <c r="EQ126" s="574" t="n"/>
      <c r="ER126" s="574" t="n"/>
      <c r="ES126" s="574" t="n"/>
      <c r="ET126" s="574" t="n"/>
      <c r="EU126" s="574" t="n"/>
      <c r="EV126" s="574" t="n"/>
      <c r="EW126" s="574" t="n"/>
      <c r="EX126" s="574" t="n"/>
      <c r="EY126" s="574" t="n"/>
      <c r="EZ126" s="574" t="n"/>
      <c r="FA126" s="574" t="n"/>
      <c r="FB126" s="574" t="n"/>
      <c r="FC126" s="574" t="n"/>
      <c r="FD126" s="574" t="n"/>
      <c r="FE126" s="574" t="n"/>
      <c r="FF126" s="574" t="n"/>
      <c r="FG126" s="574" t="n"/>
      <c r="FH126" s="574" t="n"/>
      <c r="FI126" s="574" t="n"/>
      <c r="FJ126" s="574" t="n"/>
      <c r="FK126" s="574" t="n"/>
      <c r="FL126" s="574" t="n"/>
      <c r="FM126" s="574" t="n"/>
      <c r="FN126" s="574" t="n"/>
      <c r="FO126" s="574" t="n"/>
      <c r="FP126" s="574" t="n"/>
      <c r="FQ126" s="574" t="n"/>
      <c r="FR126" s="574" t="n"/>
      <c r="FS126" s="574" t="n"/>
      <c r="FT126" s="574" t="n"/>
      <c r="FU126" s="574" t="n"/>
      <c r="FV126" s="574" t="n"/>
      <c r="FW126" s="574" t="n"/>
      <c r="FX126" s="574" t="n"/>
      <c r="FY126" s="574" t="n"/>
      <c r="FZ126" s="574" t="n"/>
      <c r="GA126" s="574" t="n"/>
      <c r="GB126" s="574" t="n"/>
      <c r="GC126" s="574" t="n"/>
      <c r="GD126" s="574" t="n"/>
      <c r="GE126" s="574" t="n"/>
      <c r="GF126" s="574" t="n"/>
    </row>
    <row r="127" customFormat="1" s="568">
      <c r="A127" s="86" t="n"/>
      <c r="B127" s="85" t="n"/>
      <c r="C127" s="84">
        <f>IFERROR(IF(AND($E127&gt;0,$D127&lt;&gt;"The Public"),$E127/SUMIFS($E$10:$E$205,$E$10:$E$205,"&gt;0",$D$10:$D$205,"&lt;&gt;The Public")*$D$5,""),"")</f>
        <v/>
      </c>
      <c r="D127" s="68" t="n"/>
      <c r="E127" s="84">
        <f>SUM(G127:HY127)</f>
        <v/>
      </c>
      <c r="F127" s="568">
        <f>IFERROR(IF($E127&gt;0.0000005,$E127/SUMIF($E$11:$E$140,"&gt;0.0000005"),""),"")</f>
        <v/>
      </c>
      <c r="M127" s="574" t="n"/>
      <c r="N127" s="574" t="n"/>
      <c r="O127" s="574" t="n"/>
      <c r="P127" s="574" t="n"/>
      <c r="Q127" s="574" t="n"/>
      <c r="R127" s="574" t="n"/>
      <c r="S127" s="574" t="n"/>
      <c r="T127" s="574" t="n"/>
      <c r="U127" s="574" t="n"/>
      <c r="V127" s="574" t="n"/>
      <c r="W127" s="574" t="n"/>
      <c r="X127" s="574" t="n"/>
      <c r="Y127" s="574" t="n"/>
      <c r="Z127" s="574" t="n"/>
      <c r="AA127" s="574" t="n"/>
      <c r="AB127" s="574" t="n"/>
      <c r="AC127" s="574" t="n"/>
      <c r="AD127" s="574" t="n"/>
      <c r="AE127" s="574" t="n"/>
      <c r="AF127" s="574" t="n"/>
      <c r="AG127" s="574" t="n"/>
      <c r="AH127" s="574" t="n"/>
      <c r="AI127" s="574" t="n"/>
      <c r="AJ127" s="574" t="n"/>
      <c r="AK127" s="574" t="n"/>
      <c r="AL127" s="574" t="n"/>
      <c r="AM127" s="574" t="n"/>
      <c r="AN127" s="574" t="n"/>
      <c r="AO127" s="574" t="n"/>
      <c r="AP127" s="574" t="n"/>
      <c r="AQ127" s="574" t="n"/>
      <c r="AR127" s="574" t="n"/>
      <c r="AS127" s="574" t="n"/>
      <c r="AT127" s="574" t="n"/>
      <c r="AU127" s="574" t="n"/>
      <c r="AV127" s="574" t="n"/>
      <c r="AW127" s="574" t="n"/>
      <c r="AX127" s="574" t="n"/>
      <c r="AY127" s="574" t="n"/>
      <c r="AZ127" s="574" t="n"/>
      <c r="BA127" s="574" t="n"/>
      <c r="BB127" s="574" t="n"/>
      <c r="BC127" s="574" t="n"/>
      <c r="BD127" s="574" t="n"/>
      <c r="BE127" s="574" t="n"/>
      <c r="BF127" s="574" t="n"/>
      <c r="BG127" s="574" t="n"/>
      <c r="BH127" s="574" t="n"/>
      <c r="BI127" s="574" t="n"/>
      <c r="BJ127" s="574" t="n"/>
      <c r="BK127" s="574" t="n"/>
      <c r="BL127" s="574" t="n"/>
      <c r="BM127" s="574" t="n"/>
      <c r="BN127" s="574" t="n"/>
      <c r="BO127" s="574" t="n"/>
      <c r="BP127" s="574" t="n"/>
      <c r="BQ127" s="574" t="n"/>
      <c r="BR127" s="574" t="n"/>
      <c r="BS127" s="574" t="n"/>
      <c r="BT127" s="574" t="n"/>
      <c r="BU127" s="574" t="n"/>
      <c r="BV127" s="574" t="n"/>
      <c r="BW127" s="574" t="n"/>
      <c r="BX127" s="574" t="n"/>
      <c r="BY127" s="574" t="n"/>
      <c r="BZ127" s="574" t="n"/>
      <c r="CA127" s="574" t="n"/>
      <c r="CB127" s="574" t="n"/>
      <c r="CC127" s="574" t="n"/>
      <c r="CD127" s="574" t="n"/>
      <c r="CE127" s="574" t="n"/>
      <c r="CF127" s="574" t="n"/>
      <c r="CG127" s="574" t="n"/>
      <c r="CH127" s="574" t="n"/>
      <c r="CI127" s="574" t="n"/>
      <c r="CJ127" s="574" t="n"/>
      <c r="CK127" s="574" t="n"/>
      <c r="CL127" s="574" t="n"/>
      <c r="CM127" s="574" t="n"/>
      <c r="CN127" s="574" t="n"/>
      <c r="CO127" s="574" t="n"/>
      <c r="CP127" s="574" t="n"/>
      <c r="CQ127" s="574" t="n"/>
      <c r="CR127" s="574" t="n"/>
      <c r="CS127" s="574" t="n"/>
      <c r="CT127" s="574" t="n"/>
      <c r="CU127" s="574" t="n"/>
      <c r="CV127" s="574" t="n"/>
      <c r="CW127" s="574" t="n"/>
      <c r="CX127" s="574" t="n"/>
      <c r="CY127" s="574" t="n"/>
      <c r="CZ127" s="574" t="n"/>
      <c r="DA127" s="574" t="n"/>
      <c r="DB127" s="574" t="n"/>
      <c r="DC127" s="574" t="n"/>
      <c r="DD127" s="574" t="n"/>
      <c r="DE127" s="574" t="n"/>
      <c r="DF127" s="574" t="n"/>
      <c r="DG127" s="574" t="n"/>
      <c r="DH127" s="574" t="n"/>
      <c r="DI127" s="574" t="n"/>
      <c r="DJ127" s="574" t="n"/>
      <c r="DK127" s="574" t="n"/>
      <c r="DL127" s="574" t="n"/>
      <c r="DM127" s="574" t="n"/>
      <c r="DN127" s="574" t="n"/>
      <c r="DO127" s="574" t="n"/>
      <c r="DP127" s="574" t="n"/>
      <c r="DQ127" s="574" t="n"/>
      <c r="DR127" s="574" t="n"/>
      <c r="DS127" s="574" t="n"/>
      <c r="DT127" s="574" t="n"/>
      <c r="DU127" s="574" t="n"/>
      <c r="DV127" s="574" t="n"/>
      <c r="DW127" s="574" t="n"/>
      <c r="DX127" s="574" t="n"/>
      <c r="DY127" s="574" t="n"/>
      <c r="DZ127" s="574" t="n"/>
      <c r="EA127" s="574" t="n"/>
      <c r="EB127" s="574" t="n"/>
      <c r="EC127" s="574" t="n"/>
      <c r="ED127" s="574" t="n"/>
      <c r="EE127" s="574" t="n"/>
      <c r="EF127" s="574" t="n"/>
      <c r="EG127" s="574" t="n"/>
      <c r="EH127" s="574" t="n"/>
      <c r="EI127" s="574" t="n"/>
      <c r="EJ127" s="574" t="n"/>
      <c r="EK127" s="574" t="n"/>
      <c r="EL127" s="574" t="n"/>
      <c r="EM127" s="574" t="n"/>
      <c r="EN127" s="574" t="n"/>
      <c r="EO127" s="574" t="n"/>
      <c r="EP127" s="574" t="n"/>
      <c r="EQ127" s="574" t="n"/>
      <c r="ER127" s="574" t="n"/>
      <c r="ES127" s="574" t="n"/>
      <c r="ET127" s="574" t="n"/>
      <c r="EU127" s="574" t="n"/>
      <c r="EV127" s="574" t="n"/>
      <c r="EW127" s="574" t="n"/>
      <c r="EX127" s="574" t="n"/>
      <c r="EY127" s="574" t="n"/>
      <c r="EZ127" s="574" t="n"/>
      <c r="FA127" s="574" t="n"/>
      <c r="FB127" s="574" t="n"/>
      <c r="FC127" s="574" t="n"/>
      <c r="FD127" s="574" t="n"/>
      <c r="FE127" s="574" t="n"/>
      <c r="FF127" s="574" t="n"/>
      <c r="FG127" s="574" t="n"/>
      <c r="FH127" s="574" t="n"/>
      <c r="FI127" s="574" t="n"/>
      <c r="FJ127" s="574" t="n"/>
      <c r="FK127" s="574" t="n"/>
      <c r="FL127" s="574" t="n"/>
      <c r="FM127" s="574" t="n"/>
      <c r="FN127" s="574" t="n"/>
      <c r="FO127" s="574" t="n"/>
      <c r="FP127" s="574" t="n"/>
      <c r="FQ127" s="574" t="n"/>
      <c r="FR127" s="574" t="n"/>
      <c r="FS127" s="574" t="n"/>
      <c r="FT127" s="574" t="n"/>
      <c r="FU127" s="574" t="n"/>
      <c r="FV127" s="574" t="n"/>
      <c r="FW127" s="574" t="n"/>
      <c r="FX127" s="574" t="n"/>
      <c r="FY127" s="574" t="n"/>
      <c r="FZ127" s="574" t="n"/>
      <c r="GA127" s="574" t="n"/>
      <c r="GB127" s="574" t="n"/>
      <c r="GC127" s="574" t="n"/>
      <c r="GD127" s="574" t="n"/>
      <c r="GE127" s="574" t="n"/>
      <c r="GF127" s="574" t="n"/>
    </row>
    <row r="128" customFormat="1" s="568">
      <c r="A128" s="86" t="n"/>
      <c r="B128" s="85" t="n"/>
      <c r="C128" s="84">
        <f>IFERROR(IF(AND($E128&gt;0,$D128&lt;&gt;"The Public"),$E128/SUMIFS($E$10:$E$205,$E$10:$E$205,"&gt;0",$D$10:$D$205,"&lt;&gt;The Public")*$D$5,""),"")</f>
        <v/>
      </c>
      <c r="D128" s="68" t="n"/>
      <c r="E128" s="84">
        <f>SUM(G128:HY128)</f>
        <v/>
      </c>
      <c r="F128" s="568">
        <f>IFERROR(IF($E128&gt;0.0000005,$E128/SUMIF($E$11:$E$140,"&gt;0.0000005"),""),"")</f>
        <v/>
      </c>
      <c r="M128" s="574" t="n"/>
      <c r="N128" s="574" t="n"/>
      <c r="O128" s="574" t="n"/>
      <c r="P128" s="574" t="n"/>
      <c r="Q128" s="574" t="n"/>
      <c r="R128" s="574" t="n"/>
      <c r="S128" s="574" t="n"/>
      <c r="T128" s="574" t="n"/>
      <c r="U128" s="574" t="n"/>
      <c r="V128" s="574" t="n"/>
      <c r="W128" s="574" t="n"/>
      <c r="X128" s="574" t="n"/>
      <c r="Y128" s="574" t="n"/>
      <c r="Z128" s="574" t="n"/>
      <c r="AA128" s="574" t="n"/>
      <c r="AB128" s="574" t="n"/>
      <c r="AC128" s="574" t="n"/>
      <c r="AD128" s="574" t="n"/>
      <c r="AE128" s="574" t="n"/>
      <c r="AF128" s="574" t="n"/>
      <c r="AG128" s="574" t="n"/>
      <c r="AH128" s="574" t="n"/>
      <c r="AI128" s="574" t="n"/>
      <c r="AJ128" s="574" t="n"/>
      <c r="AK128" s="574" t="n"/>
      <c r="AL128" s="574" t="n"/>
      <c r="AM128" s="574" t="n"/>
      <c r="AN128" s="574" t="n"/>
      <c r="AO128" s="574" t="n"/>
      <c r="AP128" s="574" t="n"/>
      <c r="AQ128" s="574" t="n"/>
      <c r="AR128" s="574" t="n"/>
      <c r="AS128" s="574" t="n"/>
      <c r="AT128" s="574" t="n"/>
      <c r="AU128" s="574" t="n"/>
      <c r="AV128" s="574" t="n"/>
      <c r="AW128" s="574" t="n"/>
      <c r="AX128" s="574" t="n"/>
      <c r="AY128" s="574" t="n"/>
      <c r="AZ128" s="574" t="n"/>
      <c r="BA128" s="574" t="n"/>
      <c r="BB128" s="574" t="n"/>
      <c r="BC128" s="574" t="n"/>
      <c r="BD128" s="574" t="n"/>
      <c r="BE128" s="574" t="n"/>
      <c r="BF128" s="574" t="n"/>
      <c r="BG128" s="574" t="n"/>
      <c r="BH128" s="574" t="n"/>
      <c r="BI128" s="574" t="n"/>
      <c r="BJ128" s="574" t="n"/>
      <c r="BK128" s="574" t="n"/>
      <c r="BL128" s="574" t="n"/>
      <c r="BM128" s="574" t="n"/>
      <c r="BN128" s="574" t="n"/>
      <c r="BO128" s="574" t="n"/>
      <c r="BP128" s="574" t="n"/>
      <c r="BQ128" s="574" t="n"/>
      <c r="BR128" s="574" t="n"/>
      <c r="BS128" s="574" t="n"/>
      <c r="BT128" s="574" t="n"/>
      <c r="BU128" s="574" t="n"/>
      <c r="BV128" s="574" t="n"/>
      <c r="BW128" s="574" t="n"/>
      <c r="BX128" s="574" t="n"/>
      <c r="BY128" s="574" t="n"/>
      <c r="BZ128" s="574" t="n"/>
      <c r="CA128" s="574" t="n"/>
      <c r="CB128" s="574" t="n"/>
      <c r="CC128" s="574" t="n"/>
      <c r="CD128" s="574" t="n"/>
      <c r="CE128" s="574" t="n"/>
      <c r="CF128" s="574" t="n"/>
      <c r="CG128" s="574" t="n"/>
      <c r="CH128" s="574" t="n"/>
      <c r="CI128" s="574" t="n"/>
      <c r="CJ128" s="574" t="n"/>
      <c r="CK128" s="574" t="n"/>
      <c r="CL128" s="574" t="n"/>
      <c r="CM128" s="574" t="n"/>
      <c r="CN128" s="574" t="n"/>
      <c r="CO128" s="574" t="n"/>
      <c r="CP128" s="574" t="n"/>
      <c r="CQ128" s="574" t="n"/>
      <c r="CR128" s="574" t="n"/>
      <c r="CS128" s="574" t="n"/>
      <c r="CT128" s="574" t="n"/>
      <c r="CU128" s="574" t="n"/>
      <c r="CV128" s="574" t="n"/>
      <c r="CW128" s="574" t="n"/>
      <c r="CX128" s="574" t="n"/>
      <c r="CY128" s="574" t="n"/>
      <c r="CZ128" s="574" t="n"/>
      <c r="DA128" s="574" t="n"/>
      <c r="DB128" s="574" t="n"/>
      <c r="DC128" s="574" t="n"/>
      <c r="DD128" s="574" t="n"/>
      <c r="DE128" s="574" t="n"/>
      <c r="DF128" s="574" t="n"/>
      <c r="DG128" s="574" t="n"/>
      <c r="DH128" s="574" t="n"/>
      <c r="DI128" s="574" t="n"/>
      <c r="DJ128" s="574" t="n"/>
      <c r="DK128" s="574" t="n"/>
      <c r="DL128" s="574" t="n"/>
      <c r="DM128" s="574" t="n"/>
      <c r="DN128" s="574" t="n"/>
      <c r="DO128" s="574" t="n"/>
      <c r="DP128" s="574" t="n"/>
      <c r="DQ128" s="574" t="n"/>
      <c r="DR128" s="574" t="n"/>
      <c r="DS128" s="574" t="n"/>
      <c r="DT128" s="574" t="n"/>
      <c r="DU128" s="574" t="n"/>
      <c r="DV128" s="574" t="n"/>
      <c r="DW128" s="574" t="n"/>
      <c r="DX128" s="574" t="n"/>
      <c r="DY128" s="574" t="n"/>
      <c r="DZ128" s="574" t="n"/>
      <c r="EA128" s="574" t="n"/>
      <c r="EB128" s="574" t="n"/>
      <c r="EC128" s="574" t="n"/>
      <c r="ED128" s="574" t="n"/>
      <c r="EE128" s="574" t="n"/>
      <c r="EF128" s="574" t="n"/>
      <c r="EG128" s="574" t="n"/>
      <c r="EH128" s="574" t="n"/>
      <c r="EI128" s="574" t="n"/>
      <c r="EJ128" s="574" t="n"/>
      <c r="EK128" s="574" t="n"/>
      <c r="EL128" s="574" t="n"/>
      <c r="EM128" s="574" t="n"/>
      <c r="EN128" s="574" t="n"/>
      <c r="EO128" s="574" t="n"/>
      <c r="EP128" s="574" t="n"/>
      <c r="EQ128" s="574" t="n"/>
      <c r="ER128" s="574" t="n"/>
      <c r="ES128" s="574" t="n"/>
      <c r="ET128" s="574" t="n"/>
      <c r="EU128" s="574" t="n"/>
      <c r="EV128" s="574" t="n"/>
      <c r="EW128" s="574" t="n"/>
      <c r="EX128" s="574" t="n"/>
      <c r="EY128" s="574" t="n"/>
      <c r="EZ128" s="574" t="n"/>
      <c r="FA128" s="574" t="n"/>
      <c r="FB128" s="574" t="n"/>
      <c r="FC128" s="574" t="n"/>
      <c r="FD128" s="574" t="n"/>
      <c r="FE128" s="574" t="n"/>
      <c r="FF128" s="574" t="n"/>
      <c r="FG128" s="574" t="n"/>
      <c r="FH128" s="574" t="n"/>
      <c r="FI128" s="574" t="n"/>
      <c r="FJ128" s="574" t="n"/>
      <c r="FK128" s="574" t="n"/>
      <c r="FL128" s="574" t="n"/>
      <c r="FM128" s="574" t="n"/>
      <c r="FN128" s="574" t="n"/>
      <c r="FO128" s="574" t="n"/>
      <c r="FP128" s="574" t="n"/>
      <c r="FQ128" s="574" t="n"/>
      <c r="FR128" s="574" t="n"/>
      <c r="FS128" s="574" t="n"/>
      <c r="FT128" s="574" t="n"/>
      <c r="FU128" s="574" t="n"/>
      <c r="FV128" s="574" t="n"/>
      <c r="FW128" s="574" t="n"/>
      <c r="FX128" s="574" t="n"/>
      <c r="FY128" s="574" t="n"/>
      <c r="FZ128" s="574" t="n"/>
      <c r="GA128" s="574" t="n"/>
      <c r="GB128" s="574" t="n"/>
      <c r="GC128" s="574" t="n"/>
      <c r="GD128" s="574" t="n"/>
      <c r="GE128" s="574" t="n"/>
      <c r="GF128" s="574" t="n"/>
    </row>
    <row r="129" customFormat="1" s="568">
      <c r="A129" s="86" t="n"/>
      <c r="B129" s="85" t="n"/>
      <c r="C129" s="84">
        <f>IFERROR(IF(AND($E129&gt;0,$D129&lt;&gt;"The Public"),$E129/SUMIFS($E$10:$E$205,$E$10:$E$205,"&gt;0",$D$10:$D$205,"&lt;&gt;The Public")*$D$5,""),"")</f>
        <v/>
      </c>
      <c r="D129" s="68" t="n"/>
      <c r="E129" s="84">
        <f>SUM(G129:HY129)</f>
        <v/>
      </c>
      <c r="F129" s="568">
        <f>IFERROR(IF($E129&gt;0.0000005,$E129/SUMIF($E$11:$E$140,"&gt;0.0000005"),""),"")</f>
        <v/>
      </c>
      <c r="M129" s="574" t="n"/>
      <c r="N129" s="574" t="n"/>
      <c r="O129" s="574" t="n"/>
      <c r="P129" s="574" t="n"/>
      <c r="Q129" s="574" t="n"/>
      <c r="R129" s="574" t="n"/>
      <c r="S129" s="574" t="n"/>
      <c r="T129" s="574" t="n"/>
      <c r="U129" s="574" t="n"/>
      <c r="V129" s="574" t="n"/>
      <c r="W129" s="574" t="n"/>
      <c r="X129" s="574" t="n"/>
      <c r="Y129" s="574" t="n"/>
      <c r="Z129" s="574" t="n"/>
      <c r="AA129" s="574" t="n"/>
      <c r="AB129" s="574" t="n"/>
      <c r="AC129" s="574" t="n"/>
      <c r="AD129" s="574" t="n"/>
      <c r="AE129" s="574" t="n"/>
      <c r="AF129" s="574" t="n"/>
      <c r="AG129" s="574" t="n"/>
      <c r="AH129" s="574" t="n"/>
      <c r="AI129" s="574" t="n"/>
      <c r="AJ129" s="574" t="n"/>
      <c r="AK129" s="574" t="n"/>
      <c r="AL129" s="574" t="n"/>
      <c r="AM129" s="574" t="n"/>
      <c r="AN129" s="574" t="n"/>
      <c r="AO129" s="574" t="n"/>
      <c r="AP129" s="574" t="n"/>
      <c r="AQ129" s="574" t="n"/>
      <c r="AR129" s="574" t="n"/>
      <c r="AS129" s="574" t="n"/>
      <c r="AT129" s="574" t="n"/>
      <c r="AU129" s="574" t="n"/>
      <c r="AV129" s="574" t="n"/>
      <c r="AW129" s="574" t="n"/>
      <c r="AX129" s="574" t="n"/>
      <c r="AY129" s="574" t="n"/>
      <c r="AZ129" s="574" t="n"/>
      <c r="BA129" s="574" t="n"/>
      <c r="BB129" s="574" t="n"/>
      <c r="BC129" s="574" t="n"/>
      <c r="BD129" s="574" t="n"/>
      <c r="BE129" s="574" t="n"/>
      <c r="BF129" s="574" t="n"/>
      <c r="BG129" s="574" t="n"/>
      <c r="BH129" s="574" t="n"/>
      <c r="BI129" s="574" t="n"/>
      <c r="BJ129" s="574" t="n"/>
      <c r="BK129" s="574" t="n"/>
      <c r="BL129" s="574" t="n"/>
      <c r="BM129" s="574" t="n"/>
      <c r="BN129" s="574" t="n"/>
      <c r="BO129" s="574" t="n"/>
      <c r="BP129" s="574" t="n"/>
      <c r="BQ129" s="574" t="n"/>
      <c r="BR129" s="574" t="n"/>
      <c r="BS129" s="574" t="n"/>
      <c r="BT129" s="574" t="n"/>
      <c r="BU129" s="574" t="n"/>
      <c r="BV129" s="574" t="n"/>
      <c r="BW129" s="574" t="n"/>
      <c r="BX129" s="574" t="n"/>
      <c r="BY129" s="574" t="n"/>
      <c r="BZ129" s="574" t="n"/>
      <c r="CA129" s="574" t="n"/>
      <c r="CB129" s="574" t="n"/>
      <c r="CC129" s="574" t="n"/>
      <c r="CD129" s="574" t="n"/>
      <c r="CE129" s="574" t="n"/>
      <c r="CF129" s="574" t="n"/>
      <c r="CG129" s="574" t="n"/>
      <c r="CH129" s="574" t="n"/>
      <c r="CI129" s="574" t="n"/>
      <c r="CJ129" s="574" t="n"/>
      <c r="CK129" s="574" t="n"/>
      <c r="CL129" s="574" t="n"/>
      <c r="CM129" s="574" t="n"/>
      <c r="CN129" s="574" t="n"/>
      <c r="CO129" s="574" t="n"/>
      <c r="CP129" s="574" t="n"/>
      <c r="CQ129" s="574" t="n"/>
      <c r="CR129" s="574" t="n"/>
      <c r="CS129" s="574" t="n"/>
      <c r="CT129" s="574" t="n"/>
      <c r="CU129" s="574" t="n"/>
      <c r="CV129" s="574" t="n"/>
      <c r="CW129" s="574" t="n"/>
      <c r="CX129" s="574" t="n"/>
      <c r="CY129" s="574" t="n"/>
      <c r="CZ129" s="574" t="n"/>
      <c r="DA129" s="574" t="n"/>
      <c r="DB129" s="574" t="n"/>
      <c r="DC129" s="574" t="n"/>
      <c r="DD129" s="574" t="n"/>
      <c r="DE129" s="574" t="n"/>
      <c r="DF129" s="574" t="n"/>
      <c r="DG129" s="574" t="n"/>
      <c r="DH129" s="574" t="n"/>
      <c r="DI129" s="574" t="n"/>
      <c r="DJ129" s="574" t="n"/>
      <c r="DK129" s="574" t="n"/>
      <c r="DL129" s="574" t="n"/>
      <c r="DM129" s="574" t="n"/>
      <c r="DN129" s="574" t="n"/>
      <c r="DO129" s="574" t="n"/>
      <c r="DP129" s="574" t="n"/>
      <c r="DQ129" s="574" t="n"/>
      <c r="DR129" s="574" t="n"/>
      <c r="DS129" s="574" t="n"/>
      <c r="DT129" s="574" t="n"/>
      <c r="DU129" s="574" t="n"/>
      <c r="DV129" s="574" t="n"/>
      <c r="DW129" s="574" t="n"/>
      <c r="DX129" s="574" t="n"/>
      <c r="DY129" s="574" t="n"/>
      <c r="DZ129" s="574" t="n"/>
      <c r="EA129" s="574" t="n"/>
      <c r="EB129" s="574" t="n"/>
      <c r="EC129" s="574" t="n"/>
      <c r="ED129" s="574" t="n"/>
      <c r="EE129" s="574" t="n"/>
      <c r="EF129" s="574" t="n"/>
      <c r="EG129" s="574" t="n"/>
      <c r="EH129" s="574" t="n"/>
      <c r="EI129" s="574" t="n"/>
      <c r="EJ129" s="574" t="n"/>
      <c r="EK129" s="574" t="n"/>
      <c r="EL129" s="574" t="n"/>
      <c r="EM129" s="574" t="n"/>
      <c r="EN129" s="574" t="n"/>
      <c r="EO129" s="574" t="n"/>
      <c r="EP129" s="574" t="n"/>
      <c r="EQ129" s="574" t="n"/>
      <c r="ER129" s="574" t="n"/>
      <c r="ES129" s="574" t="n"/>
      <c r="ET129" s="574" t="n"/>
      <c r="EU129" s="574" t="n"/>
      <c r="EV129" s="574" t="n"/>
      <c r="EW129" s="574" t="n"/>
      <c r="EX129" s="574" t="n"/>
      <c r="EY129" s="574" t="n"/>
      <c r="EZ129" s="574" t="n"/>
      <c r="FA129" s="574" t="n"/>
      <c r="FB129" s="574" t="n"/>
      <c r="FC129" s="574" t="n"/>
      <c r="FD129" s="574" t="n"/>
      <c r="FE129" s="574" t="n"/>
      <c r="FF129" s="574" t="n"/>
      <c r="FG129" s="574" t="n"/>
      <c r="FH129" s="574" t="n"/>
      <c r="FI129" s="574" t="n"/>
      <c r="FJ129" s="574" t="n"/>
      <c r="FK129" s="574" t="n"/>
      <c r="FL129" s="574" t="n"/>
      <c r="FM129" s="574" t="n"/>
      <c r="FN129" s="574" t="n"/>
      <c r="FO129" s="574" t="n"/>
      <c r="FP129" s="574" t="n"/>
      <c r="FQ129" s="574" t="n"/>
      <c r="FR129" s="574" t="n"/>
      <c r="FS129" s="574" t="n"/>
      <c r="FT129" s="574" t="n"/>
      <c r="FU129" s="574" t="n"/>
      <c r="FV129" s="574" t="n"/>
      <c r="FW129" s="574" t="n"/>
      <c r="FX129" s="574" t="n"/>
      <c r="FY129" s="574" t="n"/>
      <c r="FZ129" s="574" t="n"/>
      <c r="GA129" s="574" t="n"/>
      <c r="GB129" s="574" t="n"/>
      <c r="GC129" s="574" t="n"/>
      <c r="GD129" s="574" t="n"/>
      <c r="GE129" s="574" t="n"/>
      <c r="GF129" s="574" t="n"/>
    </row>
    <row r="130" customFormat="1" s="568">
      <c r="A130" s="86" t="n"/>
      <c r="B130" s="85" t="n"/>
      <c r="C130" s="84">
        <f>IFERROR(IF(AND($E130&gt;0,$D130&lt;&gt;"The Public"),$E130/SUMIFS($E$10:$E$205,$E$10:$E$205,"&gt;0",$D$10:$D$205,"&lt;&gt;The Public")*$D$5,""),"")</f>
        <v/>
      </c>
      <c r="D130" s="68" t="n"/>
      <c r="E130" s="84">
        <f>SUM(G130:HY130)</f>
        <v/>
      </c>
      <c r="F130" s="568">
        <f>IFERROR(IF($E130&gt;0.0000005,$E130/SUMIF($E$11:$E$140,"&gt;0.0000005"),""),"")</f>
        <v/>
      </c>
      <c r="M130" s="574" t="n"/>
      <c r="N130" s="574" t="n"/>
      <c r="O130" s="574" t="n"/>
      <c r="P130" s="574" t="n"/>
      <c r="Q130" s="574" t="n"/>
      <c r="R130" s="574" t="n"/>
      <c r="S130" s="574" t="n"/>
      <c r="T130" s="574" t="n"/>
      <c r="U130" s="574" t="n"/>
      <c r="V130" s="574" t="n"/>
      <c r="W130" s="574" t="n"/>
      <c r="X130" s="574" t="n"/>
      <c r="Y130" s="574" t="n"/>
      <c r="Z130" s="574" t="n"/>
      <c r="AA130" s="574" t="n"/>
      <c r="AB130" s="574" t="n"/>
      <c r="AC130" s="574" t="n"/>
      <c r="AD130" s="574" t="n"/>
      <c r="AE130" s="574" t="n"/>
      <c r="AF130" s="574" t="n"/>
      <c r="AG130" s="574" t="n"/>
      <c r="AH130" s="574" t="n"/>
      <c r="AI130" s="574" t="n"/>
      <c r="AJ130" s="574" t="n"/>
      <c r="AK130" s="574" t="n"/>
      <c r="AL130" s="574" t="n"/>
      <c r="AM130" s="574" t="n"/>
      <c r="AN130" s="574" t="n"/>
      <c r="AO130" s="574" t="n"/>
      <c r="AP130" s="574" t="n"/>
      <c r="AQ130" s="574" t="n"/>
      <c r="AR130" s="574" t="n"/>
      <c r="AS130" s="574" t="n"/>
      <c r="AT130" s="574" t="n"/>
      <c r="AU130" s="574" t="n"/>
      <c r="AV130" s="574" t="n"/>
      <c r="AW130" s="574" t="n"/>
      <c r="AX130" s="574" t="n"/>
      <c r="AY130" s="574" t="n"/>
      <c r="AZ130" s="574" t="n"/>
      <c r="BA130" s="574" t="n"/>
      <c r="BB130" s="574" t="n"/>
      <c r="BC130" s="574" t="n"/>
      <c r="BD130" s="574" t="n"/>
      <c r="BE130" s="574" t="n"/>
      <c r="BF130" s="574" t="n"/>
      <c r="BG130" s="574" t="n"/>
      <c r="BH130" s="574" t="n"/>
      <c r="BI130" s="574" t="n"/>
      <c r="BJ130" s="574" t="n"/>
      <c r="BK130" s="574" t="n"/>
      <c r="BL130" s="574" t="n"/>
      <c r="BM130" s="574" t="n"/>
      <c r="BN130" s="574" t="n"/>
      <c r="BO130" s="574" t="n"/>
      <c r="BP130" s="574" t="n"/>
      <c r="BQ130" s="574" t="n"/>
      <c r="BR130" s="574" t="n"/>
      <c r="BS130" s="574" t="n"/>
      <c r="BT130" s="574" t="n"/>
      <c r="BU130" s="574" t="n"/>
      <c r="BV130" s="574" t="n"/>
      <c r="BW130" s="574" t="n"/>
      <c r="BX130" s="574" t="n"/>
      <c r="BY130" s="574" t="n"/>
      <c r="BZ130" s="574" t="n"/>
      <c r="CA130" s="574" t="n"/>
      <c r="CB130" s="574" t="n"/>
      <c r="CC130" s="574" t="n"/>
      <c r="CD130" s="574" t="n"/>
      <c r="CE130" s="574" t="n"/>
      <c r="CF130" s="574" t="n"/>
      <c r="CG130" s="574" t="n"/>
      <c r="CH130" s="574" t="n"/>
      <c r="CI130" s="574" t="n"/>
      <c r="CJ130" s="574" t="n"/>
      <c r="CK130" s="574" t="n"/>
      <c r="CL130" s="574" t="n"/>
      <c r="CM130" s="574" t="n"/>
      <c r="CN130" s="574" t="n"/>
      <c r="CO130" s="574" t="n"/>
      <c r="CP130" s="574" t="n"/>
      <c r="CQ130" s="574" t="n"/>
      <c r="CR130" s="574" t="n"/>
      <c r="CS130" s="574" t="n"/>
      <c r="CT130" s="574" t="n"/>
      <c r="CU130" s="574" t="n"/>
      <c r="CV130" s="574" t="n"/>
      <c r="CW130" s="574" t="n"/>
      <c r="CX130" s="574" t="n"/>
      <c r="CY130" s="574" t="n"/>
      <c r="CZ130" s="574" t="n"/>
      <c r="DA130" s="574" t="n"/>
      <c r="DB130" s="574" t="n"/>
      <c r="DC130" s="574" t="n"/>
      <c r="DD130" s="574" t="n"/>
      <c r="DE130" s="574" t="n"/>
      <c r="DF130" s="574" t="n"/>
      <c r="DG130" s="574" t="n"/>
      <c r="DH130" s="574" t="n"/>
      <c r="DI130" s="574" t="n"/>
      <c r="DJ130" s="574" t="n"/>
      <c r="DK130" s="574" t="n"/>
      <c r="DL130" s="574" t="n"/>
      <c r="DM130" s="574" t="n"/>
      <c r="DN130" s="574" t="n"/>
      <c r="DO130" s="574" t="n"/>
      <c r="DP130" s="574" t="n"/>
      <c r="DQ130" s="574" t="n"/>
      <c r="DR130" s="574" t="n"/>
      <c r="DS130" s="574" t="n"/>
      <c r="DT130" s="574" t="n"/>
      <c r="DU130" s="574" t="n"/>
      <c r="DV130" s="574" t="n"/>
      <c r="DW130" s="574" t="n"/>
      <c r="DX130" s="574" t="n"/>
      <c r="DY130" s="574" t="n"/>
      <c r="DZ130" s="574" t="n"/>
      <c r="EA130" s="574" t="n"/>
      <c r="EB130" s="574" t="n"/>
      <c r="EC130" s="574" t="n"/>
      <c r="ED130" s="574" t="n"/>
      <c r="EE130" s="574" t="n"/>
      <c r="EF130" s="574" t="n"/>
      <c r="EG130" s="574" t="n"/>
      <c r="EH130" s="574" t="n"/>
      <c r="EI130" s="574" t="n"/>
      <c r="EJ130" s="574" t="n"/>
      <c r="EK130" s="574" t="n"/>
      <c r="EL130" s="574" t="n"/>
      <c r="EM130" s="574" t="n"/>
      <c r="EN130" s="574" t="n"/>
      <c r="EO130" s="574" t="n"/>
      <c r="EP130" s="574" t="n"/>
      <c r="EQ130" s="574" t="n"/>
      <c r="ER130" s="574" t="n"/>
      <c r="ES130" s="574" t="n"/>
      <c r="ET130" s="574" t="n"/>
      <c r="EU130" s="574" t="n"/>
      <c r="EV130" s="574" t="n"/>
      <c r="EW130" s="574" t="n"/>
      <c r="EX130" s="574" t="n"/>
      <c r="EY130" s="574" t="n"/>
      <c r="EZ130" s="574" t="n"/>
      <c r="FA130" s="574" t="n"/>
      <c r="FB130" s="574" t="n"/>
      <c r="FC130" s="574" t="n"/>
      <c r="FD130" s="574" t="n"/>
      <c r="FE130" s="574" t="n"/>
      <c r="FF130" s="574" t="n"/>
      <c r="FG130" s="574" t="n"/>
      <c r="FH130" s="574" t="n"/>
      <c r="FI130" s="574" t="n"/>
      <c r="FJ130" s="574" t="n"/>
      <c r="FK130" s="574" t="n"/>
      <c r="FL130" s="574" t="n"/>
      <c r="FM130" s="574" t="n"/>
      <c r="FN130" s="574" t="n"/>
      <c r="FO130" s="574" t="n"/>
      <c r="FP130" s="574" t="n"/>
      <c r="FQ130" s="574" t="n"/>
      <c r="FR130" s="574" t="n"/>
      <c r="FS130" s="574" t="n"/>
      <c r="FT130" s="574" t="n"/>
      <c r="FU130" s="574" t="n"/>
      <c r="FV130" s="574" t="n"/>
      <c r="FW130" s="574" t="n"/>
      <c r="FX130" s="574" t="n"/>
      <c r="FY130" s="574" t="n"/>
      <c r="FZ130" s="574" t="n"/>
      <c r="GA130" s="574" t="n"/>
      <c r="GB130" s="574" t="n"/>
      <c r="GC130" s="574" t="n"/>
      <c r="GD130" s="574" t="n"/>
      <c r="GE130" s="574" t="n"/>
      <c r="GF130" s="574" t="n"/>
    </row>
    <row r="131" customFormat="1" s="568">
      <c r="A131" s="86" t="n"/>
      <c r="B131" s="85" t="n"/>
      <c r="C131" s="84">
        <f>IFERROR(IF(AND($E131&gt;0,$D131&lt;&gt;"The Public"),$E131/SUMIFS($E$10:$E$205,$E$10:$E$205,"&gt;0",$D$10:$D$205,"&lt;&gt;The Public")*$D$5,""),"")</f>
        <v/>
      </c>
      <c r="D131" s="68" t="n"/>
      <c r="E131" s="84">
        <f>SUM(G131:HY131)</f>
        <v/>
      </c>
      <c r="F131" s="568">
        <f>IFERROR(IF($E131&gt;0.0000005,$E131/SUMIF($E$11:$E$140,"&gt;0.0000005"),""),"")</f>
        <v/>
      </c>
      <c r="M131" s="574" t="n"/>
      <c r="N131" s="574" t="n"/>
      <c r="O131" s="574" t="n"/>
      <c r="P131" s="574" t="n"/>
      <c r="Q131" s="574" t="n"/>
      <c r="R131" s="574" t="n"/>
      <c r="S131" s="574" t="n"/>
      <c r="T131" s="574" t="n"/>
      <c r="U131" s="574" t="n"/>
      <c r="V131" s="574" t="n"/>
      <c r="W131" s="574" t="n"/>
      <c r="X131" s="574" t="n"/>
      <c r="Y131" s="574" t="n"/>
      <c r="Z131" s="574" t="n"/>
      <c r="AA131" s="574" t="n"/>
      <c r="AB131" s="574" t="n"/>
      <c r="AC131" s="574" t="n"/>
      <c r="AD131" s="574" t="n"/>
      <c r="AE131" s="574" t="n"/>
      <c r="AF131" s="574" t="n"/>
      <c r="AG131" s="574" t="n"/>
      <c r="AH131" s="574" t="n"/>
      <c r="AI131" s="574" t="n"/>
      <c r="AJ131" s="574" t="n"/>
      <c r="AK131" s="574" t="n"/>
      <c r="AL131" s="574" t="n"/>
      <c r="AM131" s="574" t="n"/>
      <c r="AN131" s="574" t="n"/>
      <c r="AO131" s="574" t="n"/>
      <c r="AP131" s="574" t="n"/>
      <c r="AQ131" s="574" t="n"/>
      <c r="AR131" s="574" t="n"/>
      <c r="AS131" s="574" t="n"/>
      <c r="AT131" s="574" t="n"/>
      <c r="AU131" s="574" t="n"/>
      <c r="AV131" s="574" t="n"/>
      <c r="AW131" s="574" t="n"/>
      <c r="AX131" s="574" t="n"/>
      <c r="AY131" s="574" t="n"/>
      <c r="AZ131" s="574" t="n"/>
      <c r="BA131" s="574" t="n"/>
      <c r="BB131" s="574" t="n"/>
      <c r="BC131" s="574" t="n"/>
      <c r="BD131" s="574" t="n"/>
      <c r="BE131" s="574" t="n"/>
      <c r="BF131" s="574" t="n"/>
      <c r="BG131" s="574" t="n"/>
      <c r="BH131" s="574" t="n"/>
      <c r="BI131" s="574" t="n"/>
      <c r="BJ131" s="574" t="n"/>
      <c r="BK131" s="574" t="n"/>
      <c r="BL131" s="574" t="n"/>
      <c r="BM131" s="574" t="n"/>
      <c r="BN131" s="574" t="n"/>
      <c r="BO131" s="574" t="n"/>
      <c r="BP131" s="574" t="n"/>
      <c r="BQ131" s="574" t="n"/>
      <c r="BR131" s="574" t="n"/>
      <c r="BS131" s="574" t="n"/>
      <c r="BT131" s="574" t="n"/>
      <c r="BU131" s="574" t="n"/>
      <c r="BV131" s="574" t="n"/>
      <c r="BW131" s="574" t="n"/>
      <c r="BX131" s="574" t="n"/>
      <c r="BY131" s="574" t="n"/>
      <c r="BZ131" s="574" t="n"/>
      <c r="CA131" s="574" t="n"/>
      <c r="CB131" s="574" t="n"/>
      <c r="CC131" s="574" t="n"/>
      <c r="CD131" s="574" t="n"/>
      <c r="CE131" s="574" t="n"/>
      <c r="CF131" s="574" t="n"/>
      <c r="CG131" s="574" t="n"/>
      <c r="CH131" s="574" t="n"/>
      <c r="CI131" s="574" t="n"/>
      <c r="CJ131" s="574" t="n"/>
      <c r="CK131" s="574" t="n"/>
      <c r="CL131" s="574" t="n"/>
      <c r="CM131" s="574" t="n"/>
      <c r="CN131" s="574" t="n"/>
      <c r="CO131" s="574" t="n"/>
      <c r="CP131" s="574" t="n"/>
      <c r="CQ131" s="574" t="n"/>
      <c r="CR131" s="574" t="n"/>
      <c r="CS131" s="574" t="n"/>
      <c r="CT131" s="574" t="n"/>
      <c r="CU131" s="574" t="n"/>
      <c r="CV131" s="574" t="n"/>
      <c r="CW131" s="574" t="n"/>
      <c r="CX131" s="574" t="n"/>
      <c r="CY131" s="574" t="n"/>
      <c r="CZ131" s="574" t="n"/>
      <c r="DA131" s="574" t="n"/>
      <c r="DB131" s="574" t="n"/>
      <c r="DC131" s="574" t="n"/>
      <c r="DD131" s="574" t="n"/>
      <c r="DE131" s="574" t="n"/>
      <c r="DF131" s="574" t="n"/>
      <c r="DG131" s="574" t="n"/>
      <c r="DH131" s="574" t="n"/>
      <c r="DI131" s="574" t="n"/>
      <c r="DJ131" s="574" t="n"/>
      <c r="DK131" s="574" t="n"/>
      <c r="DL131" s="574" t="n"/>
      <c r="DM131" s="574" t="n"/>
      <c r="DN131" s="574" t="n"/>
      <c r="DO131" s="574" t="n"/>
      <c r="DP131" s="574" t="n"/>
      <c r="DQ131" s="574" t="n"/>
      <c r="DR131" s="574" t="n"/>
      <c r="DS131" s="574" t="n"/>
      <c r="DT131" s="574" t="n"/>
      <c r="DU131" s="574" t="n"/>
      <c r="DV131" s="574" t="n"/>
      <c r="DW131" s="574" t="n"/>
      <c r="DX131" s="574" t="n"/>
      <c r="DY131" s="574" t="n"/>
      <c r="DZ131" s="574" t="n"/>
      <c r="EA131" s="574" t="n"/>
      <c r="EB131" s="574" t="n"/>
      <c r="EC131" s="574" t="n"/>
      <c r="ED131" s="574" t="n"/>
      <c r="EE131" s="574" t="n"/>
      <c r="EF131" s="574" t="n"/>
      <c r="EG131" s="574" t="n"/>
      <c r="EH131" s="574" t="n"/>
      <c r="EI131" s="574" t="n"/>
      <c r="EJ131" s="574" t="n"/>
      <c r="EK131" s="574" t="n"/>
      <c r="EL131" s="574" t="n"/>
      <c r="EM131" s="574" t="n"/>
      <c r="EN131" s="574" t="n"/>
      <c r="EO131" s="574" t="n"/>
      <c r="EP131" s="574" t="n"/>
      <c r="EQ131" s="574" t="n"/>
      <c r="ER131" s="574" t="n"/>
      <c r="ES131" s="574" t="n"/>
      <c r="ET131" s="574" t="n"/>
      <c r="EU131" s="574" t="n"/>
      <c r="EV131" s="574" t="n"/>
      <c r="EW131" s="574" t="n"/>
      <c r="EX131" s="574" t="n"/>
      <c r="EY131" s="574" t="n"/>
      <c r="EZ131" s="574" t="n"/>
      <c r="FA131" s="574" t="n"/>
      <c r="FB131" s="574" t="n"/>
      <c r="FC131" s="574" t="n"/>
      <c r="FD131" s="574" t="n"/>
      <c r="FE131" s="574" t="n"/>
      <c r="FF131" s="574" t="n"/>
      <c r="FG131" s="574" t="n"/>
      <c r="FH131" s="574" t="n"/>
      <c r="FI131" s="574" t="n"/>
      <c r="FJ131" s="574" t="n"/>
      <c r="FK131" s="574" t="n"/>
      <c r="FL131" s="574" t="n"/>
      <c r="FM131" s="574" t="n"/>
      <c r="FN131" s="574" t="n"/>
      <c r="FO131" s="574" t="n"/>
      <c r="FP131" s="574" t="n"/>
      <c r="FQ131" s="574" t="n"/>
      <c r="FR131" s="574" t="n"/>
      <c r="FS131" s="574" t="n"/>
      <c r="FT131" s="574" t="n"/>
      <c r="FU131" s="574" t="n"/>
      <c r="FV131" s="574" t="n"/>
      <c r="FW131" s="574" t="n"/>
      <c r="FX131" s="574" t="n"/>
      <c r="FY131" s="574" t="n"/>
      <c r="FZ131" s="574" t="n"/>
      <c r="GA131" s="574" t="n"/>
      <c r="GB131" s="574" t="n"/>
      <c r="GC131" s="574" t="n"/>
      <c r="GD131" s="574" t="n"/>
      <c r="GE131" s="574" t="n"/>
      <c r="GF131" s="574" t="n"/>
    </row>
    <row r="132" customFormat="1" s="568">
      <c r="A132" s="86" t="n"/>
      <c r="B132" s="85" t="n"/>
      <c r="C132" s="84">
        <f>IFERROR(IF(AND($E132&gt;0,$D132&lt;&gt;"The Public"),$E132/SUMIFS($E$10:$E$205,$E$10:$E$205,"&gt;0",$D$10:$D$205,"&lt;&gt;The Public")*$D$5,""),"")</f>
        <v/>
      </c>
      <c r="D132" s="68" t="n"/>
      <c r="E132" s="84">
        <f>SUM(G132:HY132)</f>
        <v/>
      </c>
      <c r="F132" s="568">
        <f>IFERROR(IF($E132&gt;0.0000005,$E132/SUMIF($E$11:$E$140,"&gt;0.0000005"),""),"")</f>
        <v/>
      </c>
      <c r="M132" s="574" t="n"/>
      <c r="N132" s="574" t="n"/>
      <c r="O132" s="574" t="n"/>
      <c r="P132" s="574" t="n"/>
      <c r="Q132" s="574" t="n"/>
      <c r="R132" s="574" t="n"/>
      <c r="S132" s="574" t="n"/>
      <c r="T132" s="574" t="n"/>
      <c r="U132" s="574" t="n"/>
      <c r="V132" s="574" t="n"/>
      <c r="W132" s="574" t="n"/>
      <c r="X132" s="574" t="n"/>
      <c r="Y132" s="574" t="n"/>
      <c r="Z132" s="574" t="n"/>
      <c r="AA132" s="574" t="n"/>
      <c r="AB132" s="574" t="n"/>
      <c r="AC132" s="574" t="n"/>
      <c r="AD132" s="574" t="n"/>
      <c r="AE132" s="574" t="n"/>
      <c r="AF132" s="574" t="n"/>
      <c r="AG132" s="574" t="n"/>
      <c r="AH132" s="574" t="n"/>
      <c r="AI132" s="574" t="n"/>
      <c r="AJ132" s="574" t="n"/>
      <c r="AK132" s="574" t="n"/>
      <c r="AL132" s="574" t="n"/>
      <c r="AM132" s="574" t="n"/>
      <c r="AN132" s="574" t="n"/>
      <c r="AO132" s="574" t="n"/>
      <c r="AP132" s="574" t="n"/>
      <c r="AQ132" s="574" t="n"/>
      <c r="AR132" s="574" t="n"/>
      <c r="AS132" s="574" t="n"/>
      <c r="AT132" s="574" t="n"/>
      <c r="AU132" s="574" t="n"/>
      <c r="AV132" s="574" t="n"/>
      <c r="AW132" s="574" t="n"/>
      <c r="AX132" s="574" t="n"/>
      <c r="AY132" s="574" t="n"/>
      <c r="AZ132" s="574" t="n"/>
      <c r="BA132" s="574" t="n"/>
      <c r="BB132" s="574" t="n"/>
      <c r="BC132" s="574" t="n"/>
      <c r="BD132" s="574" t="n"/>
      <c r="BE132" s="574" t="n"/>
      <c r="BF132" s="574" t="n"/>
      <c r="BG132" s="574" t="n"/>
      <c r="BH132" s="574" t="n"/>
      <c r="BI132" s="574" t="n"/>
      <c r="BJ132" s="574" t="n"/>
      <c r="BK132" s="574" t="n"/>
      <c r="BL132" s="574" t="n"/>
      <c r="BM132" s="574" t="n"/>
      <c r="BN132" s="574" t="n"/>
      <c r="BO132" s="574" t="n"/>
      <c r="BP132" s="574" t="n"/>
      <c r="BQ132" s="574" t="n"/>
      <c r="BR132" s="574" t="n"/>
      <c r="BS132" s="574" t="n"/>
      <c r="BT132" s="574" t="n"/>
      <c r="BU132" s="574" t="n"/>
      <c r="BV132" s="574" t="n"/>
      <c r="BW132" s="574" t="n"/>
      <c r="BX132" s="574" t="n"/>
      <c r="BY132" s="574" t="n"/>
      <c r="BZ132" s="574" t="n"/>
      <c r="CA132" s="574" t="n"/>
      <c r="CB132" s="574" t="n"/>
      <c r="CC132" s="574" t="n"/>
      <c r="CD132" s="574" t="n"/>
      <c r="CE132" s="574" t="n"/>
      <c r="CF132" s="574" t="n"/>
      <c r="CG132" s="574" t="n"/>
      <c r="CH132" s="574" t="n"/>
      <c r="CI132" s="574" t="n"/>
      <c r="CJ132" s="574" t="n"/>
      <c r="CK132" s="574" t="n"/>
      <c r="CL132" s="574" t="n"/>
      <c r="CM132" s="574" t="n"/>
      <c r="CN132" s="574" t="n"/>
      <c r="CO132" s="574" t="n"/>
      <c r="CP132" s="574" t="n"/>
      <c r="CQ132" s="574" t="n"/>
      <c r="CR132" s="574" t="n"/>
      <c r="CS132" s="574" t="n"/>
      <c r="CT132" s="574" t="n"/>
      <c r="CU132" s="574" t="n"/>
      <c r="CV132" s="574" t="n"/>
      <c r="CW132" s="574" t="n"/>
      <c r="CX132" s="574" t="n"/>
      <c r="CY132" s="574" t="n"/>
      <c r="CZ132" s="574" t="n"/>
      <c r="DA132" s="574" t="n"/>
      <c r="DB132" s="574" t="n"/>
      <c r="DC132" s="574" t="n"/>
      <c r="DD132" s="574" t="n"/>
      <c r="DE132" s="574" t="n"/>
      <c r="DF132" s="574" t="n"/>
      <c r="DG132" s="574" t="n"/>
      <c r="DH132" s="574" t="n"/>
      <c r="DI132" s="574" t="n"/>
      <c r="DJ132" s="574" t="n"/>
      <c r="DK132" s="574" t="n"/>
      <c r="DL132" s="574" t="n"/>
      <c r="DM132" s="574" t="n"/>
      <c r="DN132" s="574" t="n"/>
      <c r="DO132" s="574" t="n"/>
      <c r="DP132" s="574" t="n"/>
      <c r="DQ132" s="574" t="n"/>
      <c r="DR132" s="574" t="n"/>
      <c r="DS132" s="574" t="n"/>
      <c r="DT132" s="574" t="n"/>
      <c r="DU132" s="574" t="n"/>
      <c r="DV132" s="574" t="n"/>
      <c r="DW132" s="574" t="n"/>
      <c r="DX132" s="574" t="n"/>
      <c r="DY132" s="574" t="n"/>
      <c r="DZ132" s="574" t="n"/>
      <c r="EA132" s="574" t="n"/>
      <c r="EB132" s="574" t="n"/>
      <c r="EC132" s="574" t="n"/>
      <c r="ED132" s="574" t="n"/>
      <c r="EE132" s="574" t="n"/>
      <c r="EF132" s="574" t="n"/>
      <c r="EG132" s="574" t="n"/>
      <c r="EH132" s="574" t="n"/>
      <c r="EI132" s="574" t="n"/>
      <c r="EJ132" s="574" t="n"/>
      <c r="EK132" s="574" t="n"/>
      <c r="EL132" s="574" t="n"/>
      <c r="EM132" s="574" t="n"/>
      <c r="EN132" s="574" t="n"/>
      <c r="EO132" s="574" t="n"/>
      <c r="EP132" s="574" t="n"/>
      <c r="EQ132" s="574" t="n"/>
      <c r="ER132" s="574" t="n"/>
      <c r="ES132" s="574" t="n"/>
      <c r="ET132" s="574" t="n"/>
      <c r="EU132" s="574" t="n"/>
      <c r="EV132" s="574" t="n"/>
      <c r="EW132" s="574" t="n"/>
      <c r="EX132" s="574" t="n"/>
      <c r="EY132" s="574" t="n"/>
      <c r="EZ132" s="574" t="n"/>
      <c r="FA132" s="574" t="n"/>
      <c r="FB132" s="574" t="n"/>
      <c r="FC132" s="574" t="n"/>
      <c r="FD132" s="574" t="n"/>
      <c r="FE132" s="574" t="n"/>
      <c r="FF132" s="574" t="n"/>
      <c r="FG132" s="574" t="n"/>
      <c r="FH132" s="574" t="n"/>
      <c r="FI132" s="574" t="n"/>
      <c r="FJ132" s="574" t="n"/>
      <c r="FK132" s="574" t="n"/>
      <c r="FL132" s="574" t="n"/>
      <c r="FM132" s="574" t="n"/>
      <c r="FN132" s="574" t="n"/>
      <c r="FO132" s="574" t="n"/>
      <c r="FP132" s="574" t="n"/>
      <c r="FQ132" s="574" t="n"/>
      <c r="FR132" s="574" t="n"/>
      <c r="FS132" s="574" t="n"/>
      <c r="FT132" s="574" t="n"/>
      <c r="FU132" s="574" t="n"/>
      <c r="FV132" s="574" t="n"/>
      <c r="FW132" s="574" t="n"/>
      <c r="FX132" s="574" t="n"/>
      <c r="FY132" s="574" t="n"/>
      <c r="FZ132" s="574" t="n"/>
      <c r="GA132" s="574" t="n"/>
      <c r="GB132" s="574" t="n"/>
      <c r="GC132" s="574" t="n"/>
      <c r="GD132" s="574" t="n"/>
      <c r="GE132" s="574" t="n"/>
      <c r="GF132" s="574" t="n"/>
    </row>
    <row r="133" customFormat="1" s="568">
      <c r="A133" s="86" t="n"/>
      <c r="B133" s="85" t="n"/>
      <c r="C133" s="84">
        <f>IFERROR(IF(AND($E133&gt;0,$D133&lt;&gt;"The Public"),$E133/SUMIFS($E$10:$E$205,$E$10:$E$205,"&gt;0",$D$10:$D$205,"&lt;&gt;The Public")*$D$5,""),"")</f>
        <v/>
      </c>
      <c r="D133" s="68" t="n"/>
      <c r="E133" s="84">
        <f>SUM(G133:HY133)</f>
        <v/>
      </c>
      <c r="F133" s="568">
        <f>IFERROR(IF($E133&gt;0.0000005,$E133/SUMIF($E$11:$E$140,"&gt;0.0000005"),""),"")</f>
        <v/>
      </c>
      <c r="M133" s="574" t="n"/>
      <c r="N133" s="574" t="n"/>
      <c r="O133" s="574" t="n"/>
      <c r="P133" s="574" t="n"/>
      <c r="Q133" s="574" t="n"/>
      <c r="R133" s="574" t="n"/>
      <c r="S133" s="574" t="n"/>
      <c r="T133" s="574" t="n"/>
      <c r="U133" s="574" t="n"/>
      <c r="V133" s="574" t="n"/>
      <c r="W133" s="574" t="n"/>
      <c r="X133" s="574" t="n"/>
      <c r="Y133" s="574" t="n"/>
      <c r="Z133" s="574" t="n"/>
      <c r="AA133" s="574" t="n"/>
      <c r="AB133" s="574" t="n"/>
      <c r="AC133" s="574" t="n"/>
      <c r="AD133" s="574" t="n"/>
      <c r="AE133" s="574" t="n"/>
      <c r="AF133" s="574" t="n"/>
      <c r="AG133" s="574" t="n"/>
      <c r="AH133" s="574" t="n"/>
      <c r="AI133" s="574" t="n"/>
      <c r="AJ133" s="574" t="n"/>
      <c r="AK133" s="574" t="n"/>
      <c r="AL133" s="574" t="n"/>
      <c r="AM133" s="574" t="n"/>
      <c r="AN133" s="574" t="n"/>
      <c r="AO133" s="574" t="n"/>
      <c r="AP133" s="574" t="n"/>
      <c r="AQ133" s="574" t="n"/>
      <c r="AR133" s="574" t="n"/>
      <c r="AS133" s="574" t="n"/>
      <c r="AT133" s="574" t="n"/>
      <c r="AU133" s="574" t="n"/>
      <c r="AV133" s="574" t="n"/>
      <c r="AW133" s="574" t="n"/>
      <c r="AX133" s="574" t="n"/>
      <c r="AY133" s="574" t="n"/>
      <c r="AZ133" s="574" t="n"/>
      <c r="BA133" s="574" t="n"/>
      <c r="BB133" s="574" t="n"/>
      <c r="BC133" s="574" t="n"/>
      <c r="BD133" s="574" t="n"/>
      <c r="BE133" s="574" t="n"/>
      <c r="BF133" s="574" t="n"/>
      <c r="BG133" s="574" t="n"/>
      <c r="BH133" s="574" t="n"/>
      <c r="BI133" s="574" t="n"/>
      <c r="BJ133" s="574" t="n"/>
      <c r="BK133" s="574" t="n"/>
      <c r="BL133" s="574" t="n"/>
      <c r="BM133" s="574" t="n"/>
      <c r="BN133" s="574" t="n"/>
      <c r="BO133" s="574" t="n"/>
      <c r="BP133" s="574" t="n"/>
      <c r="BQ133" s="574" t="n"/>
      <c r="BR133" s="574" t="n"/>
      <c r="BS133" s="574" t="n"/>
      <c r="BT133" s="574" t="n"/>
      <c r="BU133" s="574" t="n"/>
      <c r="BV133" s="574" t="n"/>
      <c r="BW133" s="574" t="n"/>
      <c r="BX133" s="574" t="n"/>
      <c r="BY133" s="574" t="n"/>
      <c r="BZ133" s="574" t="n"/>
      <c r="CA133" s="574" t="n"/>
      <c r="CB133" s="574" t="n"/>
      <c r="CC133" s="574" t="n"/>
      <c r="CD133" s="574" t="n"/>
      <c r="CE133" s="574" t="n"/>
      <c r="CF133" s="574" t="n"/>
      <c r="CG133" s="574" t="n"/>
      <c r="CH133" s="574" t="n"/>
      <c r="CI133" s="574" t="n"/>
      <c r="CJ133" s="574" t="n"/>
      <c r="CK133" s="574" t="n"/>
      <c r="CL133" s="574" t="n"/>
      <c r="CM133" s="574" t="n"/>
      <c r="CN133" s="574" t="n"/>
      <c r="CO133" s="574" t="n"/>
      <c r="CP133" s="574" t="n"/>
      <c r="CQ133" s="574" t="n"/>
      <c r="CR133" s="574" t="n"/>
      <c r="CS133" s="574" t="n"/>
      <c r="CT133" s="574" t="n"/>
      <c r="CU133" s="574" t="n"/>
      <c r="CV133" s="574" t="n"/>
      <c r="CW133" s="574" t="n"/>
      <c r="CX133" s="574" t="n"/>
      <c r="CY133" s="574" t="n"/>
      <c r="CZ133" s="574" t="n"/>
      <c r="DA133" s="574" t="n"/>
      <c r="DB133" s="574" t="n"/>
      <c r="DC133" s="574" t="n"/>
      <c r="DD133" s="574" t="n"/>
      <c r="DE133" s="574" t="n"/>
      <c r="DF133" s="574" t="n"/>
      <c r="DG133" s="574" t="n"/>
      <c r="DH133" s="574" t="n"/>
      <c r="DI133" s="574" t="n"/>
      <c r="DJ133" s="574" t="n"/>
      <c r="DK133" s="574" t="n"/>
      <c r="DL133" s="574" t="n"/>
      <c r="DM133" s="574" t="n"/>
      <c r="DN133" s="574" t="n"/>
      <c r="DO133" s="574" t="n"/>
      <c r="DP133" s="574" t="n"/>
      <c r="DQ133" s="574" t="n"/>
      <c r="DR133" s="574" t="n"/>
      <c r="DS133" s="574" t="n"/>
      <c r="DT133" s="574" t="n"/>
      <c r="DU133" s="574" t="n"/>
      <c r="DV133" s="574" t="n"/>
      <c r="DW133" s="574" t="n"/>
      <c r="DX133" s="574" t="n"/>
      <c r="DY133" s="574" t="n"/>
      <c r="DZ133" s="574" t="n"/>
      <c r="EA133" s="574" t="n"/>
      <c r="EB133" s="574" t="n"/>
      <c r="EC133" s="574" t="n"/>
      <c r="ED133" s="574" t="n"/>
      <c r="EE133" s="574" t="n"/>
      <c r="EF133" s="574" t="n"/>
      <c r="EG133" s="574" t="n"/>
      <c r="EH133" s="574" t="n"/>
      <c r="EI133" s="574" t="n"/>
      <c r="EJ133" s="574" t="n"/>
      <c r="EK133" s="574" t="n"/>
      <c r="EL133" s="574" t="n"/>
      <c r="EM133" s="574" t="n"/>
      <c r="EN133" s="574" t="n"/>
      <c r="EO133" s="574" t="n"/>
      <c r="EP133" s="574" t="n"/>
      <c r="EQ133" s="574" t="n"/>
      <c r="ER133" s="574" t="n"/>
      <c r="ES133" s="574" t="n"/>
      <c r="ET133" s="574" t="n"/>
      <c r="EU133" s="574" t="n"/>
      <c r="EV133" s="574" t="n"/>
      <c r="EW133" s="574" t="n"/>
      <c r="EX133" s="574" t="n"/>
      <c r="EY133" s="574" t="n"/>
      <c r="EZ133" s="574" t="n"/>
      <c r="FA133" s="574" t="n"/>
      <c r="FB133" s="574" t="n"/>
      <c r="FC133" s="574" t="n"/>
      <c r="FD133" s="574" t="n"/>
      <c r="FE133" s="574" t="n"/>
      <c r="FF133" s="574" t="n"/>
      <c r="FG133" s="574" t="n"/>
      <c r="FH133" s="574" t="n"/>
      <c r="FI133" s="574" t="n"/>
      <c r="FJ133" s="574" t="n"/>
      <c r="FK133" s="574" t="n"/>
      <c r="FL133" s="574" t="n"/>
      <c r="FM133" s="574" t="n"/>
      <c r="FN133" s="574" t="n"/>
      <c r="FO133" s="574" t="n"/>
      <c r="FP133" s="574" t="n"/>
      <c r="FQ133" s="574" t="n"/>
      <c r="FR133" s="574" t="n"/>
      <c r="FS133" s="574" t="n"/>
      <c r="FT133" s="574" t="n"/>
      <c r="FU133" s="574" t="n"/>
      <c r="FV133" s="574" t="n"/>
      <c r="FW133" s="574" t="n"/>
      <c r="FX133" s="574" t="n"/>
      <c r="FY133" s="574" t="n"/>
      <c r="FZ133" s="574" t="n"/>
      <c r="GA133" s="574" t="n"/>
      <c r="GB133" s="574" t="n"/>
      <c r="GC133" s="574" t="n"/>
      <c r="GD133" s="574" t="n"/>
      <c r="GE133" s="574" t="n"/>
      <c r="GF133" s="574" t="n"/>
    </row>
    <row r="134" customFormat="1" s="568">
      <c r="A134" s="86" t="n"/>
      <c r="B134" s="85" t="n"/>
      <c r="C134" s="84">
        <f>IFERROR(IF(AND($E134&gt;0,$D134&lt;&gt;"The Public"),$E134/SUMIFS($E$10:$E$205,$E$10:$E$205,"&gt;0",$D$10:$D$205,"&lt;&gt;The Public")*$D$5,""),"")</f>
        <v/>
      </c>
      <c r="D134" s="68" t="n"/>
      <c r="E134" s="84">
        <f>SUM(G134:HY134)</f>
        <v/>
      </c>
      <c r="F134" s="568">
        <f>IFERROR(IF($E134&gt;0.0000005,$E134/SUMIF($E$11:$E$140,"&gt;0.0000005"),""),"")</f>
        <v/>
      </c>
      <c r="M134" s="574" t="n"/>
      <c r="N134" s="574" t="n"/>
      <c r="O134" s="574" t="n"/>
      <c r="P134" s="574" t="n"/>
      <c r="Q134" s="574" t="n"/>
      <c r="R134" s="574" t="n"/>
      <c r="S134" s="574" t="n"/>
      <c r="T134" s="574" t="n"/>
      <c r="U134" s="574" t="n"/>
      <c r="V134" s="574" t="n"/>
      <c r="W134" s="574" t="n"/>
      <c r="X134" s="574" t="n"/>
      <c r="Y134" s="574" t="n"/>
      <c r="Z134" s="574" t="n"/>
      <c r="AA134" s="574" t="n"/>
      <c r="AB134" s="574" t="n"/>
      <c r="AC134" s="574" t="n"/>
      <c r="AD134" s="574" t="n"/>
      <c r="AE134" s="574" t="n"/>
      <c r="AF134" s="574" t="n"/>
      <c r="AG134" s="574" t="n"/>
      <c r="AH134" s="574" t="n"/>
      <c r="AI134" s="574" t="n"/>
      <c r="AJ134" s="574" t="n"/>
      <c r="AK134" s="574" t="n"/>
      <c r="AL134" s="574" t="n"/>
      <c r="AM134" s="574" t="n"/>
      <c r="AN134" s="574" t="n"/>
      <c r="AO134" s="574" t="n"/>
      <c r="AP134" s="574" t="n"/>
      <c r="AQ134" s="574" t="n"/>
      <c r="AR134" s="574" t="n"/>
      <c r="AS134" s="574" t="n"/>
      <c r="AT134" s="574" t="n"/>
      <c r="AU134" s="574" t="n"/>
      <c r="AV134" s="574" t="n"/>
      <c r="AW134" s="574" t="n"/>
      <c r="AX134" s="574" t="n"/>
      <c r="AY134" s="574" t="n"/>
      <c r="AZ134" s="574" t="n"/>
      <c r="BA134" s="574" t="n"/>
      <c r="BB134" s="574" t="n"/>
      <c r="BC134" s="574" t="n"/>
      <c r="BD134" s="574" t="n"/>
      <c r="BE134" s="574" t="n"/>
      <c r="BF134" s="574" t="n"/>
      <c r="BG134" s="574" t="n"/>
      <c r="BH134" s="574" t="n"/>
      <c r="BI134" s="574" t="n"/>
      <c r="BJ134" s="574" t="n"/>
      <c r="BK134" s="574" t="n"/>
      <c r="BL134" s="574" t="n"/>
      <c r="BM134" s="574" t="n"/>
      <c r="BN134" s="574" t="n"/>
      <c r="BO134" s="574" t="n"/>
      <c r="BP134" s="574" t="n"/>
      <c r="BQ134" s="574" t="n"/>
      <c r="BR134" s="574" t="n"/>
      <c r="BS134" s="574" t="n"/>
      <c r="BT134" s="574" t="n"/>
      <c r="BU134" s="574" t="n"/>
      <c r="BV134" s="574" t="n"/>
      <c r="BW134" s="574" t="n"/>
      <c r="BX134" s="574" t="n"/>
      <c r="BY134" s="574" t="n"/>
      <c r="BZ134" s="574" t="n"/>
      <c r="CA134" s="574" t="n"/>
      <c r="CB134" s="574" t="n"/>
      <c r="CC134" s="574" t="n"/>
      <c r="CD134" s="574" t="n"/>
      <c r="CE134" s="574" t="n"/>
      <c r="CF134" s="574" t="n"/>
      <c r="CG134" s="574" t="n"/>
      <c r="CH134" s="574" t="n"/>
      <c r="CI134" s="574" t="n"/>
      <c r="CJ134" s="574" t="n"/>
      <c r="CK134" s="574" t="n"/>
      <c r="CL134" s="574" t="n"/>
      <c r="CM134" s="574" t="n"/>
      <c r="CN134" s="574" t="n"/>
      <c r="CO134" s="574" t="n"/>
      <c r="CP134" s="574" t="n"/>
      <c r="CQ134" s="574" t="n"/>
      <c r="CR134" s="574" t="n"/>
      <c r="CS134" s="574" t="n"/>
      <c r="CT134" s="574" t="n"/>
      <c r="CU134" s="574" t="n"/>
      <c r="CV134" s="574" t="n"/>
      <c r="CW134" s="574" t="n"/>
      <c r="CX134" s="574" t="n"/>
      <c r="CY134" s="574" t="n"/>
      <c r="CZ134" s="574" t="n"/>
      <c r="DA134" s="574" t="n"/>
      <c r="DB134" s="574" t="n"/>
      <c r="DC134" s="574" t="n"/>
      <c r="DD134" s="574" t="n"/>
      <c r="DE134" s="574" t="n"/>
      <c r="DF134" s="574" t="n"/>
      <c r="DG134" s="574" t="n"/>
      <c r="DH134" s="574" t="n"/>
      <c r="DI134" s="574" t="n"/>
      <c r="DJ134" s="574" t="n"/>
      <c r="DK134" s="574" t="n"/>
      <c r="DL134" s="574" t="n"/>
      <c r="DM134" s="574" t="n"/>
      <c r="DN134" s="574" t="n"/>
      <c r="DO134" s="574" t="n"/>
      <c r="DP134" s="574" t="n"/>
      <c r="DQ134" s="574" t="n"/>
      <c r="DR134" s="574" t="n"/>
      <c r="DS134" s="574" t="n"/>
      <c r="DT134" s="574" t="n"/>
      <c r="DU134" s="574" t="n"/>
      <c r="DV134" s="574" t="n"/>
      <c r="DW134" s="574" t="n"/>
      <c r="DX134" s="574" t="n"/>
      <c r="DY134" s="574" t="n"/>
      <c r="DZ134" s="574" t="n"/>
      <c r="EA134" s="574" t="n"/>
      <c r="EB134" s="574" t="n"/>
      <c r="EC134" s="574" t="n"/>
      <c r="ED134" s="574" t="n"/>
      <c r="EE134" s="574" t="n"/>
      <c r="EF134" s="574" t="n"/>
      <c r="EG134" s="574" t="n"/>
      <c r="EH134" s="574" t="n"/>
      <c r="EI134" s="574" t="n"/>
      <c r="EJ134" s="574" t="n"/>
      <c r="EK134" s="574" t="n"/>
      <c r="EL134" s="574" t="n"/>
      <c r="EM134" s="574" t="n"/>
      <c r="EN134" s="574" t="n"/>
      <c r="EO134" s="574" t="n"/>
      <c r="EP134" s="574" t="n"/>
      <c r="EQ134" s="574" t="n"/>
      <c r="ER134" s="574" t="n"/>
      <c r="ES134" s="574" t="n"/>
      <c r="ET134" s="574" t="n"/>
      <c r="EU134" s="574" t="n"/>
      <c r="EV134" s="574" t="n"/>
      <c r="EW134" s="574" t="n"/>
      <c r="EX134" s="574" t="n"/>
      <c r="EY134" s="574" t="n"/>
      <c r="EZ134" s="574" t="n"/>
      <c r="FA134" s="574" t="n"/>
      <c r="FB134" s="574" t="n"/>
      <c r="FC134" s="574" t="n"/>
      <c r="FD134" s="574" t="n"/>
      <c r="FE134" s="574" t="n"/>
      <c r="FF134" s="574" t="n"/>
      <c r="FG134" s="574" t="n"/>
      <c r="FH134" s="574" t="n"/>
      <c r="FI134" s="574" t="n"/>
      <c r="FJ134" s="574" t="n"/>
      <c r="FK134" s="574" t="n"/>
      <c r="FL134" s="574" t="n"/>
      <c r="FM134" s="574" t="n"/>
      <c r="FN134" s="574" t="n"/>
      <c r="FO134" s="574" t="n"/>
      <c r="FP134" s="574" t="n"/>
      <c r="FQ134" s="574" t="n"/>
      <c r="FR134" s="574" t="n"/>
      <c r="FS134" s="574" t="n"/>
      <c r="FT134" s="574" t="n"/>
      <c r="FU134" s="574" t="n"/>
      <c r="FV134" s="574" t="n"/>
      <c r="FW134" s="574" t="n"/>
      <c r="FX134" s="574" t="n"/>
      <c r="FY134" s="574" t="n"/>
      <c r="FZ134" s="574" t="n"/>
      <c r="GA134" s="574" t="n"/>
      <c r="GB134" s="574" t="n"/>
      <c r="GC134" s="574" t="n"/>
      <c r="GD134" s="574" t="n"/>
      <c r="GE134" s="574" t="n"/>
      <c r="GF134" s="574" t="n"/>
    </row>
    <row r="135" customFormat="1" s="568">
      <c r="A135" s="86" t="n"/>
      <c r="B135" s="85" t="n"/>
      <c r="C135" s="84">
        <f>IFERROR(IF(AND($E135&gt;0,$D135&lt;&gt;"The Public"),$E135/SUMIFS($E$10:$E$205,$E$10:$E$205,"&gt;0",$D$10:$D$205,"&lt;&gt;The Public")*$D$5,""),"")</f>
        <v/>
      </c>
      <c r="D135" s="68" t="n"/>
      <c r="E135" s="84">
        <f>SUM(G135:HY135)</f>
        <v/>
      </c>
      <c r="F135" s="568">
        <f>IFERROR(IF($E135&gt;0.0000005,$E135/SUMIF($E$11:$E$140,"&gt;0.0000005"),""),"")</f>
        <v/>
      </c>
      <c r="M135" s="574" t="n"/>
      <c r="N135" s="574" t="n"/>
      <c r="O135" s="574" t="n"/>
      <c r="P135" s="574" t="n"/>
      <c r="Q135" s="574" t="n"/>
      <c r="R135" s="574" t="n"/>
      <c r="S135" s="574" t="n"/>
      <c r="T135" s="574" t="n"/>
      <c r="U135" s="574" t="n"/>
      <c r="V135" s="574" t="n"/>
      <c r="W135" s="574" t="n"/>
      <c r="X135" s="574" t="n"/>
      <c r="Y135" s="574" t="n"/>
      <c r="Z135" s="574" t="n"/>
      <c r="AA135" s="574" t="n"/>
      <c r="AB135" s="574" t="n"/>
      <c r="AC135" s="574" t="n"/>
      <c r="AD135" s="574" t="n"/>
      <c r="AE135" s="574" t="n"/>
      <c r="AF135" s="574" t="n"/>
      <c r="AG135" s="574" t="n"/>
      <c r="AH135" s="574" t="n"/>
      <c r="AI135" s="574" t="n"/>
      <c r="AJ135" s="574" t="n"/>
      <c r="AK135" s="574" t="n"/>
      <c r="AL135" s="574" t="n"/>
      <c r="AM135" s="574" t="n"/>
      <c r="AN135" s="574" t="n"/>
      <c r="AO135" s="574" t="n"/>
      <c r="AP135" s="574" t="n"/>
      <c r="AQ135" s="574" t="n"/>
      <c r="AR135" s="574" t="n"/>
      <c r="AS135" s="574" t="n"/>
      <c r="AT135" s="574" t="n"/>
      <c r="AU135" s="574" t="n"/>
      <c r="AV135" s="574" t="n"/>
      <c r="AW135" s="574" t="n"/>
      <c r="AX135" s="574" t="n"/>
      <c r="AY135" s="574" t="n"/>
      <c r="AZ135" s="574" t="n"/>
      <c r="BA135" s="574" t="n"/>
      <c r="BB135" s="574" t="n"/>
      <c r="BC135" s="574" t="n"/>
      <c r="BD135" s="574" t="n"/>
      <c r="BE135" s="574" t="n"/>
      <c r="BF135" s="574" t="n"/>
      <c r="BG135" s="574" t="n"/>
      <c r="BH135" s="574" t="n"/>
      <c r="BI135" s="574" t="n"/>
      <c r="BJ135" s="574" t="n"/>
      <c r="BK135" s="574" t="n"/>
      <c r="BL135" s="574" t="n"/>
      <c r="BM135" s="574" t="n"/>
      <c r="BN135" s="574" t="n"/>
      <c r="BO135" s="574" t="n"/>
      <c r="BP135" s="574" t="n"/>
      <c r="BQ135" s="574" t="n"/>
      <c r="BR135" s="574" t="n"/>
      <c r="BS135" s="574" t="n"/>
      <c r="BT135" s="574" t="n"/>
      <c r="BU135" s="574" t="n"/>
      <c r="BV135" s="574" t="n"/>
      <c r="BW135" s="574" t="n"/>
      <c r="BX135" s="574" t="n"/>
      <c r="BY135" s="574" t="n"/>
      <c r="BZ135" s="574" t="n"/>
      <c r="CA135" s="574" t="n"/>
      <c r="CB135" s="574" t="n"/>
      <c r="CC135" s="574" t="n"/>
      <c r="CD135" s="574" t="n"/>
      <c r="CE135" s="574" t="n"/>
      <c r="CF135" s="574" t="n"/>
      <c r="CG135" s="574" t="n"/>
      <c r="CH135" s="574" t="n"/>
      <c r="CI135" s="574" t="n"/>
      <c r="CJ135" s="574" t="n"/>
      <c r="CK135" s="574" t="n"/>
      <c r="CL135" s="574" t="n"/>
      <c r="CM135" s="574" t="n"/>
      <c r="CN135" s="574" t="n"/>
      <c r="CO135" s="574" t="n"/>
      <c r="CP135" s="574" t="n"/>
      <c r="CQ135" s="574" t="n"/>
      <c r="CR135" s="574" t="n"/>
      <c r="CS135" s="574" t="n"/>
      <c r="CT135" s="574" t="n"/>
      <c r="CU135" s="574" t="n"/>
      <c r="CV135" s="574" t="n"/>
      <c r="CW135" s="574" t="n"/>
      <c r="CX135" s="574" t="n"/>
      <c r="CY135" s="574" t="n"/>
      <c r="CZ135" s="574" t="n"/>
      <c r="DA135" s="574" t="n"/>
      <c r="DB135" s="574" t="n"/>
      <c r="DC135" s="574" t="n"/>
      <c r="DD135" s="574" t="n"/>
      <c r="DE135" s="574" t="n"/>
      <c r="DF135" s="574" t="n"/>
      <c r="DG135" s="574" t="n"/>
      <c r="DH135" s="574" t="n"/>
      <c r="DI135" s="574" t="n"/>
      <c r="DJ135" s="574" t="n"/>
      <c r="DK135" s="574" t="n"/>
      <c r="DL135" s="574" t="n"/>
      <c r="DM135" s="574" t="n"/>
      <c r="DN135" s="574" t="n"/>
      <c r="DO135" s="574" t="n"/>
      <c r="DP135" s="574" t="n"/>
      <c r="DQ135" s="574" t="n"/>
      <c r="DR135" s="574" t="n"/>
      <c r="DS135" s="574" t="n"/>
      <c r="DT135" s="574" t="n"/>
      <c r="DU135" s="574" t="n"/>
      <c r="DV135" s="574" t="n"/>
      <c r="DW135" s="574" t="n"/>
      <c r="DX135" s="574" t="n"/>
      <c r="DY135" s="574" t="n"/>
      <c r="DZ135" s="574" t="n"/>
      <c r="EA135" s="574" t="n"/>
      <c r="EB135" s="574" t="n"/>
      <c r="EC135" s="574" t="n"/>
      <c r="ED135" s="574" t="n"/>
      <c r="EE135" s="574" t="n"/>
      <c r="EF135" s="574" t="n"/>
      <c r="EG135" s="574" t="n"/>
      <c r="EH135" s="574" t="n"/>
      <c r="EI135" s="574" t="n"/>
      <c r="EJ135" s="574" t="n"/>
      <c r="EK135" s="574" t="n"/>
      <c r="EL135" s="574" t="n"/>
      <c r="EM135" s="574" t="n"/>
      <c r="EN135" s="574" t="n"/>
      <c r="EO135" s="574" t="n"/>
      <c r="EP135" s="574" t="n"/>
      <c r="EQ135" s="574" t="n"/>
      <c r="ER135" s="574" t="n"/>
      <c r="ES135" s="574" t="n"/>
      <c r="ET135" s="574" t="n"/>
      <c r="EU135" s="574" t="n"/>
      <c r="EV135" s="574" t="n"/>
      <c r="EW135" s="574" t="n"/>
      <c r="EX135" s="574" t="n"/>
      <c r="EY135" s="574" t="n"/>
      <c r="EZ135" s="574" t="n"/>
      <c r="FA135" s="574" t="n"/>
      <c r="FB135" s="574" t="n"/>
      <c r="FC135" s="574" t="n"/>
      <c r="FD135" s="574" t="n"/>
      <c r="FE135" s="574" t="n"/>
      <c r="FF135" s="574" t="n"/>
      <c r="FG135" s="574" t="n"/>
      <c r="FH135" s="574" t="n"/>
      <c r="FI135" s="574" t="n"/>
      <c r="FJ135" s="574" t="n"/>
      <c r="FK135" s="574" t="n"/>
      <c r="FL135" s="574" t="n"/>
      <c r="FM135" s="574" t="n"/>
      <c r="FN135" s="574" t="n"/>
      <c r="FO135" s="574" t="n"/>
      <c r="FP135" s="574" t="n"/>
      <c r="FQ135" s="574" t="n"/>
      <c r="FR135" s="574" t="n"/>
      <c r="FS135" s="574" t="n"/>
      <c r="FT135" s="574" t="n"/>
      <c r="FU135" s="574" t="n"/>
      <c r="FV135" s="574" t="n"/>
      <c r="FW135" s="574" t="n"/>
      <c r="FX135" s="574" t="n"/>
      <c r="FY135" s="574" t="n"/>
      <c r="FZ135" s="574" t="n"/>
      <c r="GA135" s="574" t="n"/>
      <c r="GB135" s="574" t="n"/>
      <c r="GC135" s="574" t="n"/>
      <c r="GD135" s="574" t="n"/>
      <c r="GE135" s="574" t="n"/>
      <c r="GF135" s="574" t="n"/>
    </row>
    <row r="136" customFormat="1" s="568">
      <c r="A136" s="86" t="n"/>
      <c r="B136" s="85" t="n"/>
      <c r="C136" s="84">
        <f>IFERROR(IF(AND($E136&gt;0,$D136&lt;&gt;"The Public"),$E136/SUMIFS($E$10:$E$205,$E$10:$E$205,"&gt;0",$D$10:$D$205,"&lt;&gt;The Public")*$D$5,""),"")</f>
        <v/>
      </c>
      <c r="D136" s="68" t="n"/>
      <c r="E136" s="84">
        <f>SUM(G136:HY136)</f>
        <v/>
      </c>
      <c r="F136" s="568">
        <f>IFERROR(IF($E136&gt;0.0000005,$E136/SUMIF($E$11:$E$140,"&gt;0.0000005"),""),"")</f>
        <v/>
      </c>
      <c r="M136" s="574" t="n"/>
      <c r="N136" s="574" t="n"/>
      <c r="O136" s="574" t="n"/>
      <c r="P136" s="574" t="n"/>
      <c r="Q136" s="574" t="n"/>
      <c r="R136" s="574" t="n"/>
      <c r="S136" s="574" t="n"/>
      <c r="T136" s="574" t="n"/>
      <c r="U136" s="574" t="n"/>
      <c r="V136" s="574" t="n"/>
      <c r="W136" s="574" t="n"/>
      <c r="X136" s="574" t="n"/>
      <c r="Y136" s="574" t="n"/>
      <c r="Z136" s="574" t="n"/>
      <c r="AA136" s="574" t="n"/>
      <c r="AB136" s="574" t="n"/>
      <c r="AC136" s="574" t="n"/>
      <c r="AD136" s="574" t="n"/>
      <c r="AE136" s="574" t="n"/>
      <c r="AF136" s="574" t="n"/>
      <c r="AG136" s="574" t="n"/>
      <c r="AH136" s="574" t="n"/>
      <c r="AI136" s="574" t="n"/>
      <c r="AJ136" s="574" t="n"/>
      <c r="AK136" s="574" t="n"/>
      <c r="AL136" s="574" t="n"/>
      <c r="AM136" s="574" t="n"/>
      <c r="AN136" s="574" t="n"/>
      <c r="AO136" s="574" t="n"/>
      <c r="AP136" s="574" t="n"/>
      <c r="AQ136" s="574" t="n"/>
      <c r="AR136" s="574" t="n"/>
      <c r="AS136" s="574" t="n"/>
      <c r="AT136" s="574" t="n"/>
      <c r="AU136" s="574" t="n"/>
      <c r="AV136" s="574" t="n"/>
      <c r="AW136" s="574" t="n"/>
      <c r="AX136" s="574" t="n"/>
      <c r="AY136" s="574" t="n"/>
      <c r="AZ136" s="574" t="n"/>
      <c r="BA136" s="574" t="n"/>
      <c r="BB136" s="574" t="n"/>
      <c r="BC136" s="574" t="n"/>
      <c r="BD136" s="574" t="n"/>
      <c r="BE136" s="574" t="n"/>
      <c r="BF136" s="574" t="n"/>
      <c r="BG136" s="574" t="n"/>
      <c r="BH136" s="574" t="n"/>
      <c r="BI136" s="574" t="n"/>
      <c r="BJ136" s="574" t="n"/>
      <c r="BK136" s="574" t="n"/>
      <c r="BL136" s="574" t="n"/>
      <c r="BM136" s="574" t="n"/>
      <c r="BN136" s="574" t="n"/>
      <c r="BO136" s="574" t="n"/>
      <c r="BP136" s="574" t="n"/>
      <c r="BQ136" s="574" t="n"/>
      <c r="BR136" s="574" t="n"/>
      <c r="BS136" s="574" t="n"/>
      <c r="BT136" s="574" t="n"/>
      <c r="BU136" s="574" t="n"/>
      <c r="BV136" s="574" t="n"/>
      <c r="BW136" s="574" t="n"/>
      <c r="BX136" s="574" t="n"/>
      <c r="BY136" s="574" t="n"/>
      <c r="BZ136" s="574" t="n"/>
      <c r="CA136" s="574" t="n"/>
      <c r="CB136" s="574" t="n"/>
      <c r="CC136" s="574" t="n"/>
      <c r="CD136" s="574" t="n"/>
      <c r="CE136" s="574" t="n"/>
      <c r="CF136" s="574" t="n"/>
      <c r="CG136" s="574" t="n"/>
      <c r="CH136" s="574" t="n"/>
      <c r="CI136" s="574" t="n"/>
      <c r="CJ136" s="574" t="n"/>
      <c r="CK136" s="574" t="n"/>
      <c r="CL136" s="574" t="n"/>
      <c r="CM136" s="574" t="n"/>
      <c r="CN136" s="574" t="n"/>
      <c r="CO136" s="574" t="n"/>
      <c r="CP136" s="574" t="n"/>
      <c r="CQ136" s="574" t="n"/>
      <c r="CR136" s="574" t="n"/>
      <c r="CS136" s="574" t="n"/>
      <c r="CT136" s="574" t="n"/>
      <c r="CU136" s="574" t="n"/>
      <c r="CV136" s="574" t="n"/>
      <c r="CW136" s="574" t="n"/>
      <c r="CX136" s="574" t="n"/>
      <c r="CY136" s="574" t="n"/>
      <c r="CZ136" s="574" t="n"/>
      <c r="DA136" s="574" t="n"/>
      <c r="DB136" s="574" t="n"/>
      <c r="DC136" s="574" t="n"/>
      <c r="DD136" s="574" t="n"/>
      <c r="DE136" s="574" t="n"/>
      <c r="DF136" s="574" t="n"/>
      <c r="DG136" s="574" t="n"/>
      <c r="DH136" s="574" t="n"/>
      <c r="DI136" s="574" t="n"/>
      <c r="DJ136" s="574" t="n"/>
      <c r="DK136" s="574" t="n"/>
      <c r="DL136" s="574" t="n"/>
      <c r="DM136" s="574" t="n"/>
      <c r="DN136" s="574" t="n"/>
      <c r="DO136" s="574" t="n"/>
      <c r="DP136" s="574" t="n"/>
      <c r="DQ136" s="574" t="n"/>
      <c r="DR136" s="574" t="n"/>
      <c r="DS136" s="574" t="n"/>
      <c r="DT136" s="574" t="n"/>
      <c r="DU136" s="574" t="n"/>
      <c r="DV136" s="574" t="n"/>
      <c r="DW136" s="574" t="n"/>
      <c r="DX136" s="574" t="n"/>
      <c r="DY136" s="574" t="n"/>
      <c r="DZ136" s="574" t="n"/>
      <c r="EA136" s="574" t="n"/>
      <c r="EB136" s="574" t="n"/>
      <c r="EC136" s="574" t="n"/>
      <c r="ED136" s="574" t="n"/>
      <c r="EE136" s="574" t="n"/>
      <c r="EF136" s="574" t="n"/>
      <c r="EG136" s="574" t="n"/>
      <c r="EH136" s="574" t="n"/>
      <c r="EI136" s="574" t="n"/>
      <c r="EJ136" s="574" t="n"/>
      <c r="EK136" s="574" t="n"/>
      <c r="EL136" s="574" t="n"/>
      <c r="EM136" s="574" t="n"/>
      <c r="EN136" s="574" t="n"/>
      <c r="EO136" s="574" t="n"/>
      <c r="EP136" s="574" t="n"/>
      <c r="EQ136" s="574" t="n"/>
      <c r="ER136" s="574" t="n"/>
      <c r="ES136" s="574" t="n"/>
      <c r="ET136" s="574" t="n"/>
      <c r="EU136" s="574" t="n"/>
      <c r="EV136" s="574" t="n"/>
      <c r="EW136" s="574" t="n"/>
      <c r="EX136" s="574" t="n"/>
      <c r="EY136" s="574" t="n"/>
      <c r="EZ136" s="574" t="n"/>
      <c r="FA136" s="574" t="n"/>
      <c r="FB136" s="574" t="n"/>
      <c r="FC136" s="574" t="n"/>
      <c r="FD136" s="574" t="n"/>
      <c r="FE136" s="574" t="n"/>
      <c r="FF136" s="574" t="n"/>
      <c r="FG136" s="574" t="n"/>
      <c r="FH136" s="574" t="n"/>
      <c r="FI136" s="574" t="n"/>
      <c r="FJ136" s="574" t="n"/>
      <c r="FK136" s="574" t="n"/>
      <c r="FL136" s="574" t="n"/>
      <c r="FM136" s="574" t="n"/>
      <c r="FN136" s="574" t="n"/>
      <c r="FO136" s="574" t="n"/>
      <c r="FP136" s="574" t="n"/>
      <c r="FQ136" s="574" t="n"/>
      <c r="FR136" s="574" t="n"/>
      <c r="FS136" s="574" t="n"/>
      <c r="FT136" s="574" t="n"/>
      <c r="FU136" s="574" t="n"/>
      <c r="FV136" s="574" t="n"/>
      <c r="FW136" s="574" t="n"/>
      <c r="FX136" s="574" t="n"/>
      <c r="FY136" s="574" t="n"/>
      <c r="FZ136" s="574" t="n"/>
      <c r="GA136" s="574" t="n"/>
      <c r="GB136" s="574" t="n"/>
      <c r="GC136" s="574" t="n"/>
      <c r="GD136" s="574" t="n"/>
      <c r="GE136" s="574" t="n"/>
      <c r="GF136" s="574" t="n"/>
    </row>
    <row r="137" customFormat="1" s="568">
      <c r="A137" s="86" t="n"/>
      <c r="B137" s="85" t="n"/>
      <c r="C137" s="84">
        <f>IFERROR(IF(AND($E137&gt;0,$D137&lt;&gt;"The Public"),$E137/SUMIFS($E$10:$E$205,$E$10:$E$205,"&gt;0",$D$10:$D$205,"&lt;&gt;The Public")*$D$5,""),"")</f>
        <v/>
      </c>
      <c r="D137" s="68" t="n"/>
      <c r="E137" s="84">
        <f>SUM(G137:HY137)</f>
        <v/>
      </c>
      <c r="F137" s="568">
        <f>IFERROR(IF($E137&gt;0.0000005,$E137/SUMIF($E$11:$E$140,"&gt;0.0000005"),""),"")</f>
        <v/>
      </c>
      <c r="M137" s="574" t="n"/>
      <c r="N137" s="574" t="n"/>
      <c r="O137" s="574" t="n"/>
      <c r="P137" s="574" t="n"/>
      <c r="Q137" s="574" t="n"/>
      <c r="R137" s="574" t="n"/>
      <c r="S137" s="574" t="n"/>
      <c r="T137" s="574" t="n"/>
      <c r="U137" s="574" t="n"/>
      <c r="V137" s="574" t="n"/>
      <c r="W137" s="574" t="n"/>
      <c r="X137" s="574" t="n"/>
      <c r="Y137" s="574" t="n"/>
      <c r="Z137" s="574" t="n"/>
      <c r="AA137" s="574" t="n"/>
      <c r="AB137" s="574" t="n"/>
      <c r="AC137" s="574" t="n"/>
      <c r="AD137" s="574" t="n"/>
      <c r="AE137" s="574" t="n"/>
      <c r="AF137" s="574" t="n"/>
      <c r="AG137" s="574" t="n"/>
      <c r="AH137" s="574" t="n"/>
      <c r="AI137" s="574" t="n"/>
      <c r="AJ137" s="574" t="n"/>
      <c r="AK137" s="574" t="n"/>
      <c r="AL137" s="574" t="n"/>
      <c r="AM137" s="574" t="n"/>
      <c r="AN137" s="574" t="n"/>
      <c r="AO137" s="574" t="n"/>
      <c r="AP137" s="574" t="n"/>
      <c r="AQ137" s="574" t="n"/>
      <c r="AR137" s="574" t="n"/>
      <c r="AS137" s="574" t="n"/>
      <c r="AT137" s="574" t="n"/>
      <c r="AU137" s="574" t="n"/>
      <c r="AV137" s="574" t="n"/>
      <c r="AW137" s="574" t="n"/>
      <c r="AX137" s="574" t="n"/>
      <c r="AY137" s="574" t="n"/>
      <c r="AZ137" s="574" t="n"/>
      <c r="BA137" s="574" t="n"/>
      <c r="BB137" s="574" t="n"/>
      <c r="BC137" s="574" t="n"/>
      <c r="BD137" s="574" t="n"/>
      <c r="BE137" s="574" t="n"/>
      <c r="BF137" s="574" t="n"/>
      <c r="BG137" s="574" t="n"/>
      <c r="BH137" s="574" t="n"/>
      <c r="BI137" s="574" t="n"/>
      <c r="BJ137" s="574" t="n"/>
      <c r="BK137" s="574" t="n"/>
      <c r="BL137" s="574" t="n"/>
      <c r="BM137" s="574" t="n"/>
      <c r="BN137" s="574" t="n"/>
      <c r="BO137" s="574" t="n"/>
      <c r="BP137" s="574" t="n"/>
      <c r="BQ137" s="574" t="n"/>
      <c r="BR137" s="574" t="n"/>
      <c r="BS137" s="574" t="n"/>
      <c r="BT137" s="574" t="n"/>
      <c r="BU137" s="574" t="n"/>
      <c r="BV137" s="574" t="n"/>
      <c r="BW137" s="574" t="n"/>
      <c r="BX137" s="574" t="n"/>
      <c r="BY137" s="574" t="n"/>
      <c r="BZ137" s="574" t="n"/>
      <c r="CA137" s="574" t="n"/>
      <c r="CB137" s="574" t="n"/>
      <c r="CC137" s="574" t="n"/>
      <c r="CD137" s="574" t="n"/>
      <c r="CE137" s="574" t="n"/>
      <c r="CF137" s="574" t="n"/>
      <c r="CG137" s="574" t="n"/>
      <c r="CH137" s="574" t="n"/>
      <c r="CI137" s="574" t="n"/>
      <c r="CJ137" s="574" t="n"/>
      <c r="CK137" s="574" t="n"/>
      <c r="CL137" s="574" t="n"/>
      <c r="CM137" s="574" t="n"/>
      <c r="CN137" s="574" t="n"/>
      <c r="CO137" s="574" t="n"/>
      <c r="CP137" s="574" t="n"/>
      <c r="CQ137" s="574" t="n"/>
      <c r="CR137" s="574" t="n"/>
      <c r="CS137" s="574" t="n"/>
      <c r="CT137" s="574" t="n"/>
      <c r="CU137" s="574" t="n"/>
      <c r="CV137" s="574" t="n"/>
      <c r="CW137" s="574" t="n"/>
      <c r="CX137" s="574" t="n"/>
      <c r="CY137" s="574" t="n"/>
      <c r="CZ137" s="574" t="n"/>
      <c r="DA137" s="574" t="n"/>
      <c r="DB137" s="574" t="n"/>
      <c r="DC137" s="574" t="n"/>
      <c r="DD137" s="574" t="n"/>
      <c r="DE137" s="574" t="n"/>
      <c r="DF137" s="574" t="n"/>
      <c r="DG137" s="574" t="n"/>
      <c r="DH137" s="574" t="n"/>
      <c r="DI137" s="574" t="n"/>
      <c r="DJ137" s="574" t="n"/>
      <c r="DK137" s="574" t="n"/>
      <c r="DL137" s="574" t="n"/>
      <c r="DM137" s="574" t="n"/>
      <c r="DN137" s="574" t="n"/>
      <c r="DO137" s="574" t="n"/>
      <c r="DP137" s="574" t="n"/>
      <c r="DQ137" s="574" t="n"/>
      <c r="DR137" s="574" t="n"/>
      <c r="DS137" s="574" t="n"/>
      <c r="DT137" s="574" t="n"/>
      <c r="DU137" s="574" t="n"/>
      <c r="DV137" s="574" t="n"/>
      <c r="DW137" s="574" t="n"/>
      <c r="DX137" s="574" t="n"/>
      <c r="DY137" s="574" t="n"/>
      <c r="DZ137" s="574" t="n"/>
      <c r="EA137" s="574" t="n"/>
      <c r="EB137" s="574" t="n"/>
      <c r="EC137" s="574" t="n"/>
      <c r="ED137" s="574" t="n"/>
      <c r="EE137" s="574" t="n"/>
      <c r="EF137" s="574" t="n"/>
      <c r="EG137" s="574" t="n"/>
      <c r="EH137" s="574" t="n"/>
      <c r="EI137" s="574" t="n"/>
      <c r="EJ137" s="574" t="n"/>
      <c r="EK137" s="574" t="n"/>
      <c r="EL137" s="574" t="n"/>
      <c r="EM137" s="574" t="n"/>
      <c r="EN137" s="574" t="n"/>
      <c r="EO137" s="574" t="n"/>
      <c r="EP137" s="574" t="n"/>
      <c r="EQ137" s="574" t="n"/>
      <c r="ER137" s="574" t="n"/>
      <c r="ES137" s="574" t="n"/>
      <c r="ET137" s="574" t="n"/>
      <c r="EU137" s="574" t="n"/>
      <c r="EV137" s="574" t="n"/>
      <c r="EW137" s="574" t="n"/>
      <c r="EX137" s="574" t="n"/>
      <c r="EY137" s="574" t="n"/>
      <c r="EZ137" s="574" t="n"/>
      <c r="FA137" s="574" t="n"/>
      <c r="FB137" s="574" t="n"/>
      <c r="FC137" s="574" t="n"/>
      <c r="FD137" s="574" t="n"/>
      <c r="FE137" s="574" t="n"/>
      <c r="FF137" s="574" t="n"/>
      <c r="FG137" s="574" t="n"/>
      <c r="FH137" s="574" t="n"/>
      <c r="FI137" s="574" t="n"/>
      <c r="FJ137" s="574" t="n"/>
      <c r="FK137" s="574" t="n"/>
      <c r="FL137" s="574" t="n"/>
      <c r="FM137" s="574" t="n"/>
      <c r="FN137" s="574" t="n"/>
      <c r="FO137" s="574" t="n"/>
      <c r="FP137" s="574" t="n"/>
      <c r="FQ137" s="574" t="n"/>
      <c r="FR137" s="574" t="n"/>
      <c r="FS137" s="574" t="n"/>
      <c r="FT137" s="574" t="n"/>
      <c r="FU137" s="574" t="n"/>
      <c r="FV137" s="574" t="n"/>
      <c r="FW137" s="574" t="n"/>
      <c r="FX137" s="574" t="n"/>
      <c r="FY137" s="574" t="n"/>
      <c r="FZ137" s="574" t="n"/>
      <c r="GA137" s="574" t="n"/>
      <c r="GB137" s="574" t="n"/>
      <c r="GC137" s="574" t="n"/>
      <c r="GD137" s="574" t="n"/>
      <c r="GE137" s="574" t="n"/>
      <c r="GF137" s="574" t="n"/>
    </row>
    <row r="138" customFormat="1" s="568">
      <c r="A138" s="86" t="n"/>
      <c r="B138" s="85" t="n"/>
      <c r="C138" s="84">
        <f>IFERROR(IF(AND($E138&gt;0,$D138&lt;&gt;"The Public"),$E138/SUMIFS($E$10:$E$205,$E$10:$E$205,"&gt;0",$D$10:$D$205,"&lt;&gt;The Public")*$D$5,""),"")</f>
        <v/>
      </c>
      <c r="D138" s="68" t="n"/>
      <c r="E138" s="84">
        <f>SUM(G138:HY138)</f>
        <v/>
      </c>
      <c r="F138" s="568">
        <f>IFERROR(IF($E138&gt;0.0000005,$E138/SUMIF($E$11:$E$140,"&gt;0.0000005"),""),"")</f>
        <v/>
      </c>
      <c r="M138" s="574" t="n"/>
      <c r="N138" s="574" t="n"/>
      <c r="O138" s="574" t="n"/>
      <c r="P138" s="574" t="n"/>
      <c r="Q138" s="574" t="n"/>
      <c r="R138" s="574" t="n"/>
      <c r="S138" s="574" t="n"/>
      <c r="T138" s="574" t="n"/>
      <c r="U138" s="574" t="n"/>
      <c r="V138" s="574" t="n"/>
      <c r="W138" s="574" t="n"/>
      <c r="X138" s="574" t="n"/>
      <c r="Y138" s="574" t="n"/>
      <c r="Z138" s="574" t="n"/>
      <c r="AA138" s="574" t="n"/>
      <c r="AB138" s="574" t="n"/>
      <c r="AC138" s="574" t="n"/>
      <c r="AD138" s="574" t="n"/>
      <c r="AE138" s="574" t="n"/>
      <c r="AF138" s="574" t="n"/>
      <c r="AG138" s="574" t="n"/>
      <c r="AH138" s="574" t="n"/>
      <c r="AI138" s="574" t="n"/>
      <c r="AJ138" s="574" t="n"/>
      <c r="AK138" s="574" t="n"/>
      <c r="AL138" s="574" t="n"/>
      <c r="AM138" s="574" t="n"/>
      <c r="AN138" s="574" t="n"/>
      <c r="AO138" s="574" t="n"/>
      <c r="AP138" s="574" t="n"/>
      <c r="AQ138" s="574" t="n"/>
      <c r="AR138" s="574" t="n"/>
      <c r="AS138" s="574" t="n"/>
      <c r="AT138" s="574" t="n"/>
      <c r="AU138" s="574" t="n"/>
      <c r="AV138" s="574" t="n"/>
      <c r="AW138" s="574" t="n"/>
      <c r="AX138" s="574" t="n"/>
      <c r="AY138" s="574" t="n"/>
      <c r="AZ138" s="574" t="n"/>
      <c r="BA138" s="574" t="n"/>
      <c r="BB138" s="574" t="n"/>
      <c r="BC138" s="574" t="n"/>
      <c r="BD138" s="574" t="n"/>
      <c r="BE138" s="574" t="n"/>
      <c r="BF138" s="574" t="n"/>
      <c r="BG138" s="574" t="n"/>
      <c r="BH138" s="574" t="n"/>
      <c r="BI138" s="574" t="n"/>
      <c r="BJ138" s="574" t="n"/>
      <c r="BK138" s="574" t="n"/>
      <c r="BL138" s="574" t="n"/>
      <c r="BM138" s="574" t="n"/>
      <c r="BN138" s="574" t="n"/>
      <c r="BO138" s="574" t="n"/>
      <c r="BP138" s="574" t="n"/>
      <c r="BQ138" s="574" t="n"/>
      <c r="BR138" s="574" t="n"/>
      <c r="BS138" s="574" t="n"/>
      <c r="BT138" s="574" t="n"/>
      <c r="BU138" s="574" t="n"/>
      <c r="BV138" s="574" t="n"/>
      <c r="BW138" s="574" t="n"/>
      <c r="BX138" s="574" t="n"/>
      <c r="BY138" s="574" t="n"/>
      <c r="BZ138" s="574" t="n"/>
      <c r="CA138" s="574" t="n"/>
      <c r="CB138" s="574" t="n"/>
      <c r="CC138" s="574" t="n"/>
      <c r="CD138" s="574" t="n"/>
      <c r="CE138" s="574" t="n"/>
      <c r="CF138" s="574" t="n"/>
      <c r="CG138" s="574" t="n"/>
      <c r="CH138" s="574" t="n"/>
      <c r="CI138" s="574" t="n"/>
      <c r="CJ138" s="574" t="n"/>
      <c r="CK138" s="574" t="n"/>
      <c r="CL138" s="574" t="n"/>
      <c r="CM138" s="574" t="n"/>
      <c r="CN138" s="574" t="n"/>
      <c r="CO138" s="574" t="n"/>
      <c r="CP138" s="574" t="n"/>
      <c r="CQ138" s="574" t="n"/>
      <c r="CR138" s="574" t="n"/>
      <c r="CS138" s="574" t="n"/>
      <c r="CT138" s="574" t="n"/>
      <c r="CU138" s="574" t="n"/>
      <c r="CV138" s="574" t="n"/>
      <c r="CW138" s="574" t="n"/>
      <c r="CX138" s="574" t="n"/>
      <c r="CY138" s="574" t="n"/>
      <c r="CZ138" s="574" t="n"/>
      <c r="DA138" s="574" t="n"/>
      <c r="DB138" s="574" t="n"/>
      <c r="DC138" s="574" t="n"/>
      <c r="DD138" s="574" t="n"/>
      <c r="DE138" s="574" t="n"/>
      <c r="DF138" s="574" t="n"/>
      <c r="DG138" s="574" t="n"/>
      <c r="DH138" s="574" t="n"/>
      <c r="DI138" s="574" t="n"/>
      <c r="DJ138" s="574" t="n"/>
      <c r="DK138" s="574" t="n"/>
      <c r="DL138" s="574" t="n"/>
      <c r="DM138" s="574" t="n"/>
      <c r="DN138" s="574" t="n"/>
      <c r="DO138" s="574" t="n"/>
      <c r="DP138" s="574" t="n"/>
      <c r="DQ138" s="574" t="n"/>
      <c r="DR138" s="574" t="n"/>
      <c r="DS138" s="574" t="n"/>
      <c r="DT138" s="574" t="n"/>
      <c r="DU138" s="574" t="n"/>
      <c r="DV138" s="574" t="n"/>
      <c r="DW138" s="574" t="n"/>
      <c r="DX138" s="574" t="n"/>
      <c r="DY138" s="574" t="n"/>
      <c r="DZ138" s="574" t="n"/>
      <c r="EA138" s="574" t="n"/>
      <c r="EB138" s="574" t="n"/>
      <c r="EC138" s="574" t="n"/>
      <c r="ED138" s="574" t="n"/>
      <c r="EE138" s="574" t="n"/>
      <c r="EF138" s="574" t="n"/>
      <c r="EG138" s="574" t="n"/>
      <c r="EH138" s="574" t="n"/>
      <c r="EI138" s="574" t="n"/>
      <c r="EJ138" s="574" t="n"/>
      <c r="EK138" s="574" t="n"/>
      <c r="EL138" s="574" t="n"/>
      <c r="EM138" s="574" t="n"/>
      <c r="EN138" s="574" t="n"/>
      <c r="EO138" s="574" t="n"/>
      <c r="EP138" s="574" t="n"/>
      <c r="EQ138" s="574" t="n"/>
      <c r="ER138" s="574" t="n"/>
      <c r="ES138" s="574" t="n"/>
      <c r="ET138" s="574" t="n"/>
      <c r="EU138" s="574" t="n"/>
      <c r="EV138" s="574" t="n"/>
      <c r="EW138" s="574" t="n"/>
      <c r="EX138" s="574" t="n"/>
      <c r="EY138" s="574" t="n"/>
      <c r="EZ138" s="574" t="n"/>
      <c r="FA138" s="574" t="n"/>
      <c r="FB138" s="574" t="n"/>
      <c r="FC138" s="574" t="n"/>
      <c r="FD138" s="574" t="n"/>
      <c r="FE138" s="574" t="n"/>
      <c r="FF138" s="574" t="n"/>
      <c r="FG138" s="574" t="n"/>
      <c r="FH138" s="574" t="n"/>
      <c r="FI138" s="574" t="n"/>
      <c r="FJ138" s="574" t="n"/>
      <c r="FK138" s="574" t="n"/>
      <c r="FL138" s="574" t="n"/>
      <c r="FM138" s="574" t="n"/>
      <c r="FN138" s="574" t="n"/>
      <c r="FO138" s="574" t="n"/>
      <c r="FP138" s="574" t="n"/>
      <c r="FQ138" s="574" t="n"/>
      <c r="FR138" s="574" t="n"/>
      <c r="FS138" s="574" t="n"/>
      <c r="FT138" s="574" t="n"/>
      <c r="FU138" s="574" t="n"/>
      <c r="FV138" s="574" t="n"/>
      <c r="FW138" s="574" t="n"/>
      <c r="FX138" s="574" t="n"/>
      <c r="FY138" s="574" t="n"/>
      <c r="FZ138" s="574" t="n"/>
      <c r="GA138" s="574" t="n"/>
      <c r="GB138" s="574" t="n"/>
      <c r="GC138" s="574" t="n"/>
      <c r="GD138" s="574" t="n"/>
      <c r="GE138" s="574" t="n"/>
      <c r="GF138" s="574" t="n"/>
    </row>
    <row r="139" customFormat="1" s="568">
      <c r="A139" s="86" t="n"/>
      <c r="B139" s="85" t="n"/>
      <c r="C139" s="84">
        <f>IFERROR(IF(AND($E139&gt;0,$D139&lt;&gt;"The Public"),$E139/SUMIFS($E$10:$E$205,$E$10:$E$205,"&gt;0",$D$10:$D$205,"&lt;&gt;The Public")*$D$5,""),"")</f>
        <v/>
      </c>
      <c r="D139" s="68" t="n"/>
      <c r="E139" s="84">
        <f>SUM(G139:HY139)</f>
        <v/>
      </c>
      <c r="F139" s="568">
        <f>IFERROR(IF($E139&gt;0.0000005,$E139/SUMIF($E$11:$E$140,"&gt;0.0000005"),""),"")</f>
        <v/>
      </c>
      <c r="M139" s="574" t="n"/>
      <c r="N139" s="574" t="n"/>
      <c r="O139" s="574" t="n"/>
      <c r="P139" s="574" t="n"/>
      <c r="Q139" s="574" t="n"/>
      <c r="R139" s="574" t="n"/>
      <c r="S139" s="574" t="n"/>
      <c r="T139" s="574" t="n"/>
      <c r="U139" s="574" t="n"/>
      <c r="V139" s="574" t="n"/>
      <c r="W139" s="574" t="n"/>
      <c r="X139" s="574" t="n"/>
      <c r="Y139" s="574" t="n"/>
      <c r="Z139" s="574" t="n"/>
      <c r="AA139" s="574" t="n"/>
      <c r="AB139" s="574" t="n"/>
      <c r="AC139" s="574" t="n"/>
      <c r="AD139" s="574" t="n"/>
      <c r="AE139" s="574" t="n"/>
      <c r="AF139" s="574" t="n"/>
      <c r="AG139" s="574" t="n"/>
      <c r="AH139" s="574" t="n"/>
      <c r="AI139" s="574" t="n"/>
      <c r="AJ139" s="574" t="n"/>
      <c r="AK139" s="574" t="n"/>
      <c r="AL139" s="574" t="n"/>
      <c r="AM139" s="574" t="n"/>
      <c r="AN139" s="574" t="n"/>
      <c r="AO139" s="574" t="n"/>
      <c r="AP139" s="574" t="n"/>
      <c r="AQ139" s="574" t="n"/>
      <c r="AR139" s="574" t="n"/>
      <c r="AS139" s="574" t="n"/>
      <c r="AT139" s="574" t="n"/>
      <c r="AU139" s="574" t="n"/>
      <c r="AV139" s="574" t="n"/>
      <c r="AW139" s="574" t="n"/>
      <c r="AX139" s="574" t="n"/>
      <c r="AY139" s="574" t="n"/>
      <c r="AZ139" s="574" t="n"/>
      <c r="BA139" s="574" t="n"/>
      <c r="BB139" s="574" t="n"/>
      <c r="BC139" s="574" t="n"/>
      <c r="BD139" s="574" t="n"/>
      <c r="BE139" s="574" t="n"/>
      <c r="BF139" s="574" t="n"/>
      <c r="BG139" s="574" t="n"/>
      <c r="BH139" s="574" t="n"/>
      <c r="BI139" s="574" t="n"/>
      <c r="BJ139" s="574" t="n"/>
      <c r="BK139" s="574" t="n"/>
      <c r="BL139" s="574" t="n"/>
      <c r="BM139" s="574" t="n"/>
      <c r="BN139" s="574" t="n"/>
      <c r="BO139" s="574" t="n"/>
      <c r="BP139" s="574" t="n"/>
      <c r="BQ139" s="574" t="n"/>
      <c r="BR139" s="574" t="n"/>
      <c r="BS139" s="574" t="n"/>
      <c r="BT139" s="574" t="n"/>
      <c r="BU139" s="574" t="n"/>
      <c r="BV139" s="574" t="n"/>
      <c r="BW139" s="574" t="n"/>
      <c r="BX139" s="574" t="n"/>
      <c r="BY139" s="574" t="n"/>
      <c r="BZ139" s="574" t="n"/>
      <c r="CA139" s="574" t="n"/>
      <c r="CB139" s="574" t="n"/>
      <c r="CC139" s="574" t="n"/>
      <c r="CD139" s="574" t="n"/>
      <c r="CE139" s="574" t="n"/>
      <c r="CF139" s="574" t="n"/>
      <c r="CG139" s="574" t="n"/>
      <c r="CH139" s="574" t="n"/>
      <c r="CI139" s="574" t="n"/>
      <c r="CJ139" s="574" t="n"/>
      <c r="CK139" s="574" t="n"/>
      <c r="CL139" s="574" t="n"/>
      <c r="CM139" s="574" t="n"/>
      <c r="CN139" s="574" t="n"/>
      <c r="CO139" s="574" t="n"/>
      <c r="CP139" s="574" t="n"/>
      <c r="CQ139" s="574" t="n"/>
      <c r="CR139" s="574" t="n"/>
      <c r="CS139" s="574" t="n"/>
      <c r="CT139" s="574" t="n"/>
      <c r="CU139" s="574" t="n"/>
      <c r="CV139" s="574" t="n"/>
      <c r="CW139" s="574" t="n"/>
      <c r="CX139" s="574" t="n"/>
      <c r="CY139" s="574" t="n"/>
      <c r="CZ139" s="574" t="n"/>
      <c r="DA139" s="574" t="n"/>
      <c r="DB139" s="574" t="n"/>
      <c r="DC139" s="574" t="n"/>
      <c r="DD139" s="574" t="n"/>
      <c r="DE139" s="574" t="n"/>
      <c r="DF139" s="574" t="n"/>
      <c r="DG139" s="574" t="n"/>
      <c r="DH139" s="574" t="n"/>
      <c r="DI139" s="574" t="n"/>
      <c r="DJ139" s="574" t="n"/>
      <c r="DK139" s="574" t="n"/>
      <c r="DL139" s="574" t="n"/>
      <c r="DM139" s="574" t="n"/>
      <c r="DN139" s="574" t="n"/>
      <c r="DO139" s="574" t="n"/>
      <c r="DP139" s="574" t="n"/>
      <c r="DQ139" s="574" t="n"/>
      <c r="DR139" s="574" t="n"/>
      <c r="DS139" s="574" t="n"/>
      <c r="DT139" s="574" t="n"/>
      <c r="DU139" s="574" t="n"/>
      <c r="DV139" s="574" t="n"/>
      <c r="DW139" s="574" t="n"/>
      <c r="DX139" s="574" t="n"/>
      <c r="DY139" s="574" t="n"/>
      <c r="DZ139" s="574" t="n"/>
      <c r="EA139" s="574" t="n"/>
      <c r="EB139" s="574" t="n"/>
      <c r="EC139" s="574" t="n"/>
      <c r="ED139" s="574" t="n"/>
      <c r="EE139" s="574" t="n"/>
      <c r="EF139" s="574" t="n"/>
      <c r="EG139" s="574" t="n"/>
      <c r="EH139" s="574" t="n"/>
      <c r="EI139" s="574" t="n"/>
      <c r="EJ139" s="574" t="n"/>
      <c r="EK139" s="574" t="n"/>
      <c r="EL139" s="574" t="n"/>
      <c r="EM139" s="574" t="n"/>
      <c r="EN139" s="574" t="n"/>
      <c r="EO139" s="574" t="n"/>
      <c r="EP139" s="574" t="n"/>
      <c r="EQ139" s="574" t="n"/>
      <c r="ER139" s="574" t="n"/>
      <c r="ES139" s="574" t="n"/>
      <c r="ET139" s="574" t="n"/>
      <c r="EU139" s="574" t="n"/>
      <c r="EV139" s="574" t="n"/>
      <c r="EW139" s="574" t="n"/>
      <c r="EX139" s="574" t="n"/>
      <c r="EY139" s="574" t="n"/>
      <c r="EZ139" s="574" t="n"/>
      <c r="FA139" s="574" t="n"/>
      <c r="FB139" s="574" t="n"/>
      <c r="FC139" s="574" t="n"/>
      <c r="FD139" s="574" t="n"/>
      <c r="FE139" s="574" t="n"/>
      <c r="FF139" s="574" t="n"/>
      <c r="FG139" s="574" t="n"/>
      <c r="FH139" s="574" t="n"/>
      <c r="FI139" s="574" t="n"/>
      <c r="FJ139" s="574" t="n"/>
      <c r="FK139" s="574" t="n"/>
      <c r="FL139" s="574" t="n"/>
      <c r="FM139" s="574" t="n"/>
      <c r="FN139" s="574" t="n"/>
      <c r="FO139" s="574" t="n"/>
      <c r="FP139" s="574" t="n"/>
      <c r="FQ139" s="574" t="n"/>
      <c r="FR139" s="574" t="n"/>
      <c r="FS139" s="574" t="n"/>
      <c r="FT139" s="574" t="n"/>
      <c r="FU139" s="574" t="n"/>
      <c r="FV139" s="574" t="n"/>
      <c r="FW139" s="574" t="n"/>
      <c r="FX139" s="574" t="n"/>
      <c r="FY139" s="574" t="n"/>
      <c r="FZ139" s="574" t="n"/>
      <c r="GA139" s="574" t="n"/>
      <c r="GB139" s="574" t="n"/>
      <c r="GC139" s="574" t="n"/>
      <c r="GD139" s="574" t="n"/>
      <c r="GE139" s="574" t="n"/>
      <c r="GF139" s="574" t="n"/>
    </row>
    <row r="140" customFormat="1" s="568">
      <c r="A140" s="86" t="n"/>
      <c r="B140" s="85" t="n"/>
      <c r="C140" s="84">
        <f>IFERROR(IF(AND($E140&gt;0,$D140&lt;&gt;"The Public"),$E140/SUMIFS($E$10:$E$205,$E$10:$E$205,"&gt;0",$D$10:$D$205,"&lt;&gt;The Public")*$D$5,""),"")</f>
        <v/>
      </c>
      <c r="D140" s="68" t="n"/>
      <c r="E140" s="84">
        <f>SUM(G140:HY140)</f>
        <v/>
      </c>
      <c r="F140" s="568">
        <f>IFERROR(IF($E140&gt;0.0000005,$E140/SUMIF($E$11:$E$140,"&gt;0.0000005"),""),"")</f>
        <v/>
      </c>
      <c r="M140" s="574" t="n"/>
      <c r="N140" s="574" t="n"/>
      <c r="O140" s="574" t="n"/>
      <c r="P140" s="574" t="n"/>
      <c r="Q140" s="574" t="n"/>
      <c r="R140" s="574" t="n"/>
      <c r="S140" s="574" t="n"/>
      <c r="T140" s="574" t="n"/>
      <c r="U140" s="574" t="n"/>
      <c r="V140" s="574" t="n"/>
      <c r="W140" s="574" t="n"/>
      <c r="X140" s="574" t="n"/>
      <c r="Y140" s="574" t="n"/>
      <c r="Z140" s="574" t="n"/>
      <c r="AA140" s="574" t="n"/>
      <c r="AB140" s="574" t="n"/>
      <c r="AC140" s="574" t="n"/>
      <c r="AD140" s="574" t="n"/>
      <c r="AE140" s="574" t="n"/>
      <c r="AF140" s="574" t="n"/>
      <c r="AG140" s="574" t="n"/>
      <c r="AH140" s="574" t="n"/>
      <c r="AI140" s="574" t="n"/>
      <c r="AJ140" s="574" t="n"/>
      <c r="AK140" s="574" t="n"/>
      <c r="AL140" s="574" t="n"/>
      <c r="AM140" s="574" t="n"/>
      <c r="AN140" s="574" t="n"/>
      <c r="AO140" s="574" t="n"/>
      <c r="AP140" s="574" t="n"/>
      <c r="AQ140" s="574" t="n"/>
      <c r="AR140" s="574" t="n"/>
      <c r="AS140" s="574" t="n"/>
      <c r="AT140" s="574" t="n"/>
      <c r="AU140" s="574" t="n"/>
      <c r="AV140" s="574" t="n"/>
      <c r="AW140" s="574" t="n"/>
      <c r="AX140" s="574" t="n"/>
      <c r="AY140" s="574" t="n"/>
      <c r="AZ140" s="574" t="n"/>
      <c r="BA140" s="574" t="n"/>
      <c r="BB140" s="574" t="n"/>
      <c r="BC140" s="574" t="n"/>
      <c r="BD140" s="574" t="n"/>
      <c r="BE140" s="574" t="n"/>
      <c r="BF140" s="574" t="n"/>
      <c r="BG140" s="574" t="n"/>
      <c r="BH140" s="574" t="n"/>
      <c r="BI140" s="574" t="n"/>
      <c r="BJ140" s="574" t="n"/>
      <c r="BK140" s="574" t="n"/>
      <c r="BL140" s="574" t="n"/>
      <c r="BM140" s="574" t="n"/>
      <c r="BN140" s="574" t="n"/>
      <c r="BO140" s="574" t="n"/>
      <c r="BP140" s="574" t="n"/>
      <c r="BQ140" s="574" t="n"/>
      <c r="BR140" s="574" t="n"/>
      <c r="BS140" s="574" t="n"/>
      <c r="BT140" s="574" t="n"/>
      <c r="BU140" s="574" t="n"/>
      <c r="BV140" s="574" t="n"/>
      <c r="BW140" s="574" t="n"/>
      <c r="BX140" s="574" t="n"/>
      <c r="BY140" s="574" t="n"/>
      <c r="BZ140" s="574" t="n"/>
      <c r="CA140" s="574" t="n"/>
      <c r="CB140" s="574" t="n"/>
      <c r="CC140" s="574" t="n"/>
      <c r="CD140" s="574" t="n"/>
      <c r="CE140" s="574" t="n"/>
      <c r="CF140" s="574" t="n"/>
      <c r="CG140" s="574" t="n"/>
      <c r="CH140" s="574" t="n"/>
      <c r="CI140" s="574" t="n"/>
      <c r="CJ140" s="574" t="n"/>
      <c r="CK140" s="574" t="n"/>
      <c r="CL140" s="574" t="n"/>
      <c r="CM140" s="574" t="n"/>
      <c r="CN140" s="574" t="n"/>
      <c r="CO140" s="574" t="n"/>
      <c r="CP140" s="574" t="n"/>
      <c r="CQ140" s="574" t="n"/>
      <c r="CR140" s="574" t="n"/>
      <c r="CS140" s="574" t="n"/>
      <c r="CT140" s="574" t="n"/>
      <c r="CU140" s="574" t="n"/>
      <c r="CV140" s="574" t="n"/>
      <c r="CW140" s="574" t="n"/>
      <c r="CX140" s="574" t="n"/>
      <c r="CY140" s="574" t="n"/>
      <c r="CZ140" s="574" t="n"/>
      <c r="DA140" s="574" t="n"/>
      <c r="DB140" s="574" t="n"/>
      <c r="DC140" s="574" t="n"/>
      <c r="DD140" s="574" t="n"/>
      <c r="DE140" s="574" t="n"/>
      <c r="DF140" s="574" t="n"/>
      <c r="DG140" s="574" t="n"/>
      <c r="DH140" s="574" t="n"/>
      <c r="DI140" s="574" t="n"/>
      <c r="DJ140" s="574" t="n"/>
      <c r="DK140" s="574" t="n"/>
      <c r="DL140" s="574" t="n"/>
      <c r="DM140" s="574" t="n"/>
      <c r="DN140" s="574" t="n"/>
      <c r="DO140" s="574" t="n"/>
      <c r="DP140" s="574" t="n"/>
      <c r="DQ140" s="574" t="n"/>
      <c r="DR140" s="574" t="n"/>
      <c r="DS140" s="574" t="n"/>
      <c r="DT140" s="574" t="n"/>
      <c r="DU140" s="574" t="n"/>
      <c r="DV140" s="574" t="n"/>
      <c r="DW140" s="574" t="n"/>
      <c r="DX140" s="574" t="n"/>
      <c r="DY140" s="574" t="n"/>
      <c r="DZ140" s="574" t="n"/>
      <c r="EA140" s="574" t="n"/>
      <c r="EB140" s="574" t="n"/>
      <c r="EC140" s="574" t="n"/>
      <c r="ED140" s="574" t="n"/>
      <c r="EE140" s="574" t="n"/>
      <c r="EF140" s="574" t="n"/>
      <c r="EG140" s="574" t="n"/>
      <c r="EH140" s="574" t="n"/>
      <c r="EI140" s="574" t="n"/>
      <c r="EJ140" s="574" t="n"/>
      <c r="EK140" s="574" t="n"/>
      <c r="EL140" s="574" t="n"/>
      <c r="EM140" s="574" t="n"/>
      <c r="EN140" s="574" t="n"/>
      <c r="EO140" s="574" t="n"/>
      <c r="EP140" s="574" t="n"/>
      <c r="EQ140" s="574" t="n"/>
      <c r="ER140" s="574" t="n"/>
      <c r="ES140" s="574" t="n"/>
      <c r="ET140" s="574" t="n"/>
      <c r="EU140" s="574" t="n"/>
      <c r="EV140" s="574" t="n"/>
      <c r="EW140" s="574" t="n"/>
      <c r="EX140" s="574" t="n"/>
      <c r="EY140" s="574" t="n"/>
      <c r="EZ140" s="574" t="n"/>
      <c r="FA140" s="574" t="n"/>
      <c r="FB140" s="574" t="n"/>
      <c r="FC140" s="574" t="n"/>
      <c r="FD140" s="574" t="n"/>
      <c r="FE140" s="574" t="n"/>
      <c r="FF140" s="574" t="n"/>
      <c r="FG140" s="574" t="n"/>
      <c r="FH140" s="574" t="n"/>
      <c r="FI140" s="574" t="n"/>
      <c r="FJ140" s="574" t="n"/>
      <c r="FK140" s="574" t="n"/>
      <c r="FL140" s="574" t="n"/>
      <c r="FM140" s="574" t="n"/>
      <c r="FN140" s="574" t="n"/>
      <c r="FO140" s="574" t="n"/>
      <c r="FP140" s="574" t="n"/>
      <c r="FQ140" s="574" t="n"/>
      <c r="FR140" s="574" t="n"/>
      <c r="FS140" s="574" t="n"/>
      <c r="FT140" s="574" t="n"/>
      <c r="FU140" s="574" t="n"/>
      <c r="FV140" s="574" t="n"/>
      <c r="FW140" s="574" t="n"/>
      <c r="FX140" s="574" t="n"/>
      <c r="FY140" s="574" t="n"/>
      <c r="FZ140" s="574" t="n"/>
      <c r="GA140" s="574" t="n"/>
      <c r="GB140" s="574" t="n"/>
      <c r="GC140" s="574" t="n"/>
      <c r="GD140" s="574" t="n"/>
      <c r="GE140" s="574" t="n"/>
      <c r="GF140" s="574" t="n"/>
    </row>
    <row r="141" customFormat="1" s="568">
      <c r="A141" s="86" t="n"/>
      <c r="B141" s="85" t="n"/>
      <c r="C141" s="84">
        <f>IFERROR(IF(AND($E141&gt;0,$D141&lt;&gt;"The Public"),$E141/SUMIFS($E$10:$E$205,$E$10:$E$205,"&gt;0",$D$10:$D$205,"&lt;&gt;The Public")*$D$5,""),"")</f>
        <v/>
      </c>
      <c r="D141" s="68" t="n"/>
      <c r="E141" s="84">
        <f>SUM(G141:HY141)</f>
        <v/>
      </c>
      <c r="M141" s="574" t="n"/>
      <c r="N141" s="574" t="n"/>
      <c r="O141" s="574" t="n"/>
      <c r="P141" s="574" t="n"/>
      <c r="Q141" s="574" t="n"/>
      <c r="R141" s="574" t="n"/>
      <c r="S141" s="574" t="n"/>
      <c r="T141" s="574" t="n"/>
      <c r="U141" s="574" t="n"/>
      <c r="V141" s="574" t="n"/>
      <c r="W141" s="574" t="n"/>
      <c r="X141" s="574" t="n"/>
      <c r="Y141" s="574" t="n"/>
      <c r="Z141" s="574" t="n"/>
      <c r="AA141" s="574" t="n"/>
      <c r="AB141" s="574" t="n"/>
      <c r="AC141" s="574" t="n"/>
      <c r="AD141" s="574" t="n"/>
      <c r="AE141" s="574" t="n"/>
      <c r="AF141" s="574" t="n"/>
      <c r="AG141" s="574" t="n"/>
      <c r="AH141" s="574" t="n"/>
      <c r="AI141" s="574" t="n"/>
      <c r="AJ141" s="574" t="n"/>
      <c r="AK141" s="574" t="n"/>
      <c r="AL141" s="574" t="n"/>
      <c r="AM141" s="574" t="n"/>
      <c r="AN141" s="574" t="n"/>
      <c r="AO141" s="574" t="n"/>
      <c r="AP141" s="574" t="n"/>
      <c r="AQ141" s="574" t="n"/>
      <c r="AR141" s="574" t="n"/>
      <c r="AS141" s="574" t="n"/>
      <c r="AT141" s="574" t="n"/>
      <c r="AU141" s="574" t="n"/>
      <c r="AV141" s="574" t="n"/>
      <c r="AW141" s="574" t="n"/>
      <c r="AX141" s="574" t="n"/>
      <c r="AY141" s="574" t="n"/>
      <c r="AZ141" s="574" t="n"/>
      <c r="BA141" s="574" t="n"/>
      <c r="BB141" s="574" t="n"/>
      <c r="BC141" s="574" t="n"/>
      <c r="BD141" s="574" t="n"/>
      <c r="BE141" s="574" t="n"/>
      <c r="BF141" s="574" t="n"/>
      <c r="BG141" s="574" t="n"/>
      <c r="BH141" s="574" t="n"/>
      <c r="BI141" s="574" t="n"/>
      <c r="BJ141" s="574" t="n"/>
      <c r="BK141" s="574" t="n"/>
      <c r="BL141" s="574" t="n"/>
      <c r="BM141" s="574" t="n"/>
      <c r="BN141" s="574" t="n"/>
      <c r="BO141" s="574" t="n"/>
      <c r="BP141" s="574" t="n"/>
      <c r="BQ141" s="574" t="n"/>
      <c r="BR141" s="574" t="n"/>
      <c r="BS141" s="574" t="n"/>
      <c r="BT141" s="574" t="n"/>
      <c r="BU141" s="574" t="n"/>
      <c r="BV141" s="574" t="n"/>
      <c r="BW141" s="574" t="n"/>
      <c r="BX141" s="574" t="n"/>
      <c r="BY141" s="574" t="n"/>
      <c r="BZ141" s="574" t="n"/>
      <c r="CA141" s="574" t="n"/>
      <c r="CB141" s="574" t="n"/>
      <c r="CC141" s="574" t="n"/>
      <c r="CD141" s="574" t="n"/>
      <c r="CE141" s="574" t="n"/>
      <c r="CF141" s="574" t="n"/>
      <c r="CG141" s="574" t="n"/>
      <c r="CH141" s="574" t="n"/>
      <c r="CI141" s="574" t="n"/>
      <c r="CJ141" s="574" t="n"/>
      <c r="CK141" s="574" t="n"/>
      <c r="CL141" s="574" t="n"/>
      <c r="CM141" s="574" t="n"/>
      <c r="CN141" s="574" t="n"/>
      <c r="CO141" s="574" t="n"/>
      <c r="CP141" s="574" t="n"/>
      <c r="CQ141" s="574" t="n"/>
      <c r="CR141" s="574" t="n"/>
      <c r="CS141" s="574" t="n"/>
      <c r="CT141" s="574" t="n"/>
      <c r="CU141" s="574" t="n"/>
      <c r="CV141" s="574" t="n"/>
      <c r="CW141" s="574" t="n"/>
      <c r="CX141" s="574" t="n"/>
      <c r="CY141" s="574" t="n"/>
      <c r="CZ141" s="574" t="n"/>
      <c r="DA141" s="574" t="n"/>
      <c r="DB141" s="574" t="n"/>
      <c r="DC141" s="574" t="n"/>
      <c r="DD141" s="574" t="n"/>
      <c r="DE141" s="574" t="n"/>
      <c r="DF141" s="574" t="n"/>
      <c r="DG141" s="574" t="n"/>
      <c r="DH141" s="574" t="n"/>
      <c r="DI141" s="574" t="n"/>
      <c r="DJ141" s="574" t="n"/>
      <c r="DK141" s="574" t="n"/>
      <c r="DL141" s="574" t="n"/>
      <c r="DM141" s="574" t="n"/>
      <c r="DN141" s="574" t="n"/>
      <c r="DO141" s="574" t="n"/>
      <c r="DP141" s="574" t="n"/>
      <c r="DQ141" s="574" t="n"/>
      <c r="DR141" s="574" t="n"/>
      <c r="DS141" s="574" t="n"/>
      <c r="DT141" s="574" t="n"/>
      <c r="DU141" s="574" t="n"/>
      <c r="DV141" s="574" t="n"/>
      <c r="DW141" s="574" t="n"/>
      <c r="DX141" s="574" t="n"/>
      <c r="DY141" s="574" t="n"/>
      <c r="DZ141" s="574" t="n"/>
      <c r="EA141" s="574" t="n"/>
      <c r="EB141" s="574" t="n"/>
      <c r="EC141" s="574" t="n"/>
      <c r="ED141" s="574" t="n"/>
      <c r="EE141" s="574" t="n"/>
      <c r="EF141" s="574" t="n"/>
      <c r="EG141" s="574" t="n"/>
      <c r="EH141" s="574" t="n"/>
      <c r="EI141" s="574" t="n"/>
      <c r="EJ141" s="574" t="n"/>
      <c r="EK141" s="574" t="n"/>
      <c r="EL141" s="574" t="n"/>
      <c r="EM141" s="574" t="n"/>
      <c r="EN141" s="574" t="n"/>
      <c r="EO141" s="574" t="n"/>
      <c r="EP141" s="574" t="n"/>
      <c r="EQ141" s="574" t="n"/>
      <c r="ER141" s="574" t="n"/>
      <c r="ES141" s="574" t="n"/>
      <c r="ET141" s="574" t="n"/>
      <c r="EU141" s="574" t="n"/>
      <c r="EV141" s="574" t="n"/>
      <c r="EW141" s="574" t="n"/>
      <c r="EX141" s="574" t="n"/>
      <c r="EY141" s="574" t="n"/>
      <c r="EZ141" s="574" t="n"/>
      <c r="FA141" s="574" t="n"/>
      <c r="FB141" s="574" t="n"/>
      <c r="FC141" s="574" t="n"/>
      <c r="FD141" s="574" t="n"/>
      <c r="FE141" s="574" t="n"/>
      <c r="FF141" s="574" t="n"/>
      <c r="FG141" s="574" t="n"/>
      <c r="FH141" s="574" t="n"/>
      <c r="FI141" s="574" t="n"/>
      <c r="FJ141" s="574" t="n"/>
      <c r="FK141" s="574" t="n"/>
      <c r="FL141" s="574" t="n"/>
      <c r="FM141" s="574" t="n"/>
      <c r="FN141" s="574" t="n"/>
      <c r="FO141" s="574" t="n"/>
      <c r="FP141" s="574" t="n"/>
      <c r="FQ141" s="574" t="n"/>
      <c r="FR141" s="574" t="n"/>
      <c r="FS141" s="574" t="n"/>
      <c r="FT141" s="574" t="n"/>
      <c r="FU141" s="574" t="n"/>
      <c r="FV141" s="574" t="n"/>
      <c r="FW141" s="574" t="n"/>
      <c r="FX141" s="574" t="n"/>
      <c r="FY141" s="574" t="n"/>
      <c r="FZ141" s="574" t="n"/>
      <c r="GA141" s="574" t="n"/>
      <c r="GB141" s="574" t="n"/>
      <c r="GC141" s="574" t="n"/>
      <c r="GD141" s="574" t="n"/>
      <c r="GE141" s="574" t="n"/>
      <c r="GF141" s="574" t="n"/>
    </row>
    <row r="142" customFormat="1" s="568">
      <c r="A142" s="86" t="n"/>
      <c r="B142" s="85" t="n"/>
      <c r="C142" s="84">
        <f>IFERROR(IF(AND($E142&gt;0,$D142&lt;&gt;"The Public"),$E142/SUMIFS($E$10:$E$205,$E$10:$E$205,"&gt;0",$D$10:$D$205,"&lt;&gt;The Public")*$D$5,""),"")</f>
        <v/>
      </c>
      <c r="D142" s="68" t="n"/>
      <c r="E142" s="84">
        <f>SUM(G142:HY142)</f>
        <v/>
      </c>
      <c r="M142" s="574" t="n"/>
      <c r="N142" s="574" t="n"/>
      <c r="O142" s="574" t="n"/>
      <c r="P142" s="574" t="n"/>
      <c r="Q142" s="574" t="n"/>
      <c r="R142" s="574" t="n"/>
      <c r="S142" s="574" t="n"/>
      <c r="T142" s="574" t="n"/>
      <c r="U142" s="574" t="n"/>
      <c r="V142" s="574" t="n"/>
      <c r="W142" s="574" t="n"/>
      <c r="X142" s="574" t="n"/>
      <c r="Y142" s="574" t="n"/>
      <c r="Z142" s="574" t="n"/>
      <c r="AA142" s="574" t="n"/>
      <c r="AB142" s="574" t="n"/>
      <c r="AC142" s="574" t="n"/>
      <c r="AD142" s="574" t="n"/>
      <c r="AE142" s="574" t="n"/>
      <c r="AF142" s="574" t="n"/>
      <c r="AG142" s="574" t="n"/>
      <c r="AH142" s="574" t="n"/>
      <c r="AI142" s="574" t="n"/>
      <c r="AJ142" s="574" t="n"/>
      <c r="AK142" s="574" t="n"/>
      <c r="AL142" s="574" t="n"/>
      <c r="AM142" s="574" t="n"/>
      <c r="AN142" s="574" t="n"/>
      <c r="AO142" s="574" t="n"/>
      <c r="AP142" s="574" t="n"/>
      <c r="AQ142" s="574" t="n"/>
      <c r="AR142" s="574" t="n"/>
      <c r="AS142" s="574" t="n"/>
      <c r="AT142" s="574" t="n"/>
      <c r="AU142" s="574" t="n"/>
      <c r="AV142" s="574" t="n"/>
      <c r="AW142" s="574" t="n"/>
      <c r="AX142" s="574" t="n"/>
      <c r="AY142" s="574" t="n"/>
      <c r="AZ142" s="574" t="n"/>
      <c r="BA142" s="574" t="n"/>
      <c r="BB142" s="574" t="n"/>
      <c r="BC142" s="574" t="n"/>
      <c r="BD142" s="574" t="n"/>
      <c r="BE142" s="574" t="n"/>
      <c r="BF142" s="574" t="n"/>
      <c r="BG142" s="574" t="n"/>
      <c r="BH142" s="574" t="n"/>
      <c r="BI142" s="574" t="n"/>
      <c r="BJ142" s="574" t="n"/>
      <c r="BK142" s="574" t="n"/>
      <c r="BL142" s="574" t="n"/>
      <c r="BM142" s="574" t="n"/>
      <c r="BN142" s="574" t="n"/>
      <c r="BO142" s="574" t="n"/>
      <c r="BP142" s="574" t="n"/>
      <c r="BQ142" s="574" t="n"/>
      <c r="BR142" s="574" t="n"/>
      <c r="BS142" s="574" t="n"/>
      <c r="BT142" s="574" t="n"/>
      <c r="BU142" s="574" t="n"/>
      <c r="BV142" s="574" t="n"/>
      <c r="BW142" s="574" t="n"/>
      <c r="BX142" s="574" t="n"/>
      <c r="BY142" s="574" t="n"/>
      <c r="BZ142" s="574" t="n"/>
      <c r="CA142" s="574" t="n"/>
      <c r="CB142" s="574" t="n"/>
      <c r="CC142" s="574" t="n"/>
      <c r="CD142" s="574" t="n"/>
      <c r="CE142" s="574" t="n"/>
      <c r="CF142" s="574" t="n"/>
      <c r="CG142" s="574" t="n"/>
      <c r="CH142" s="574" t="n"/>
      <c r="CI142" s="574" t="n"/>
      <c r="CJ142" s="574" t="n"/>
      <c r="CK142" s="574" t="n"/>
      <c r="CL142" s="574" t="n"/>
      <c r="CM142" s="574" t="n"/>
      <c r="CN142" s="574" t="n"/>
      <c r="CO142" s="574" t="n"/>
      <c r="CP142" s="574" t="n"/>
      <c r="CQ142" s="574" t="n"/>
      <c r="CR142" s="574" t="n"/>
      <c r="CS142" s="574" t="n"/>
      <c r="CT142" s="574" t="n"/>
      <c r="CU142" s="574" t="n"/>
      <c r="CV142" s="574" t="n"/>
      <c r="CW142" s="574" t="n"/>
      <c r="CX142" s="574" t="n"/>
      <c r="CY142" s="574" t="n"/>
      <c r="CZ142" s="574" t="n"/>
      <c r="DA142" s="574" t="n"/>
      <c r="DB142" s="574" t="n"/>
      <c r="DC142" s="574" t="n"/>
      <c r="DD142" s="574" t="n"/>
      <c r="DE142" s="574" t="n"/>
      <c r="DF142" s="574" t="n"/>
      <c r="DG142" s="574" t="n"/>
      <c r="DH142" s="574" t="n"/>
      <c r="DI142" s="574" t="n"/>
      <c r="DJ142" s="574" t="n"/>
      <c r="DK142" s="574" t="n"/>
      <c r="DL142" s="574" t="n"/>
      <c r="DM142" s="574" t="n"/>
      <c r="DN142" s="574" t="n"/>
      <c r="DO142" s="574" t="n"/>
      <c r="DP142" s="574" t="n"/>
      <c r="DQ142" s="574" t="n"/>
      <c r="DR142" s="574" t="n"/>
      <c r="DS142" s="574" t="n"/>
      <c r="DT142" s="574" t="n"/>
      <c r="DU142" s="574" t="n"/>
      <c r="DV142" s="574" t="n"/>
      <c r="DW142" s="574" t="n"/>
      <c r="DX142" s="574" t="n"/>
      <c r="DY142" s="574" t="n"/>
      <c r="DZ142" s="574" t="n"/>
      <c r="EA142" s="574" t="n"/>
      <c r="EB142" s="574" t="n"/>
      <c r="EC142" s="574" t="n"/>
      <c r="ED142" s="574" t="n"/>
      <c r="EE142" s="574" t="n"/>
      <c r="EF142" s="574" t="n"/>
      <c r="EG142" s="574" t="n"/>
      <c r="EH142" s="574" t="n"/>
      <c r="EI142" s="574" t="n"/>
      <c r="EJ142" s="574" t="n"/>
      <c r="EK142" s="574" t="n"/>
      <c r="EL142" s="574" t="n"/>
      <c r="EM142" s="574" t="n"/>
      <c r="EN142" s="574" t="n"/>
      <c r="EO142" s="574" t="n"/>
      <c r="EP142" s="574" t="n"/>
      <c r="EQ142" s="574" t="n"/>
      <c r="ER142" s="574" t="n"/>
      <c r="ES142" s="574" t="n"/>
      <c r="ET142" s="574" t="n"/>
      <c r="EU142" s="574" t="n"/>
      <c r="EV142" s="574" t="n"/>
      <c r="EW142" s="574" t="n"/>
      <c r="EX142" s="574" t="n"/>
      <c r="EY142" s="574" t="n"/>
      <c r="EZ142" s="574" t="n"/>
      <c r="FA142" s="574" t="n"/>
      <c r="FB142" s="574" t="n"/>
      <c r="FC142" s="574" t="n"/>
      <c r="FD142" s="574" t="n"/>
      <c r="FE142" s="574" t="n"/>
      <c r="FF142" s="574" t="n"/>
      <c r="FG142" s="574" t="n"/>
      <c r="FH142" s="574" t="n"/>
      <c r="FI142" s="574" t="n"/>
      <c r="FJ142" s="574" t="n"/>
      <c r="FK142" s="574" t="n"/>
      <c r="FL142" s="574" t="n"/>
      <c r="FM142" s="574" t="n"/>
      <c r="FN142" s="574" t="n"/>
      <c r="FO142" s="574" t="n"/>
      <c r="FP142" s="574" t="n"/>
      <c r="FQ142" s="574" t="n"/>
      <c r="FR142" s="574" t="n"/>
      <c r="FS142" s="574" t="n"/>
      <c r="FT142" s="574" t="n"/>
      <c r="FU142" s="574" t="n"/>
      <c r="FV142" s="574" t="n"/>
      <c r="FW142" s="574" t="n"/>
      <c r="FX142" s="574" t="n"/>
      <c r="FY142" s="574" t="n"/>
      <c r="FZ142" s="574" t="n"/>
      <c r="GA142" s="574" t="n"/>
      <c r="GB142" s="574" t="n"/>
      <c r="GC142" s="574" t="n"/>
      <c r="GD142" s="574" t="n"/>
      <c r="GE142" s="574" t="n"/>
      <c r="GF142" s="574" t="n"/>
    </row>
    <row r="143" customFormat="1" s="568">
      <c r="A143" s="86" t="n"/>
      <c r="B143" s="85" t="n"/>
      <c r="C143" s="84">
        <f>IFERROR(IF(AND($E143&gt;0,$D143&lt;&gt;"The Public"),$E143/SUMIFS($E$10:$E$205,$E$10:$E$205,"&gt;0",$D$10:$D$205,"&lt;&gt;The Public")*$D$5,""),"")</f>
        <v/>
      </c>
      <c r="D143" s="68" t="n"/>
      <c r="E143" s="84">
        <f>SUM(G143:HY143)</f>
        <v/>
      </c>
      <c r="M143" s="574" t="n"/>
      <c r="N143" s="574" t="n"/>
      <c r="O143" s="574" t="n"/>
      <c r="P143" s="574" t="n"/>
      <c r="Q143" s="574" t="n"/>
      <c r="R143" s="574" t="n"/>
      <c r="S143" s="574" t="n"/>
      <c r="T143" s="574" t="n"/>
      <c r="U143" s="574" t="n"/>
      <c r="V143" s="574" t="n"/>
      <c r="W143" s="574" t="n"/>
      <c r="X143" s="574" t="n"/>
      <c r="Y143" s="574" t="n"/>
      <c r="Z143" s="574" t="n"/>
      <c r="AA143" s="574" t="n"/>
      <c r="AB143" s="574" t="n"/>
      <c r="AC143" s="574" t="n"/>
      <c r="AD143" s="574" t="n"/>
      <c r="AE143" s="574" t="n"/>
      <c r="AF143" s="574" t="n"/>
      <c r="AG143" s="574" t="n"/>
      <c r="AH143" s="574" t="n"/>
      <c r="AI143" s="574" t="n"/>
      <c r="AJ143" s="574" t="n"/>
      <c r="AK143" s="574" t="n"/>
      <c r="AL143" s="574" t="n"/>
      <c r="AM143" s="574" t="n"/>
      <c r="AN143" s="574" t="n"/>
      <c r="AO143" s="574" t="n"/>
      <c r="AP143" s="574" t="n"/>
      <c r="AQ143" s="574" t="n"/>
      <c r="AR143" s="574" t="n"/>
      <c r="AS143" s="574" t="n"/>
      <c r="AT143" s="574" t="n"/>
      <c r="AU143" s="574" t="n"/>
      <c r="AV143" s="574" t="n"/>
      <c r="AW143" s="574" t="n"/>
      <c r="AX143" s="574" t="n"/>
      <c r="AY143" s="574" t="n"/>
      <c r="AZ143" s="574" t="n"/>
      <c r="BA143" s="574" t="n"/>
      <c r="BB143" s="574" t="n"/>
      <c r="BC143" s="574" t="n"/>
      <c r="BD143" s="574" t="n"/>
      <c r="BE143" s="574" t="n"/>
      <c r="BF143" s="574" t="n"/>
      <c r="BG143" s="574" t="n"/>
      <c r="BH143" s="574" t="n"/>
      <c r="BI143" s="574" t="n"/>
      <c r="BJ143" s="574" t="n"/>
      <c r="BK143" s="574" t="n"/>
      <c r="BL143" s="574" t="n"/>
      <c r="BM143" s="574" t="n"/>
      <c r="BN143" s="574" t="n"/>
      <c r="BO143" s="574" t="n"/>
      <c r="BP143" s="574" t="n"/>
      <c r="BQ143" s="574" t="n"/>
      <c r="BR143" s="574" t="n"/>
      <c r="BS143" s="574" t="n"/>
      <c r="BT143" s="574" t="n"/>
      <c r="BU143" s="574" t="n"/>
      <c r="BV143" s="574" t="n"/>
      <c r="BW143" s="574" t="n"/>
      <c r="BX143" s="574" t="n"/>
      <c r="BY143" s="574" t="n"/>
      <c r="BZ143" s="574" t="n"/>
      <c r="CA143" s="574" t="n"/>
      <c r="CB143" s="574" t="n"/>
      <c r="CC143" s="574" t="n"/>
      <c r="CD143" s="574" t="n"/>
      <c r="CE143" s="574" t="n"/>
      <c r="CF143" s="574" t="n"/>
      <c r="CG143" s="574" t="n"/>
      <c r="CH143" s="574" t="n"/>
      <c r="CI143" s="574" t="n"/>
      <c r="CJ143" s="574" t="n"/>
      <c r="CK143" s="574" t="n"/>
      <c r="CL143" s="574" t="n"/>
      <c r="CM143" s="574" t="n"/>
      <c r="CN143" s="574" t="n"/>
      <c r="CO143" s="574" t="n"/>
      <c r="CP143" s="574" t="n"/>
      <c r="CQ143" s="574" t="n"/>
      <c r="CR143" s="574" t="n"/>
      <c r="CS143" s="574" t="n"/>
      <c r="CT143" s="574" t="n"/>
      <c r="CU143" s="574" t="n"/>
      <c r="CV143" s="574" t="n"/>
      <c r="CW143" s="574" t="n"/>
      <c r="CX143" s="574" t="n"/>
      <c r="CY143" s="574" t="n"/>
      <c r="CZ143" s="574" t="n"/>
      <c r="DA143" s="574" t="n"/>
      <c r="DB143" s="574" t="n"/>
      <c r="DC143" s="574" t="n"/>
      <c r="DD143" s="574" t="n"/>
      <c r="DE143" s="574" t="n"/>
      <c r="DF143" s="574" t="n"/>
      <c r="DG143" s="574" t="n"/>
      <c r="DH143" s="574" t="n"/>
      <c r="DI143" s="574" t="n"/>
      <c r="DJ143" s="574" t="n"/>
      <c r="DK143" s="574" t="n"/>
      <c r="DL143" s="574" t="n"/>
      <c r="DM143" s="574" t="n"/>
      <c r="DN143" s="574" t="n"/>
      <c r="DO143" s="574" t="n"/>
      <c r="DP143" s="574" t="n"/>
      <c r="DQ143" s="574" t="n"/>
      <c r="DR143" s="574" t="n"/>
      <c r="DS143" s="574" t="n"/>
      <c r="DT143" s="574" t="n"/>
      <c r="DU143" s="574" t="n"/>
      <c r="DV143" s="574" t="n"/>
      <c r="DW143" s="574" t="n"/>
      <c r="DX143" s="574" t="n"/>
      <c r="DY143" s="574" t="n"/>
      <c r="DZ143" s="574" t="n"/>
      <c r="EA143" s="574" t="n"/>
      <c r="EB143" s="574" t="n"/>
      <c r="EC143" s="574" t="n"/>
      <c r="ED143" s="574" t="n"/>
      <c r="EE143" s="574" t="n"/>
      <c r="EF143" s="574" t="n"/>
      <c r="EG143" s="574" t="n"/>
      <c r="EH143" s="574" t="n"/>
      <c r="EI143" s="574" t="n"/>
      <c r="EJ143" s="574" t="n"/>
      <c r="EK143" s="574" t="n"/>
      <c r="EL143" s="574" t="n"/>
      <c r="EM143" s="574" t="n"/>
      <c r="EN143" s="574" t="n"/>
      <c r="EO143" s="574" t="n"/>
      <c r="EP143" s="574" t="n"/>
      <c r="EQ143" s="574" t="n"/>
      <c r="ER143" s="574" t="n"/>
      <c r="ES143" s="574" t="n"/>
      <c r="ET143" s="574" t="n"/>
      <c r="EU143" s="574" t="n"/>
      <c r="EV143" s="574" t="n"/>
      <c r="EW143" s="574" t="n"/>
      <c r="EX143" s="574" t="n"/>
      <c r="EY143" s="574" t="n"/>
      <c r="EZ143" s="574" t="n"/>
      <c r="FA143" s="574" t="n"/>
      <c r="FB143" s="574" t="n"/>
      <c r="FC143" s="574" t="n"/>
      <c r="FD143" s="574" t="n"/>
      <c r="FE143" s="574" t="n"/>
      <c r="FF143" s="574" t="n"/>
      <c r="FG143" s="574" t="n"/>
      <c r="FH143" s="574" t="n"/>
      <c r="FI143" s="574" t="n"/>
      <c r="FJ143" s="574" t="n"/>
      <c r="FK143" s="574" t="n"/>
      <c r="FL143" s="574" t="n"/>
      <c r="FM143" s="574" t="n"/>
      <c r="FN143" s="574" t="n"/>
      <c r="FO143" s="574" t="n"/>
      <c r="FP143" s="574" t="n"/>
      <c r="FQ143" s="574" t="n"/>
      <c r="FR143" s="574" t="n"/>
      <c r="FS143" s="574" t="n"/>
      <c r="FT143" s="574" t="n"/>
      <c r="FU143" s="574" t="n"/>
      <c r="FV143" s="574" t="n"/>
      <c r="FW143" s="574" t="n"/>
      <c r="FX143" s="574" t="n"/>
      <c r="FY143" s="574" t="n"/>
      <c r="FZ143" s="574" t="n"/>
      <c r="GA143" s="574" t="n"/>
      <c r="GB143" s="574" t="n"/>
      <c r="GC143" s="574" t="n"/>
      <c r="GD143" s="574" t="n"/>
      <c r="GE143" s="574" t="n"/>
      <c r="GF143" s="574" t="n"/>
    </row>
    <row r="144" customFormat="1" s="568">
      <c r="A144" s="86" t="n"/>
      <c r="B144" s="85" t="n"/>
      <c r="C144" s="84">
        <f>IFERROR(IF(AND($E144&gt;0,$D144&lt;&gt;"The Public"),$E144/SUMIFS($E$10:$E$205,$E$10:$E$205,"&gt;0",$D$10:$D$205,"&lt;&gt;The Public")*$D$5,""),"")</f>
        <v/>
      </c>
      <c r="D144" s="68" t="n"/>
      <c r="E144" s="84">
        <f>SUM(G144:HY144)</f>
        <v/>
      </c>
      <c r="M144" s="574" t="n"/>
      <c r="N144" s="574" t="n"/>
      <c r="O144" s="574" t="n"/>
      <c r="P144" s="574" t="n"/>
      <c r="Q144" s="574" t="n"/>
      <c r="R144" s="574" t="n"/>
      <c r="S144" s="574" t="n"/>
      <c r="T144" s="574" t="n"/>
      <c r="U144" s="574" t="n"/>
      <c r="V144" s="574" t="n"/>
      <c r="W144" s="574" t="n"/>
      <c r="X144" s="574" t="n"/>
      <c r="Y144" s="574" t="n"/>
      <c r="Z144" s="574" t="n"/>
      <c r="AA144" s="574" t="n"/>
      <c r="AB144" s="574" t="n"/>
      <c r="AC144" s="574" t="n"/>
      <c r="AD144" s="574" t="n"/>
      <c r="AE144" s="574" t="n"/>
      <c r="AF144" s="574" t="n"/>
      <c r="AG144" s="574" t="n"/>
      <c r="AH144" s="574" t="n"/>
      <c r="AI144" s="574" t="n"/>
      <c r="AJ144" s="574" t="n"/>
      <c r="AK144" s="574" t="n"/>
      <c r="AL144" s="574" t="n"/>
      <c r="AM144" s="574" t="n"/>
      <c r="AN144" s="574" t="n"/>
      <c r="AO144" s="574" t="n"/>
      <c r="AP144" s="574" t="n"/>
      <c r="AQ144" s="574" t="n"/>
      <c r="AR144" s="574" t="n"/>
      <c r="AS144" s="574" t="n"/>
      <c r="AT144" s="574" t="n"/>
      <c r="AU144" s="574" t="n"/>
      <c r="AV144" s="574" t="n"/>
      <c r="AW144" s="574" t="n"/>
      <c r="AX144" s="574" t="n"/>
      <c r="AY144" s="574" t="n"/>
      <c r="AZ144" s="574" t="n"/>
      <c r="BA144" s="574" t="n"/>
      <c r="BB144" s="574" t="n"/>
      <c r="BC144" s="574" t="n"/>
      <c r="BD144" s="574" t="n"/>
      <c r="BE144" s="574" t="n"/>
      <c r="BF144" s="574" t="n"/>
      <c r="BG144" s="574" t="n"/>
      <c r="BH144" s="574" t="n"/>
      <c r="BI144" s="574" t="n"/>
      <c r="BJ144" s="574" t="n"/>
      <c r="BK144" s="574" t="n"/>
      <c r="BL144" s="574" t="n"/>
      <c r="BM144" s="574" t="n"/>
      <c r="BN144" s="574" t="n"/>
      <c r="BO144" s="574" t="n"/>
      <c r="BP144" s="574" t="n"/>
      <c r="BQ144" s="574" t="n"/>
      <c r="BR144" s="574" t="n"/>
      <c r="BS144" s="574" t="n"/>
      <c r="BT144" s="574" t="n"/>
      <c r="BU144" s="574" t="n"/>
      <c r="BV144" s="574" t="n"/>
      <c r="BW144" s="574" t="n"/>
      <c r="BX144" s="574" t="n"/>
      <c r="BY144" s="574" t="n"/>
      <c r="BZ144" s="574" t="n"/>
      <c r="CA144" s="574" t="n"/>
      <c r="CB144" s="574" t="n"/>
      <c r="CC144" s="574" t="n"/>
      <c r="CD144" s="574" t="n"/>
      <c r="CE144" s="574" t="n"/>
      <c r="CF144" s="574" t="n"/>
      <c r="CG144" s="574" t="n"/>
      <c r="CH144" s="574" t="n"/>
      <c r="CI144" s="574" t="n"/>
      <c r="CJ144" s="574" t="n"/>
      <c r="CK144" s="574" t="n"/>
      <c r="CL144" s="574" t="n"/>
      <c r="CM144" s="574" t="n"/>
      <c r="CN144" s="574" t="n"/>
      <c r="CO144" s="574" t="n"/>
      <c r="CP144" s="574" t="n"/>
      <c r="CQ144" s="574" t="n"/>
      <c r="CR144" s="574" t="n"/>
      <c r="CS144" s="574" t="n"/>
      <c r="CT144" s="574" t="n"/>
      <c r="CU144" s="574" t="n"/>
      <c r="CV144" s="574" t="n"/>
      <c r="CW144" s="574" t="n"/>
      <c r="CX144" s="574" t="n"/>
      <c r="CY144" s="574" t="n"/>
      <c r="CZ144" s="574" t="n"/>
      <c r="DA144" s="574" t="n"/>
      <c r="DB144" s="574" t="n"/>
      <c r="DC144" s="574" t="n"/>
      <c r="DD144" s="574" t="n"/>
      <c r="DE144" s="574" t="n"/>
      <c r="DF144" s="574" t="n"/>
      <c r="DG144" s="574" t="n"/>
      <c r="DH144" s="574" t="n"/>
      <c r="DI144" s="574" t="n"/>
      <c r="DJ144" s="574" t="n"/>
      <c r="DK144" s="574" t="n"/>
      <c r="DL144" s="574" t="n"/>
      <c r="DM144" s="574" t="n"/>
      <c r="DN144" s="574" t="n"/>
      <c r="DO144" s="574" t="n"/>
      <c r="DP144" s="574" t="n"/>
      <c r="DQ144" s="574" t="n"/>
      <c r="DR144" s="574" t="n"/>
      <c r="DS144" s="574" t="n"/>
      <c r="DT144" s="574" t="n"/>
      <c r="DU144" s="574" t="n"/>
      <c r="DV144" s="574" t="n"/>
      <c r="DW144" s="574" t="n"/>
      <c r="DX144" s="574" t="n"/>
      <c r="DY144" s="574" t="n"/>
      <c r="DZ144" s="574" t="n"/>
      <c r="EA144" s="574" t="n"/>
      <c r="EB144" s="574" t="n"/>
      <c r="EC144" s="574" t="n"/>
      <c r="ED144" s="574" t="n"/>
      <c r="EE144" s="574" t="n"/>
      <c r="EF144" s="574" t="n"/>
      <c r="EG144" s="574" t="n"/>
      <c r="EH144" s="574" t="n"/>
      <c r="EI144" s="574" t="n"/>
      <c r="EJ144" s="574" t="n"/>
      <c r="EK144" s="574" t="n"/>
      <c r="EL144" s="574" t="n"/>
      <c r="EM144" s="574" t="n"/>
      <c r="EN144" s="574" t="n"/>
      <c r="EO144" s="574" t="n"/>
      <c r="EP144" s="574" t="n"/>
      <c r="EQ144" s="574" t="n"/>
      <c r="ER144" s="574" t="n"/>
      <c r="ES144" s="574" t="n"/>
      <c r="ET144" s="574" t="n"/>
      <c r="EU144" s="574" t="n"/>
      <c r="EV144" s="574" t="n"/>
      <c r="EW144" s="574" t="n"/>
      <c r="EX144" s="574" t="n"/>
      <c r="EY144" s="574" t="n"/>
      <c r="EZ144" s="574" t="n"/>
      <c r="FA144" s="574" t="n"/>
      <c r="FB144" s="574" t="n"/>
      <c r="FC144" s="574" t="n"/>
      <c r="FD144" s="574" t="n"/>
      <c r="FE144" s="574" t="n"/>
      <c r="FF144" s="574" t="n"/>
      <c r="FG144" s="574" t="n"/>
      <c r="FH144" s="574" t="n"/>
      <c r="FI144" s="574" t="n"/>
      <c r="FJ144" s="574" t="n"/>
      <c r="FK144" s="574" t="n"/>
      <c r="FL144" s="574" t="n"/>
      <c r="FM144" s="574" t="n"/>
      <c r="FN144" s="574" t="n"/>
      <c r="FO144" s="574" t="n"/>
      <c r="FP144" s="574" t="n"/>
      <c r="FQ144" s="574" t="n"/>
      <c r="FR144" s="574" t="n"/>
      <c r="FS144" s="574" t="n"/>
      <c r="FT144" s="574" t="n"/>
      <c r="FU144" s="574" t="n"/>
      <c r="FV144" s="574" t="n"/>
      <c r="FW144" s="574" t="n"/>
      <c r="FX144" s="574" t="n"/>
      <c r="FY144" s="574" t="n"/>
      <c r="FZ144" s="574" t="n"/>
      <c r="GA144" s="574" t="n"/>
      <c r="GB144" s="574" t="n"/>
      <c r="GC144" s="574" t="n"/>
      <c r="GD144" s="574" t="n"/>
      <c r="GE144" s="574" t="n"/>
      <c r="GF144" s="574" t="n"/>
    </row>
    <row r="145" customFormat="1" s="568">
      <c r="A145" s="86" t="n"/>
      <c r="B145" s="85" t="n"/>
      <c r="C145" s="84">
        <f>IFERROR(IF(AND($E145&gt;0,$D145&lt;&gt;"The Public"),$E145/SUMIFS($E$10:$E$205,$E$10:$E$205,"&gt;0",$D$10:$D$205,"&lt;&gt;The Public")*$D$5,""),"")</f>
        <v/>
      </c>
      <c r="D145" s="68" t="n"/>
      <c r="E145" s="84">
        <f>SUM(G145:HY145)</f>
        <v/>
      </c>
      <c r="M145" s="574" t="n"/>
      <c r="N145" s="574" t="n"/>
      <c r="O145" s="574" t="n"/>
      <c r="P145" s="574" t="n"/>
      <c r="Q145" s="574" t="n"/>
      <c r="R145" s="574" t="n"/>
      <c r="S145" s="574" t="n"/>
      <c r="T145" s="574" t="n"/>
      <c r="U145" s="574" t="n"/>
      <c r="V145" s="574" t="n"/>
      <c r="W145" s="574" t="n"/>
      <c r="X145" s="574" t="n"/>
      <c r="Y145" s="574" t="n"/>
      <c r="Z145" s="574" t="n"/>
      <c r="AA145" s="574" t="n"/>
      <c r="AB145" s="574" t="n"/>
      <c r="AC145" s="574" t="n"/>
      <c r="AD145" s="574" t="n"/>
      <c r="AE145" s="574" t="n"/>
      <c r="AF145" s="574" t="n"/>
      <c r="AG145" s="574" t="n"/>
      <c r="AH145" s="574" t="n"/>
      <c r="AI145" s="574" t="n"/>
      <c r="AJ145" s="574" t="n"/>
      <c r="AK145" s="574" t="n"/>
      <c r="AL145" s="574" t="n"/>
      <c r="AM145" s="574" t="n"/>
      <c r="AN145" s="574" t="n"/>
      <c r="AO145" s="574" t="n"/>
      <c r="AP145" s="574" t="n"/>
      <c r="AQ145" s="574" t="n"/>
      <c r="AR145" s="574" t="n"/>
      <c r="AS145" s="574" t="n"/>
      <c r="AT145" s="574" t="n"/>
      <c r="AU145" s="574" t="n"/>
      <c r="AV145" s="574" t="n"/>
      <c r="AW145" s="574" t="n"/>
      <c r="AX145" s="574" t="n"/>
      <c r="AY145" s="574" t="n"/>
      <c r="AZ145" s="574" t="n"/>
      <c r="BA145" s="574" t="n"/>
      <c r="BB145" s="574" t="n"/>
      <c r="BC145" s="574" t="n"/>
      <c r="BD145" s="574" t="n"/>
      <c r="BE145" s="574" t="n"/>
      <c r="BF145" s="574" t="n"/>
      <c r="BG145" s="574" t="n"/>
      <c r="BH145" s="574" t="n"/>
      <c r="BI145" s="574" t="n"/>
      <c r="BJ145" s="574" t="n"/>
      <c r="BK145" s="574" t="n"/>
      <c r="BL145" s="574" t="n"/>
      <c r="BM145" s="574" t="n"/>
      <c r="BN145" s="574" t="n"/>
      <c r="BO145" s="574" t="n"/>
      <c r="BP145" s="574" t="n"/>
      <c r="BQ145" s="574" t="n"/>
      <c r="BR145" s="574" t="n"/>
      <c r="BS145" s="574" t="n"/>
      <c r="BT145" s="574" t="n"/>
      <c r="BU145" s="574" t="n"/>
      <c r="BV145" s="574" t="n"/>
      <c r="BW145" s="574" t="n"/>
      <c r="BX145" s="574" t="n"/>
      <c r="BY145" s="574" t="n"/>
      <c r="BZ145" s="574" t="n"/>
      <c r="CA145" s="574" t="n"/>
      <c r="CB145" s="574" t="n"/>
      <c r="CC145" s="574" t="n"/>
      <c r="CD145" s="574" t="n"/>
      <c r="CE145" s="574" t="n"/>
      <c r="CF145" s="574" t="n"/>
      <c r="CG145" s="574" t="n"/>
      <c r="CH145" s="574" t="n"/>
      <c r="CI145" s="574" t="n"/>
      <c r="CJ145" s="574" t="n"/>
      <c r="CK145" s="574" t="n"/>
      <c r="CL145" s="574" t="n"/>
      <c r="CM145" s="574" t="n"/>
      <c r="CN145" s="574" t="n"/>
      <c r="CO145" s="574" t="n"/>
      <c r="CP145" s="574" t="n"/>
      <c r="CQ145" s="574" t="n"/>
      <c r="CR145" s="574" t="n"/>
      <c r="CS145" s="574" t="n"/>
      <c r="CT145" s="574" t="n"/>
      <c r="CU145" s="574" t="n"/>
      <c r="CV145" s="574" t="n"/>
      <c r="CW145" s="574" t="n"/>
      <c r="CX145" s="574" t="n"/>
      <c r="CY145" s="574" t="n"/>
      <c r="CZ145" s="574" t="n"/>
      <c r="DA145" s="574" t="n"/>
      <c r="DB145" s="574" t="n"/>
      <c r="DC145" s="574" t="n"/>
      <c r="DD145" s="574" t="n"/>
      <c r="DE145" s="574" t="n"/>
      <c r="DF145" s="574" t="n"/>
      <c r="DG145" s="574" t="n"/>
      <c r="DH145" s="574" t="n"/>
      <c r="DI145" s="574" t="n"/>
      <c r="DJ145" s="574" t="n"/>
      <c r="DK145" s="574" t="n"/>
      <c r="DL145" s="574" t="n"/>
      <c r="DM145" s="574" t="n"/>
      <c r="DN145" s="574" t="n"/>
      <c r="DO145" s="574" t="n"/>
      <c r="DP145" s="574" t="n"/>
      <c r="DQ145" s="574" t="n"/>
      <c r="DR145" s="574" t="n"/>
      <c r="DS145" s="574" t="n"/>
      <c r="DT145" s="574" t="n"/>
      <c r="DU145" s="574" t="n"/>
      <c r="DV145" s="574" t="n"/>
      <c r="DW145" s="574" t="n"/>
      <c r="DX145" s="574" t="n"/>
      <c r="DY145" s="574" t="n"/>
      <c r="DZ145" s="574" t="n"/>
      <c r="EA145" s="574" t="n"/>
      <c r="EB145" s="574" t="n"/>
      <c r="EC145" s="574" t="n"/>
      <c r="ED145" s="574" t="n"/>
      <c r="EE145" s="574" t="n"/>
      <c r="EF145" s="574" t="n"/>
      <c r="EG145" s="574" t="n"/>
      <c r="EH145" s="574" t="n"/>
      <c r="EI145" s="574" t="n"/>
      <c r="EJ145" s="574" t="n"/>
      <c r="EK145" s="574" t="n"/>
      <c r="EL145" s="574" t="n"/>
      <c r="EM145" s="574" t="n"/>
      <c r="EN145" s="574" t="n"/>
      <c r="EO145" s="574" t="n"/>
      <c r="EP145" s="574" t="n"/>
      <c r="EQ145" s="574" t="n"/>
      <c r="ER145" s="574" t="n"/>
      <c r="ES145" s="574" t="n"/>
      <c r="ET145" s="574" t="n"/>
      <c r="EU145" s="574" t="n"/>
      <c r="EV145" s="574" t="n"/>
      <c r="EW145" s="574" t="n"/>
      <c r="EX145" s="574" t="n"/>
      <c r="EY145" s="574" t="n"/>
      <c r="EZ145" s="574" t="n"/>
      <c r="FA145" s="574" t="n"/>
      <c r="FB145" s="574" t="n"/>
      <c r="FC145" s="574" t="n"/>
      <c r="FD145" s="574" t="n"/>
      <c r="FE145" s="574" t="n"/>
      <c r="FF145" s="574" t="n"/>
      <c r="FG145" s="574" t="n"/>
      <c r="FH145" s="574" t="n"/>
      <c r="FI145" s="574" t="n"/>
      <c r="FJ145" s="574" t="n"/>
      <c r="FK145" s="574" t="n"/>
      <c r="FL145" s="574" t="n"/>
      <c r="FM145" s="574" t="n"/>
      <c r="FN145" s="574" t="n"/>
      <c r="FO145" s="574" t="n"/>
      <c r="FP145" s="574" t="n"/>
      <c r="FQ145" s="574" t="n"/>
      <c r="FR145" s="574" t="n"/>
      <c r="FS145" s="574" t="n"/>
      <c r="FT145" s="574" t="n"/>
      <c r="FU145" s="574" t="n"/>
      <c r="FV145" s="574" t="n"/>
      <c r="FW145" s="574" t="n"/>
      <c r="FX145" s="574" t="n"/>
      <c r="FY145" s="574" t="n"/>
      <c r="FZ145" s="574" t="n"/>
      <c r="GA145" s="574" t="n"/>
      <c r="GB145" s="574" t="n"/>
      <c r="GC145" s="574" t="n"/>
      <c r="GD145" s="574" t="n"/>
      <c r="GE145" s="574" t="n"/>
      <c r="GF145" s="574" t="n"/>
    </row>
    <row r="146" customFormat="1" s="568">
      <c r="A146" s="86" t="n"/>
      <c r="B146" s="85" t="n"/>
      <c r="C146" s="84">
        <f>IFERROR(IF(AND($E146&gt;0,$D146&lt;&gt;"The Public"),$E146/SUMIFS($E$10:$E$205,$E$10:$E$205,"&gt;0",$D$10:$D$205,"&lt;&gt;The Public")*$D$5,""),"")</f>
        <v/>
      </c>
      <c r="D146" s="68" t="n"/>
      <c r="E146" s="84">
        <f>SUM(G146:HY146)</f>
        <v/>
      </c>
      <c r="M146" s="574" t="n"/>
      <c r="N146" s="574" t="n"/>
      <c r="O146" s="574" t="n"/>
      <c r="P146" s="574" t="n"/>
      <c r="Q146" s="574" t="n"/>
      <c r="R146" s="574" t="n"/>
      <c r="S146" s="574" t="n"/>
      <c r="T146" s="574" t="n"/>
      <c r="U146" s="574" t="n"/>
      <c r="V146" s="574" t="n"/>
      <c r="W146" s="574" t="n"/>
      <c r="X146" s="574" t="n"/>
      <c r="Y146" s="574" t="n"/>
      <c r="Z146" s="574" t="n"/>
      <c r="AA146" s="574" t="n"/>
      <c r="AB146" s="574" t="n"/>
      <c r="AC146" s="574" t="n"/>
      <c r="AD146" s="574" t="n"/>
      <c r="AE146" s="574" t="n"/>
      <c r="AF146" s="574" t="n"/>
      <c r="AG146" s="574" t="n"/>
      <c r="AH146" s="574" t="n"/>
      <c r="AI146" s="574" t="n"/>
      <c r="AJ146" s="574" t="n"/>
      <c r="AK146" s="574" t="n"/>
      <c r="AL146" s="574" t="n"/>
      <c r="AM146" s="574" t="n"/>
      <c r="AN146" s="574" t="n"/>
      <c r="AO146" s="574" t="n"/>
      <c r="AP146" s="574" t="n"/>
      <c r="AQ146" s="574" t="n"/>
      <c r="AR146" s="574" t="n"/>
      <c r="AS146" s="574" t="n"/>
      <c r="AT146" s="574" t="n"/>
      <c r="AU146" s="574" t="n"/>
      <c r="AV146" s="574" t="n"/>
      <c r="AW146" s="574" t="n"/>
      <c r="AX146" s="574" t="n"/>
      <c r="AY146" s="574" t="n"/>
      <c r="AZ146" s="574" t="n"/>
      <c r="BA146" s="574" t="n"/>
      <c r="BB146" s="574" t="n"/>
      <c r="BC146" s="574" t="n"/>
      <c r="BD146" s="574" t="n"/>
      <c r="BE146" s="574" t="n"/>
      <c r="BF146" s="574" t="n"/>
      <c r="BG146" s="574" t="n"/>
      <c r="BH146" s="574" t="n"/>
      <c r="BI146" s="574" t="n"/>
      <c r="BJ146" s="574" t="n"/>
      <c r="BK146" s="574" t="n"/>
      <c r="BL146" s="574" t="n"/>
      <c r="BM146" s="574" t="n"/>
      <c r="BN146" s="574" t="n"/>
      <c r="BO146" s="574" t="n"/>
      <c r="BP146" s="574" t="n"/>
      <c r="BQ146" s="574" t="n"/>
      <c r="BR146" s="574" t="n"/>
      <c r="BS146" s="574" t="n"/>
      <c r="BT146" s="574" t="n"/>
      <c r="BU146" s="574" t="n"/>
      <c r="BV146" s="574" t="n"/>
      <c r="BW146" s="574" t="n"/>
      <c r="BX146" s="574" t="n"/>
      <c r="BY146" s="574" t="n"/>
      <c r="BZ146" s="574" t="n"/>
      <c r="CA146" s="574" t="n"/>
      <c r="CB146" s="574" t="n"/>
      <c r="CC146" s="574" t="n"/>
      <c r="CD146" s="574" t="n"/>
      <c r="CE146" s="574" t="n"/>
      <c r="CF146" s="574" t="n"/>
      <c r="CG146" s="574" t="n"/>
      <c r="CH146" s="574" t="n"/>
      <c r="CI146" s="574" t="n"/>
      <c r="CJ146" s="574" t="n"/>
      <c r="CK146" s="574" t="n"/>
      <c r="CL146" s="574" t="n"/>
      <c r="CM146" s="574" t="n"/>
      <c r="CN146" s="574" t="n"/>
      <c r="CO146" s="574" t="n"/>
      <c r="CP146" s="574" t="n"/>
      <c r="CQ146" s="574" t="n"/>
      <c r="CR146" s="574" t="n"/>
      <c r="CS146" s="574" t="n"/>
      <c r="CT146" s="574" t="n"/>
      <c r="CU146" s="574" t="n"/>
      <c r="CV146" s="574" t="n"/>
      <c r="CW146" s="574" t="n"/>
      <c r="CX146" s="574" t="n"/>
      <c r="CY146" s="574" t="n"/>
      <c r="CZ146" s="574" t="n"/>
      <c r="DA146" s="574" t="n"/>
      <c r="DB146" s="574" t="n"/>
      <c r="DC146" s="574" t="n"/>
      <c r="DD146" s="574" t="n"/>
      <c r="DE146" s="574" t="n"/>
      <c r="DF146" s="574" t="n"/>
      <c r="DG146" s="574" t="n"/>
      <c r="DH146" s="574" t="n"/>
      <c r="DI146" s="574" t="n"/>
      <c r="DJ146" s="574" t="n"/>
      <c r="DK146" s="574" t="n"/>
      <c r="DL146" s="574" t="n"/>
      <c r="DM146" s="574" t="n"/>
      <c r="DN146" s="574" t="n"/>
      <c r="DO146" s="574" t="n"/>
      <c r="DP146" s="574" t="n"/>
      <c r="DQ146" s="574" t="n"/>
      <c r="DR146" s="574" t="n"/>
      <c r="DS146" s="574" t="n"/>
      <c r="DT146" s="574" t="n"/>
      <c r="DU146" s="574" t="n"/>
      <c r="DV146" s="574" t="n"/>
      <c r="DW146" s="574" t="n"/>
      <c r="DX146" s="574" t="n"/>
      <c r="DY146" s="574" t="n"/>
      <c r="DZ146" s="574" t="n"/>
      <c r="EA146" s="574" t="n"/>
      <c r="EB146" s="574" t="n"/>
      <c r="EC146" s="574" t="n"/>
      <c r="ED146" s="574" t="n"/>
      <c r="EE146" s="574" t="n"/>
      <c r="EF146" s="574" t="n"/>
      <c r="EG146" s="574" t="n"/>
      <c r="EH146" s="574" t="n"/>
      <c r="EI146" s="574" t="n"/>
      <c r="EJ146" s="574" t="n"/>
      <c r="EK146" s="574" t="n"/>
      <c r="EL146" s="574" t="n"/>
      <c r="EM146" s="574" t="n"/>
      <c r="EN146" s="574" t="n"/>
      <c r="EO146" s="574" t="n"/>
      <c r="EP146" s="574" t="n"/>
      <c r="EQ146" s="574" t="n"/>
      <c r="ER146" s="574" t="n"/>
      <c r="ES146" s="574" t="n"/>
      <c r="ET146" s="574" t="n"/>
      <c r="EU146" s="574" t="n"/>
      <c r="EV146" s="574" t="n"/>
      <c r="EW146" s="574" t="n"/>
      <c r="EX146" s="574" t="n"/>
      <c r="EY146" s="574" t="n"/>
      <c r="EZ146" s="574" t="n"/>
      <c r="FA146" s="574" t="n"/>
      <c r="FB146" s="574" t="n"/>
      <c r="FC146" s="574" t="n"/>
      <c r="FD146" s="574" t="n"/>
      <c r="FE146" s="574" t="n"/>
      <c r="FF146" s="574" t="n"/>
      <c r="FG146" s="574" t="n"/>
      <c r="FH146" s="574" t="n"/>
      <c r="FI146" s="574" t="n"/>
      <c r="FJ146" s="574" t="n"/>
      <c r="FK146" s="574" t="n"/>
      <c r="FL146" s="574" t="n"/>
      <c r="FM146" s="574" t="n"/>
      <c r="FN146" s="574" t="n"/>
      <c r="FO146" s="574" t="n"/>
      <c r="FP146" s="574" t="n"/>
      <c r="FQ146" s="574" t="n"/>
      <c r="FR146" s="574" t="n"/>
      <c r="FS146" s="574" t="n"/>
      <c r="FT146" s="574" t="n"/>
      <c r="FU146" s="574" t="n"/>
      <c r="FV146" s="574" t="n"/>
      <c r="FW146" s="574" t="n"/>
      <c r="FX146" s="574" t="n"/>
      <c r="FY146" s="574" t="n"/>
      <c r="FZ146" s="574" t="n"/>
      <c r="GA146" s="574" t="n"/>
      <c r="GB146" s="574" t="n"/>
      <c r="GC146" s="574" t="n"/>
      <c r="GD146" s="574" t="n"/>
      <c r="GE146" s="574" t="n"/>
      <c r="GF146" s="574" t="n"/>
    </row>
    <row r="147" customFormat="1" s="568">
      <c r="A147" s="86" t="n"/>
      <c r="B147" s="85" t="n"/>
      <c r="C147" s="84">
        <f>IFERROR(IF(AND($E147&gt;0,$D147&lt;&gt;"The Public"),$E147/SUMIFS($E$10:$E$205,$E$10:$E$205,"&gt;0",$D$10:$D$205,"&lt;&gt;The Public")*$D$5,""),"")</f>
        <v/>
      </c>
      <c r="D147" s="68" t="n"/>
      <c r="E147" s="84">
        <f>SUM(G147:HY147)</f>
        <v/>
      </c>
      <c r="M147" s="574" t="n"/>
      <c r="N147" s="574" t="n"/>
      <c r="O147" s="574" t="n"/>
      <c r="P147" s="574" t="n"/>
      <c r="Q147" s="574" t="n"/>
      <c r="R147" s="574" t="n"/>
      <c r="S147" s="574" t="n"/>
      <c r="T147" s="574" t="n"/>
      <c r="U147" s="574" t="n"/>
      <c r="V147" s="574" t="n"/>
      <c r="W147" s="574" t="n"/>
      <c r="X147" s="574" t="n"/>
      <c r="Y147" s="574" t="n"/>
      <c r="Z147" s="574" t="n"/>
      <c r="AA147" s="574" t="n"/>
      <c r="AB147" s="574" t="n"/>
      <c r="AC147" s="574" t="n"/>
      <c r="AD147" s="574" t="n"/>
      <c r="AE147" s="574" t="n"/>
      <c r="AF147" s="574" t="n"/>
      <c r="AG147" s="574" t="n"/>
      <c r="AH147" s="574" t="n"/>
      <c r="AI147" s="574" t="n"/>
      <c r="AJ147" s="574" t="n"/>
      <c r="AK147" s="574" t="n"/>
      <c r="AL147" s="574" t="n"/>
      <c r="AM147" s="574" t="n"/>
      <c r="AN147" s="574" t="n"/>
      <c r="AO147" s="574" t="n"/>
      <c r="AP147" s="574" t="n"/>
      <c r="AQ147" s="574" t="n"/>
      <c r="AR147" s="574" t="n"/>
      <c r="AS147" s="574" t="n"/>
      <c r="AT147" s="574" t="n"/>
      <c r="AU147" s="574" t="n"/>
      <c r="AV147" s="574" t="n"/>
      <c r="AW147" s="574" t="n"/>
      <c r="AX147" s="574" t="n"/>
      <c r="AY147" s="574" t="n"/>
      <c r="AZ147" s="574" t="n"/>
      <c r="BA147" s="574" t="n"/>
      <c r="BB147" s="574" t="n"/>
      <c r="BC147" s="574" t="n"/>
      <c r="BD147" s="574" t="n"/>
      <c r="BE147" s="574" t="n"/>
      <c r="BF147" s="574" t="n"/>
      <c r="BG147" s="574" t="n"/>
      <c r="BH147" s="574" t="n"/>
      <c r="BI147" s="574" t="n"/>
      <c r="BJ147" s="574" t="n"/>
      <c r="BK147" s="574" t="n"/>
      <c r="BL147" s="574" t="n"/>
      <c r="BM147" s="574" t="n"/>
      <c r="BN147" s="574" t="n"/>
      <c r="BO147" s="574" t="n"/>
      <c r="BP147" s="574" t="n"/>
      <c r="BQ147" s="574" t="n"/>
      <c r="BR147" s="574" t="n"/>
      <c r="BS147" s="574" t="n"/>
      <c r="BT147" s="574" t="n"/>
      <c r="BU147" s="574" t="n"/>
      <c r="BV147" s="574" t="n"/>
      <c r="BW147" s="574" t="n"/>
      <c r="BX147" s="574" t="n"/>
      <c r="BY147" s="574" t="n"/>
      <c r="BZ147" s="574" t="n"/>
      <c r="CA147" s="574" t="n"/>
      <c r="CB147" s="574" t="n"/>
      <c r="CC147" s="574" t="n"/>
      <c r="CD147" s="574" t="n"/>
      <c r="CE147" s="574" t="n"/>
      <c r="CF147" s="574" t="n"/>
      <c r="CG147" s="574" t="n"/>
      <c r="CH147" s="574" t="n"/>
      <c r="CI147" s="574" t="n"/>
      <c r="CJ147" s="574" t="n"/>
      <c r="CK147" s="574" t="n"/>
      <c r="CL147" s="574" t="n"/>
      <c r="CM147" s="574" t="n"/>
      <c r="CN147" s="574" t="n"/>
      <c r="CO147" s="574" t="n"/>
      <c r="CP147" s="574" t="n"/>
      <c r="CQ147" s="574" t="n"/>
      <c r="CR147" s="574" t="n"/>
      <c r="CS147" s="574" t="n"/>
      <c r="CT147" s="574" t="n"/>
      <c r="CU147" s="574" t="n"/>
      <c r="CV147" s="574" t="n"/>
      <c r="CW147" s="574" t="n"/>
      <c r="CX147" s="574" t="n"/>
      <c r="CY147" s="574" t="n"/>
      <c r="CZ147" s="574" t="n"/>
      <c r="DA147" s="574" t="n"/>
      <c r="DB147" s="574" t="n"/>
      <c r="DC147" s="574" t="n"/>
      <c r="DD147" s="574" t="n"/>
      <c r="DE147" s="574" t="n"/>
      <c r="DF147" s="574" t="n"/>
      <c r="DG147" s="574" t="n"/>
      <c r="DH147" s="574" t="n"/>
      <c r="DI147" s="574" t="n"/>
      <c r="DJ147" s="574" t="n"/>
      <c r="DK147" s="574" t="n"/>
      <c r="DL147" s="574" t="n"/>
      <c r="DM147" s="574" t="n"/>
      <c r="DN147" s="574" t="n"/>
      <c r="DO147" s="574" t="n"/>
      <c r="DP147" s="574" t="n"/>
      <c r="DQ147" s="574" t="n"/>
      <c r="DR147" s="574" t="n"/>
      <c r="DS147" s="574" t="n"/>
      <c r="DT147" s="574" t="n"/>
      <c r="DU147" s="574" t="n"/>
      <c r="DV147" s="574" t="n"/>
      <c r="DW147" s="574" t="n"/>
      <c r="DX147" s="574" t="n"/>
      <c r="DY147" s="574" t="n"/>
      <c r="DZ147" s="574" t="n"/>
      <c r="EA147" s="574" t="n"/>
      <c r="EB147" s="574" t="n"/>
      <c r="EC147" s="574" t="n"/>
      <c r="ED147" s="574" t="n"/>
      <c r="EE147" s="574" t="n"/>
      <c r="EF147" s="574" t="n"/>
      <c r="EG147" s="574" t="n"/>
      <c r="EH147" s="574" t="n"/>
      <c r="EI147" s="574" t="n"/>
      <c r="EJ147" s="574" t="n"/>
      <c r="EK147" s="574" t="n"/>
      <c r="EL147" s="574" t="n"/>
      <c r="EM147" s="574" t="n"/>
      <c r="EN147" s="574" t="n"/>
      <c r="EO147" s="574" t="n"/>
      <c r="EP147" s="574" t="n"/>
      <c r="EQ147" s="574" t="n"/>
      <c r="ER147" s="574" t="n"/>
      <c r="ES147" s="574" t="n"/>
      <c r="ET147" s="574" t="n"/>
      <c r="EU147" s="574" t="n"/>
      <c r="EV147" s="574" t="n"/>
      <c r="EW147" s="574" t="n"/>
      <c r="EX147" s="574" t="n"/>
      <c r="EY147" s="574" t="n"/>
      <c r="EZ147" s="574" t="n"/>
      <c r="FA147" s="574" t="n"/>
      <c r="FB147" s="574" t="n"/>
      <c r="FC147" s="574" t="n"/>
      <c r="FD147" s="574" t="n"/>
      <c r="FE147" s="574" t="n"/>
      <c r="FF147" s="574" t="n"/>
      <c r="FG147" s="574" t="n"/>
      <c r="FH147" s="574" t="n"/>
      <c r="FI147" s="574" t="n"/>
      <c r="FJ147" s="574" t="n"/>
      <c r="FK147" s="574" t="n"/>
      <c r="FL147" s="574" t="n"/>
      <c r="FM147" s="574" t="n"/>
      <c r="FN147" s="574" t="n"/>
      <c r="FO147" s="574" t="n"/>
      <c r="FP147" s="574" t="n"/>
      <c r="FQ147" s="574" t="n"/>
      <c r="FR147" s="574" t="n"/>
      <c r="FS147" s="574" t="n"/>
      <c r="FT147" s="574" t="n"/>
      <c r="FU147" s="574" t="n"/>
      <c r="FV147" s="574" t="n"/>
      <c r="FW147" s="574" t="n"/>
      <c r="FX147" s="574" t="n"/>
      <c r="FY147" s="574" t="n"/>
      <c r="FZ147" s="574" t="n"/>
      <c r="GA147" s="574" t="n"/>
      <c r="GB147" s="574" t="n"/>
      <c r="GC147" s="574" t="n"/>
      <c r="GD147" s="574" t="n"/>
      <c r="GE147" s="574" t="n"/>
      <c r="GF147" s="574" t="n"/>
    </row>
    <row r="148" customFormat="1" s="568">
      <c r="A148" s="86" t="n"/>
      <c r="B148" s="85" t="n"/>
      <c r="C148" s="84">
        <f>IFERROR(IF(AND($E148&gt;0,$D148&lt;&gt;"The Public"),$E148/SUMIFS($E$10:$E$205,$E$10:$E$205,"&gt;0",$D$10:$D$205,"&lt;&gt;The Public")*$D$5,""),"")</f>
        <v/>
      </c>
      <c r="D148" s="68" t="n"/>
      <c r="E148" s="84">
        <f>SUM(G148:HY148)</f>
        <v/>
      </c>
      <c r="M148" s="574" t="n"/>
      <c r="N148" s="574" t="n"/>
      <c r="O148" s="574" t="n"/>
      <c r="P148" s="574" t="n"/>
      <c r="Q148" s="574" t="n"/>
      <c r="R148" s="574" t="n"/>
      <c r="S148" s="574" t="n"/>
      <c r="T148" s="574" t="n"/>
      <c r="U148" s="574" t="n"/>
      <c r="V148" s="574" t="n"/>
      <c r="W148" s="574" t="n"/>
      <c r="X148" s="574" t="n"/>
      <c r="Y148" s="574" t="n"/>
      <c r="Z148" s="574" t="n"/>
      <c r="AA148" s="574" t="n"/>
      <c r="AB148" s="574" t="n"/>
      <c r="AC148" s="574" t="n"/>
      <c r="AD148" s="574" t="n"/>
      <c r="AE148" s="574" t="n"/>
      <c r="AF148" s="574" t="n"/>
      <c r="AG148" s="574" t="n"/>
      <c r="AH148" s="574" t="n"/>
      <c r="AI148" s="574" t="n"/>
      <c r="AJ148" s="574" t="n"/>
      <c r="AK148" s="574" t="n"/>
      <c r="AL148" s="574" t="n"/>
      <c r="AM148" s="574" t="n"/>
      <c r="AN148" s="574" t="n"/>
      <c r="AO148" s="574" t="n"/>
      <c r="AP148" s="574" t="n"/>
      <c r="AQ148" s="574" t="n"/>
      <c r="AR148" s="574" t="n"/>
      <c r="AS148" s="574" t="n"/>
      <c r="AT148" s="574" t="n"/>
      <c r="AU148" s="574" t="n"/>
      <c r="AV148" s="574" t="n"/>
      <c r="AW148" s="574" t="n"/>
      <c r="AX148" s="574" t="n"/>
      <c r="AY148" s="574" t="n"/>
      <c r="AZ148" s="574" t="n"/>
      <c r="BA148" s="574" t="n"/>
      <c r="BB148" s="574" t="n"/>
      <c r="BC148" s="574" t="n"/>
      <c r="BD148" s="574" t="n"/>
      <c r="BE148" s="574" t="n"/>
      <c r="BF148" s="574" t="n"/>
      <c r="BG148" s="574" t="n"/>
      <c r="BH148" s="574" t="n"/>
      <c r="BI148" s="574" t="n"/>
      <c r="BJ148" s="574" t="n"/>
      <c r="BK148" s="574" t="n"/>
      <c r="BL148" s="574" t="n"/>
      <c r="BM148" s="574" t="n"/>
      <c r="BN148" s="574" t="n"/>
      <c r="BO148" s="574" t="n"/>
      <c r="BP148" s="574" t="n"/>
      <c r="BQ148" s="574" t="n"/>
      <c r="BR148" s="574" t="n"/>
      <c r="BS148" s="574" t="n"/>
      <c r="BT148" s="574" t="n"/>
      <c r="BU148" s="574" t="n"/>
      <c r="BV148" s="574" t="n"/>
      <c r="BW148" s="574" t="n"/>
      <c r="BX148" s="574" t="n"/>
      <c r="BY148" s="574" t="n"/>
      <c r="BZ148" s="574" t="n"/>
      <c r="CA148" s="574" t="n"/>
      <c r="CB148" s="574" t="n"/>
      <c r="CC148" s="574" t="n"/>
      <c r="CD148" s="574" t="n"/>
      <c r="CE148" s="574" t="n"/>
      <c r="CF148" s="574" t="n"/>
      <c r="CG148" s="574" t="n"/>
      <c r="CH148" s="574" t="n"/>
      <c r="CI148" s="574" t="n"/>
      <c r="CJ148" s="574" t="n"/>
      <c r="CK148" s="574" t="n"/>
      <c r="CL148" s="574" t="n"/>
      <c r="CM148" s="574" t="n"/>
      <c r="CN148" s="574" t="n"/>
      <c r="CO148" s="574" t="n"/>
      <c r="CP148" s="574" t="n"/>
      <c r="CQ148" s="574" t="n"/>
      <c r="CR148" s="574" t="n"/>
      <c r="CS148" s="574" t="n"/>
      <c r="CT148" s="574" t="n"/>
      <c r="CU148" s="574" t="n"/>
      <c r="CV148" s="574" t="n"/>
      <c r="CW148" s="574" t="n"/>
      <c r="CX148" s="574" t="n"/>
      <c r="CY148" s="574" t="n"/>
      <c r="CZ148" s="574" t="n"/>
      <c r="DA148" s="574" t="n"/>
      <c r="DB148" s="574" t="n"/>
      <c r="DC148" s="574" t="n"/>
      <c r="DD148" s="574" t="n"/>
      <c r="DE148" s="574" t="n"/>
      <c r="DF148" s="574" t="n"/>
      <c r="DG148" s="574" t="n"/>
      <c r="DH148" s="574" t="n"/>
      <c r="DI148" s="574" t="n"/>
      <c r="DJ148" s="574" t="n"/>
      <c r="DK148" s="574" t="n"/>
      <c r="DL148" s="574" t="n"/>
      <c r="DM148" s="574" t="n"/>
      <c r="DN148" s="574" t="n"/>
      <c r="DO148" s="574" t="n"/>
      <c r="DP148" s="574" t="n"/>
      <c r="DQ148" s="574" t="n"/>
      <c r="DR148" s="574" t="n"/>
      <c r="DS148" s="574" t="n"/>
      <c r="DT148" s="574" t="n"/>
      <c r="DU148" s="574" t="n"/>
      <c r="DV148" s="574" t="n"/>
      <c r="DW148" s="574" t="n"/>
      <c r="DX148" s="574" t="n"/>
      <c r="DY148" s="574" t="n"/>
      <c r="DZ148" s="574" t="n"/>
      <c r="EA148" s="574" t="n"/>
      <c r="EB148" s="574" t="n"/>
      <c r="EC148" s="574" t="n"/>
      <c r="ED148" s="574" t="n"/>
      <c r="EE148" s="574" t="n"/>
      <c r="EF148" s="574" t="n"/>
      <c r="EG148" s="574" t="n"/>
      <c r="EH148" s="574" t="n"/>
      <c r="EI148" s="574" t="n"/>
      <c r="EJ148" s="574" t="n"/>
      <c r="EK148" s="574" t="n"/>
      <c r="EL148" s="574" t="n"/>
      <c r="EM148" s="574" t="n"/>
      <c r="EN148" s="574" t="n"/>
      <c r="EO148" s="574" t="n"/>
      <c r="EP148" s="574" t="n"/>
      <c r="EQ148" s="574" t="n"/>
      <c r="ER148" s="574" t="n"/>
      <c r="ES148" s="574" t="n"/>
      <c r="ET148" s="574" t="n"/>
      <c r="EU148" s="574" t="n"/>
      <c r="EV148" s="574" t="n"/>
      <c r="EW148" s="574" t="n"/>
      <c r="EX148" s="574" t="n"/>
      <c r="EY148" s="574" t="n"/>
      <c r="EZ148" s="574" t="n"/>
      <c r="FA148" s="574" t="n"/>
      <c r="FB148" s="574" t="n"/>
      <c r="FC148" s="574" t="n"/>
      <c r="FD148" s="574" t="n"/>
      <c r="FE148" s="574" t="n"/>
      <c r="FF148" s="574" t="n"/>
      <c r="FG148" s="574" t="n"/>
      <c r="FH148" s="574" t="n"/>
      <c r="FI148" s="574" t="n"/>
      <c r="FJ148" s="574" t="n"/>
      <c r="FK148" s="574" t="n"/>
      <c r="FL148" s="574" t="n"/>
      <c r="FM148" s="574" t="n"/>
      <c r="FN148" s="574" t="n"/>
      <c r="FO148" s="574" t="n"/>
      <c r="FP148" s="574" t="n"/>
      <c r="FQ148" s="574" t="n"/>
      <c r="FR148" s="574" t="n"/>
      <c r="FS148" s="574" t="n"/>
      <c r="FT148" s="574" t="n"/>
      <c r="FU148" s="574" t="n"/>
      <c r="FV148" s="574" t="n"/>
      <c r="FW148" s="574" t="n"/>
      <c r="FX148" s="574" t="n"/>
      <c r="FY148" s="574" t="n"/>
      <c r="FZ148" s="574" t="n"/>
      <c r="GA148" s="574" t="n"/>
      <c r="GB148" s="574" t="n"/>
      <c r="GC148" s="574" t="n"/>
      <c r="GD148" s="574" t="n"/>
      <c r="GE148" s="574" t="n"/>
      <c r="GF148" s="574" t="n"/>
    </row>
    <row r="149" customFormat="1" s="568">
      <c r="A149" s="86" t="n"/>
      <c r="B149" s="85" t="n"/>
      <c r="C149" s="84">
        <f>IFERROR(IF(AND($E149&gt;0,$D149&lt;&gt;"The Public"),$E149/SUMIFS($E$10:$E$205,$E$10:$E$205,"&gt;0",$D$10:$D$205,"&lt;&gt;The Public")*$D$5,""),"")</f>
        <v/>
      </c>
      <c r="D149" s="68" t="n"/>
      <c r="E149" s="84">
        <f>SUM(G149:HY149)</f>
        <v/>
      </c>
      <c r="M149" s="574" t="n"/>
      <c r="N149" s="574" t="n"/>
      <c r="O149" s="574" t="n"/>
      <c r="P149" s="574" t="n"/>
      <c r="Q149" s="574" t="n"/>
      <c r="R149" s="574" t="n"/>
      <c r="S149" s="574" t="n"/>
      <c r="T149" s="574" t="n"/>
      <c r="U149" s="574" t="n"/>
      <c r="V149" s="574" t="n"/>
      <c r="W149" s="574" t="n"/>
      <c r="X149" s="574" t="n"/>
      <c r="Y149" s="574" t="n"/>
      <c r="Z149" s="574" t="n"/>
      <c r="AA149" s="574" t="n"/>
      <c r="AB149" s="574" t="n"/>
      <c r="AC149" s="574" t="n"/>
      <c r="AD149" s="574" t="n"/>
      <c r="AE149" s="574" t="n"/>
      <c r="AF149" s="574" t="n"/>
      <c r="AG149" s="574" t="n"/>
      <c r="AH149" s="574" t="n"/>
      <c r="AI149" s="574" t="n"/>
      <c r="AJ149" s="574" t="n"/>
      <c r="AK149" s="574" t="n"/>
      <c r="AL149" s="574" t="n"/>
      <c r="AM149" s="574" t="n"/>
      <c r="AN149" s="574" t="n"/>
      <c r="AO149" s="574" t="n"/>
      <c r="AP149" s="574" t="n"/>
      <c r="AQ149" s="574" t="n"/>
      <c r="AR149" s="574" t="n"/>
      <c r="AS149" s="574" t="n"/>
      <c r="AT149" s="574" t="n"/>
      <c r="AU149" s="574" t="n"/>
      <c r="AV149" s="574" t="n"/>
      <c r="AW149" s="574" t="n"/>
      <c r="AX149" s="574" t="n"/>
      <c r="AY149" s="574" t="n"/>
      <c r="AZ149" s="574" t="n"/>
      <c r="BA149" s="574" t="n"/>
      <c r="BB149" s="574" t="n"/>
      <c r="BC149" s="574" t="n"/>
      <c r="BD149" s="574" t="n"/>
      <c r="BE149" s="574" t="n"/>
      <c r="BF149" s="574" t="n"/>
      <c r="BG149" s="574" t="n"/>
      <c r="BH149" s="574" t="n"/>
      <c r="BI149" s="574" t="n"/>
      <c r="BJ149" s="574" t="n"/>
      <c r="BK149" s="574" t="n"/>
      <c r="BL149" s="574" t="n"/>
      <c r="BM149" s="574" t="n"/>
      <c r="BN149" s="574" t="n"/>
      <c r="BO149" s="574" t="n"/>
      <c r="BP149" s="574" t="n"/>
      <c r="BQ149" s="574" t="n"/>
      <c r="BR149" s="574" t="n"/>
      <c r="BS149" s="574" t="n"/>
      <c r="BT149" s="574" t="n"/>
      <c r="BU149" s="574" t="n"/>
      <c r="BV149" s="574" t="n"/>
      <c r="BW149" s="574" t="n"/>
      <c r="BX149" s="574" t="n"/>
      <c r="BY149" s="574" t="n"/>
      <c r="BZ149" s="574" t="n"/>
      <c r="CA149" s="574" t="n"/>
      <c r="CB149" s="574" t="n"/>
      <c r="CC149" s="574" t="n"/>
      <c r="CD149" s="574" t="n"/>
      <c r="CE149" s="574" t="n"/>
      <c r="CF149" s="574" t="n"/>
      <c r="CG149" s="574" t="n"/>
      <c r="CH149" s="574" t="n"/>
      <c r="CI149" s="574" t="n"/>
      <c r="CJ149" s="574" t="n"/>
      <c r="CK149" s="574" t="n"/>
      <c r="CL149" s="574" t="n"/>
      <c r="CM149" s="574" t="n"/>
      <c r="CN149" s="574" t="n"/>
      <c r="CO149" s="574" t="n"/>
      <c r="CP149" s="574" t="n"/>
      <c r="CQ149" s="574" t="n"/>
      <c r="CR149" s="574" t="n"/>
      <c r="CS149" s="574" t="n"/>
      <c r="CT149" s="574" t="n"/>
      <c r="CU149" s="574" t="n"/>
      <c r="CV149" s="574" t="n"/>
      <c r="CW149" s="574" t="n"/>
      <c r="CX149" s="574" t="n"/>
      <c r="CY149" s="574" t="n"/>
      <c r="CZ149" s="574" t="n"/>
      <c r="DA149" s="574" t="n"/>
      <c r="DB149" s="574" t="n"/>
      <c r="DC149" s="574" t="n"/>
      <c r="DD149" s="574" t="n"/>
      <c r="DE149" s="574" t="n"/>
      <c r="DF149" s="574" t="n"/>
      <c r="DG149" s="574" t="n"/>
      <c r="DH149" s="574" t="n"/>
      <c r="DI149" s="574" t="n"/>
      <c r="DJ149" s="574" t="n"/>
      <c r="DK149" s="574" t="n"/>
      <c r="DL149" s="574" t="n"/>
      <c r="DM149" s="574" t="n"/>
      <c r="DN149" s="574" t="n"/>
      <c r="DO149" s="574" t="n"/>
      <c r="DP149" s="574" t="n"/>
      <c r="DQ149" s="574" t="n"/>
      <c r="DR149" s="574" t="n"/>
      <c r="DS149" s="574" t="n"/>
      <c r="DT149" s="574" t="n"/>
      <c r="DU149" s="574" t="n"/>
      <c r="DV149" s="574" t="n"/>
      <c r="DW149" s="574" t="n"/>
      <c r="DX149" s="574" t="n"/>
      <c r="DY149" s="574" t="n"/>
      <c r="DZ149" s="574" t="n"/>
      <c r="EA149" s="574" t="n"/>
      <c r="EB149" s="574" t="n"/>
      <c r="EC149" s="574" t="n"/>
      <c r="ED149" s="574" t="n"/>
      <c r="EE149" s="574" t="n"/>
      <c r="EF149" s="574" t="n"/>
      <c r="EG149" s="574" t="n"/>
      <c r="EH149" s="574" t="n"/>
      <c r="EI149" s="574" t="n"/>
      <c r="EJ149" s="574" t="n"/>
      <c r="EK149" s="574" t="n"/>
      <c r="EL149" s="574" t="n"/>
      <c r="EM149" s="574" t="n"/>
      <c r="EN149" s="574" t="n"/>
      <c r="EO149" s="574" t="n"/>
      <c r="EP149" s="574" t="n"/>
      <c r="EQ149" s="574" t="n"/>
      <c r="ER149" s="574" t="n"/>
      <c r="ES149" s="574" t="n"/>
      <c r="ET149" s="574" t="n"/>
      <c r="EU149" s="574" t="n"/>
      <c r="EV149" s="574" t="n"/>
      <c r="EW149" s="574" t="n"/>
      <c r="EX149" s="574" t="n"/>
      <c r="EY149" s="574" t="n"/>
      <c r="EZ149" s="574" t="n"/>
      <c r="FA149" s="574" t="n"/>
      <c r="FB149" s="574" t="n"/>
      <c r="FC149" s="574" t="n"/>
      <c r="FD149" s="574" t="n"/>
      <c r="FE149" s="574" t="n"/>
      <c r="FF149" s="574" t="n"/>
      <c r="FG149" s="574" t="n"/>
      <c r="FH149" s="574" t="n"/>
      <c r="FI149" s="574" t="n"/>
      <c r="FJ149" s="574" t="n"/>
      <c r="FK149" s="574" t="n"/>
      <c r="FL149" s="574" t="n"/>
      <c r="FM149" s="574" t="n"/>
      <c r="FN149" s="574" t="n"/>
      <c r="FO149" s="574" t="n"/>
      <c r="FP149" s="574" t="n"/>
      <c r="FQ149" s="574" t="n"/>
      <c r="FR149" s="574" t="n"/>
      <c r="FS149" s="574" t="n"/>
      <c r="FT149" s="574" t="n"/>
      <c r="FU149" s="574" t="n"/>
      <c r="FV149" s="574" t="n"/>
      <c r="FW149" s="574" t="n"/>
      <c r="FX149" s="574" t="n"/>
      <c r="FY149" s="574" t="n"/>
      <c r="FZ149" s="574" t="n"/>
      <c r="GA149" s="574" t="n"/>
      <c r="GB149" s="574" t="n"/>
      <c r="GC149" s="574" t="n"/>
      <c r="GD149" s="574" t="n"/>
      <c r="GE149" s="574" t="n"/>
      <c r="GF149" s="574" t="n"/>
    </row>
    <row r="150" customFormat="1" s="568">
      <c r="A150" s="86" t="n"/>
      <c r="B150" s="85" t="n"/>
      <c r="C150" s="84">
        <f>IFERROR(IF(AND($E150&gt;0,$D150&lt;&gt;"The Public"),$E150/SUMIFS($E$10:$E$205,$E$10:$E$205,"&gt;0",$D$10:$D$205,"&lt;&gt;The Public")*$D$5,""),"")</f>
        <v/>
      </c>
      <c r="D150" s="68" t="n"/>
      <c r="E150" s="84">
        <f>SUM(G150:HY150)</f>
        <v/>
      </c>
      <c r="M150" s="574" t="n"/>
      <c r="N150" s="574" t="n"/>
      <c r="O150" s="574" t="n"/>
      <c r="P150" s="574" t="n"/>
      <c r="Q150" s="574" t="n"/>
      <c r="R150" s="574" t="n"/>
      <c r="S150" s="574" t="n"/>
      <c r="T150" s="574" t="n"/>
      <c r="U150" s="574" t="n"/>
      <c r="V150" s="574" t="n"/>
      <c r="W150" s="574" t="n"/>
      <c r="X150" s="574" t="n"/>
      <c r="Y150" s="574" t="n"/>
      <c r="Z150" s="574" t="n"/>
      <c r="AA150" s="574" t="n"/>
      <c r="AB150" s="574" t="n"/>
      <c r="AC150" s="574" t="n"/>
      <c r="AD150" s="574" t="n"/>
      <c r="AE150" s="574" t="n"/>
      <c r="AF150" s="574" t="n"/>
      <c r="AG150" s="574" t="n"/>
      <c r="AH150" s="574" t="n"/>
      <c r="AI150" s="574" t="n"/>
      <c r="AJ150" s="574" t="n"/>
      <c r="AK150" s="574" t="n"/>
      <c r="AL150" s="574" t="n"/>
      <c r="AM150" s="574" t="n"/>
      <c r="AN150" s="574" t="n"/>
      <c r="AO150" s="574" t="n"/>
      <c r="AP150" s="574" t="n"/>
      <c r="AQ150" s="574" t="n"/>
      <c r="AR150" s="574" t="n"/>
      <c r="AS150" s="574" t="n"/>
      <c r="AT150" s="574" t="n"/>
      <c r="AU150" s="574" t="n"/>
      <c r="AV150" s="574" t="n"/>
      <c r="AW150" s="574" t="n"/>
      <c r="AX150" s="574" t="n"/>
      <c r="AY150" s="574" t="n"/>
      <c r="AZ150" s="574" t="n"/>
      <c r="BA150" s="574" t="n"/>
      <c r="BB150" s="574" t="n"/>
      <c r="BC150" s="574" t="n"/>
      <c r="BD150" s="574" t="n"/>
      <c r="BE150" s="574" t="n"/>
      <c r="BF150" s="574" t="n"/>
      <c r="BG150" s="574" t="n"/>
      <c r="BH150" s="574" t="n"/>
      <c r="BI150" s="574" t="n"/>
      <c r="BJ150" s="574" t="n"/>
      <c r="BK150" s="574" t="n"/>
      <c r="BL150" s="574" t="n"/>
      <c r="BM150" s="574" t="n"/>
      <c r="BN150" s="574" t="n"/>
      <c r="BO150" s="574" t="n"/>
      <c r="BP150" s="574" t="n"/>
      <c r="BQ150" s="574" t="n"/>
      <c r="BR150" s="574" t="n"/>
      <c r="BS150" s="574" t="n"/>
      <c r="BT150" s="574" t="n"/>
      <c r="BU150" s="574" t="n"/>
      <c r="BV150" s="574" t="n"/>
      <c r="BW150" s="574" t="n"/>
      <c r="BX150" s="574" t="n"/>
      <c r="BY150" s="574" t="n"/>
      <c r="BZ150" s="574" t="n"/>
      <c r="CA150" s="574" t="n"/>
      <c r="CB150" s="574" t="n"/>
      <c r="CC150" s="574" t="n"/>
      <c r="CD150" s="574" t="n"/>
      <c r="CE150" s="574" t="n"/>
      <c r="CF150" s="574" t="n"/>
      <c r="CG150" s="574" t="n"/>
      <c r="CH150" s="574" t="n"/>
      <c r="CI150" s="574" t="n"/>
      <c r="CJ150" s="574" t="n"/>
      <c r="CK150" s="574" t="n"/>
      <c r="CL150" s="574" t="n"/>
      <c r="CM150" s="574" t="n"/>
      <c r="CN150" s="574" t="n"/>
      <c r="CO150" s="574" t="n"/>
      <c r="CP150" s="574" t="n"/>
      <c r="CQ150" s="574" t="n"/>
      <c r="CR150" s="574" t="n"/>
      <c r="CS150" s="574" t="n"/>
      <c r="CT150" s="574" t="n"/>
      <c r="CU150" s="574" t="n"/>
      <c r="CV150" s="574" t="n"/>
      <c r="CW150" s="574" t="n"/>
      <c r="CX150" s="574" t="n"/>
      <c r="CY150" s="574" t="n"/>
      <c r="CZ150" s="574" t="n"/>
      <c r="DA150" s="574" t="n"/>
      <c r="DB150" s="574" t="n"/>
      <c r="DC150" s="574" t="n"/>
      <c r="DD150" s="574" t="n"/>
      <c r="DE150" s="574" t="n"/>
      <c r="DF150" s="574" t="n"/>
      <c r="DG150" s="574" t="n"/>
      <c r="DH150" s="574" t="n"/>
      <c r="DI150" s="574" t="n"/>
      <c r="DJ150" s="574" t="n"/>
      <c r="DK150" s="574" t="n"/>
      <c r="DL150" s="574" t="n"/>
      <c r="DM150" s="574" t="n"/>
      <c r="DN150" s="574" t="n"/>
      <c r="DO150" s="574" t="n"/>
      <c r="DP150" s="574" t="n"/>
      <c r="DQ150" s="574" t="n"/>
      <c r="DR150" s="574" t="n"/>
      <c r="DS150" s="574" t="n"/>
      <c r="DT150" s="574" t="n"/>
      <c r="DU150" s="574" t="n"/>
      <c r="DV150" s="574" t="n"/>
      <c r="DW150" s="574" t="n"/>
      <c r="DX150" s="574" t="n"/>
      <c r="DY150" s="574" t="n"/>
      <c r="DZ150" s="574" t="n"/>
      <c r="EA150" s="574" t="n"/>
      <c r="EB150" s="574" t="n"/>
      <c r="EC150" s="574" t="n"/>
      <c r="ED150" s="574" t="n"/>
      <c r="EE150" s="574" t="n"/>
      <c r="EF150" s="574" t="n"/>
      <c r="EG150" s="574" t="n"/>
      <c r="EH150" s="574" t="n"/>
      <c r="EI150" s="574" t="n"/>
      <c r="EJ150" s="574" t="n"/>
      <c r="EK150" s="574" t="n"/>
      <c r="EL150" s="574" t="n"/>
      <c r="EM150" s="574" t="n"/>
      <c r="EN150" s="574" t="n"/>
      <c r="EO150" s="574" t="n"/>
      <c r="EP150" s="574" t="n"/>
      <c r="EQ150" s="574" t="n"/>
      <c r="ER150" s="574" t="n"/>
      <c r="ES150" s="574" t="n"/>
      <c r="ET150" s="574" t="n"/>
      <c r="EU150" s="574" t="n"/>
      <c r="EV150" s="574" t="n"/>
      <c r="EW150" s="574" t="n"/>
      <c r="EX150" s="574" t="n"/>
      <c r="EY150" s="574" t="n"/>
      <c r="EZ150" s="574" t="n"/>
      <c r="FA150" s="574" t="n"/>
      <c r="FB150" s="574" t="n"/>
      <c r="FC150" s="574" t="n"/>
      <c r="FD150" s="574" t="n"/>
      <c r="FE150" s="574" t="n"/>
      <c r="FF150" s="574" t="n"/>
      <c r="FG150" s="574" t="n"/>
      <c r="FH150" s="574" t="n"/>
      <c r="FI150" s="574" t="n"/>
      <c r="FJ150" s="574" t="n"/>
      <c r="FK150" s="574" t="n"/>
      <c r="FL150" s="574" t="n"/>
      <c r="FM150" s="574" t="n"/>
      <c r="FN150" s="574" t="n"/>
      <c r="FO150" s="574" t="n"/>
      <c r="FP150" s="574" t="n"/>
      <c r="FQ150" s="574" t="n"/>
      <c r="FR150" s="574" t="n"/>
      <c r="FS150" s="574" t="n"/>
      <c r="FT150" s="574" t="n"/>
      <c r="FU150" s="574" t="n"/>
      <c r="FV150" s="574" t="n"/>
      <c r="FW150" s="574" t="n"/>
      <c r="FX150" s="574" t="n"/>
      <c r="FY150" s="574" t="n"/>
      <c r="FZ150" s="574" t="n"/>
      <c r="GA150" s="574" t="n"/>
      <c r="GB150" s="574" t="n"/>
      <c r="GC150" s="574" t="n"/>
      <c r="GD150" s="574" t="n"/>
      <c r="GE150" s="574" t="n"/>
      <c r="GF150" s="574" t="n"/>
    </row>
    <row r="151" customFormat="1" s="568">
      <c r="A151" s="86" t="n"/>
      <c r="B151" s="85" t="n"/>
      <c r="C151" s="84">
        <f>IFERROR(IF(AND($E151&gt;0,$D151&lt;&gt;"The Public"),$E151/SUMIFS($E$10:$E$205,$E$10:$E$205,"&gt;0",$D$10:$D$205,"&lt;&gt;The Public")*$D$5,""),"")</f>
        <v/>
      </c>
      <c r="D151" s="68" t="n"/>
      <c r="E151" s="84">
        <f>SUM(G151:HY151)</f>
        <v/>
      </c>
      <c r="M151" s="574" t="n"/>
      <c r="N151" s="574" t="n"/>
      <c r="O151" s="574" t="n"/>
      <c r="P151" s="574" t="n"/>
      <c r="Q151" s="574" t="n"/>
      <c r="R151" s="574" t="n"/>
      <c r="S151" s="574" t="n"/>
      <c r="T151" s="574" t="n"/>
      <c r="U151" s="574" t="n"/>
      <c r="V151" s="574" t="n"/>
      <c r="W151" s="574" t="n"/>
      <c r="X151" s="574" t="n"/>
      <c r="Y151" s="574" t="n"/>
      <c r="Z151" s="574" t="n"/>
      <c r="AA151" s="574" t="n"/>
      <c r="AB151" s="574" t="n"/>
      <c r="AC151" s="574" t="n"/>
      <c r="AD151" s="574" t="n"/>
      <c r="AE151" s="574" t="n"/>
      <c r="AF151" s="574" t="n"/>
      <c r="AG151" s="574" t="n"/>
      <c r="AH151" s="574" t="n"/>
      <c r="AI151" s="574" t="n"/>
      <c r="AJ151" s="574" t="n"/>
      <c r="AK151" s="574" t="n"/>
      <c r="AL151" s="574" t="n"/>
      <c r="AM151" s="574" t="n"/>
      <c r="AN151" s="574" t="n"/>
      <c r="AO151" s="574" t="n"/>
      <c r="AP151" s="574" t="n"/>
      <c r="AQ151" s="574" t="n"/>
      <c r="AR151" s="574" t="n"/>
      <c r="AS151" s="574" t="n"/>
      <c r="AT151" s="574" t="n"/>
      <c r="AU151" s="574" t="n"/>
      <c r="AV151" s="574" t="n"/>
      <c r="AW151" s="574" t="n"/>
      <c r="AX151" s="574" t="n"/>
      <c r="AY151" s="574" t="n"/>
      <c r="AZ151" s="574" t="n"/>
      <c r="BA151" s="574" t="n"/>
      <c r="BB151" s="574" t="n"/>
      <c r="BC151" s="574" t="n"/>
      <c r="BD151" s="574" t="n"/>
      <c r="BE151" s="574" t="n"/>
      <c r="BF151" s="574" t="n"/>
      <c r="BG151" s="574" t="n"/>
      <c r="BH151" s="574" t="n"/>
      <c r="BI151" s="574" t="n"/>
      <c r="BJ151" s="574" t="n"/>
      <c r="BK151" s="574" t="n"/>
      <c r="BL151" s="574" t="n"/>
      <c r="BM151" s="574" t="n"/>
      <c r="BN151" s="574" t="n"/>
      <c r="BO151" s="574" t="n"/>
      <c r="BP151" s="574" t="n"/>
      <c r="BQ151" s="574" t="n"/>
      <c r="BR151" s="574" t="n"/>
      <c r="BS151" s="574" t="n"/>
      <c r="BT151" s="574" t="n"/>
      <c r="BU151" s="574" t="n"/>
      <c r="BV151" s="574" t="n"/>
      <c r="BW151" s="574" t="n"/>
      <c r="BX151" s="574" t="n"/>
      <c r="BY151" s="574" t="n"/>
      <c r="BZ151" s="574" t="n"/>
      <c r="CA151" s="574" t="n"/>
      <c r="CB151" s="574" t="n"/>
      <c r="CC151" s="574" t="n"/>
      <c r="CD151" s="574" t="n"/>
      <c r="CE151" s="574" t="n"/>
      <c r="CF151" s="574" t="n"/>
      <c r="CG151" s="574" t="n"/>
      <c r="CH151" s="574" t="n"/>
      <c r="CI151" s="574" t="n"/>
      <c r="CJ151" s="574" t="n"/>
      <c r="CK151" s="574" t="n"/>
      <c r="CL151" s="574" t="n"/>
      <c r="CM151" s="574" t="n"/>
      <c r="CN151" s="574" t="n"/>
      <c r="CO151" s="574" t="n"/>
      <c r="CP151" s="574" t="n"/>
      <c r="CQ151" s="574" t="n"/>
      <c r="CR151" s="574" t="n"/>
      <c r="CS151" s="574" t="n"/>
      <c r="CT151" s="574" t="n"/>
      <c r="CU151" s="574" t="n"/>
      <c r="CV151" s="574" t="n"/>
      <c r="CW151" s="574" t="n"/>
      <c r="CX151" s="574" t="n"/>
      <c r="CY151" s="574" t="n"/>
      <c r="CZ151" s="574" t="n"/>
      <c r="DA151" s="574" t="n"/>
      <c r="DB151" s="574" t="n"/>
      <c r="DC151" s="574" t="n"/>
      <c r="DD151" s="574" t="n"/>
      <c r="DE151" s="574" t="n"/>
      <c r="DF151" s="574" t="n"/>
      <c r="DG151" s="574" t="n"/>
      <c r="DH151" s="574" t="n"/>
      <c r="DI151" s="574" t="n"/>
      <c r="DJ151" s="574" t="n"/>
      <c r="DK151" s="574" t="n"/>
      <c r="DL151" s="574" t="n"/>
      <c r="DM151" s="574" t="n"/>
      <c r="DN151" s="574" t="n"/>
      <c r="DO151" s="574" t="n"/>
      <c r="DP151" s="574" t="n"/>
      <c r="DQ151" s="574" t="n"/>
      <c r="DR151" s="574" t="n"/>
      <c r="DS151" s="574" t="n"/>
      <c r="DT151" s="574" t="n"/>
      <c r="DU151" s="574" t="n"/>
      <c r="DV151" s="574" t="n"/>
      <c r="DW151" s="574" t="n"/>
      <c r="DX151" s="574" t="n"/>
      <c r="DY151" s="574" t="n"/>
      <c r="DZ151" s="574" t="n"/>
      <c r="EA151" s="574" t="n"/>
      <c r="EB151" s="574" t="n"/>
      <c r="EC151" s="574" t="n"/>
      <c r="ED151" s="574" t="n"/>
      <c r="EE151" s="574" t="n"/>
      <c r="EF151" s="574" t="n"/>
      <c r="EG151" s="574" t="n"/>
      <c r="EH151" s="574" t="n"/>
      <c r="EI151" s="574" t="n"/>
      <c r="EJ151" s="574" t="n"/>
      <c r="EK151" s="574" t="n"/>
      <c r="EL151" s="574" t="n"/>
      <c r="EM151" s="574" t="n"/>
      <c r="EN151" s="574" t="n"/>
      <c r="EO151" s="574" t="n"/>
      <c r="EP151" s="574" t="n"/>
      <c r="EQ151" s="574" t="n"/>
      <c r="ER151" s="574" t="n"/>
      <c r="ES151" s="574" t="n"/>
      <c r="ET151" s="574" t="n"/>
      <c r="EU151" s="574" t="n"/>
      <c r="EV151" s="574" t="n"/>
      <c r="EW151" s="574" t="n"/>
      <c r="EX151" s="574" t="n"/>
      <c r="EY151" s="574" t="n"/>
      <c r="EZ151" s="574" t="n"/>
      <c r="FA151" s="574" t="n"/>
      <c r="FB151" s="574" t="n"/>
      <c r="FC151" s="574" t="n"/>
      <c r="FD151" s="574" t="n"/>
      <c r="FE151" s="574" t="n"/>
      <c r="FF151" s="574" t="n"/>
      <c r="FG151" s="574" t="n"/>
      <c r="FH151" s="574" t="n"/>
      <c r="FI151" s="574" t="n"/>
      <c r="FJ151" s="574" t="n"/>
      <c r="FK151" s="574" t="n"/>
      <c r="FL151" s="574" t="n"/>
      <c r="FM151" s="574" t="n"/>
      <c r="FN151" s="574" t="n"/>
      <c r="FO151" s="574" t="n"/>
      <c r="FP151" s="574" t="n"/>
      <c r="FQ151" s="574" t="n"/>
      <c r="FR151" s="574" t="n"/>
      <c r="FS151" s="574" t="n"/>
      <c r="FT151" s="574" t="n"/>
      <c r="FU151" s="574" t="n"/>
      <c r="FV151" s="574" t="n"/>
      <c r="FW151" s="574" t="n"/>
      <c r="FX151" s="574" t="n"/>
      <c r="FY151" s="574" t="n"/>
      <c r="FZ151" s="574" t="n"/>
      <c r="GA151" s="574" t="n"/>
      <c r="GB151" s="574" t="n"/>
      <c r="GC151" s="574" t="n"/>
      <c r="GD151" s="574" t="n"/>
      <c r="GE151" s="574" t="n"/>
      <c r="GF151" s="574" t="n"/>
    </row>
    <row r="152" customFormat="1" s="568">
      <c r="A152" s="86" t="n"/>
      <c r="B152" s="85" t="n"/>
      <c r="C152" s="84">
        <f>IFERROR(IF(AND($E152&gt;0,$D152&lt;&gt;"The Public"),$E152/SUMIFS($E$10:$E$205,$E$10:$E$205,"&gt;0",$D$10:$D$205,"&lt;&gt;The Public")*$D$5,""),"")</f>
        <v/>
      </c>
      <c r="D152" s="68" t="n"/>
      <c r="E152" s="84">
        <f>SUM(G152:HY152)</f>
        <v/>
      </c>
      <c r="M152" s="574" t="n"/>
      <c r="N152" s="574" t="n"/>
      <c r="O152" s="574" t="n"/>
      <c r="P152" s="574" t="n"/>
      <c r="Q152" s="574" t="n"/>
      <c r="R152" s="574" t="n"/>
      <c r="S152" s="574" t="n"/>
      <c r="T152" s="574" t="n"/>
      <c r="U152" s="574" t="n"/>
      <c r="V152" s="574" t="n"/>
      <c r="W152" s="574" t="n"/>
      <c r="X152" s="574" t="n"/>
      <c r="Y152" s="574" t="n"/>
      <c r="Z152" s="574" t="n"/>
      <c r="AA152" s="574" t="n"/>
      <c r="AB152" s="574" t="n"/>
      <c r="AC152" s="574" t="n"/>
      <c r="AD152" s="574" t="n"/>
      <c r="AE152" s="574" t="n"/>
      <c r="AF152" s="574" t="n"/>
      <c r="AG152" s="574" t="n"/>
      <c r="AH152" s="574" t="n"/>
      <c r="AI152" s="574" t="n"/>
      <c r="AJ152" s="574" t="n"/>
      <c r="AK152" s="574" t="n"/>
      <c r="AL152" s="574" t="n"/>
      <c r="AM152" s="574" t="n"/>
      <c r="AN152" s="574" t="n"/>
      <c r="AO152" s="574" t="n"/>
      <c r="AP152" s="574" t="n"/>
      <c r="AQ152" s="574" t="n"/>
      <c r="AR152" s="574" t="n"/>
      <c r="AS152" s="574" t="n"/>
      <c r="AT152" s="574" t="n"/>
      <c r="AU152" s="574" t="n"/>
      <c r="AV152" s="574" t="n"/>
      <c r="AW152" s="574" t="n"/>
      <c r="AX152" s="574" t="n"/>
      <c r="AY152" s="574" t="n"/>
      <c r="AZ152" s="574" t="n"/>
      <c r="BA152" s="574" t="n"/>
      <c r="BB152" s="574" t="n"/>
      <c r="BC152" s="574" t="n"/>
      <c r="BD152" s="574" t="n"/>
      <c r="BE152" s="574" t="n"/>
      <c r="BF152" s="574" t="n"/>
      <c r="BG152" s="574" t="n"/>
      <c r="BH152" s="574" t="n"/>
      <c r="BI152" s="574" t="n"/>
      <c r="BJ152" s="574" t="n"/>
      <c r="BK152" s="574" t="n"/>
      <c r="BL152" s="574" t="n"/>
      <c r="BM152" s="574" t="n"/>
      <c r="BN152" s="574" t="n"/>
      <c r="BO152" s="574" t="n"/>
      <c r="BP152" s="574" t="n"/>
      <c r="BQ152" s="574" t="n"/>
      <c r="BR152" s="574" t="n"/>
      <c r="BS152" s="574" t="n"/>
      <c r="BT152" s="574" t="n"/>
      <c r="BU152" s="574" t="n"/>
      <c r="BV152" s="574" t="n"/>
      <c r="BW152" s="574" t="n"/>
      <c r="BX152" s="574" t="n"/>
      <c r="BY152" s="574" t="n"/>
      <c r="BZ152" s="574" t="n"/>
      <c r="CA152" s="574" t="n"/>
      <c r="CB152" s="574" t="n"/>
      <c r="CC152" s="574" t="n"/>
      <c r="CD152" s="574" t="n"/>
      <c r="CE152" s="574" t="n"/>
      <c r="CF152" s="574" t="n"/>
      <c r="CG152" s="574" t="n"/>
      <c r="CH152" s="574" t="n"/>
      <c r="CI152" s="574" t="n"/>
      <c r="CJ152" s="574" t="n"/>
      <c r="CK152" s="574" t="n"/>
      <c r="CL152" s="574" t="n"/>
      <c r="CM152" s="574" t="n"/>
      <c r="CN152" s="574" t="n"/>
      <c r="CO152" s="574" t="n"/>
      <c r="CP152" s="574" t="n"/>
      <c r="CQ152" s="574" t="n"/>
      <c r="CR152" s="574" t="n"/>
      <c r="CS152" s="574" t="n"/>
      <c r="CT152" s="574" t="n"/>
      <c r="CU152" s="574" t="n"/>
      <c r="CV152" s="574" t="n"/>
      <c r="CW152" s="574" t="n"/>
      <c r="CX152" s="574" t="n"/>
      <c r="CY152" s="574" t="n"/>
      <c r="CZ152" s="574" t="n"/>
      <c r="DA152" s="574" t="n"/>
      <c r="DB152" s="574" t="n"/>
      <c r="DC152" s="574" t="n"/>
      <c r="DD152" s="574" t="n"/>
      <c r="DE152" s="574" t="n"/>
      <c r="DF152" s="574" t="n"/>
      <c r="DG152" s="574" t="n"/>
      <c r="DH152" s="574" t="n"/>
      <c r="DI152" s="574" t="n"/>
      <c r="DJ152" s="574" t="n"/>
      <c r="DK152" s="574" t="n"/>
      <c r="DL152" s="574" t="n"/>
      <c r="DM152" s="574" t="n"/>
      <c r="DN152" s="574" t="n"/>
      <c r="DO152" s="574" t="n"/>
      <c r="DP152" s="574" t="n"/>
      <c r="DQ152" s="574" t="n"/>
      <c r="DR152" s="574" t="n"/>
      <c r="DS152" s="574" t="n"/>
      <c r="DT152" s="574" t="n"/>
      <c r="DU152" s="574" t="n"/>
      <c r="DV152" s="574" t="n"/>
      <c r="DW152" s="574" t="n"/>
      <c r="DX152" s="574" t="n"/>
      <c r="DY152" s="574" t="n"/>
      <c r="DZ152" s="574" t="n"/>
      <c r="EA152" s="574" t="n"/>
      <c r="EB152" s="574" t="n"/>
      <c r="EC152" s="574" t="n"/>
      <c r="ED152" s="574" t="n"/>
      <c r="EE152" s="574" t="n"/>
      <c r="EF152" s="574" t="n"/>
      <c r="EG152" s="574" t="n"/>
      <c r="EH152" s="574" t="n"/>
      <c r="EI152" s="574" t="n"/>
      <c r="EJ152" s="574" t="n"/>
      <c r="EK152" s="574" t="n"/>
      <c r="EL152" s="574" t="n"/>
      <c r="EM152" s="574" t="n"/>
      <c r="EN152" s="574" t="n"/>
      <c r="EO152" s="574" t="n"/>
      <c r="EP152" s="574" t="n"/>
      <c r="EQ152" s="574" t="n"/>
      <c r="ER152" s="574" t="n"/>
      <c r="ES152" s="574" t="n"/>
      <c r="ET152" s="574" t="n"/>
      <c r="EU152" s="574" t="n"/>
      <c r="EV152" s="574" t="n"/>
      <c r="EW152" s="574" t="n"/>
      <c r="EX152" s="574" t="n"/>
      <c r="EY152" s="574" t="n"/>
      <c r="EZ152" s="574" t="n"/>
      <c r="FA152" s="574" t="n"/>
      <c r="FB152" s="574" t="n"/>
      <c r="FC152" s="574" t="n"/>
      <c r="FD152" s="574" t="n"/>
      <c r="FE152" s="574" t="n"/>
      <c r="FF152" s="574" t="n"/>
      <c r="FG152" s="574" t="n"/>
      <c r="FH152" s="574" t="n"/>
      <c r="FI152" s="574" t="n"/>
      <c r="FJ152" s="574" t="n"/>
      <c r="FK152" s="574" t="n"/>
      <c r="FL152" s="574" t="n"/>
      <c r="FM152" s="574" t="n"/>
      <c r="FN152" s="574" t="n"/>
      <c r="FO152" s="574" t="n"/>
      <c r="FP152" s="574" t="n"/>
      <c r="FQ152" s="574" t="n"/>
      <c r="FR152" s="574" t="n"/>
      <c r="FS152" s="574" t="n"/>
      <c r="FT152" s="574" t="n"/>
      <c r="FU152" s="574" t="n"/>
      <c r="FV152" s="574" t="n"/>
      <c r="FW152" s="574" t="n"/>
      <c r="FX152" s="574" t="n"/>
      <c r="FY152" s="574" t="n"/>
      <c r="FZ152" s="574" t="n"/>
      <c r="GA152" s="574" t="n"/>
      <c r="GB152" s="574" t="n"/>
      <c r="GC152" s="574" t="n"/>
      <c r="GD152" s="574" t="n"/>
      <c r="GE152" s="574" t="n"/>
      <c r="GF152" s="574" t="n"/>
    </row>
    <row r="153" customFormat="1" s="568">
      <c r="A153" s="86" t="n"/>
      <c r="B153" s="85" t="n"/>
      <c r="C153" s="84">
        <f>IFERROR(IF(AND($E153&gt;0,$D153&lt;&gt;"The Public"),$E153/SUMIFS($E$10:$E$205,$E$10:$E$205,"&gt;0",$D$10:$D$205,"&lt;&gt;The Public")*$D$5,""),"")</f>
        <v/>
      </c>
      <c r="D153" s="68" t="n"/>
      <c r="E153" s="84">
        <f>SUM(G153:HY153)</f>
        <v/>
      </c>
      <c r="M153" s="574" t="n"/>
      <c r="N153" s="574" t="n"/>
      <c r="O153" s="574" t="n"/>
      <c r="P153" s="574" t="n"/>
      <c r="Q153" s="574" t="n"/>
      <c r="R153" s="574" t="n"/>
      <c r="S153" s="574" t="n"/>
      <c r="T153" s="574" t="n"/>
      <c r="U153" s="574" t="n"/>
      <c r="V153" s="574" t="n"/>
      <c r="W153" s="574" t="n"/>
      <c r="X153" s="574" t="n"/>
      <c r="Y153" s="574" t="n"/>
      <c r="Z153" s="574" t="n"/>
      <c r="AA153" s="574" t="n"/>
      <c r="AB153" s="574" t="n"/>
      <c r="AC153" s="574" t="n"/>
      <c r="AD153" s="574" t="n"/>
      <c r="AE153" s="574" t="n"/>
      <c r="AF153" s="574" t="n"/>
      <c r="AG153" s="574" t="n"/>
      <c r="AH153" s="574" t="n"/>
      <c r="AI153" s="574" t="n"/>
      <c r="AJ153" s="574" t="n"/>
      <c r="AK153" s="574" t="n"/>
      <c r="AL153" s="574" t="n"/>
      <c r="AM153" s="574" t="n"/>
      <c r="AN153" s="574" t="n"/>
      <c r="AO153" s="574" t="n"/>
      <c r="AP153" s="574" t="n"/>
      <c r="AQ153" s="574" t="n"/>
      <c r="AR153" s="574" t="n"/>
      <c r="AS153" s="574" t="n"/>
      <c r="AT153" s="574" t="n"/>
      <c r="AU153" s="574" t="n"/>
      <c r="AV153" s="574" t="n"/>
      <c r="AW153" s="574" t="n"/>
      <c r="AX153" s="574" t="n"/>
      <c r="AY153" s="574" t="n"/>
      <c r="AZ153" s="574" t="n"/>
      <c r="BA153" s="574" t="n"/>
      <c r="BB153" s="574" t="n"/>
      <c r="BC153" s="574" t="n"/>
      <c r="BD153" s="574" t="n"/>
      <c r="BE153" s="574" t="n"/>
      <c r="BF153" s="574" t="n"/>
      <c r="BG153" s="574" t="n"/>
      <c r="BH153" s="574" t="n"/>
      <c r="BI153" s="574" t="n"/>
      <c r="BJ153" s="574" t="n"/>
      <c r="BK153" s="574" t="n"/>
      <c r="BL153" s="574" t="n"/>
      <c r="BM153" s="574" t="n"/>
      <c r="BN153" s="574" t="n"/>
      <c r="BO153" s="574" t="n"/>
      <c r="BP153" s="574" t="n"/>
      <c r="BQ153" s="574" t="n"/>
      <c r="BR153" s="574" t="n"/>
      <c r="BS153" s="574" t="n"/>
      <c r="BT153" s="574" t="n"/>
      <c r="BU153" s="574" t="n"/>
      <c r="BV153" s="574" t="n"/>
      <c r="BW153" s="574" t="n"/>
      <c r="BX153" s="574" t="n"/>
      <c r="BY153" s="574" t="n"/>
      <c r="BZ153" s="574" t="n"/>
      <c r="CA153" s="574" t="n"/>
      <c r="CB153" s="574" t="n"/>
      <c r="CC153" s="574" t="n"/>
      <c r="CD153" s="574" t="n"/>
      <c r="CE153" s="574" t="n"/>
      <c r="CF153" s="574" t="n"/>
      <c r="CG153" s="574" t="n"/>
      <c r="CH153" s="574" t="n"/>
      <c r="CI153" s="574" t="n"/>
      <c r="CJ153" s="574" t="n"/>
      <c r="CK153" s="574" t="n"/>
      <c r="CL153" s="574" t="n"/>
      <c r="CM153" s="574" t="n"/>
      <c r="CN153" s="574" t="n"/>
      <c r="CO153" s="574" t="n"/>
      <c r="CP153" s="574" t="n"/>
      <c r="CQ153" s="574" t="n"/>
      <c r="CR153" s="574" t="n"/>
      <c r="CS153" s="574" t="n"/>
      <c r="CT153" s="574" t="n"/>
      <c r="CU153" s="574" t="n"/>
      <c r="CV153" s="574" t="n"/>
      <c r="CW153" s="574" t="n"/>
      <c r="CX153" s="574" t="n"/>
      <c r="CY153" s="574" t="n"/>
      <c r="CZ153" s="574" t="n"/>
      <c r="DA153" s="574" t="n"/>
      <c r="DB153" s="574" t="n"/>
      <c r="DC153" s="574" t="n"/>
      <c r="DD153" s="574" t="n"/>
      <c r="DE153" s="574" t="n"/>
      <c r="DF153" s="574" t="n"/>
      <c r="DG153" s="574" t="n"/>
      <c r="DH153" s="574" t="n"/>
      <c r="DI153" s="574" t="n"/>
      <c r="DJ153" s="574" t="n"/>
      <c r="DK153" s="574" t="n"/>
      <c r="DL153" s="574" t="n"/>
      <c r="DM153" s="574" t="n"/>
      <c r="DN153" s="574" t="n"/>
      <c r="DO153" s="574" t="n"/>
      <c r="DP153" s="574" t="n"/>
      <c r="DQ153" s="574" t="n"/>
      <c r="DR153" s="574" t="n"/>
      <c r="DS153" s="574" t="n"/>
      <c r="DT153" s="574" t="n"/>
      <c r="DU153" s="574" t="n"/>
      <c r="DV153" s="574" t="n"/>
      <c r="DW153" s="574" t="n"/>
      <c r="DX153" s="574" t="n"/>
      <c r="DY153" s="574" t="n"/>
      <c r="DZ153" s="574" t="n"/>
      <c r="EA153" s="574" t="n"/>
      <c r="EB153" s="574" t="n"/>
      <c r="EC153" s="574" t="n"/>
      <c r="ED153" s="574" t="n"/>
      <c r="EE153" s="574" t="n"/>
      <c r="EF153" s="574" t="n"/>
      <c r="EG153" s="574" t="n"/>
      <c r="EH153" s="574" t="n"/>
      <c r="EI153" s="574" t="n"/>
      <c r="EJ153" s="574" t="n"/>
      <c r="EK153" s="574" t="n"/>
      <c r="EL153" s="574" t="n"/>
      <c r="EM153" s="574" t="n"/>
      <c r="EN153" s="574" t="n"/>
      <c r="EO153" s="574" t="n"/>
      <c r="EP153" s="574" t="n"/>
      <c r="EQ153" s="574" t="n"/>
      <c r="ER153" s="574" t="n"/>
      <c r="ES153" s="574" t="n"/>
      <c r="ET153" s="574" t="n"/>
      <c r="EU153" s="574" t="n"/>
      <c r="EV153" s="574" t="n"/>
      <c r="EW153" s="574" t="n"/>
      <c r="EX153" s="574" t="n"/>
      <c r="EY153" s="574" t="n"/>
      <c r="EZ153" s="574" t="n"/>
      <c r="FA153" s="574" t="n"/>
      <c r="FB153" s="574" t="n"/>
      <c r="FC153" s="574" t="n"/>
      <c r="FD153" s="574" t="n"/>
      <c r="FE153" s="574" t="n"/>
      <c r="FF153" s="574" t="n"/>
      <c r="FG153" s="574" t="n"/>
      <c r="FH153" s="574" t="n"/>
      <c r="FI153" s="574" t="n"/>
      <c r="FJ153" s="574" t="n"/>
      <c r="FK153" s="574" t="n"/>
      <c r="FL153" s="574" t="n"/>
      <c r="FM153" s="574" t="n"/>
      <c r="FN153" s="574" t="n"/>
      <c r="FO153" s="574" t="n"/>
      <c r="FP153" s="574" t="n"/>
      <c r="FQ153" s="574" t="n"/>
      <c r="FR153" s="574" t="n"/>
      <c r="FS153" s="574" t="n"/>
      <c r="FT153" s="574" t="n"/>
      <c r="FU153" s="574" t="n"/>
      <c r="FV153" s="574" t="n"/>
      <c r="FW153" s="574" t="n"/>
      <c r="FX153" s="574" t="n"/>
      <c r="FY153" s="574" t="n"/>
      <c r="FZ153" s="574" t="n"/>
      <c r="GA153" s="574" t="n"/>
      <c r="GB153" s="574" t="n"/>
      <c r="GC153" s="574" t="n"/>
      <c r="GD153" s="574" t="n"/>
      <c r="GE153" s="574" t="n"/>
      <c r="GF153" s="574" t="n"/>
    </row>
    <row r="154" customFormat="1" s="568">
      <c r="A154" s="86" t="n"/>
      <c r="B154" s="85" t="n"/>
      <c r="C154" s="84">
        <f>IFERROR(IF(AND($E154&gt;0,$D154&lt;&gt;"The Public"),$E154/SUMIFS($E$10:$E$205,$E$10:$E$205,"&gt;0",$D$10:$D$205,"&lt;&gt;The Public")*$D$5,""),"")</f>
        <v/>
      </c>
      <c r="D154" s="68" t="n"/>
      <c r="E154" s="84">
        <f>SUM(G154:HY154)</f>
        <v/>
      </c>
      <c r="M154" s="574" t="n"/>
      <c r="N154" s="574" t="n"/>
      <c r="O154" s="574" t="n"/>
      <c r="P154" s="574" t="n"/>
      <c r="Q154" s="574" t="n"/>
      <c r="R154" s="574" t="n"/>
      <c r="S154" s="574" t="n"/>
      <c r="T154" s="574" t="n"/>
      <c r="U154" s="574" t="n"/>
      <c r="V154" s="574" t="n"/>
      <c r="W154" s="574" t="n"/>
      <c r="X154" s="574" t="n"/>
      <c r="Y154" s="574" t="n"/>
      <c r="Z154" s="574" t="n"/>
      <c r="AA154" s="574" t="n"/>
      <c r="AB154" s="574" t="n"/>
      <c r="AC154" s="574" t="n"/>
      <c r="AD154" s="574" t="n"/>
      <c r="AE154" s="574" t="n"/>
      <c r="AF154" s="574" t="n"/>
      <c r="AG154" s="574" t="n"/>
      <c r="AH154" s="574" t="n"/>
      <c r="AI154" s="574" t="n"/>
      <c r="AJ154" s="574" t="n"/>
      <c r="AK154" s="574" t="n"/>
      <c r="AL154" s="574" t="n"/>
      <c r="AM154" s="574" t="n"/>
      <c r="AN154" s="574" t="n"/>
      <c r="AO154" s="574" t="n"/>
      <c r="AP154" s="574" t="n"/>
      <c r="AQ154" s="574" t="n"/>
      <c r="AR154" s="574" t="n"/>
      <c r="AS154" s="574" t="n"/>
      <c r="AT154" s="574" t="n"/>
      <c r="AU154" s="574" t="n"/>
      <c r="AV154" s="574" t="n"/>
      <c r="AW154" s="574" t="n"/>
      <c r="AX154" s="574" t="n"/>
      <c r="AY154" s="574" t="n"/>
      <c r="AZ154" s="574" t="n"/>
      <c r="BA154" s="574" t="n"/>
      <c r="BB154" s="574" t="n"/>
      <c r="BC154" s="574" t="n"/>
      <c r="BD154" s="574" t="n"/>
      <c r="BE154" s="574" t="n"/>
      <c r="BF154" s="574" t="n"/>
      <c r="BG154" s="574" t="n"/>
      <c r="BH154" s="574" t="n"/>
      <c r="BI154" s="574" t="n"/>
      <c r="BJ154" s="574" t="n"/>
      <c r="BK154" s="574" t="n"/>
      <c r="BL154" s="574" t="n"/>
      <c r="BM154" s="574" t="n"/>
      <c r="BN154" s="574" t="n"/>
      <c r="BO154" s="574" t="n"/>
      <c r="BP154" s="574" t="n"/>
      <c r="BQ154" s="574" t="n"/>
      <c r="BR154" s="574" t="n"/>
      <c r="BS154" s="574" t="n"/>
      <c r="BT154" s="574" t="n"/>
      <c r="BU154" s="574" t="n"/>
      <c r="BV154" s="574" t="n"/>
      <c r="BW154" s="574" t="n"/>
      <c r="BX154" s="574" t="n"/>
      <c r="BY154" s="574" t="n"/>
      <c r="BZ154" s="574" t="n"/>
      <c r="CA154" s="574" t="n"/>
      <c r="CB154" s="574" t="n"/>
      <c r="CC154" s="574" t="n"/>
      <c r="CD154" s="574" t="n"/>
      <c r="CE154" s="574" t="n"/>
      <c r="CF154" s="574" t="n"/>
      <c r="CG154" s="574" t="n"/>
      <c r="CH154" s="574" t="n"/>
      <c r="CI154" s="574" t="n"/>
      <c r="CJ154" s="574" t="n"/>
      <c r="CK154" s="574" t="n"/>
      <c r="CL154" s="574" t="n"/>
      <c r="CM154" s="574" t="n"/>
      <c r="CN154" s="574" t="n"/>
      <c r="CO154" s="574" t="n"/>
      <c r="CP154" s="574" t="n"/>
      <c r="CQ154" s="574" t="n"/>
      <c r="CR154" s="574" t="n"/>
      <c r="CS154" s="574" t="n"/>
      <c r="CT154" s="574" t="n"/>
      <c r="CU154" s="574" t="n"/>
      <c r="CV154" s="574" t="n"/>
      <c r="CW154" s="574" t="n"/>
      <c r="CX154" s="574" t="n"/>
      <c r="CY154" s="574" t="n"/>
      <c r="CZ154" s="574" t="n"/>
      <c r="DA154" s="574" t="n"/>
      <c r="DB154" s="574" t="n"/>
      <c r="DC154" s="574" t="n"/>
      <c r="DD154" s="574" t="n"/>
      <c r="DE154" s="574" t="n"/>
      <c r="DF154" s="574" t="n"/>
      <c r="DG154" s="574" t="n"/>
      <c r="DH154" s="574" t="n"/>
      <c r="DI154" s="574" t="n"/>
      <c r="DJ154" s="574" t="n"/>
      <c r="DK154" s="574" t="n"/>
      <c r="DL154" s="574" t="n"/>
      <c r="DM154" s="574" t="n"/>
      <c r="DN154" s="574" t="n"/>
      <c r="DO154" s="574" t="n"/>
      <c r="DP154" s="574" t="n"/>
      <c r="DQ154" s="574" t="n"/>
      <c r="DR154" s="574" t="n"/>
      <c r="DS154" s="574" t="n"/>
      <c r="DT154" s="574" t="n"/>
      <c r="DU154" s="574" t="n"/>
      <c r="DV154" s="574" t="n"/>
      <c r="DW154" s="574" t="n"/>
      <c r="DX154" s="574" t="n"/>
      <c r="DY154" s="574" t="n"/>
      <c r="DZ154" s="574" t="n"/>
      <c r="EA154" s="574" t="n"/>
      <c r="EB154" s="574" t="n"/>
      <c r="EC154" s="574" t="n"/>
      <c r="ED154" s="574" t="n"/>
      <c r="EE154" s="574" t="n"/>
      <c r="EF154" s="574" t="n"/>
      <c r="EG154" s="574" t="n"/>
      <c r="EH154" s="574" t="n"/>
      <c r="EI154" s="574" t="n"/>
      <c r="EJ154" s="574" t="n"/>
      <c r="EK154" s="574" t="n"/>
      <c r="EL154" s="574" t="n"/>
      <c r="EM154" s="574" t="n"/>
      <c r="EN154" s="574" t="n"/>
      <c r="EO154" s="574" t="n"/>
      <c r="EP154" s="574" t="n"/>
      <c r="EQ154" s="574" t="n"/>
      <c r="ER154" s="574" t="n"/>
      <c r="ES154" s="574" t="n"/>
      <c r="ET154" s="574" t="n"/>
      <c r="EU154" s="574" t="n"/>
      <c r="EV154" s="574" t="n"/>
      <c r="EW154" s="574" t="n"/>
      <c r="EX154" s="574" t="n"/>
      <c r="EY154" s="574" t="n"/>
      <c r="EZ154" s="574" t="n"/>
      <c r="FA154" s="574" t="n"/>
      <c r="FB154" s="574" t="n"/>
      <c r="FC154" s="574" t="n"/>
      <c r="FD154" s="574" t="n"/>
      <c r="FE154" s="574" t="n"/>
      <c r="FF154" s="574" t="n"/>
      <c r="FG154" s="574" t="n"/>
      <c r="FH154" s="574" t="n"/>
      <c r="FI154" s="574" t="n"/>
      <c r="FJ154" s="574" t="n"/>
      <c r="FK154" s="574" t="n"/>
      <c r="FL154" s="574" t="n"/>
      <c r="FM154" s="574" t="n"/>
      <c r="FN154" s="574" t="n"/>
      <c r="FO154" s="574" t="n"/>
      <c r="FP154" s="574" t="n"/>
      <c r="FQ154" s="574" t="n"/>
      <c r="FR154" s="574" t="n"/>
      <c r="FS154" s="574" t="n"/>
      <c r="FT154" s="574" t="n"/>
      <c r="FU154" s="574" t="n"/>
      <c r="FV154" s="574" t="n"/>
      <c r="FW154" s="574" t="n"/>
      <c r="FX154" s="574" t="n"/>
      <c r="FY154" s="574" t="n"/>
      <c r="FZ154" s="574" t="n"/>
      <c r="GA154" s="574" t="n"/>
      <c r="GB154" s="574" t="n"/>
      <c r="GC154" s="574" t="n"/>
      <c r="GD154" s="574" t="n"/>
      <c r="GE154" s="574" t="n"/>
      <c r="GF154" s="574" t="n"/>
    </row>
    <row r="155" customFormat="1" s="568">
      <c r="A155" s="86" t="n"/>
      <c r="B155" s="85" t="n"/>
      <c r="C155" s="84">
        <f>IFERROR(IF(AND($E155&gt;0,$D155&lt;&gt;"The Public"),$E155/SUMIFS($E$10:$E$205,$E$10:$E$205,"&gt;0",$D$10:$D$205,"&lt;&gt;The Public")*$D$5,""),"")</f>
        <v/>
      </c>
      <c r="D155" s="68" t="n"/>
      <c r="E155" s="84">
        <f>SUM(G155:HY155)</f>
        <v/>
      </c>
      <c r="M155" s="574" t="n"/>
      <c r="N155" s="574" t="n"/>
      <c r="O155" s="574" t="n"/>
      <c r="P155" s="574" t="n"/>
      <c r="Q155" s="574" t="n"/>
      <c r="R155" s="574" t="n"/>
      <c r="S155" s="574" t="n"/>
      <c r="T155" s="574" t="n"/>
      <c r="U155" s="574" t="n"/>
      <c r="V155" s="574" t="n"/>
      <c r="W155" s="574" t="n"/>
      <c r="X155" s="574" t="n"/>
      <c r="Y155" s="574" t="n"/>
      <c r="Z155" s="574" t="n"/>
      <c r="AA155" s="574" t="n"/>
      <c r="AB155" s="574" t="n"/>
      <c r="AC155" s="574" t="n"/>
      <c r="AD155" s="574" t="n"/>
      <c r="AE155" s="574" t="n"/>
      <c r="AF155" s="574" t="n"/>
      <c r="AG155" s="574" t="n"/>
      <c r="AH155" s="574" t="n"/>
      <c r="AI155" s="574" t="n"/>
      <c r="AJ155" s="574" t="n"/>
      <c r="AK155" s="574" t="n"/>
      <c r="AL155" s="574" t="n"/>
      <c r="AM155" s="574" t="n"/>
      <c r="AN155" s="574" t="n"/>
      <c r="AO155" s="574" t="n"/>
      <c r="AP155" s="574" t="n"/>
      <c r="AQ155" s="574" t="n"/>
      <c r="AR155" s="574" t="n"/>
      <c r="AS155" s="574" t="n"/>
      <c r="AT155" s="574" t="n"/>
      <c r="AU155" s="574" t="n"/>
      <c r="AV155" s="574" t="n"/>
      <c r="AW155" s="574" t="n"/>
      <c r="AX155" s="574" t="n"/>
      <c r="AY155" s="574" t="n"/>
      <c r="AZ155" s="574" t="n"/>
      <c r="BA155" s="574" t="n"/>
      <c r="BB155" s="574" t="n"/>
      <c r="BC155" s="574" t="n"/>
      <c r="BD155" s="574" t="n"/>
      <c r="BE155" s="574" t="n"/>
      <c r="BF155" s="574" t="n"/>
      <c r="BG155" s="574" t="n"/>
      <c r="BH155" s="574" t="n"/>
      <c r="BI155" s="574" t="n"/>
      <c r="BJ155" s="574" t="n"/>
      <c r="BK155" s="574" t="n"/>
      <c r="BL155" s="574" t="n"/>
      <c r="BM155" s="574" t="n"/>
      <c r="BN155" s="574" t="n"/>
      <c r="BO155" s="574" t="n"/>
      <c r="BP155" s="574" t="n"/>
      <c r="BQ155" s="574" t="n"/>
      <c r="BR155" s="574" t="n"/>
      <c r="BS155" s="574" t="n"/>
      <c r="BT155" s="574" t="n"/>
      <c r="BU155" s="574" t="n"/>
      <c r="BV155" s="574" t="n"/>
      <c r="BW155" s="574" t="n"/>
      <c r="BX155" s="574" t="n"/>
      <c r="BY155" s="574" t="n"/>
      <c r="BZ155" s="574" t="n"/>
      <c r="CA155" s="574" t="n"/>
      <c r="CB155" s="574" t="n"/>
      <c r="CC155" s="574" t="n"/>
      <c r="CD155" s="574" t="n"/>
      <c r="CE155" s="574" t="n"/>
      <c r="CF155" s="574" t="n"/>
      <c r="CG155" s="574" t="n"/>
      <c r="CH155" s="574" t="n"/>
      <c r="CI155" s="574" t="n"/>
      <c r="CJ155" s="574" t="n"/>
      <c r="CK155" s="574" t="n"/>
      <c r="CL155" s="574" t="n"/>
      <c r="CM155" s="574" t="n"/>
      <c r="CN155" s="574" t="n"/>
      <c r="CO155" s="574" t="n"/>
      <c r="CP155" s="574" t="n"/>
      <c r="CQ155" s="574" t="n"/>
      <c r="CR155" s="574" t="n"/>
      <c r="CS155" s="574" t="n"/>
      <c r="CT155" s="574" t="n"/>
      <c r="CU155" s="574" t="n"/>
      <c r="CV155" s="574" t="n"/>
      <c r="CW155" s="574" t="n"/>
      <c r="CX155" s="574" t="n"/>
      <c r="CY155" s="574" t="n"/>
      <c r="CZ155" s="574" t="n"/>
      <c r="DA155" s="574" t="n"/>
      <c r="DB155" s="574" t="n"/>
      <c r="DC155" s="574" t="n"/>
      <c r="DD155" s="574" t="n"/>
      <c r="DE155" s="574" t="n"/>
      <c r="DF155" s="574" t="n"/>
      <c r="DG155" s="574" t="n"/>
      <c r="DH155" s="574" t="n"/>
      <c r="DI155" s="574" t="n"/>
      <c r="DJ155" s="574" t="n"/>
      <c r="DK155" s="574" t="n"/>
      <c r="DL155" s="574" t="n"/>
      <c r="DM155" s="574" t="n"/>
      <c r="DN155" s="574" t="n"/>
      <c r="DO155" s="574" t="n"/>
      <c r="DP155" s="574" t="n"/>
      <c r="DQ155" s="574" t="n"/>
      <c r="DR155" s="574" t="n"/>
      <c r="DS155" s="574" t="n"/>
      <c r="DT155" s="574" t="n"/>
      <c r="DU155" s="574" t="n"/>
      <c r="DV155" s="574" t="n"/>
      <c r="DW155" s="574" t="n"/>
      <c r="DX155" s="574" t="n"/>
      <c r="DY155" s="574" t="n"/>
      <c r="DZ155" s="574" t="n"/>
      <c r="EA155" s="574" t="n"/>
      <c r="EB155" s="574" t="n"/>
      <c r="EC155" s="574" t="n"/>
      <c r="ED155" s="574" t="n"/>
      <c r="EE155" s="574" t="n"/>
      <c r="EF155" s="574" t="n"/>
      <c r="EG155" s="574" t="n"/>
      <c r="EH155" s="574" t="n"/>
      <c r="EI155" s="574" t="n"/>
      <c r="EJ155" s="574" t="n"/>
      <c r="EK155" s="574" t="n"/>
      <c r="EL155" s="574" t="n"/>
      <c r="EM155" s="574" t="n"/>
      <c r="EN155" s="574" t="n"/>
      <c r="EO155" s="574" t="n"/>
      <c r="EP155" s="574" t="n"/>
      <c r="EQ155" s="574" t="n"/>
      <c r="ER155" s="574" t="n"/>
      <c r="ES155" s="574" t="n"/>
      <c r="ET155" s="574" t="n"/>
      <c r="EU155" s="574" t="n"/>
      <c r="EV155" s="574" t="n"/>
      <c r="EW155" s="574" t="n"/>
      <c r="EX155" s="574" t="n"/>
      <c r="EY155" s="574" t="n"/>
      <c r="EZ155" s="574" t="n"/>
      <c r="FA155" s="574" t="n"/>
      <c r="FB155" s="574" t="n"/>
      <c r="FC155" s="574" t="n"/>
      <c r="FD155" s="574" t="n"/>
      <c r="FE155" s="574" t="n"/>
      <c r="FF155" s="574" t="n"/>
      <c r="FG155" s="574" t="n"/>
      <c r="FH155" s="574" t="n"/>
      <c r="FI155" s="574" t="n"/>
      <c r="FJ155" s="574" t="n"/>
      <c r="FK155" s="574" t="n"/>
      <c r="FL155" s="574" t="n"/>
      <c r="FM155" s="574" t="n"/>
      <c r="FN155" s="574" t="n"/>
      <c r="FO155" s="574" t="n"/>
      <c r="FP155" s="574" t="n"/>
      <c r="FQ155" s="574" t="n"/>
      <c r="FR155" s="574" t="n"/>
      <c r="FS155" s="574" t="n"/>
      <c r="FT155" s="574" t="n"/>
      <c r="FU155" s="574" t="n"/>
      <c r="FV155" s="574" t="n"/>
      <c r="FW155" s="574" t="n"/>
      <c r="FX155" s="574" t="n"/>
      <c r="FY155" s="574" t="n"/>
      <c r="FZ155" s="574" t="n"/>
      <c r="GA155" s="574" t="n"/>
      <c r="GB155" s="574" t="n"/>
      <c r="GC155" s="574" t="n"/>
      <c r="GD155" s="574" t="n"/>
      <c r="GE155" s="574" t="n"/>
      <c r="GF155" s="574" t="n"/>
    </row>
    <row r="156" customFormat="1" s="568">
      <c r="A156" s="86" t="n"/>
      <c r="B156" s="85" t="n"/>
      <c r="C156" s="84">
        <f>IFERROR(IF(AND($E156&gt;0,$D156&lt;&gt;"The Public"),$E156/SUMIFS($E$10:$E$205,$E$10:$E$205,"&gt;0",$D$10:$D$205,"&lt;&gt;The Public")*$D$5,""),"")</f>
        <v/>
      </c>
      <c r="D156" s="68" t="n"/>
      <c r="E156" s="84">
        <f>SUM(G156:HY156)</f>
        <v/>
      </c>
      <c r="M156" s="574" t="n"/>
      <c r="N156" s="574" t="n"/>
      <c r="O156" s="574" t="n"/>
      <c r="P156" s="574" t="n"/>
      <c r="Q156" s="574" t="n"/>
      <c r="R156" s="574" t="n"/>
      <c r="S156" s="574" t="n"/>
      <c r="T156" s="574" t="n"/>
      <c r="U156" s="574" t="n"/>
      <c r="V156" s="574" t="n"/>
      <c r="W156" s="574" t="n"/>
      <c r="X156" s="574" t="n"/>
      <c r="Y156" s="574" t="n"/>
      <c r="Z156" s="574" t="n"/>
      <c r="AA156" s="574" t="n"/>
      <c r="AB156" s="574" t="n"/>
      <c r="AC156" s="574" t="n"/>
      <c r="AD156" s="574" t="n"/>
      <c r="AE156" s="574" t="n"/>
      <c r="AF156" s="574" t="n"/>
      <c r="AG156" s="574" t="n"/>
      <c r="AH156" s="574" t="n"/>
      <c r="AI156" s="574" t="n"/>
      <c r="AJ156" s="574" t="n"/>
      <c r="AK156" s="574" t="n"/>
      <c r="AL156" s="574" t="n"/>
      <c r="AM156" s="574" t="n"/>
      <c r="AN156" s="574" t="n"/>
      <c r="AO156" s="574" t="n"/>
      <c r="AP156" s="574" t="n"/>
      <c r="AQ156" s="574" t="n"/>
      <c r="AR156" s="574" t="n"/>
      <c r="AS156" s="574" t="n"/>
      <c r="AT156" s="574" t="n"/>
      <c r="AU156" s="574" t="n"/>
      <c r="AV156" s="574" t="n"/>
      <c r="AW156" s="574" t="n"/>
      <c r="AX156" s="574" t="n"/>
      <c r="AY156" s="574" t="n"/>
      <c r="AZ156" s="574" t="n"/>
      <c r="BA156" s="574" t="n"/>
      <c r="BB156" s="574" t="n"/>
      <c r="BC156" s="574" t="n"/>
      <c r="BD156" s="574" t="n"/>
      <c r="BE156" s="574" t="n"/>
      <c r="BF156" s="574" t="n"/>
      <c r="BG156" s="574" t="n"/>
      <c r="BH156" s="574" t="n"/>
      <c r="BI156" s="574" t="n"/>
      <c r="BJ156" s="574" t="n"/>
      <c r="BK156" s="574" t="n"/>
      <c r="BL156" s="574" t="n"/>
      <c r="BM156" s="574" t="n"/>
      <c r="BN156" s="574" t="n"/>
      <c r="BO156" s="574" t="n"/>
      <c r="BP156" s="574" t="n"/>
      <c r="BQ156" s="574" t="n"/>
      <c r="BR156" s="574" t="n"/>
      <c r="BS156" s="574" t="n"/>
      <c r="BT156" s="574" t="n"/>
      <c r="BU156" s="574" t="n"/>
      <c r="BV156" s="574" t="n"/>
      <c r="BW156" s="574" t="n"/>
      <c r="BX156" s="574" t="n"/>
      <c r="BY156" s="574" t="n"/>
      <c r="BZ156" s="574" t="n"/>
      <c r="CA156" s="574" t="n"/>
      <c r="CB156" s="574" t="n"/>
      <c r="CC156" s="574" t="n"/>
      <c r="CD156" s="574" t="n"/>
      <c r="CE156" s="574" t="n"/>
      <c r="CF156" s="574" t="n"/>
      <c r="CG156" s="574" t="n"/>
      <c r="CH156" s="574" t="n"/>
      <c r="CI156" s="574" t="n"/>
      <c r="CJ156" s="574" t="n"/>
      <c r="CK156" s="574" t="n"/>
      <c r="CL156" s="574" t="n"/>
      <c r="CM156" s="574" t="n"/>
      <c r="CN156" s="574" t="n"/>
      <c r="CO156" s="574" t="n"/>
      <c r="CP156" s="574" t="n"/>
      <c r="CQ156" s="574" t="n"/>
      <c r="CR156" s="574" t="n"/>
      <c r="CS156" s="574" t="n"/>
      <c r="CT156" s="574" t="n"/>
      <c r="CU156" s="574" t="n"/>
      <c r="CV156" s="574" t="n"/>
      <c r="CW156" s="574" t="n"/>
      <c r="CX156" s="574" t="n"/>
      <c r="CY156" s="574" t="n"/>
      <c r="CZ156" s="574" t="n"/>
      <c r="DA156" s="574" t="n"/>
      <c r="DB156" s="574" t="n"/>
      <c r="DC156" s="574" t="n"/>
      <c r="DD156" s="574" t="n"/>
      <c r="DE156" s="574" t="n"/>
      <c r="DF156" s="574" t="n"/>
      <c r="DG156" s="574" t="n"/>
      <c r="DH156" s="574" t="n"/>
      <c r="DI156" s="574" t="n"/>
      <c r="DJ156" s="574" t="n"/>
      <c r="DK156" s="574" t="n"/>
      <c r="DL156" s="574" t="n"/>
      <c r="DM156" s="574" t="n"/>
      <c r="DN156" s="574" t="n"/>
      <c r="DO156" s="574" t="n"/>
      <c r="DP156" s="574" t="n"/>
      <c r="DQ156" s="574" t="n"/>
      <c r="DR156" s="574" t="n"/>
      <c r="DS156" s="574" t="n"/>
      <c r="DT156" s="574" t="n"/>
      <c r="DU156" s="574" t="n"/>
      <c r="DV156" s="574" t="n"/>
      <c r="DW156" s="574" t="n"/>
      <c r="DX156" s="574" t="n"/>
      <c r="DY156" s="574" t="n"/>
      <c r="DZ156" s="574" t="n"/>
      <c r="EA156" s="574" t="n"/>
      <c r="EB156" s="574" t="n"/>
      <c r="EC156" s="574" t="n"/>
      <c r="ED156" s="574" t="n"/>
      <c r="EE156" s="574" t="n"/>
      <c r="EF156" s="574" t="n"/>
      <c r="EG156" s="574" t="n"/>
      <c r="EH156" s="574" t="n"/>
      <c r="EI156" s="574" t="n"/>
      <c r="EJ156" s="574" t="n"/>
      <c r="EK156" s="574" t="n"/>
      <c r="EL156" s="574" t="n"/>
      <c r="EM156" s="574" t="n"/>
      <c r="EN156" s="574" t="n"/>
      <c r="EO156" s="574" t="n"/>
      <c r="EP156" s="574" t="n"/>
      <c r="EQ156" s="574" t="n"/>
      <c r="ER156" s="574" t="n"/>
      <c r="ES156" s="574" t="n"/>
      <c r="ET156" s="574" t="n"/>
      <c r="EU156" s="574" t="n"/>
      <c r="EV156" s="574" t="n"/>
      <c r="EW156" s="574" t="n"/>
      <c r="EX156" s="574" t="n"/>
      <c r="EY156" s="574" t="n"/>
      <c r="EZ156" s="574" t="n"/>
      <c r="FA156" s="574" t="n"/>
      <c r="FB156" s="574" t="n"/>
      <c r="FC156" s="574" t="n"/>
      <c r="FD156" s="574" t="n"/>
      <c r="FE156" s="574" t="n"/>
      <c r="FF156" s="574" t="n"/>
      <c r="FG156" s="574" t="n"/>
      <c r="FH156" s="574" t="n"/>
      <c r="FI156" s="574" t="n"/>
      <c r="FJ156" s="574" t="n"/>
      <c r="FK156" s="574" t="n"/>
      <c r="FL156" s="574" t="n"/>
      <c r="FM156" s="574" t="n"/>
      <c r="FN156" s="574" t="n"/>
      <c r="FO156" s="574" t="n"/>
      <c r="FP156" s="574" t="n"/>
      <c r="FQ156" s="574" t="n"/>
      <c r="FR156" s="574" t="n"/>
      <c r="FS156" s="574" t="n"/>
      <c r="FT156" s="574" t="n"/>
      <c r="FU156" s="574" t="n"/>
      <c r="FV156" s="574" t="n"/>
      <c r="FW156" s="574" t="n"/>
      <c r="FX156" s="574" t="n"/>
      <c r="FY156" s="574" t="n"/>
      <c r="FZ156" s="574" t="n"/>
      <c r="GA156" s="574" t="n"/>
      <c r="GB156" s="574" t="n"/>
      <c r="GC156" s="574" t="n"/>
      <c r="GD156" s="574" t="n"/>
      <c r="GE156" s="574" t="n"/>
      <c r="GF156" s="574" t="n"/>
    </row>
    <row r="157" customFormat="1" s="568">
      <c r="A157" s="86" t="n"/>
      <c r="B157" s="85" t="n"/>
      <c r="C157" s="84">
        <f>IFERROR(IF(AND($E157&gt;0,$D157&lt;&gt;"The Public"),$E157/SUMIFS($E$10:$E$205,$E$10:$E$205,"&gt;0",$D$10:$D$205,"&lt;&gt;The Public")*$D$5,""),"")</f>
        <v/>
      </c>
      <c r="D157" s="68" t="n"/>
      <c r="E157" s="84">
        <f>SUM(G157:HY157)</f>
        <v/>
      </c>
      <c r="M157" s="574" t="n"/>
      <c r="N157" s="574" t="n"/>
      <c r="O157" s="574" t="n"/>
      <c r="P157" s="574" t="n"/>
      <c r="Q157" s="574" t="n"/>
      <c r="R157" s="574" t="n"/>
      <c r="S157" s="574" t="n"/>
      <c r="T157" s="574" t="n"/>
      <c r="U157" s="574" t="n"/>
      <c r="V157" s="574" t="n"/>
      <c r="W157" s="574" t="n"/>
      <c r="X157" s="574" t="n"/>
      <c r="Y157" s="574" t="n"/>
      <c r="Z157" s="574" t="n"/>
      <c r="AA157" s="574" t="n"/>
      <c r="AB157" s="574" t="n"/>
      <c r="AC157" s="574" t="n"/>
      <c r="AD157" s="574" t="n"/>
      <c r="AE157" s="574" t="n"/>
      <c r="AF157" s="574" t="n"/>
      <c r="AG157" s="574" t="n"/>
      <c r="AH157" s="574" t="n"/>
      <c r="AI157" s="574" t="n"/>
      <c r="AJ157" s="574" t="n"/>
      <c r="AK157" s="574" t="n"/>
      <c r="AL157" s="574" t="n"/>
      <c r="AM157" s="574" t="n"/>
      <c r="AN157" s="574" t="n"/>
      <c r="AO157" s="574" t="n"/>
      <c r="AP157" s="574" t="n"/>
      <c r="AQ157" s="574" t="n"/>
      <c r="AR157" s="574" t="n"/>
      <c r="AS157" s="574" t="n"/>
      <c r="AT157" s="574" t="n"/>
      <c r="AU157" s="574" t="n"/>
      <c r="AV157" s="574" t="n"/>
      <c r="AW157" s="574" t="n"/>
      <c r="AX157" s="574" t="n"/>
      <c r="AY157" s="574" t="n"/>
      <c r="AZ157" s="574" t="n"/>
      <c r="BA157" s="574" t="n"/>
      <c r="BB157" s="574" t="n"/>
      <c r="BC157" s="574" t="n"/>
      <c r="BD157" s="574" t="n"/>
      <c r="BE157" s="574" t="n"/>
      <c r="BF157" s="574" t="n"/>
      <c r="BG157" s="574" t="n"/>
      <c r="BH157" s="574" t="n"/>
      <c r="BI157" s="574" t="n"/>
      <c r="BJ157" s="574" t="n"/>
      <c r="BK157" s="574" t="n"/>
      <c r="BL157" s="574" t="n"/>
      <c r="BM157" s="574" t="n"/>
      <c r="BN157" s="574" t="n"/>
      <c r="BO157" s="574" t="n"/>
      <c r="BP157" s="574" t="n"/>
      <c r="BQ157" s="574" t="n"/>
      <c r="BR157" s="574" t="n"/>
      <c r="BS157" s="574" t="n"/>
      <c r="BT157" s="574" t="n"/>
      <c r="BU157" s="574" t="n"/>
      <c r="BV157" s="574" t="n"/>
      <c r="BW157" s="574" t="n"/>
      <c r="BX157" s="574" t="n"/>
      <c r="BY157" s="574" t="n"/>
      <c r="BZ157" s="574" t="n"/>
      <c r="CA157" s="574" t="n"/>
      <c r="CB157" s="574" t="n"/>
      <c r="CC157" s="574" t="n"/>
      <c r="CD157" s="574" t="n"/>
      <c r="CE157" s="574" t="n"/>
      <c r="CF157" s="574" t="n"/>
      <c r="CG157" s="574" t="n"/>
      <c r="CH157" s="574" t="n"/>
      <c r="CI157" s="574" t="n"/>
      <c r="CJ157" s="574" t="n"/>
      <c r="CK157" s="574" t="n"/>
      <c r="CL157" s="574" t="n"/>
      <c r="CM157" s="574" t="n"/>
      <c r="CN157" s="574" t="n"/>
      <c r="CO157" s="574" t="n"/>
      <c r="CP157" s="574" t="n"/>
      <c r="CQ157" s="574" t="n"/>
      <c r="CR157" s="574" t="n"/>
      <c r="CS157" s="574" t="n"/>
      <c r="CT157" s="574" t="n"/>
      <c r="CU157" s="574" t="n"/>
      <c r="CV157" s="574" t="n"/>
      <c r="CW157" s="574" t="n"/>
      <c r="CX157" s="574" t="n"/>
      <c r="CY157" s="574" t="n"/>
      <c r="CZ157" s="574" t="n"/>
      <c r="DA157" s="574" t="n"/>
      <c r="DB157" s="574" t="n"/>
      <c r="DC157" s="574" t="n"/>
      <c r="DD157" s="574" t="n"/>
      <c r="DE157" s="574" t="n"/>
      <c r="DF157" s="574" t="n"/>
      <c r="DG157" s="574" t="n"/>
      <c r="DH157" s="574" t="n"/>
      <c r="DI157" s="574" t="n"/>
      <c r="DJ157" s="574" t="n"/>
      <c r="DK157" s="574" t="n"/>
      <c r="DL157" s="574" t="n"/>
      <c r="DM157" s="574" t="n"/>
      <c r="DN157" s="574" t="n"/>
      <c r="DO157" s="574" t="n"/>
      <c r="DP157" s="574" t="n"/>
      <c r="DQ157" s="574" t="n"/>
      <c r="DR157" s="574" t="n"/>
      <c r="DS157" s="574" t="n"/>
      <c r="DT157" s="574" t="n"/>
      <c r="DU157" s="574" t="n"/>
      <c r="DV157" s="574" t="n"/>
      <c r="DW157" s="574" t="n"/>
      <c r="DX157" s="574" t="n"/>
      <c r="DY157" s="574" t="n"/>
      <c r="DZ157" s="574" t="n"/>
      <c r="EA157" s="574" t="n"/>
      <c r="EB157" s="574" t="n"/>
      <c r="EC157" s="574" t="n"/>
      <c r="ED157" s="574" t="n"/>
      <c r="EE157" s="574" t="n"/>
      <c r="EF157" s="574" t="n"/>
      <c r="EG157" s="574" t="n"/>
      <c r="EH157" s="574" t="n"/>
      <c r="EI157" s="574" t="n"/>
      <c r="EJ157" s="574" t="n"/>
      <c r="EK157" s="574" t="n"/>
      <c r="EL157" s="574" t="n"/>
      <c r="EM157" s="574" t="n"/>
      <c r="EN157" s="574" t="n"/>
      <c r="EO157" s="574" t="n"/>
      <c r="EP157" s="574" t="n"/>
      <c r="EQ157" s="574" t="n"/>
      <c r="ER157" s="574" t="n"/>
      <c r="ES157" s="574" t="n"/>
      <c r="ET157" s="574" t="n"/>
      <c r="EU157" s="574" t="n"/>
      <c r="EV157" s="574" t="n"/>
      <c r="EW157" s="574" t="n"/>
      <c r="EX157" s="574" t="n"/>
      <c r="EY157" s="574" t="n"/>
      <c r="EZ157" s="574" t="n"/>
      <c r="FA157" s="574" t="n"/>
      <c r="FB157" s="574" t="n"/>
      <c r="FC157" s="574" t="n"/>
      <c r="FD157" s="574" t="n"/>
      <c r="FE157" s="574" t="n"/>
      <c r="FF157" s="574" t="n"/>
      <c r="FG157" s="574" t="n"/>
      <c r="FH157" s="574" t="n"/>
      <c r="FI157" s="574" t="n"/>
      <c r="FJ157" s="574" t="n"/>
      <c r="FK157" s="574" t="n"/>
      <c r="FL157" s="574" t="n"/>
      <c r="FM157" s="574" t="n"/>
      <c r="FN157" s="574" t="n"/>
      <c r="FO157" s="574" t="n"/>
      <c r="FP157" s="574" t="n"/>
      <c r="FQ157" s="574" t="n"/>
      <c r="FR157" s="574" t="n"/>
      <c r="FS157" s="574" t="n"/>
      <c r="FT157" s="574" t="n"/>
      <c r="FU157" s="574" t="n"/>
      <c r="FV157" s="574" t="n"/>
      <c r="FW157" s="574" t="n"/>
      <c r="FX157" s="574" t="n"/>
      <c r="FY157" s="574" t="n"/>
      <c r="FZ157" s="574" t="n"/>
      <c r="GA157" s="574" t="n"/>
      <c r="GB157" s="574" t="n"/>
      <c r="GC157" s="574" t="n"/>
      <c r="GD157" s="574" t="n"/>
      <c r="GE157" s="574" t="n"/>
      <c r="GF157" s="574" t="n"/>
    </row>
    <row r="158" customFormat="1" s="568">
      <c r="A158" s="86" t="n"/>
      <c r="B158" s="85" t="n"/>
      <c r="C158" s="84">
        <f>IFERROR(IF(AND($E158&gt;0,$D158&lt;&gt;"The Public"),$E158/SUMIFS($E$10:$E$205,$E$10:$E$205,"&gt;0",$D$10:$D$205,"&lt;&gt;The Public")*$D$5,""),"")</f>
        <v/>
      </c>
      <c r="D158" s="68" t="n"/>
      <c r="E158" s="84">
        <f>SUM(G158:HY158)</f>
        <v/>
      </c>
      <c r="M158" s="574" t="n"/>
      <c r="N158" s="574" t="n"/>
      <c r="O158" s="574" t="n"/>
      <c r="P158" s="574" t="n"/>
      <c r="Q158" s="574" t="n"/>
      <c r="R158" s="574" t="n"/>
      <c r="S158" s="574" t="n"/>
      <c r="T158" s="574" t="n"/>
      <c r="U158" s="574" t="n"/>
      <c r="V158" s="574" t="n"/>
      <c r="W158" s="574" t="n"/>
      <c r="X158" s="574" t="n"/>
      <c r="Y158" s="574" t="n"/>
      <c r="Z158" s="574" t="n"/>
      <c r="AA158" s="574" t="n"/>
      <c r="AB158" s="574" t="n"/>
      <c r="AC158" s="574" t="n"/>
      <c r="AD158" s="574" t="n"/>
      <c r="AE158" s="574" t="n"/>
      <c r="AF158" s="574" t="n"/>
      <c r="AG158" s="574" t="n"/>
      <c r="AH158" s="574" t="n"/>
      <c r="AI158" s="574" t="n"/>
      <c r="AJ158" s="574" t="n"/>
      <c r="AK158" s="574" t="n"/>
      <c r="AL158" s="574" t="n"/>
      <c r="AM158" s="574" t="n"/>
      <c r="AN158" s="574" t="n"/>
      <c r="AO158" s="574" t="n"/>
      <c r="AP158" s="574" t="n"/>
      <c r="AQ158" s="574" t="n"/>
      <c r="AR158" s="574" t="n"/>
      <c r="AS158" s="574" t="n"/>
      <c r="AT158" s="574" t="n"/>
      <c r="AU158" s="574" t="n"/>
      <c r="AV158" s="574" t="n"/>
      <c r="AW158" s="574" t="n"/>
      <c r="AX158" s="574" t="n"/>
      <c r="AY158" s="574" t="n"/>
      <c r="AZ158" s="574" t="n"/>
      <c r="BA158" s="574" t="n"/>
      <c r="BB158" s="574" t="n"/>
      <c r="BC158" s="574" t="n"/>
      <c r="BD158" s="574" t="n"/>
      <c r="BE158" s="574" t="n"/>
      <c r="BF158" s="574" t="n"/>
      <c r="BG158" s="574" t="n"/>
      <c r="BH158" s="574" t="n"/>
      <c r="BI158" s="574" t="n"/>
      <c r="BJ158" s="574" t="n"/>
      <c r="BK158" s="574" t="n"/>
      <c r="BL158" s="574" t="n"/>
      <c r="BM158" s="574" t="n"/>
      <c r="BN158" s="574" t="n"/>
      <c r="BO158" s="574" t="n"/>
      <c r="BP158" s="574" t="n"/>
      <c r="BQ158" s="574" t="n"/>
      <c r="BR158" s="574" t="n"/>
      <c r="BS158" s="574" t="n"/>
      <c r="BT158" s="574" t="n"/>
      <c r="BU158" s="574" t="n"/>
      <c r="BV158" s="574" t="n"/>
      <c r="BW158" s="574" t="n"/>
      <c r="BX158" s="574" t="n"/>
      <c r="BY158" s="574" t="n"/>
      <c r="BZ158" s="574" t="n"/>
      <c r="CA158" s="574" t="n"/>
      <c r="CB158" s="574" t="n"/>
      <c r="CC158" s="574" t="n"/>
      <c r="CD158" s="574" t="n"/>
      <c r="CE158" s="574" t="n"/>
      <c r="CF158" s="574" t="n"/>
      <c r="CG158" s="574" t="n"/>
      <c r="CH158" s="574" t="n"/>
      <c r="CI158" s="574" t="n"/>
      <c r="CJ158" s="574" t="n"/>
      <c r="CK158" s="574" t="n"/>
      <c r="CL158" s="574" t="n"/>
      <c r="CM158" s="574" t="n"/>
      <c r="CN158" s="574" t="n"/>
      <c r="CO158" s="574" t="n"/>
      <c r="CP158" s="574" t="n"/>
      <c r="CQ158" s="574" t="n"/>
      <c r="CR158" s="574" t="n"/>
      <c r="CS158" s="574" t="n"/>
      <c r="CT158" s="574" t="n"/>
      <c r="CU158" s="574" t="n"/>
      <c r="CV158" s="574" t="n"/>
      <c r="CW158" s="574" t="n"/>
      <c r="CX158" s="574" t="n"/>
      <c r="CY158" s="574" t="n"/>
      <c r="CZ158" s="574" t="n"/>
      <c r="DA158" s="574" t="n"/>
      <c r="DB158" s="574" t="n"/>
      <c r="DC158" s="574" t="n"/>
      <c r="DD158" s="574" t="n"/>
      <c r="DE158" s="574" t="n"/>
      <c r="DF158" s="574" t="n"/>
      <c r="DG158" s="574" t="n"/>
      <c r="DH158" s="574" t="n"/>
      <c r="DI158" s="574" t="n"/>
      <c r="DJ158" s="574" t="n"/>
      <c r="DK158" s="574" t="n"/>
      <c r="DL158" s="574" t="n"/>
      <c r="DM158" s="574" t="n"/>
      <c r="DN158" s="574" t="n"/>
      <c r="DO158" s="574" t="n"/>
      <c r="DP158" s="574" t="n"/>
      <c r="DQ158" s="574" t="n"/>
      <c r="DR158" s="574" t="n"/>
      <c r="DS158" s="574" t="n"/>
      <c r="DT158" s="574" t="n"/>
      <c r="DU158" s="574" t="n"/>
      <c r="DV158" s="574" t="n"/>
      <c r="DW158" s="574" t="n"/>
      <c r="DX158" s="574" t="n"/>
      <c r="DY158" s="574" t="n"/>
      <c r="DZ158" s="574" t="n"/>
      <c r="EA158" s="574" t="n"/>
      <c r="EB158" s="574" t="n"/>
      <c r="EC158" s="574" t="n"/>
      <c r="ED158" s="574" t="n"/>
      <c r="EE158" s="574" t="n"/>
      <c r="EF158" s="574" t="n"/>
      <c r="EG158" s="574" t="n"/>
      <c r="EH158" s="574" t="n"/>
      <c r="EI158" s="574" t="n"/>
      <c r="EJ158" s="574" t="n"/>
      <c r="EK158" s="574" t="n"/>
      <c r="EL158" s="574" t="n"/>
      <c r="EM158" s="574" t="n"/>
      <c r="EN158" s="574" t="n"/>
      <c r="EO158" s="574" t="n"/>
      <c r="EP158" s="574" t="n"/>
      <c r="EQ158" s="574" t="n"/>
      <c r="ER158" s="574" t="n"/>
      <c r="ES158" s="574" t="n"/>
      <c r="ET158" s="574" t="n"/>
      <c r="EU158" s="574" t="n"/>
      <c r="EV158" s="574" t="n"/>
      <c r="EW158" s="574" t="n"/>
      <c r="EX158" s="574" t="n"/>
      <c r="EY158" s="574" t="n"/>
      <c r="EZ158" s="574" t="n"/>
      <c r="FA158" s="574" t="n"/>
      <c r="FB158" s="574" t="n"/>
      <c r="FC158" s="574" t="n"/>
      <c r="FD158" s="574" t="n"/>
      <c r="FE158" s="574" t="n"/>
      <c r="FF158" s="574" t="n"/>
      <c r="FG158" s="574" t="n"/>
      <c r="FH158" s="574" t="n"/>
      <c r="FI158" s="574" t="n"/>
      <c r="FJ158" s="574" t="n"/>
      <c r="FK158" s="574" t="n"/>
      <c r="FL158" s="574" t="n"/>
      <c r="FM158" s="574" t="n"/>
      <c r="FN158" s="574" t="n"/>
      <c r="FO158" s="574" t="n"/>
      <c r="FP158" s="574" t="n"/>
      <c r="FQ158" s="574" t="n"/>
      <c r="FR158" s="574" t="n"/>
      <c r="FS158" s="574" t="n"/>
      <c r="FT158" s="574" t="n"/>
      <c r="FU158" s="574" t="n"/>
      <c r="FV158" s="574" t="n"/>
      <c r="FW158" s="574" t="n"/>
      <c r="FX158" s="574" t="n"/>
      <c r="FY158" s="574" t="n"/>
      <c r="FZ158" s="574" t="n"/>
      <c r="GA158" s="574" t="n"/>
      <c r="GB158" s="574" t="n"/>
      <c r="GC158" s="574" t="n"/>
      <c r="GD158" s="574" t="n"/>
      <c r="GE158" s="574" t="n"/>
      <c r="GF158" s="574" t="n"/>
    </row>
    <row r="159" customFormat="1" s="568">
      <c r="A159" s="86" t="n"/>
      <c r="B159" s="85" t="n"/>
      <c r="C159" s="84">
        <f>IFERROR(IF(AND($E159&gt;0,$D159&lt;&gt;"The Public"),$E159/SUMIFS($E$10:$E$205,$E$10:$E$205,"&gt;0",$D$10:$D$205,"&lt;&gt;The Public")*$D$5,""),"")</f>
        <v/>
      </c>
      <c r="D159" s="68" t="n"/>
      <c r="E159" s="84">
        <f>SUM(G159:HY159)</f>
        <v/>
      </c>
      <c r="M159" s="574" t="n"/>
      <c r="N159" s="574" t="n"/>
      <c r="O159" s="574" t="n"/>
      <c r="P159" s="574" t="n"/>
      <c r="Q159" s="574" t="n"/>
      <c r="R159" s="574" t="n"/>
      <c r="S159" s="574" t="n"/>
      <c r="T159" s="574" t="n"/>
      <c r="U159" s="574" t="n"/>
      <c r="V159" s="574" t="n"/>
      <c r="W159" s="574" t="n"/>
      <c r="X159" s="574" t="n"/>
      <c r="Y159" s="574" t="n"/>
      <c r="Z159" s="574" t="n"/>
      <c r="AA159" s="574" t="n"/>
      <c r="AB159" s="574" t="n"/>
      <c r="AC159" s="574" t="n"/>
      <c r="AD159" s="574" t="n"/>
      <c r="AE159" s="574" t="n"/>
      <c r="AF159" s="574" t="n"/>
      <c r="AG159" s="574" t="n"/>
      <c r="AH159" s="574" t="n"/>
      <c r="AI159" s="574" t="n"/>
      <c r="AJ159" s="574" t="n"/>
      <c r="AK159" s="574" t="n"/>
      <c r="AL159" s="574" t="n"/>
      <c r="AM159" s="574" t="n"/>
      <c r="AN159" s="574" t="n"/>
      <c r="AO159" s="574" t="n"/>
      <c r="AP159" s="574" t="n"/>
      <c r="AQ159" s="574" t="n"/>
      <c r="AR159" s="574" t="n"/>
      <c r="AS159" s="574" t="n"/>
      <c r="AT159" s="574" t="n"/>
      <c r="AU159" s="574" t="n"/>
      <c r="AV159" s="574" t="n"/>
      <c r="AW159" s="574" t="n"/>
      <c r="AX159" s="574" t="n"/>
      <c r="AY159" s="574" t="n"/>
      <c r="AZ159" s="574" t="n"/>
      <c r="BA159" s="574" t="n"/>
      <c r="BB159" s="574" t="n"/>
      <c r="BC159" s="574" t="n"/>
      <c r="BD159" s="574" t="n"/>
      <c r="BE159" s="574" t="n"/>
      <c r="BF159" s="574" t="n"/>
      <c r="BG159" s="574" t="n"/>
      <c r="BH159" s="574" t="n"/>
      <c r="BI159" s="574" t="n"/>
      <c r="BJ159" s="574" t="n"/>
      <c r="BK159" s="574" t="n"/>
      <c r="BL159" s="574" t="n"/>
      <c r="BM159" s="574" t="n"/>
      <c r="BN159" s="574" t="n"/>
      <c r="BO159" s="574" t="n"/>
      <c r="BP159" s="574" t="n"/>
      <c r="BQ159" s="574" t="n"/>
      <c r="BR159" s="574" t="n"/>
      <c r="BS159" s="574" t="n"/>
      <c r="BT159" s="574" t="n"/>
      <c r="BU159" s="574" t="n"/>
      <c r="BV159" s="574" t="n"/>
      <c r="BW159" s="574" t="n"/>
      <c r="BX159" s="574" t="n"/>
      <c r="BY159" s="574" t="n"/>
      <c r="BZ159" s="574" t="n"/>
      <c r="CA159" s="574" t="n"/>
      <c r="CB159" s="574" t="n"/>
      <c r="CC159" s="574" t="n"/>
      <c r="CD159" s="574" t="n"/>
      <c r="CE159" s="574" t="n"/>
      <c r="CF159" s="574" t="n"/>
      <c r="CG159" s="574" t="n"/>
      <c r="CH159" s="574" t="n"/>
      <c r="CI159" s="574" t="n"/>
      <c r="CJ159" s="574" t="n"/>
      <c r="CK159" s="574" t="n"/>
      <c r="CL159" s="574" t="n"/>
      <c r="CM159" s="574" t="n"/>
      <c r="CN159" s="574" t="n"/>
      <c r="CO159" s="574" t="n"/>
      <c r="CP159" s="574" t="n"/>
      <c r="CQ159" s="574" t="n"/>
      <c r="CR159" s="574" t="n"/>
      <c r="CS159" s="574" t="n"/>
      <c r="CT159" s="574" t="n"/>
      <c r="CU159" s="574" t="n"/>
      <c r="CV159" s="574" t="n"/>
      <c r="CW159" s="574" t="n"/>
      <c r="CX159" s="574" t="n"/>
      <c r="CY159" s="574" t="n"/>
      <c r="CZ159" s="574" t="n"/>
      <c r="DA159" s="574" t="n"/>
      <c r="DB159" s="574" t="n"/>
      <c r="DC159" s="574" t="n"/>
      <c r="DD159" s="574" t="n"/>
      <c r="DE159" s="574" t="n"/>
      <c r="DF159" s="574" t="n"/>
      <c r="DG159" s="574" t="n"/>
      <c r="DH159" s="574" t="n"/>
      <c r="DI159" s="574" t="n"/>
      <c r="DJ159" s="574" t="n"/>
      <c r="DK159" s="574" t="n"/>
      <c r="DL159" s="574" t="n"/>
      <c r="DM159" s="574" t="n"/>
      <c r="DN159" s="574" t="n"/>
      <c r="DO159" s="574" t="n"/>
      <c r="DP159" s="574" t="n"/>
      <c r="DQ159" s="574" t="n"/>
      <c r="DR159" s="574" t="n"/>
      <c r="DS159" s="574" t="n"/>
      <c r="DT159" s="574" t="n"/>
      <c r="DU159" s="574" t="n"/>
      <c r="DV159" s="574" t="n"/>
      <c r="DW159" s="574" t="n"/>
      <c r="DX159" s="574" t="n"/>
      <c r="DY159" s="574" t="n"/>
      <c r="DZ159" s="574" t="n"/>
      <c r="EA159" s="574" t="n"/>
      <c r="EB159" s="574" t="n"/>
      <c r="EC159" s="574" t="n"/>
      <c r="ED159" s="574" t="n"/>
      <c r="EE159" s="574" t="n"/>
      <c r="EF159" s="574" t="n"/>
      <c r="EG159" s="574" t="n"/>
      <c r="EH159" s="574" t="n"/>
      <c r="EI159" s="574" t="n"/>
      <c r="EJ159" s="574" t="n"/>
      <c r="EK159" s="574" t="n"/>
      <c r="EL159" s="574" t="n"/>
      <c r="EM159" s="574" t="n"/>
      <c r="EN159" s="574" t="n"/>
      <c r="EO159" s="574" t="n"/>
      <c r="EP159" s="574" t="n"/>
      <c r="EQ159" s="574" t="n"/>
      <c r="ER159" s="574" t="n"/>
      <c r="ES159" s="574" t="n"/>
      <c r="ET159" s="574" t="n"/>
      <c r="EU159" s="574" t="n"/>
      <c r="EV159" s="574" t="n"/>
      <c r="EW159" s="574" t="n"/>
      <c r="EX159" s="574" t="n"/>
      <c r="EY159" s="574" t="n"/>
      <c r="EZ159" s="574" t="n"/>
      <c r="FA159" s="574" t="n"/>
      <c r="FB159" s="574" t="n"/>
      <c r="FC159" s="574" t="n"/>
      <c r="FD159" s="574" t="n"/>
      <c r="FE159" s="574" t="n"/>
      <c r="FF159" s="574" t="n"/>
      <c r="FG159" s="574" t="n"/>
      <c r="FH159" s="574" t="n"/>
      <c r="FI159" s="574" t="n"/>
      <c r="FJ159" s="574" t="n"/>
      <c r="FK159" s="574" t="n"/>
      <c r="FL159" s="574" t="n"/>
      <c r="FM159" s="574" t="n"/>
      <c r="FN159" s="574" t="n"/>
      <c r="FO159" s="574" t="n"/>
      <c r="FP159" s="574" t="n"/>
      <c r="FQ159" s="574" t="n"/>
      <c r="FR159" s="574" t="n"/>
      <c r="FS159" s="574" t="n"/>
      <c r="FT159" s="574" t="n"/>
      <c r="FU159" s="574" t="n"/>
      <c r="FV159" s="574" t="n"/>
      <c r="FW159" s="574" t="n"/>
      <c r="FX159" s="574" t="n"/>
      <c r="FY159" s="574" t="n"/>
      <c r="FZ159" s="574" t="n"/>
      <c r="GA159" s="574" t="n"/>
      <c r="GB159" s="574" t="n"/>
      <c r="GC159" s="574" t="n"/>
      <c r="GD159" s="574" t="n"/>
      <c r="GE159" s="574" t="n"/>
      <c r="GF159" s="574" t="n"/>
    </row>
    <row r="160" customFormat="1" s="568">
      <c r="A160" s="86" t="n"/>
      <c r="B160" s="85" t="n"/>
      <c r="C160" s="84">
        <f>IFERROR(IF(AND($E160&gt;0,$D160&lt;&gt;"The Public"),$E160/SUMIFS($E$10:$E$205,$E$10:$E$205,"&gt;0",$D$10:$D$205,"&lt;&gt;The Public")*$D$5,""),"")</f>
        <v/>
      </c>
      <c r="D160" s="68" t="n"/>
      <c r="E160" s="84">
        <f>SUM(G160:HY160)</f>
        <v/>
      </c>
      <c r="M160" s="574" t="n"/>
      <c r="N160" s="574" t="n"/>
      <c r="O160" s="574" t="n"/>
      <c r="P160" s="574" t="n"/>
      <c r="Q160" s="574" t="n"/>
      <c r="R160" s="574" t="n"/>
      <c r="S160" s="574" t="n"/>
      <c r="T160" s="574" t="n"/>
      <c r="U160" s="574" t="n"/>
      <c r="V160" s="574" t="n"/>
      <c r="W160" s="574" t="n"/>
      <c r="X160" s="574" t="n"/>
      <c r="Y160" s="574" t="n"/>
      <c r="Z160" s="574" t="n"/>
      <c r="AA160" s="574" t="n"/>
      <c r="AB160" s="574" t="n"/>
      <c r="AC160" s="574" t="n"/>
      <c r="AD160" s="574" t="n"/>
      <c r="AE160" s="574" t="n"/>
      <c r="AF160" s="574" t="n"/>
      <c r="AG160" s="574" t="n"/>
      <c r="AH160" s="574" t="n"/>
      <c r="AI160" s="574" t="n"/>
      <c r="AJ160" s="574" t="n"/>
      <c r="AK160" s="574" t="n"/>
      <c r="AL160" s="574" t="n"/>
      <c r="AM160" s="574" t="n"/>
      <c r="AN160" s="574" t="n"/>
      <c r="AO160" s="574" t="n"/>
      <c r="AP160" s="574" t="n"/>
      <c r="AQ160" s="574" t="n"/>
      <c r="AR160" s="574" t="n"/>
      <c r="AS160" s="574" t="n"/>
      <c r="AT160" s="574" t="n"/>
      <c r="AU160" s="574" t="n"/>
      <c r="AV160" s="574" t="n"/>
      <c r="AW160" s="574" t="n"/>
      <c r="AX160" s="574" t="n"/>
      <c r="AY160" s="574" t="n"/>
      <c r="AZ160" s="574" t="n"/>
      <c r="BA160" s="574" t="n"/>
      <c r="BB160" s="574" t="n"/>
      <c r="BC160" s="574" t="n"/>
      <c r="BD160" s="574" t="n"/>
      <c r="BE160" s="574" t="n"/>
      <c r="BF160" s="574" t="n"/>
      <c r="BG160" s="574" t="n"/>
      <c r="BH160" s="574" t="n"/>
      <c r="BI160" s="574" t="n"/>
      <c r="BJ160" s="574" t="n"/>
      <c r="BK160" s="574" t="n"/>
      <c r="BL160" s="574" t="n"/>
      <c r="BM160" s="574" t="n"/>
      <c r="BN160" s="574" t="n"/>
      <c r="BO160" s="574" t="n"/>
      <c r="BP160" s="574" t="n"/>
      <c r="BQ160" s="574" t="n"/>
      <c r="BR160" s="574" t="n"/>
      <c r="BS160" s="574" t="n"/>
      <c r="BT160" s="574" t="n"/>
      <c r="BU160" s="574" t="n"/>
      <c r="BV160" s="574" t="n"/>
      <c r="BW160" s="574" t="n"/>
      <c r="BX160" s="574" t="n"/>
      <c r="BY160" s="574" t="n"/>
      <c r="BZ160" s="574" t="n"/>
      <c r="CA160" s="574" t="n"/>
      <c r="CB160" s="574" t="n"/>
      <c r="CC160" s="574" t="n"/>
      <c r="CD160" s="574" t="n"/>
      <c r="CE160" s="574" t="n"/>
      <c r="CF160" s="574" t="n"/>
      <c r="CG160" s="574" t="n"/>
      <c r="CH160" s="574" t="n"/>
      <c r="CI160" s="574" t="n"/>
      <c r="CJ160" s="574" t="n"/>
      <c r="CK160" s="574" t="n"/>
      <c r="CL160" s="574" t="n"/>
      <c r="CM160" s="574" t="n"/>
      <c r="CN160" s="574" t="n"/>
      <c r="CO160" s="574" t="n"/>
      <c r="CP160" s="574" t="n"/>
      <c r="CQ160" s="574" t="n"/>
      <c r="CR160" s="574" t="n"/>
      <c r="CS160" s="574" t="n"/>
      <c r="CT160" s="574" t="n"/>
      <c r="CU160" s="574" t="n"/>
      <c r="CV160" s="574" t="n"/>
      <c r="CW160" s="574" t="n"/>
      <c r="CX160" s="574" t="n"/>
      <c r="CY160" s="574" t="n"/>
      <c r="CZ160" s="574" t="n"/>
      <c r="DA160" s="574" t="n"/>
      <c r="DB160" s="574" t="n"/>
      <c r="DC160" s="574" t="n"/>
      <c r="DD160" s="574" t="n"/>
      <c r="DE160" s="574" t="n"/>
      <c r="DF160" s="574" t="n"/>
      <c r="DG160" s="574" t="n"/>
      <c r="DH160" s="574" t="n"/>
      <c r="DI160" s="574" t="n"/>
      <c r="DJ160" s="574" t="n"/>
      <c r="DK160" s="574" t="n"/>
      <c r="DL160" s="574" t="n"/>
      <c r="DM160" s="574" t="n"/>
      <c r="DN160" s="574" t="n"/>
      <c r="DO160" s="574" t="n"/>
      <c r="DP160" s="574" t="n"/>
      <c r="DQ160" s="574" t="n"/>
      <c r="DR160" s="574" t="n"/>
      <c r="DS160" s="574" t="n"/>
      <c r="DT160" s="574" t="n"/>
      <c r="DU160" s="574" t="n"/>
      <c r="DV160" s="574" t="n"/>
      <c r="DW160" s="574" t="n"/>
      <c r="DX160" s="574" t="n"/>
      <c r="DY160" s="574" t="n"/>
      <c r="DZ160" s="574" t="n"/>
      <c r="EA160" s="574" t="n"/>
      <c r="EB160" s="574" t="n"/>
      <c r="EC160" s="574" t="n"/>
      <c r="ED160" s="574" t="n"/>
      <c r="EE160" s="574" t="n"/>
      <c r="EF160" s="574" t="n"/>
      <c r="EG160" s="574" t="n"/>
      <c r="EH160" s="574" t="n"/>
      <c r="EI160" s="574" t="n"/>
      <c r="EJ160" s="574" t="n"/>
      <c r="EK160" s="574" t="n"/>
      <c r="EL160" s="574" t="n"/>
      <c r="EM160" s="574" t="n"/>
      <c r="EN160" s="574" t="n"/>
      <c r="EO160" s="574" t="n"/>
      <c r="EP160" s="574" t="n"/>
      <c r="EQ160" s="574" t="n"/>
      <c r="ER160" s="574" t="n"/>
      <c r="ES160" s="574" t="n"/>
      <c r="ET160" s="574" t="n"/>
      <c r="EU160" s="574" t="n"/>
      <c r="EV160" s="574" t="n"/>
      <c r="EW160" s="574" t="n"/>
      <c r="EX160" s="574" t="n"/>
      <c r="EY160" s="574" t="n"/>
      <c r="EZ160" s="574" t="n"/>
      <c r="FA160" s="574" t="n"/>
      <c r="FB160" s="574" t="n"/>
      <c r="FC160" s="574" t="n"/>
      <c r="FD160" s="574" t="n"/>
      <c r="FE160" s="574" t="n"/>
      <c r="FF160" s="574" t="n"/>
      <c r="FG160" s="574" t="n"/>
      <c r="FH160" s="574" t="n"/>
      <c r="FI160" s="574" t="n"/>
      <c r="FJ160" s="574" t="n"/>
      <c r="FK160" s="574" t="n"/>
      <c r="FL160" s="574" t="n"/>
      <c r="FM160" s="574" t="n"/>
      <c r="FN160" s="574" t="n"/>
      <c r="FO160" s="574" t="n"/>
      <c r="FP160" s="574" t="n"/>
      <c r="FQ160" s="574" t="n"/>
      <c r="FR160" s="574" t="n"/>
      <c r="FS160" s="574" t="n"/>
      <c r="FT160" s="574" t="n"/>
      <c r="FU160" s="574" t="n"/>
      <c r="FV160" s="574" t="n"/>
      <c r="FW160" s="574" t="n"/>
      <c r="FX160" s="574" t="n"/>
      <c r="FY160" s="574" t="n"/>
      <c r="FZ160" s="574" t="n"/>
      <c r="GA160" s="574" t="n"/>
      <c r="GB160" s="574" t="n"/>
      <c r="GC160" s="574" t="n"/>
      <c r="GD160" s="574" t="n"/>
      <c r="GE160" s="574" t="n"/>
      <c r="GF160" s="574" t="n"/>
    </row>
    <row r="161" customFormat="1" s="568">
      <c r="A161" s="86" t="n"/>
      <c r="B161" s="85" t="n"/>
      <c r="C161" s="84">
        <f>IFERROR(IF(AND($E161&gt;0,$D161&lt;&gt;"The Public"),$E161/SUMIFS($E$10:$E$205,$E$10:$E$205,"&gt;0",$D$10:$D$205,"&lt;&gt;The Public")*$D$5,""),"")</f>
        <v/>
      </c>
      <c r="D161" s="68" t="n"/>
      <c r="E161" s="84">
        <f>SUM(G161:HY161)</f>
        <v/>
      </c>
      <c r="M161" s="574" t="n"/>
      <c r="N161" s="574" t="n"/>
      <c r="O161" s="574" t="n"/>
      <c r="P161" s="574" t="n"/>
      <c r="Q161" s="574" t="n"/>
      <c r="R161" s="574" t="n"/>
      <c r="S161" s="574" t="n"/>
      <c r="T161" s="574" t="n"/>
      <c r="U161" s="574" t="n"/>
      <c r="V161" s="574" t="n"/>
      <c r="W161" s="574" t="n"/>
      <c r="X161" s="574" t="n"/>
      <c r="Y161" s="574" t="n"/>
      <c r="Z161" s="574" t="n"/>
      <c r="AA161" s="574" t="n"/>
      <c r="AB161" s="574" t="n"/>
      <c r="AC161" s="574" t="n"/>
      <c r="AD161" s="574" t="n"/>
      <c r="AE161" s="574" t="n"/>
      <c r="AF161" s="574" t="n"/>
      <c r="AG161" s="574" t="n"/>
      <c r="AH161" s="574" t="n"/>
      <c r="AI161" s="574" t="n"/>
      <c r="AJ161" s="574" t="n"/>
      <c r="AK161" s="574" t="n"/>
      <c r="AL161" s="574" t="n"/>
      <c r="AM161" s="574" t="n"/>
      <c r="AN161" s="574" t="n"/>
      <c r="AO161" s="574" t="n"/>
      <c r="AP161" s="574" t="n"/>
      <c r="AQ161" s="574" t="n"/>
      <c r="AR161" s="574" t="n"/>
      <c r="AS161" s="574" t="n"/>
      <c r="AT161" s="574" t="n"/>
      <c r="AU161" s="574" t="n"/>
      <c r="AV161" s="574" t="n"/>
      <c r="AW161" s="574" t="n"/>
      <c r="AX161" s="574" t="n"/>
      <c r="AY161" s="574" t="n"/>
      <c r="AZ161" s="574" t="n"/>
      <c r="BA161" s="574" t="n"/>
      <c r="BB161" s="574" t="n"/>
      <c r="BC161" s="574" t="n"/>
      <c r="BD161" s="574" t="n"/>
      <c r="BE161" s="574" t="n"/>
      <c r="BF161" s="574" t="n"/>
      <c r="BG161" s="574" t="n"/>
      <c r="BH161" s="574" t="n"/>
      <c r="BI161" s="574" t="n"/>
      <c r="BJ161" s="574" t="n"/>
      <c r="BK161" s="574" t="n"/>
      <c r="BL161" s="574" t="n"/>
      <c r="BM161" s="574" t="n"/>
      <c r="BN161" s="574" t="n"/>
      <c r="BO161" s="574" t="n"/>
      <c r="BP161" s="574" t="n"/>
      <c r="BQ161" s="574" t="n"/>
      <c r="BR161" s="574" t="n"/>
      <c r="BS161" s="574" t="n"/>
      <c r="BT161" s="574" t="n"/>
      <c r="BU161" s="574" t="n"/>
      <c r="BV161" s="574" t="n"/>
      <c r="BW161" s="574" t="n"/>
      <c r="BX161" s="574" t="n"/>
      <c r="BY161" s="574" t="n"/>
      <c r="BZ161" s="574" t="n"/>
      <c r="CA161" s="574" t="n"/>
      <c r="CB161" s="574" t="n"/>
      <c r="CC161" s="574" t="n"/>
      <c r="CD161" s="574" t="n"/>
      <c r="CE161" s="574" t="n"/>
      <c r="CF161" s="574" t="n"/>
      <c r="CG161" s="574" t="n"/>
      <c r="CH161" s="574" t="n"/>
      <c r="CI161" s="574" t="n"/>
      <c r="CJ161" s="574" t="n"/>
      <c r="CK161" s="574" t="n"/>
      <c r="CL161" s="574" t="n"/>
      <c r="CM161" s="574" t="n"/>
      <c r="CN161" s="574" t="n"/>
      <c r="CO161" s="574" t="n"/>
      <c r="CP161" s="574" t="n"/>
      <c r="CQ161" s="574" t="n"/>
      <c r="CR161" s="574" t="n"/>
      <c r="CS161" s="574" t="n"/>
      <c r="CT161" s="574" t="n"/>
      <c r="CU161" s="574" t="n"/>
      <c r="CV161" s="574" t="n"/>
      <c r="CW161" s="574" t="n"/>
      <c r="CX161" s="574" t="n"/>
      <c r="CY161" s="574" t="n"/>
      <c r="CZ161" s="574" t="n"/>
      <c r="DA161" s="574" t="n"/>
      <c r="DB161" s="574" t="n"/>
      <c r="DC161" s="574" t="n"/>
      <c r="DD161" s="574" t="n"/>
      <c r="DE161" s="574" t="n"/>
      <c r="DF161" s="574" t="n"/>
      <c r="DG161" s="574" t="n"/>
      <c r="DH161" s="574" t="n"/>
      <c r="DI161" s="574" t="n"/>
      <c r="DJ161" s="574" t="n"/>
      <c r="DK161" s="574" t="n"/>
      <c r="DL161" s="574" t="n"/>
      <c r="DM161" s="574" t="n"/>
      <c r="DN161" s="574" t="n"/>
      <c r="DO161" s="574" t="n"/>
      <c r="DP161" s="574" t="n"/>
      <c r="DQ161" s="574" t="n"/>
      <c r="DR161" s="574" t="n"/>
      <c r="DS161" s="574" t="n"/>
      <c r="DT161" s="574" t="n"/>
      <c r="DU161" s="574" t="n"/>
      <c r="DV161" s="574" t="n"/>
      <c r="DW161" s="574" t="n"/>
      <c r="DX161" s="574" t="n"/>
      <c r="DY161" s="574" t="n"/>
      <c r="DZ161" s="574" t="n"/>
      <c r="EA161" s="574" t="n"/>
      <c r="EB161" s="574" t="n"/>
      <c r="EC161" s="574" t="n"/>
      <c r="ED161" s="574" t="n"/>
      <c r="EE161" s="574" t="n"/>
      <c r="EF161" s="574" t="n"/>
      <c r="EG161" s="574" t="n"/>
      <c r="EH161" s="574" t="n"/>
      <c r="EI161" s="574" t="n"/>
      <c r="EJ161" s="574" t="n"/>
      <c r="EK161" s="574" t="n"/>
      <c r="EL161" s="574" t="n"/>
      <c r="EM161" s="574" t="n"/>
      <c r="EN161" s="574" t="n"/>
      <c r="EO161" s="574" t="n"/>
      <c r="EP161" s="574" t="n"/>
      <c r="EQ161" s="574" t="n"/>
      <c r="ER161" s="574" t="n"/>
      <c r="ES161" s="574" t="n"/>
      <c r="ET161" s="574" t="n"/>
      <c r="EU161" s="574" t="n"/>
      <c r="EV161" s="574" t="n"/>
      <c r="EW161" s="574" t="n"/>
      <c r="EX161" s="574" t="n"/>
      <c r="EY161" s="574" t="n"/>
      <c r="EZ161" s="574" t="n"/>
      <c r="FA161" s="574" t="n"/>
      <c r="FB161" s="574" t="n"/>
      <c r="FC161" s="574" t="n"/>
      <c r="FD161" s="574" t="n"/>
      <c r="FE161" s="574" t="n"/>
      <c r="FF161" s="574" t="n"/>
      <c r="FG161" s="574" t="n"/>
      <c r="FH161" s="574" t="n"/>
      <c r="FI161" s="574" t="n"/>
      <c r="FJ161" s="574" t="n"/>
      <c r="FK161" s="574" t="n"/>
      <c r="FL161" s="574" t="n"/>
      <c r="FM161" s="574" t="n"/>
      <c r="FN161" s="574" t="n"/>
      <c r="FO161" s="574" t="n"/>
      <c r="FP161" s="574" t="n"/>
      <c r="FQ161" s="574" t="n"/>
      <c r="FR161" s="574" t="n"/>
      <c r="FS161" s="574" t="n"/>
      <c r="FT161" s="574" t="n"/>
      <c r="FU161" s="574" t="n"/>
      <c r="FV161" s="574" t="n"/>
      <c r="FW161" s="574" t="n"/>
      <c r="FX161" s="574" t="n"/>
      <c r="FY161" s="574" t="n"/>
      <c r="FZ161" s="574" t="n"/>
      <c r="GA161" s="574" t="n"/>
      <c r="GB161" s="574" t="n"/>
      <c r="GC161" s="574" t="n"/>
      <c r="GD161" s="574" t="n"/>
      <c r="GE161" s="574" t="n"/>
      <c r="GF161" s="574" t="n"/>
    </row>
    <row r="162" customFormat="1" s="568">
      <c r="A162" s="86" t="n"/>
      <c r="B162" s="85" t="n"/>
      <c r="C162" s="84">
        <f>IFERROR(IF(AND($E162&gt;0,$D162&lt;&gt;"The Public"),$E162/SUMIFS($E$10:$E$205,$E$10:$E$205,"&gt;0",$D$10:$D$205,"&lt;&gt;The Public")*$D$5,""),"")</f>
        <v/>
      </c>
      <c r="D162" s="68" t="n"/>
      <c r="E162" s="84">
        <f>SUM(G162:HY162)</f>
        <v/>
      </c>
      <c r="M162" s="574" t="n"/>
      <c r="N162" s="574" t="n"/>
      <c r="O162" s="574" t="n"/>
      <c r="P162" s="574" t="n"/>
      <c r="Q162" s="574" t="n"/>
      <c r="R162" s="574" t="n"/>
      <c r="S162" s="574" t="n"/>
      <c r="T162" s="574" t="n"/>
      <c r="U162" s="574" t="n"/>
      <c r="V162" s="574" t="n"/>
      <c r="W162" s="574" t="n"/>
      <c r="X162" s="574" t="n"/>
      <c r="Y162" s="574" t="n"/>
      <c r="Z162" s="574" t="n"/>
      <c r="AA162" s="574" t="n"/>
      <c r="AB162" s="574" t="n"/>
      <c r="AC162" s="574" t="n"/>
      <c r="AD162" s="574" t="n"/>
      <c r="AE162" s="574" t="n"/>
      <c r="AF162" s="574" t="n"/>
      <c r="AG162" s="574" t="n"/>
      <c r="AH162" s="574" t="n"/>
      <c r="AI162" s="574" t="n"/>
      <c r="AJ162" s="574" t="n"/>
      <c r="AK162" s="574" t="n"/>
      <c r="AL162" s="574" t="n"/>
      <c r="AM162" s="574" t="n"/>
      <c r="AN162" s="574" t="n"/>
      <c r="AO162" s="574" t="n"/>
      <c r="AP162" s="574" t="n"/>
      <c r="AQ162" s="574" t="n"/>
      <c r="AR162" s="574" t="n"/>
      <c r="AS162" s="574" t="n"/>
      <c r="AT162" s="574" t="n"/>
      <c r="AU162" s="574" t="n"/>
      <c r="AV162" s="574" t="n"/>
      <c r="AW162" s="574" t="n"/>
      <c r="AX162" s="574" t="n"/>
      <c r="AY162" s="574" t="n"/>
      <c r="AZ162" s="574" t="n"/>
      <c r="BA162" s="574" t="n"/>
      <c r="BB162" s="574" t="n"/>
      <c r="BC162" s="574" t="n"/>
      <c r="BD162" s="574" t="n"/>
      <c r="BE162" s="574" t="n"/>
      <c r="BF162" s="574" t="n"/>
      <c r="BG162" s="574" t="n"/>
      <c r="BH162" s="574" t="n"/>
      <c r="BI162" s="574" t="n"/>
      <c r="BJ162" s="574" t="n"/>
      <c r="BK162" s="574" t="n"/>
      <c r="BL162" s="574" t="n"/>
      <c r="BM162" s="574" t="n"/>
      <c r="BN162" s="574" t="n"/>
      <c r="BO162" s="574" t="n"/>
      <c r="BP162" s="574" t="n"/>
      <c r="BQ162" s="574" t="n"/>
      <c r="BR162" s="574" t="n"/>
      <c r="BS162" s="574" t="n"/>
      <c r="BT162" s="574" t="n"/>
      <c r="BU162" s="574" t="n"/>
      <c r="BV162" s="574" t="n"/>
      <c r="BW162" s="574" t="n"/>
      <c r="BX162" s="574" t="n"/>
      <c r="BY162" s="574" t="n"/>
      <c r="BZ162" s="574" t="n"/>
      <c r="CA162" s="574" t="n"/>
      <c r="CB162" s="574" t="n"/>
      <c r="CC162" s="574" t="n"/>
      <c r="CD162" s="574" t="n"/>
      <c r="CE162" s="574" t="n"/>
      <c r="CF162" s="574" t="n"/>
      <c r="CG162" s="574" t="n"/>
      <c r="CH162" s="574" t="n"/>
      <c r="CI162" s="574" t="n"/>
      <c r="CJ162" s="574" t="n"/>
      <c r="CK162" s="574" t="n"/>
      <c r="CL162" s="574" t="n"/>
      <c r="CM162" s="574" t="n"/>
      <c r="CN162" s="574" t="n"/>
      <c r="CO162" s="574" t="n"/>
      <c r="CP162" s="574" t="n"/>
      <c r="CQ162" s="574" t="n"/>
      <c r="CR162" s="574" t="n"/>
      <c r="CS162" s="574" t="n"/>
      <c r="CT162" s="574" t="n"/>
      <c r="CU162" s="574" t="n"/>
      <c r="CV162" s="574" t="n"/>
      <c r="CW162" s="574" t="n"/>
      <c r="CX162" s="574" t="n"/>
      <c r="CY162" s="574" t="n"/>
      <c r="CZ162" s="574" t="n"/>
      <c r="DA162" s="574" t="n"/>
      <c r="DB162" s="574" t="n"/>
      <c r="DC162" s="574" t="n"/>
      <c r="DD162" s="574" t="n"/>
      <c r="DE162" s="574" t="n"/>
      <c r="DF162" s="574" t="n"/>
      <c r="DG162" s="574" t="n"/>
      <c r="DH162" s="574" t="n"/>
      <c r="DI162" s="574" t="n"/>
      <c r="DJ162" s="574" t="n"/>
      <c r="DK162" s="574" t="n"/>
      <c r="DL162" s="574" t="n"/>
      <c r="DM162" s="574" t="n"/>
      <c r="DN162" s="574" t="n"/>
      <c r="DO162" s="574" t="n"/>
      <c r="DP162" s="574" t="n"/>
      <c r="DQ162" s="574" t="n"/>
      <c r="DR162" s="574" t="n"/>
      <c r="DS162" s="574" t="n"/>
      <c r="DT162" s="574" t="n"/>
      <c r="DU162" s="574" t="n"/>
      <c r="DV162" s="574" t="n"/>
      <c r="DW162" s="574" t="n"/>
      <c r="DX162" s="574" t="n"/>
      <c r="DY162" s="574" t="n"/>
      <c r="DZ162" s="574" t="n"/>
      <c r="EA162" s="574" t="n"/>
      <c r="EB162" s="574" t="n"/>
      <c r="EC162" s="574" t="n"/>
      <c r="ED162" s="574" t="n"/>
      <c r="EE162" s="574" t="n"/>
      <c r="EF162" s="574" t="n"/>
      <c r="EG162" s="574" t="n"/>
      <c r="EH162" s="574" t="n"/>
      <c r="EI162" s="574" t="n"/>
      <c r="EJ162" s="574" t="n"/>
      <c r="EK162" s="574" t="n"/>
      <c r="EL162" s="574" t="n"/>
      <c r="EM162" s="574" t="n"/>
      <c r="EN162" s="574" t="n"/>
      <c r="EO162" s="574" t="n"/>
      <c r="EP162" s="574" t="n"/>
      <c r="EQ162" s="574" t="n"/>
      <c r="ER162" s="574" t="n"/>
      <c r="ES162" s="574" t="n"/>
      <c r="ET162" s="574" t="n"/>
      <c r="EU162" s="574" t="n"/>
      <c r="EV162" s="574" t="n"/>
      <c r="EW162" s="574" t="n"/>
      <c r="EX162" s="574" t="n"/>
      <c r="EY162" s="574" t="n"/>
      <c r="EZ162" s="574" t="n"/>
      <c r="FA162" s="574" t="n"/>
      <c r="FB162" s="574" t="n"/>
      <c r="FC162" s="574" t="n"/>
      <c r="FD162" s="574" t="n"/>
      <c r="FE162" s="574" t="n"/>
      <c r="FF162" s="574" t="n"/>
      <c r="FG162" s="574" t="n"/>
      <c r="FH162" s="574" t="n"/>
      <c r="FI162" s="574" t="n"/>
      <c r="FJ162" s="574" t="n"/>
      <c r="FK162" s="574" t="n"/>
      <c r="FL162" s="574" t="n"/>
      <c r="FM162" s="574" t="n"/>
      <c r="FN162" s="574" t="n"/>
      <c r="FO162" s="574" t="n"/>
      <c r="FP162" s="574" t="n"/>
      <c r="FQ162" s="574" t="n"/>
      <c r="FR162" s="574" t="n"/>
      <c r="FS162" s="574" t="n"/>
      <c r="FT162" s="574" t="n"/>
      <c r="FU162" s="574" t="n"/>
      <c r="FV162" s="574" t="n"/>
      <c r="FW162" s="574" t="n"/>
      <c r="FX162" s="574" t="n"/>
      <c r="FY162" s="574" t="n"/>
      <c r="FZ162" s="574" t="n"/>
      <c r="GA162" s="574" t="n"/>
      <c r="GB162" s="574" t="n"/>
      <c r="GC162" s="574" t="n"/>
      <c r="GD162" s="574" t="n"/>
      <c r="GE162" s="574" t="n"/>
      <c r="GF162" s="574" t="n"/>
    </row>
    <row r="163" customFormat="1" s="568">
      <c r="A163" s="86" t="n"/>
      <c r="B163" s="85" t="n"/>
      <c r="C163" s="84">
        <f>IFERROR(IF(AND($E163&gt;0,$D163&lt;&gt;"The Public"),$E163/SUMIFS($E$10:$E$205,$E$10:$E$205,"&gt;0",$D$10:$D$205,"&lt;&gt;The Public")*$D$5,""),"")</f>
        <v/>
      </c>
      <c r="D163" s="68" t="n"/>
      <c r="E163" s="84">
        <f>SUM(G163:HY163)</f>
        <v/>
      </c>
      <c r="M163" s="574" t="n"/>
      <c r="N163" s="574" t="n"/>
      <c r="O163" s="574" t="n"/>
      <c r="P163" s="574" t="n"/>
      <c r="Q163" s="574" t="n"/>
      <c r="R163" s="574" t="n"/>
      <c r="S163" s="574" t="n"/>
      <c r="T163" s="574" t="n"/>
      <c r="U163" s="574" t="n"/>
      <c r="V163" s="574" t="n"/>
      <c r="W163" s="574" t="n"/>
      <c r="X163" s="574" t="n"/>
      <c r="Y163" s="574" t="n"/>
      <c r="Z163" s="574" t="n"/>
      <c r="AA163" s="574" t="n"/>
      <c r="AB163" s="574" t="n"/>
      <c r="AC163" s="574" t="n"/>
      <c r="AD163" s="574" t="n"/>
      <c r="AE163" s="574" t="n"/>
      <c r="AF163" s="574" t="n"/>
      <c r="AG163" s="574" t="n"/>
      <c r="AH163" s="574" t="n"/>
      <c r="AI163" s="574" t="n"/>
      <c r="AJ163" s="574" t="n"/>
      <c r="AK163" s="574" t="n"/>
      <c r="AL163" s="574" t="n"/>
      <c r="AM163" s="574" t="n"/>
      <c r="AN163" s="574" t="n"/>
      <c r="AO163" s="574" t="n"/>
      <c r="AP163" s="574" t="n"/>
      <c r="AQ163" s="574" t="n"/>
      <c r="AR163" s="574" t="n"/>
      <c r="AS163" s="574" t="n"/>
      <c r="AT163" s="574" t="n"/>
      <c r="AU163" s="574" t="n"/>
      <c r="AV163" s="574" t="n"/>
      <c r="AW163" s="574" t="n"/>
      <c r="AX163" s="574" t="n"/>
      <c r="AY163" s="574" t="n"/>
      <c r="AZ163" s="574" t="n"/>
      <c r="BA163" s="574" t="n"/>
      <c r="BB163" s="574" t="n"/>
      <c r="BC163" s="574" t="n"/>
      <c r="BD163" s="574" t="n"/>
      <c r="BE163" s="574" t="n"/>
      <c r="BF163" s="574" t="n"/>
      <c r="BG163" s="574" t="n"/>
      <c r="BH163" s="574" t="n"/>
      <c r="BI163" s="574" t="n"/>
      <c r="BJ163" s="574" t="n"/>
      <c r="BK163" s="574" t="n"/>
      <c r="BL163" s="574" t="n"/>
      <c r="BM163" s="574" t="n"/>
      <c r="BN163" s="574" t="n"/>
      <c r="BO163" s="574" t="n"/>
      <c r="BP163" s="574" t="n"/>
      <c r="BQ163" s="574" t="n"/>
      <c r="BR163" s="574" t="n"/>
      <c r="BS163" s="574" t="n"/>
      <c r="BT163" s="574" t="n"/>
      <c r="BU163" s="574" t="n"/>
      <c r="BV163" s="574" t="n"/>
      <c r="BW163" s="574" t="n"/>
      <c r="BX163" s="574" t="n"/>
      <c r="BY163" s="574" t="n"/>
      <c r="BZ163" s="574" t="n"/>
      <c r="CA163" s="574" t="n"/>
      <c r="CB163" s="574" t="n"/>
      <c r="CC163" s="574" t="n"/>
      <c r="CD163" s="574" t="n"/>
      <c r="CE163" s="574" t="n"/>
      <c r="CF163" s="574" t="n"/>
      <c r="CG163" s="574" t="n"/>
      <c r="CH163" s="574" t="n"/>
      <c r="CI163" s="574" t="n"/>
      <c r="CJ163" s="574" t="n"/>
      <c r="CK163" s="574" t="n"/>
      <c r="CL163" s="574" t="n"/>
      <c r="CM163" s="574" t="n"/>
      <c r="CN163" s="574" t="n"/>
      <c r="CO163" s="574" t="n"/>
      <c r="CP163" s="574" t="n"/>
      <c r="CQ163" s="574" t="n"/>
      <c r="CR163" s="574" t="n"/>
      <c r="CS163" s="574" t="n"/>
      <c r="CT163" s="574" t="n"/>
      <c r="CU163" s="574" t="n"/>
      <c r="CV163" s="574" t="n"/>
      <c r="CW163" s="574" t="n"/>
      <c r="CX163" s="574" t="n"/>
      <c r="CY163" s="574" t="n"/>
      <c r="CZ163" s="574" t="n"/>
      <c r="DA163" s="574" t="n"/>
      <c r="DB163" s="574" t="n"/>
      <c r="DC163" s="574" t="n"/>
      <c r="DD163" s="574" t="n"/>
      <c r="DE163" s="574" t="n"/>
      <c r="DF163" s="574" t="n"/>
      <c r="DG163" s="574" t="n"/>
      <c r="DH163" s="574" t="n"/>
      <c r="DI163" s="574" t="n"/>
      <c r="DJ163" s="574" t="n"/>
      <c r="DK163" s="574" t="n"/>
      <c r="DL163" s="574" t="n"/>
      <c r="DM163" s="574" t="n"/>
      <c r="DN163" s="574" t="n"/>
      <c r="DO163" s="574" t="n"/>
      <c r="DP163" s="574" t="n"/>
      <c r="DQ163" s="574" t="n"/>
      <c r="DR163" s="574" t="n"/>
      <c r="DS163" s="574" t="n"/>
      <c r="DT163" s="574" t="n"/>
      <c r="DU163" s="574" t="n"/>
      <c r="DV163" s="574" t="n"/>
      <c r="DW163" s="574" t="n"/>
      <c r="DX163" s="574" t="n"/>
      <c r="DY163" s="574" t="n"/>
      <c r="DZ163" s="574" t="n"/>
      <c r="EA163" s="574" t="n"/>
      <c r="EB163" s="574" t="n"/>
      <c r="EC163" s="574" t="n"/>
      <c r="ED163" s="574" t="n"/>
      <c r="EE163" s="574" t="n"/>
      <c r="EF163" s="574" t="n"/>
      <c r="EG163" s="574" t="n"/>
      <c r="EH163" s="574" t="n"/>
      <c r="EI163" s="574" t="n"/>
      <c r="EJ163" s="574" t="n"/>
      <c r="EK163" s="574" t="n"/>
      <c r="EL163" s="574" t="n"/>
      <c r="EM163" s="574" t="n"/>
      <c r="EN163" s="574" t="n"/>
      <c r="EO163" s="574" t="n"/>
      <c r="EP163" s="574" t="n"/>
      <c r="EQ163" s="574" t="n"/>
      <c r="ER163" s="574" t="n"/>
      <c r="ES163" s="574" t="n"/>
      <c r="ET163" s="574" t="n"/>
      <c r="EU163" s="574" t="n"/>
      <c r="EV163" s="574" t="n"/>
      <c r="EW163" s="574" t="n"/>
      <c r="EX163" s="574" t="n"/>
      <c r="EY163" s="574" t="n"/>
      <c r="EZ163" s="574" t="n"/>
      <c r="FA163" s="574" t="n"/>
      <c r="FB163" s="574" t="n"/>
      <c r="FC163" s="574" t="n"/>
      <c r="FD163" s="574" t="n"/>
      <c r="FE163" s="574" t="n"/>
      <c r="FF163" s="574" t="n"/>
      <c r="FG163" s="574" t="n"/>
      <c r="FH163" s="574" t="n"/>
      <c r="FI163" s="574" t="n"/>
      <c r="FJ163" s="574" t="n"/>
      <c r="FK163" s="574" t="n"/>
      <c r="FL163" s="574" t="n"/>
      <c r="FM163" s="574" t="n"/>
      <c r="FN163" s="574" t="n"/>
      <c r="FO163" s="574" t="n"/>
      <c r="FP163" s="574" t="n"/>
      <c r="FQ163" s="574" t="n"/>
      <c r="FR163" s="574" t="n"/>
      <c r="FS163" s="574" t="n"/>
      <c r="FT163" s="574" t="n"/>
      <c r="FU163" s="574" t="n"/>
      <c r="FV163" s="574" t="n"/>
      <c r="FW163" s="574" t="n"/>
      <c r="FX163" s="574" t="n"/>
      <c r="FY163" s="574" t="n"/>
      <c r="FZ163" s="574" t="n"/>
      <c r="GA163" s="574" t="n"/>
      <c r="GB163" s="574" t="n"/>
      <c r="GC163" s="574" t="n"/>
      <c r="GD163" s="574" t="n"/>
      <c r="GE163" s="574" t="n"/>
      <c r="GF163" s="574" t="n"/>
    </row>
    <row r="164" customFormat="1" s="568">
      <c r="A164" s="86" t="n"/>
      <c r="B164" s="85" t="n"/>
      <c r="C164" s="84">
        <f>IFERROR(IF(AND($E164&gt;0,$D164&lt;&gt;"The Public"),$E164/SUMIFS($E$10:$E$205,$E$10:$E$205,"&gt;0",$D$10:$D$205,"&lt;&gt;The Public")*$D$5,""),"")</f>
        <v/>
      </c>
      <c r="D164" s="68" t="n"/>
      <c r="E164" s="84">
        <f>SUM(G164:HY164)</f>
        <v/>
      </c>
      <c r="M164" s="574" t="n"/>
      <c r="N164" s="574" t="n"/>
      <c r="O164" s="574" t="n"/>
      <c r="P164" s="574" t="n"/>
      <c r="Q164" s="574" t="n"/>
      <c r="R164" s="574" t="n"/>
      <c r="S164" s="574" t="n"/>
      <c r="T164" s="574" t="n"/>
      <c r="U164" s="574" t="n"/>
      <c r="V164" s="574" t="n"/>
      <c r="W164" s="574" t="n"/>
      <c r="X164" s="574" t="n"/>
      <c r="Y164" s="574" t="n"/>
      <c r="Z164" s="574" t="n"/>
      <c r="AA164" s="574" t="n"/>
      <c r="AB164" s="574" t="n"/>
      <c r="AC164" s="574" t="n"/>
      <c r="AD164" s="574" t="n"/>
      <c r="AE164" s="574" t="n"/>
      <c r="AF164" s="574" t="n"/>
      <c r="AG164" s="574" t="n"/>
      <c r="AH164" s="574" t="n"/>
      <c r="AI164" s="574" t="n"/>
      <c r="AJ164" s="574" t="n"/>
      <c r="AK164" s="574" t="n"/>
      <c r="AL164" s="574" t="n"/>
      <c r="AM164" s="574" t="n"/>
      <c r="AN164" s="574" t="n"/>
      <c r="AO164" s="574" t="n"/>
      <c r="AP164" s="574" t="n"/>
      <c r="AQ164" s="574" t="n"/>
      <c r="AR164" s="574" t="n"/>
      <c r="AS164" s="574" t="n"/>
      <c r="AT164" s="574" t="n"/>
      <c r="AU164" s="574" t="n"/>
      <c r="AV164" s="574" t="n"/>
      <c r="AW164" s="574" t="n"/>
      <c r="AX164" s="574" t="n"/>
      <c r="AY164" s="574" t="n"/>
      <c r="AZ164" s="574" t="n"/>
      <c r="BA164" s="574" t="n"/>
      <c r="BB164" s="574" t="n"/>
      <c r="BC164" s="574" t="n"/>
      <c r="BD164" s="574" t="n"/>
      <c r="BE164" s="574" t="n"/>
      <c r="BF164" s="574" t="n"/>
      <c r="BG164" s="574" t="n"/>
      <c r="BH164" s="574" t="n"/>
      <c r="BI164" s="574" t="n"/>
      <c r="BJ164" s="574" t="n"/>
      <c r="BK164" s="574" t="n"/>
      <c r="BL164" s="574" t="n"/>
      <c r="BM164" s="574" t="n"/>
      <c r="BN164" s="574" t="n"/>
      <c r="BO164" s="574" t="n"/>
      <c r="BP164" s="574" t="n"/>
      <c r="BQ164" s="574" t="n"/>
      <c r="BR164" s="574" t="n"/>
      <c r="BS164" s="574" t="n"/>
      <c r="BT164" s="574" t="n"/>
      <c r="BU164" s="574" t="n"/>
      <c r="BV164" s="574" t="n"/>
      <c r="BW164" s="574" t="n"/>
      <c r="BX164" s="574" t="n"/>
      <c r="BY164" s="574" t="n"/>
      <c r="BZ164" s="574" t="n"/>
      <c r="CA164" s="574" t="n"/>
      <c r="CB164" s="574" t="n"/>
      <c r="CC164" s="574" t="n"/>
      <c r="CD164" s="574" t="n"/>
      <c r="CE164" s="574" t="n"/>
      <c r="CF164" s="574" t="n"/>
      <c r="CG164" s="574" t="n"/>
      <c r="CH164" s="574" t="n"/>
      <c r="CI164" s="574" t="n"/>
      <c r="CJ164" s="574" t="n"/>
      <c r="CK164" s="574" t="n"/>
      <c r="CL164" s="574" t="n"/>
      <c r="CM164" s="574" t="n"/>
      <c r="CN164" s="574" t="n"/>
      <c r="CO164" s="574" t="n"/>
      <c r="CP164" s="574" t="n"/>
      <c r="CQ164" s="574" t="n"/>
      <c r="CR164" s="574" t="n"/>
      <c r="CS164" s="574" t="n"/>
      <c r="CT164" s="574" t="n"/>
      <c r="CU164" s="574" t="n"/>
      <c r="CV164" s="574" t="n"/>
      <c r="CW164" s="574" t="n"/>
      <c r="CX164" s="574" t="n"/>
      <c r="CY164" s="574" t="n"/>
      <c r="CZ164" s="574" t="n"/>
      <c r="DA164" s="574" t="n"/>
      <c r="DB164" s="574" t="n"/>
      <c r="DC164" s="574" t="n"/>
      <c r="DD164" s="574" t="n"/>
      <c r="DE164" s="574" t="n"/>
      <c r="DF164" s="574" t="n"/>
      <c r="DG164" s="574" t="n"/>
      <c r="DH164" s="574" t="n"/>
      <c r="DI164" s="574" t="n"/>
      <c r="DJ164" s="574" t="n"/>
      <c r="DK164" s="574" t="n"/>
      <c r="DL164" s="574" t="n"/>
      <c r="DM164" s="574" t="n"/>
      <c r="DN164" s="574" t="n"/>
      <c r="DO164" s="574" t="n"/>
      <c r="DP164" s="574" t="n"/>
      <c r="DQ164" s="574" t="n"/>
      <c r="DR164" s="574" t="n"/>
      <c r="DS164" s="574" t="n"/>
      <c r="DT164" s="574" t="n"/>
      <c r="DU164" s="574" t="n"/>
      <c r="DV164" s="574" t="n"/>
      <c r="DW164" s="574" t="n"/>
      <c r="DX164" s="574" t="n"/>
      <c r="DY164" s="574" t="n"/>
      <c r="DZ164" s="574" t="n"/>
      <c r="EA164" s="574" t="n"/>
      <c r="EB164" s="574" t="n"/>
      <c r="EC164" s="574" t="n"/>
      <c r="ED164" s="574" t="n"/>
      <c r="EE164" s="574" t="n"/>
      <c r="EF164" s="574" t="n"/>
      <c r="EG164" s="574" t="n"/>
      <c r="EH164" s="574" t="n"/>
      <c r="EI164" s="574" t="n"/>
      <c r="EJ164" s="574" t="n"/>
      <c r="EK164" s="574" t="n"/>
      <c r="EL164" s="574" t="n"/>
      <c r="EM164" s="574" t="n"/>
      <c r="EN164" s="574" t="n"/>
      <c r="EO164" s="574" t="n"/>
      <c r="EP164" s="574" t="n"/>
      <c r="EQ164" s="574" t="n"/>
      <c r="ER164" s="574" t="n"/>
      <c r="ES164" s="574" t="n"/>
      <c r="ET164" s="574" t="n"/>
      <c r="EU164" s="574" t="n"/>
      <c r="EV164" s="574" t="n"/>
      <c r="EW164" s="574" t="n"/>
      <c r="EX164" s="574" t="n"/>
      <c r="EY164" s="574" t="n"/>
      <c r="EZ164" s="574" t="n"/>
      <c r="FA164" s="574" t="n"/>
      <c r="FB164" s="574" t="n"/>
      <c r="FC164" s="574" t="n"/>
      <c r="FD164" s="574" t="n"/>
      <c r="FE164" s="574" t="n"/>
      <c r="FF164" s="574" t="n"/>
      <c r="FG164" s="574" t="n"/>
      <c r="FH164" s="574" t="n"/>
      <c r="FI164" s="574" t="n"/>
      <c r="FJ164" s="574" t="n"/>
      <c r="FK164" s="574" t="n"/>
      <c r="FL164" s="574" t="n"/>
      <c r="FM164" s="574" t="n"/>
      <c r="FN164" s="574" t="n"/>
      <c r="FO164" s="574" t="n"/>
      <c r="FP164" s="574" t="n"/>
      <c r="FQ164" s="574" t="n"/>
      <c r="FR164" s="574" t="n"/>
      <c r="FS164" s="574" t="n"/>
      <c r="FT164" s="574" t="n"/>
      <c r="FU164" s="574" t="n"/>
      <c r="FV164" s="574" t="n"/>
      <c r="FW164" s="574" t="n"/>
      <c r="FX164" s="574" t="n"/>
      <c r="FY164" s="574" t="n"/>
      <c r="FZ164" s="574" t="n"/>
      <c r="GA164" s="574" t="n"/>
      <c r="GB164" s="574" t="n"/>
      <c r="GC164" s="574" t="n"/>
      <c r="GD164" s="574" t="n"/>
      <c r="GE164" s="574" t="n"/>
      <c r="GF164" s="574" t="n"/>
    </row>
    <row r="165" customFormat="1" s="568">
      <c r="A165" s="86" t="n"/>
      <c r="B165" s="85" t="n"/>
      <c r="C165" s="84">
        <f>IFERROR(IF(AND($E165&gt;0,$D165&lt;&gt;"The Public"),$E165/SUMIFS($E$10:$E$205,$E$10:$E$205,"&gt;0",$D$10:$D$205,"&lt;&gt;The Public")*$D$5,""),"")</f>
        <v/>
      </c>
      <c r="D165" s="68" t="n"/>
      <c r="E165" s="84">
        <f>SUM(G165:HY165)</f>
        <v/>
      </c>
      <c r="M165" s="574" t="n"/>
      <c r="N165" s="574" t="n"/>
      <c r="O165" s="574" t="n"/>
      <c r="P165" s="574" t="n"/>
      <c r="Q165" s="574" t="n"/>
      <c r="R165" s="574" t="n"/>
      <c r="S165" s="574" t="n"/>
      <c r="T165" s="574" t="n"/>
      <c r="U165" s="574" t="n"/>
      <c r="V165" s="574" t="n"/>
      <c r="W165" s="574" t="n"/>
      <c r="X165" s="574" t="n"/>
      <c r="Y165" s="574" t="n"/>
      <c r="Z165" s="574" t="n"/>
      <c r="AA165" s="574" t="n"/>
      <c r="AB165" s="574" t="n"/>
      <c r="AC165" s="574" t="n"/>
      <c r="AD165" s="574" t="n"/>
      <c r="AE165" s="574" t="n"/>
      <c r="AF165" s="574" t="n"/>
      <c r="AG165" s="574" t="n"/>
      <c r="AH165" s="574" t="n"/>
      <c r="AI165" s="574" t="n"/>
      <c r="AJ165" s="574" t="n"/>
      <c r="AK165" s="574" t="n"/>
      <c r="AL165" s="574" t="n"/>
      <c r="AM165" s="574" t="n"/>
      <c r="AN165" s="574" t="n"/>
      <c r="AO165" s="574" t="n"/>
      <c r="AP165" s="574" t="n"/>
      <c r="AQ165" s="574" t="n"/>
      <c r="AR165" s="574" t="n"/>
      <c r="AS165" s="574" t="n"/>
      <c r="AT165" s="574" t="n"/>
      <c r="AU165" s="574" t="n"/>
      <c r="AV165" s="574" t="n"/>
      <c r="AW165" s="574" t="n"/>
      <c r="AX165" s="574" t="n"/>
      <c r="AY165" s="574" t="n"/>
      <c r="AZ165" s="574" t="n"/>
      <c r="BA165" s="574" t="n"/>
      <c r="BB165" s="574" t="n"/>
      <c r="BC165" s="574" t="n"/>
      <c r="BD165" s="574" t="n"/>
      <c r="BE165" s="574" t="n"/>
      <c r="BF165" s="574" t="n"/>
      <c r="BG165" s="574" t="n"/>
      <c r="BH165" s="574" t="n"/>
      <c r="BI165" s="574" t="n"/>
      <c r="BJ165" s="574" t="n"/>
      <c r="BK165" s="574" t="n"/>
      <c r="BL165" s="574" t="n"/>
      <c r="BM165" s="574" t="n"/>
      <c r="BN165" s="574" t="n"/>
      <c r="BO165" s="574" t="n"/>
      <c r="BP165" s="574" t="n"/>
      <c r="BQ165" s="574" t="n"/>
      <c r="BR165" s="574" t="n"/>
      <c r="BS165" s="574" t="n"/>
      <c r="BT165" s="574" t="n"/>
      <c r="BU165" s="574" t="n"/>
      <c r="BV165" s="574" t="n"/>
      <c r="BW165" s="574" t="n"/>
      <c r="BX165" s="574" t="n"/>
      <c r="BY165" s="574" t="n"/>
      <c r="BZ165" s="574" t="n"/>
      <c r="CA165" s="574" t="n"/>
      <c r="CB165" s="574" t="n"/>
      <c r="CC165" s="574" t="n"/>
      <c r="CD165" s="574" t="n"/>
      <c r="CE165" s="574" t="n"/>
      <c r="CF165" s="574" t="n"/>
      <c r="CG165" s="574" t="n"/>
      <c r="CH165" s="574" t="n"/>
      <c r="CI165" s="574" t="n"/>
      <c r="CJ165" s="574" t="n"/>
      <c r="CK165" s="574" t="n"/>
      <c r="CL165" s="574" t="n"/>
      <c r="CM165" s="574" t="n"/>
      <c r="CN165" s="574" t="n"/>
      <c r="CO165" s="574" t="n"/>
      <c r="CP165" s="574" t="n"/>
      <c r="CQ165" s="574" t="n"/>
      <c r="CR165" s="574" t="n"/>
      <c r="CS165" s="574" t="n"/>
      <c r="CT165" s="574" t="n"/>
      <c r="CU165" s="574" t="n"/>
      <c r="CV165" s="574" t="n"/>
      <c r="CW165" s="574" t="n"/>
      <c r="CX165" s="574" t="n"/>
      <c r="CY165" s="574" t="n"/>
      <c r="CZ165" s="574" t="n"/>
      <c r="DA165" s="574" t="n"/>
      <c r="DB165" s="574" t="n"/>
      <c r="DC165" s="574" t="n"/>
      <c r="DD165" s="574" t="n"/>
      <c r="DE165" s="574" t="n"/>
      <c r="DF165" s="574" t="n"/>
      <c r="DG165" s="574" t="n"/>
      <c r="DH165" s="574" t="n"/>
      <c r="DI165" s="574" t="n"/>
      <c r="DJ165" s="574" t="n"/>
      <c r="DK165" s="574" t="n"/>
      <c r="DL165" s="574" t="n"/>
      <c r="DM165" s="574" t="n"/>
      <c r="DN165" s="574" t="n"/>
      <c r="DO165" s="574" t="n"/>
      <c r="DP165" s="574" t="n"/>
      <c r="DQ165" s="574" t="n"/>
      <c r="DR165" s="574" t="n"/>
      <c r="DS165" s="574" t="n"/>
      <c r="DT165" s="574" t="n"/>
      <c r="DU165" s="574" t="n"/>
      <c r="DV165" s="574" t="n"/>
      <c r="DW165" s="574" t="n"/>
      <c r="DX165" s="574" t="n"/>
      <c r="DY165" s="574" t="n"/>
      <c r="DZ165" s="574" t="n"/>
      <c r="EA165" s="574" t="n"/>
      <c r="EB165" s="574" t="n"/>
      <c r="EC165" s="574" t="n"/>
      <c r="ED165" s="574" t="n"/>
      <c r="EE165" s="574" t="n"/>
      <c r="EF165" s="574" t="n"/>
      <c r="EG165" s="574" t="n"/>
      <c r="EH165" s="574" t="n"/>
      <c r="EI165" s="574" t="n"/>
      <c r="EJ165" s="574" t="n"/>
      <c r="EK165" s="574" t="n"/>
      <c r="EL165" s="574" t="n"/>
      <c r="EM165" s="574" t="n"/>
      <c r="EN165" s="574" t="n"/>
      <c r="EO165" s="574" t="n"/>
      <c r="EP165" s="574" t="n"/>
      <c r="EQ165" s="574" t="n"/>
      <c r="ER165" s="574" t="n"/>
      <c r="ES165" s="574" t="n"/>
      <c r="ET165" s="574" t="n"/>
      <c r="EU165" s="574" t="n"/>
      <c r="EV165" s="574" t="n"/>
      <c r="EW165" s="574" t="n"/>
      <c r="EX165" s="574" t="n"/>
      <c r="EY165" s="574" t="n"/>
      <c r="EZ165" s="574" t="n"/>
      <c r="FA165" s="574" t="n"/>
      <c r="FB165" s="574" t="n"/>
      <c r="FC165" s="574" t="n"/>
      <c r="FD165" s="574" t="n"/>
      <c r="FE165" s="574" t="n"/>
      <c r="FF165" s="574" t="n"/>
      <c r="FG165" s="574" t="n"/>
      <c r="FH165" s="574" t="n"/>
      <c r="FI165" s="574" t="n"/>
      <c r="FJ165" s="574" t="n"/>
      <c r="FK165" s="574" t="n"/>
      <c r="FL165" s="574" t="n"/>
      <c r="FM165" s="574" t="n"/>
      <c r="FN165" s="574" t="n"/>
      <c r="FO165" s="574" t="n"/>
      <c r="FP165" s="574" t="n"/>
      <c r="FQ165" s="574" t="n"/>
      <c r="FR165" s="574" t="n"/>
      <c r="FS165" s="574" t="n"/>
      <c r="FT165" s="574" t="n"/>
      <c r="FU165" s="574" t="n"/>
      <c r="FV165" s="574" t="n"/>
      <c r="FW165" s="574" t="n"/>
      <c r="FX165" s="574" t="n"/>
      <c r="FY165" s="574" t="n"/>
      <c r="FZ165" s="574" t="n"/>
      <c r="GA165" s="574" t="n"/>
      <c r="GB165" s="574" t="n"/>
      <c r="GC165" s="574" t="n"/>
      <c r="GD165" s="574" t="n"/>
      <c r="GE165" s="574" t="n"/>
      <c r="GF165" s="574" t="n"/>
    </row>
    <row r="166" customFormat="1" s="568">
      <c r="A166" s="86" t="n"/>
      <c r="B166" s="85" t="n"/>
      <c r="C166" s="84">
        <f>IFERROR(IF(AND($E166&gt;0,$D166&lt;&gt;"The Public"),$E166/SUMIFS($E$10:$E$205,$E$10:$E$205,"&gt;0",$D$10:$D$205,"&lt;&gt;The Public")*$D$5,""),"")</f>
        <v/>
      </c>
      <c r="D166" s="68" t="n"/>
      <c r="E166" s="84">
        <f>SUM(G166:HY166)</f>
        <v/>
      </c>
      <c r="M166" s="574" t="n"/>
      <c r="N166" s="574" t="n"/>
      <c r="O166" s="574" t="n"/>
      <c r="P166" s="574" t="n"/>
      <c r="Q166" s="574" t="n"/>
      <c r="R166" s="574" t="n"/>
      <c r="S166" s="574" t="n"/>
      <c r="T166" s="574" t="n"/>
      <c r="U166" s="574" t="n"/>
      <c r="V166" s="574" t="n"/>
      <c r="W166" s="574" t="n"/>
      <c r="X166" s="574" t="n"/>
      <c r="Y166" s="574" t="n"/>
      <c r="Z166" s="574" t="n"/>
      <c r="AA166" s="574" t="n"/>
      <c r="AB166" s="574" t="n"/>
      <c r="AC166" s="574" t="n"/>
      <c r="AD166" s="574" t="n"/>
      <c r="AE166" s="574" t="n"/>
      <c r="AF166" s="574" t="n"/>
      <c r="AG166" s="574" t="n"/>
      <c r="AH166" s="574" t="n"/>
      <c r="AI166" s="574" t="n"/>
      <c r="AJ166" s="574" t="n"/>
      <c r="AK166" s="574" t="n"/>
      <c r="AL166" s="574" t="n"/>
      <c r="AM166" s="574" t="n"/>
      <c r="AN166" s="574" t="n"/>
      <c r="AO166" s="574" t="n"/>
      <c r="AP166" s="574" t="n"/>
      <c r="AQ166" s="574" t="n"/>
      <c r="AR166" s="574" t="n"/>
      <c r="AS166" s="574" t="n"/>
      <c r="AT166" s="574" t="n"/>
      <c r="AU166" s="574" t="n"/>
      <c r="AV166" s="574" t="n"/>
      <c r="AW166" s="574" t="n"/>
      <c r="AX166" s="574" t="n"/>
      <c r="AY166" s="574" t="n"/>
      <c r="AZ166" s="574" t="n"/>
      <c r="BA166" s="574" t="n"/>
      <c r="BB166" s="574" t="n"/>
      <c r="BC166" s="574" t="n"/>
      <c r="BD166" s="574" t="n"/>
      <c r="BE166" s="574" t="n"/>
      <c r="BF166" s="574" t="n"/>
      <c r="BG166" s="574" t="n"/>
      <c r="BH166" s="574" t="n"/>
      <c r="BI166" s="574" t="n"/>
      <c r="BJ166" s="574" t="n"/>
      <c r="BK166" s="574" t="n"/>
      <c r="BL166" s="574" t="n"/>
      <c r="BM166" s="574" t="n"/>
      <c r="BN166" s="574" t="n"/>
      <c r="BO166" s="574" t="n"/>
      <c r="BP166" s="574" t="n"/>
      <c r="BQ166" s="574" t="n"/>
      <c r="BR166" s="574" t="n"/>
      <c r="BS166" s="574" t="n"/>
      <c r="BT166" s="574" t="n"/>
      <c r="BU166" s="574" t="n"/>
      <c r="BV166" s="574" t="n"/>
      <c r="BW166" s="574" t="n"/>
      <c r="BX166" s="574" t="n"/>
      <c r="BY166" s="574" t="n"/>
      <c r="BZ166" s="574" t="n"/>
      <c r="CA166" s="574" t="n"/>
      <c r="CB166" s="574" t="n"/>
      <c r="CC166" s="574" t="n"/>
      <c r="CD166" s="574" t="n"/>
      <c r="CE166" s="574" t="n"/>
      <c r="CF166" s="574" t="n"/>
      <c r="CG166" s="574" t="n"/>
      <c r="CH166" s="574" t="n"/>
      <c r="CI166" s="574" t="n"/>
      <c r="CJ166" s="574" t="n"/>
      <c r="CK166" s="574" t="n"/>
      <c r="CL166" s="574" t="n"/>
      <c r="CM166" s="574" t="n"/>
      <c r="CN166" s="574" t="n"/>
      <c r="CO166" s="574" t="n"/>
      <c r="CP166" s="574" t="n"/>
      <c r="CQ166" s="574" t="n"/>
      <c r="CR166" s="574" t="n"/>
      <c r="CS166" s="574" t="n"/>
      <c r="CT166" s="574" t="n"/>
      <c r="CU166" s="574" t="n"/>
      <c r="CV166" s="574" t="n"/>
      <c r="CW166" s="574" t="n"/>
      <c r="CX166" s="574" t="n"/>
      <c r="CY166" s="574" t="n"/>
      <c r="CZ166" s="574" t="n"/>
      <c r="DA166" s="574" t="n"/>
      <c r="DB166" s="574" t="n"/>
      <c r="DC166" s="574" t="n"/>
      <c r="DD166" s="574" t="n"/>
      <c r="DE166" s="574" t="n"/>
      <c r="DF166" s="574" t="n"/>
      <c r="DG166" s="574" t="n"/>
      <c r="DH166" s="574" t="n"/>
      <c r="DI166" s="574" t="n"/>
      <c r="DJ166" s="574" t="n"/>
      <c r="DK166" s="574" t="n"/>
      <c r="DL166" s="574" t="n"/>
      <c r="DM166" s="574" t="n"/>
      <c r="DN166" s="574" t="n"/>
      <c r="DO166" s="574" t="n"/>
      <c r="DP166" s="574" t="n"/>
      <c r="DQ166" s="574" t="n"/>
      <c r="DR166" s="574" t="n"/>
      <c r="DS166" s="574" t="n"/>
      <c r="DT166" s="574" t="n"/>
      <c r="DU166" s="574" t="n"/>
      <c r="DV166" s="574" t="n"/>
      <c r="DW166" s="574" t="n"/>
      <c r="DX166" s="574" t="n"/>
      <c r="DY166" s="574" t="n"/>
      <c r="DZ166" s="574" t="n"/>
      <c r="EA166" s="574" t="n"/>
      <c r="EB166" s="574" t="n"/>
      <c r="EC166" s="574" t="n"/>
      <c r="ED166" s="574" t="n"/>
      <c r="EE166" s="574" t="n"/>
      <c r="EF166" s="574" t="n"/>
      <c r="EG166" s="574" t="n"/>
      <c r="EH166" s="574" t="n"/>
      <c r="EI166" s="574" t="n"/>
      <c r="EJ166" s="574" t="n"/>
      <c r="EK166" s="574" t="n"/>
      <c r="EL166" s="574" t="n"/>
      <c r="EM166" s="574" t="n"/>
      <c r="EN166" s="574" t="n"/>
      <c r="EO166" s="574" t="n"/>
      <c r="EP166" s="574" t="n"/>
      <c r="EQ166" s="574" t="n"/>
      <c r="ER166" s="574" t="n"/>
      <c r="ES166" s="574" t="n"/>
      <c r="ET166" s="574" t="n"/>
      <c r="EU166" s="574" t="n"/>
      <c r="EV166" s="574" t="n"/>
      <c r="EW166" s="574" t="n"/>
      <c r="EX166" s="574" t="n"/>
      <c r="EY166" s="574" t="n"/>
      <c r="EZ166" s="574" t="n"/>
      <c r="FA166" s="574" t="n"/>
      <c r="FB166" s="574" t="n"/>
      <c r="FC166" s="574" t="n"/>
      <c r="FD166" s="574" t="n"/>
      <c r="FE166" s="574" t="n"/>
      <c r="FF166" s="574" t="n"/>
      <c r="FG166" s="574" t="n"/>
      <c r="FH166" s="574" t="n"/>
      <c r="FI166" s="574" t="n"/>
      <c r="FJ166" s="574" t="n"/>
      <c r="FK166" s="574" t="n"/>
      <c r="FL166" s="574" t="n"/>
      <c r="FM166" s="574" t="n"/>
      <c r="FN166" s="574" t="n"/>
      <c r="FO166" s="574" t="n"/>
      <c r="FP166" s="574" t="n"/>
      <c r="FQ166" s="574" t="n"/>
      <c r="FR166" s="574" t="n"/>
      <c r="FS166" s="574" t="n"/>
      <c r="FT166" s="574" t="n"/>
      <c r="FU166" s="574" t="n"/>
      <c r="FV166" s="574" t="n"/>
      <c r="FW166" s="574" t="n"/>
      <c r="FX166" s="574" t="n"/>
      <c r="FY166" s="574" t="n"/>
      <c r="FZ166" s="574" t="n"/>
      <c r="GA166" s="574" t="n"/>
      <c r="GB166" s="574" t="n"/>
      <c r="GC166" s="574" t="n"/>
      <c r="GD166" s="574" t="n"/>
      <c r="GE166" s="574" t="n"/>
      <c r="GF166" s="574" t="n"/>
    </row>
    <row r="167" customFormat="1" s="568">
      <c r="A167" s="86" t="n"/>
      <c r="B167" s="85" t="n"/>
      <c r="C167" s="84">
        <f>IFERROR(IF(AND($E167&gt;0,$D167&lt;&gt;"The Public"),$E167/SUMIFS($E$10:$E$205,$E$10:$E$205,"&gt;0",$D$10:$D$205,"&lt;&gt;The Public")*$D$5,""),"")</f>
        <v/>
      </c>
      <c r="D167" s="68" t="n"/>
      <c r="E167" s="84">
        <f>SUM(G167:HY167)</f>
        <v/>
      </c>
      <c r="M167" s="574" t="n"/>
      <c r="N167" s="574" t="n"/>
      <c r="O167" s="574" t="n"/>
      <c r="P167" s="574" t="n"/>
      <c r="Q167" s="574" t="n"/>
      <c r="R167" s="574" t="n"/>
      <c r="S167" s="574" t="n"/>
      <c r="T167" s="574" t="n"/>
      <c r="U167" s="574" t="n"/>
      <c r="V167" s="574" t="n"/>
      <c r="W167" s="574" t="n"/>
      <c r="X167" s="574" t="n"/>
      <c r="Y167" s="574" t="n"/>
      <c r="Z167" s="574" t="n"/>
      <c r="AA167" s="574" t="n"/>
      <c r="AB167" s="574" t="n"/>
      <c r="AC167" s="574" t="n"/>
      <c r="AD167" s="574" t="n"/>
      <c r="AE167" s="574" t="n"/>
      <c r="AF167" s="574" t="n"/>
      <c r="AG167" s="574" t="n"/>
      <c r="AH167" s="574" t="n"/>
      <c r="AI167" s="574" t="n"/>
      <c r="AJ167" s="574" t="n"/>
      <c r="AK167" s="574" t="n"/>
      <c r="AL167" s="574" t="n"/>
      <c r="AM167" s="574" t="n"/>
      <c r="AN167" s="574" t="n"/>
      <c r="AO167" s="574" t="n"/>
      <c r="AP167" s="574" t="n"/>
      <c r="AQ167" s="574" t="n"/>
      <c r="AR167" s="574" t="n"/>
      <c r="AS167" s="574" t="n"/>
      <c r="AT167" s="574" t="n"/>
      <c r="AU167" s="574" t="n"/>
      <c r="AV167" s="574" t="n"/>
      <c r="AW167" s="574" t="n"/>
      <c r="AX167" s="574" t="n"/>
      <c r="AY167" s="574" t="n"/>
      <c r="AZ167" s="574" t="n"/>
      <c r="BA167" s="574" t="n"/>
      <c r="BB167" s="574" t="n"/>
      <c r="BC167" s="574" t="n"/>
      <c r="BD167" s="574" t="n"/>
      <c r="BE167" s="574" t="n"/>
      <c r="BF167" s="574" t="n"/>
      <c r="BG167" s="574" t="n"/>
      <c r="BH167" s="574" t="n"/>
      <c r="BI167" s="574" t="n"/>
      <c r="BJ167" s="574" t="n"/>
      <c r="BK167" s="574" t="n"/>
      <c r="BL167" s="574" t="n"/>
      <c r="BM167" s="574" t="n"/>
      <c r="BN167" s="574" t="n"/>
      <c r="BO167" s="574" t="n"/>
      <c r="BP167" s="574" t="n"/>
      <c r="BQ167" s="574" t="n"/>
      <c r="BR167" s="574" t="n"/>
      <c r="BS167" s="574" t="n"/>
      <c r="BT167" s="574" t="n"/>
      <c r="BU167" s="574" t="n"/>
      <c r="BV167" s="574" t="n"/>
      <c r="BW167" s="574" t="n"/>
      <c r="BX167" s="574" t="n"/>
      <c r="BY167" s="574" t="n"/>
      <c r="BZ167" s="574" t="n"/>
      <c r="CA167" s="574" t="n"/>
      <c r="CB167" s="574" t="n"/>
      <c r="CC167" s="574" t="n"/>
      <c r="CD167" s="574" t="n"/>
      <c r="CE167" s="574" t="n"/>
      <c r="CF167" s="574" t="n"/>
      <c r="CG167" s="574" t="n"/>
      <c r="CH167" s="574" t="n"/>
      <c r="CI167" s="574" t="n"/>
      <c r="CJ167" s="574" t="n"/>
      <c r="CK167" s="574" t="n"/>
      <c r="CL167" s="574" t="n"/>
      <c r="CM167" s="574" t="n"/>
      <c r="CN167" s="574" t="n"/>
      <c r="CO167" s="574" t="n"/>
      <c r="CP167" s="574" t="n"/>
      <c r="CQ167" s="574" t="n"/>
      <c r="CR167" s="574" t="n"/>
      <c r="CS167" s="574" t="n"/>
      <c r="CT167" s="574" t="n"/>
      <c r="CU167" s="574" t="n"/>
      <c r="CV167" s="574" t="n"/>
      <c r="CW167" s="574" t="n"/>
      <c r="CX167" s="574" t="n"/>
      <c r="CY167" s="574" t="n"/>
      <c r="CZ167" s="574" t="n"/>
      <c r="DA167" s="574" t="n"/>
      <c r="DB167" s="574" t="n"/>
      <c r="DC167" s="574" t="n"/>
      <c r="DD167" s="574" t="n"/>
      <c r="DE167" s="574" t="n"/>
      <c r="DF167" s="574" t="n"/>
      <c r="DG167" s="574" t="n"/>
      <c r="DH167" s="574" t="n"/>
      <c r="DI167" s="574" t="n"/>
      <c r="DJ167" s="574" t="n"/>
      <c r="DK167" s="574" t="n"/>
      <c r="DL167" s="574" t="n"/>
      <c r="DM167" s="574" t="n"/>
      <c r="DN167" s="574" t="n"/>
      <c r="DO167" s="574" t="n"/>
      <c r="DP167" s="574" t="n"/>
      <c r="DQ167" s="574" t="n"/>
      <c r="DR167" s="574" t="n"/>
      <c r="DS167" s="574" t="n"/>
      <c r="DT167" s="574" t="n"/>
      <c r="DU167" s="574" t="n"/>
      <c r="DV167" s="574" t="n"/>
      <c r="DW167" s="574" t="n"/>
      <c r="DX167" s="574" t="n"/>
      <c r="DY167" s="574" t="n"/>
      <c r="DZ167" s="574" t="n"/>
      <c r="EA167" s="574" t="n"/>
      <c r="EB167" s="574" t="n"/>
      <c r="EC167" s="574" t="n"/>
      <c r="ED167" s="574" t="n"/>
      <c r="EE167" s="574" t="n"/>
      <c r="EF167" s="574" t="n"/>
      <c r="EG167" s="574" t="n"/>
      <c r="EH167" s="574" t="n"/>
      <c r="EI167" s="574" t="n"/>
      <c r="EJ167" s="574" t="n"/>
      <c r="EK167" s="574" t="n"/>
      <c r="EL167" s="574" t="n"/>
      <c r="EM167" s="574" t="n"/>
      <c r="EN167" s="574" t="n"/>
      <c r="EO167" s="574" t="n"/>
      <c r="EP167" s="574" t="n"/>
      <c r="EQ167" s="574" t="n"/>
      <c r="ER167" s="574" t="n"/>
      <c r="ES167" s="574" t="n"/>
      <c r="ET167" s="574" t="n"/>
      <c r="EU167" s="574" t="n"/>
      <c r="EV167" s="574" t="n"/>
      <c r="EW167" s="574" t="n"/>
      <c r="EX167" s="574" t="n"/>
      <c r="EY167" s="574" t="n"/>
      <c r="EZ167" s="574" t="n"/>
      <c r="FA167" s="574" t="n"/>
      <c r="FB167" s="574" t="n"/>
      <c r="FC167" s="574" t="n"/>
      <c r="FD167" s="574" t="n"/>
      <c r="FE167" s="574" t="n"/>
      <c r="FF167" s="574" t="n"/>
      <c r="FG167" s="574" t="n"/>
      <c r="FH167" s="574" t="n"/>
      <c r="FI167" s="574" t="n"/>
      <c r="FJ167" s="574" t="n"/>
      <c r="FK167" s="574" t="n"/>
      <c r="FL167" s="574" t="n"/>
      <c r="FM167" s="574" t="n"/>
      <c r="FN167" s="574" t="n"/>
      <c r="FO167" s="574" t="n"/>
      <c r="FP167" s="574" t="n"/>
      <c r="FQ167" s="574" t="n"/>
      <c r="FR167" s="574" t="n"/>
      <c r="FS167" s="574" t="n"/>
      <c r="FT167" s="574" t="n"/>
      <c r="FU167" s="574" t="n"/>
      <c r="FV167" s="574" t="n"/>
      <c r="FW167" s="574" t="n"/>
      <c r="FX167" s="574" t="n"/>
      <c r="FY167" s="574" t="n"/>
      <c r="FZ167" s="574" t="n"/>
      <c r="GA167" s="574" t="n"/>
      <c r="GB167" s="574" t="n"/>
      <c r="GC167" s="574" t="n"/>
      <c r="GD167" s="574" t="n"/>
      <c r="GE167" s="574" t="n"/>
      <c r="GF167" s="574" t="n"/>
    </row>
    <row r="168" customFormat="1" s="568">
      <c r="A168" s="86" t="n"/>
      <c r="B168" s="85" t="n"/>
      <c r="C168" s="84">
        <f>IFERROR(IF(AND($E168&gt;0,$D168&lt;&gt;"The Public"),$E168/SUMIFS($E$10:$E$205,$E$10:$E$205,"&gt;0",$D$10:$D$205,"&lt;&gt;The Public")*$D$5,""),"")</f>
        <v/>
      </c>
      <c r="D168" s="68" t="n"/>
      <c r="E168" s="84">
        <f>SUM(G168:HY168)</f>
        <v/>
      </c>
      <c r="M168" s="574" t="n"/>
      <c r="N168" s="574" t="n"/>
      <c r="O168" s="574" t="n"/>
      <c r="P168" s="574" t="n"/>
      <c r="Q168" s="574" t="n"/>
      <c r="R168" s="574" t="n"/>
      <c r="S168" s="574" t="n"/>
      <c r="T168" s="574" t="n"/>
      <c r="U168" s="574" t="n"/>
      <c r="V168" s="574" t="n"/>
      <c r="W168" s="574" t="n"/>
      <c r="X168" s="574" t="n"/>
      <c r="Y168" s="574" t="n"/>
      <c r="Z168" s="574" t="n"/>
      <c r="AA168" s="574" t="n"/>
      <c r="AB168" s="574" t="n"/>
      <c r="AC168" s="574" t="n"/>
      <c r="AD168" s="574" t="n"/>
      <c r="AE168" s="574" t="n"/>
      <c r="AF168" s="574" t="n"/>
      <c r="AG168" s="574" t="n"/>
      <c r="AH168" s="574" t="n"/>
      <c r="AI168" s="574" t="n"/>
      <c r="AJ168" s="574" t="n"/>
      <c r="AK168" s="574" t="n"/>
      <c r="AL168" s="574" t="n"/>
      <c r="AM168" s="574" t="n"/>
      <c r="AN168" s="574" t="n"/>
      <c r="AO168" s="574" t="n"/>
      <c r="AP168" s="574" t="n"/>
      <c r="AQ168" s="574" t="n"/>
      <c r="AR168" s="574" t="n"/>
      <c r="AS168" s="574" t="n"/>
      <c r="AT168" s="574" t="n"/>
      <c r="AU168" s="574" t="n"/>
      <c r="AV168" s="574" t="n"/>
      <c r="AW168" s="574" t="n"/>
      <c r="AX168" s="574" t="n"/>
      <c r="AY168" s="574" t="n"/>
      <c r="AZ168" s="574" t="n"/>
      <c r="BA168" s="574" t="n"/>
      <c r="BB168" s="574" t="n"/>
      <c r="BC168" s="574" t="n"/>
      <c r="BD168" s="574" t="n"/>
      <c r="BE168" s="574" t="n"/>
      <c r="BF168" s="574" t="n"/>
      <c r="BG168" s="574" t="n"/>
      <c r="BH168" s="574" t="n"/>
      <c r="BI168" s="574" t="n"/>
      <c r="BJ168" s="574" t="n"/>
      <c r="BK168" s="574" t="n"/>
      <c r="BL168" s="574" t="n"/>
      <c r="BM168" s="574" t="n"/>
      <c r="BN168" s="574" t="n"/>
      <c r="BO168" s="574" t="n"/>
      <c r="BP168" s="574" t="n"/>
      <c r="BQ168" s="574" t="n"/>
      <c r="BR168" s="574" t="n"/>
      <c r="BS168" s="574" t="n"/>
      <c r="BT168" s="574" t="n"/>
      <c r="BU168" s="574" t="n"/>
      <c r="BV168" s="574" t="n"/>
      <c r="BW168" s="574" t="n"/>
      <c r="BX168" s="574" t="n"/>
      <c r="BY168" s="574" t="n"/>
      <c r="BZ168" s="574" t="n"/>
      <c r="CA168" s="574" t="n"/>
      <c r="CB168" s="574" t="n"/>
      <c r="CC168" s="574" t="n"/>
      <c r="CD168" s="574" t="n"/>
      <c r="CE168" s="574" t="n"/>
      <c r="CF168" s="574" t="n"/>
      <c r="CG168" s="574" t="n"/>
      <c r="CH168" s="574" t="n"/>
      <c r="CI168" s="574" t="n"/>
      <c r="CJ168" s="574" t="n"/>
      <c r="CK168" s="574" t="n"/>
      <c r="CL168" s="574" t="n"/>
      <c r="CM168" s="574" t="n"/>
      <c r="CN168" s="574" t="n"/>
      <c r="CO168" s="574" t="n"/>
      <c r="CP168" s="574" t="n"/>
      <c r="CQ168" s="574" t="n"/>
      <c r="CR168" s="574" t="n"/>
      <c r="CS168" s="574" t="n"/>
      <c r="CT168" s="574" t="n"/>
      <c r="CU168" s="574" t="n"/>
      <c r="CV168" s="574" t="n"/>
      <c r="CW168" s="574" t="n"/>
      <c r="CX168" s="574" t="n"/>
      <c r="CY168" s="574" t="n"/>
      <c r="CZ168" s="574" t="n"/>
      <c r="DA168" s="574" t="n"/>
      <c r="DB168" s="574" t="n"/>
      <c r="DC168" s="574" t="n"/>
      <c r="DD168" s="574" t="n"/>
      <c r="DE168" s="574" t="n"/>
      <c r="DF168" s="574" t="n"/>
      <c r="DG168" s="574" t="n"/>
      <c r="DH168" s="574" t="n"/>
      <c r="DI168" s="574" t="n"/>
      <c r="DJ168" s="574" t="n"/>
      <c r="DK168" s="574" t="n"/>
      <c r="DL168" s="574" t="n"/>
      <c r="DM168" s="574" t="n"/>
      <c r="DN168" s="574" t="n"/>
      <c r="DO168" s="574" t="n"/>
      <c r="DP168" s="574" t="n"/>
      <c r="DQ168" s="574" t="n"/>
      <c r="DR168" s="574" t="n"/>
      <c r="DS168" s="574" t="n"/>
      <c r="DT168" s="574" t="n"/>
      <c r="DU168" s="574" t="n"/>
      <c r="DV168" s="574" t="n"/>
      <c r="DW168" s="574" t="n"/>
      <c r="DX168" s="574" t="n"/>
      <c r="DY168" s="574" t="n"/>
      <c r="DZ168" s="574" t="n"/>
      <c r="EA168" s="574" t="n"/>
      <c r="EB168" s="574" t="n"/>
      <c r="EC168" s="574" t="n"/>
      <c r="ED168" s="574" t="n"/>
      <c r="EE168" s="574" t="n"/>
      <c r="EF168" s="574" t="n"/>
      <c r="EG168" s="574" t="n"/>
      <c r="EH168" s="574" t="n"/>
      <c r="EI168" s="574" t="n"/>
      <c r="EJ168" s="574" t="n"/>
      <c r="EK168" s="574" t="n"/>
      <c r="EL168" s="574" t="n"/>
      <c r="EM168" s="574" t="n"/>
      <c r="EN168" s="574" t="n"/>
      <c r="EO168" s="574" t="n"/>
      <c r="EP168" s="574" t="n"/>
      <c r="EQ168" s="574" t="n"/>
      <c r="ER168" s="574" t="n"/>
      <c r="ES168" s="574" t="n"/>
      <c r="ET168" s="574" t="n"/>
      <c r="EU168" s="574" t="n"/>
      <c r="EV168" s="574" t="n"/>
      <c r="EW168" s="574" t="n"/>
      <c r="EX168" s="574" t="n"/>
      <c r="EY168" s="574" t="n"/>
      <c r="EZ168" s="574" t="n"/>
      <c r="FA168" s="574" t="n"/>
      <c r="FB168" s="574" t="n"/>
      <c r="FC168" s="574" t="n"/>
      <c r="FD168" s="574" t="n"/>
      <c r="FE168" s="574" t="n"/>
      <c r="FF168" s="574" t="n"/>
      <c r="FG168" s="574" t="n"/>
      <c r="FH168" s="574" t="n"/>
      <c r="FI168" s="574" t="n"/>
      <c r="FJ168" s="574" t="n"/>
      <c r="FK168" s="574" t="n"/>
      <c r="FL168" s="574" t="n"/>
      <c r="FM168" s="574" t="n"/>
      <c r="FN168" s="574" t="n"/>
      <c r="FO168" s="574" t="n"/>
      <c r="FP168" s="574" t="n"/>
      <c r="FQ168" s="574" t="n"/>
      <c r="FR168" s="574" t="n"/>
      <c r="FS168" s="574" t="n"/>
      <c r="FT168" s="574" t="n"/>
      <c r="FU168" s="574" t="n"/>
      <c r="FV168" s="574" t="n"/>
      <c r="FW168" s="574" t="n"/>
      <c r="FX168" s="574" t="n"/>
      <c r="FY168" s="574" t="n"/>
      <c r="FZ168" s="574" t="n"/>
      <c r="GA168" s="574" t="n"/>
      <c r="GB168" s="574" t="n"/>
      <c r="GC168" s="574" t="n"/>
      <c r="GD168" s="574" t="n"/>
      <c r="GE168" s="574" t="n"/>
      <c r="GF168" s="574" t="n"/>
    </row>
    <row r="169" customFormat="1" s="568">
      <c r="A169" s="86" t="n"/>
      <c r="B169" s="85" t="n"/>
      <c r="C169" s="84">
        <f>IFERROR(IF(AND($E169&gt;0,$D169&lt;&gt;"The Public"),$E169/SUMIFS($E$10:$E$205,$E$10:$E$205,"&gt;0",$D$10:$D$205,"&lt;&gt;The Public")*$D$5,""),"")</f>
        <v/>
      </c>
      <c r="D169" s="68" t="n"/>
      <c r="E169" s="84">
        <f>SUM(G169:HY169)</f>
        <v/>
      </c>
      <c r="M169" s="574" t="n"/>
      <c r="N169" s="574" t="n"/>
      <c r="O169" s="574" t="n"/>
      <c r="P169" s="574" t="n"/>
      <c r="Q169" s="574" t="n"/>
      <c r="R169" s="574" t="n"/>
      <c r="S169" s="574" t="n"/>
      <c r="T169" s="574" t="n"/>
      <c r="U169" s="574" t="n"/>
      <c r="V169" s="574" t="n"/>
      <c r="W169" s="574" t="n"/>
      <c r="X169" s="574" t="n"/>
      <c r="Y169" s="574" t="n"/>
      <c r="Z169" s="574" t="n"/>
      <c r="AA169" s="574" t="n"/>
      <c r="AB169" s="574" t="n"/>
      <c r="AC169" s="574" t="n"/>
      <c r="AD169" s="574" t="n"/>
      <c r="AE169" s="574" t="n"/>
      <c r="AF169" s="574" t="n"/>
      <c r="AG169" s="574" t="n"/>
      <c r="AH169" s="574" t="n"/>
      <c r="AI169" s="574" t="n"/>
      <c r="AJ169" s="574" t="n"/>
      <c r="AK169" s="574" t="n"/>
      <c r="AL169" s="574" t="n"/>
      <c r="AM169" s="574" t="n"/>
      <c r="AN169" s="574" t="n"/>
      <c r="AO169" s="574" t="n"/>
      <c r="AP169" s="574" t="n"/>
      <c r="AQ169" s="574" t="n"/>
      <c r="AR169" s="574" t="n"/>
      <c r="AS169" s="574" t="n"/>
      <c r="AT169" s="574" t="n"/>
      <c r="AU169" s="574" t="n"/>
      <c r="AV169" s="574" t="n"/>
      <c r="AW169" s="574" t="n"/>
      <c r="AX169" s="574" t="n"/>
      <c r="AY169" s="574" t="n"/>
      <c r="AZ169" s="574" t="n"/>
      <c r="BA169" s="574" t="n"/>
      <c r="BB169" s="574" t="n"/>
      <c r="BC169" s="574" t="n"/>
      <c r="BD169" s="574" t="n"/>
      <c r="BE169" s="574" t="n"/>
      <c r="BF169" s="574" t="n"/>
      <c r="BG169" s="574" t="n"/>
      <c r="BH169" s="574" t="n"/>
      <c r="BI169" s="574" t="n"/>
      <c r="BJ169" s="574" t="n"/>
      <c r="BK169" s="574" t="n"/>
      <c r="BL169" s="574" t="n"/>
      <c r="BM169" s="574" t="n"/>
      <c r="BN169" s="574" t="n"/>
      <c r="BO169" s="574" t="n"/>
      <c r="BP169" s="574" t="n"/>
      <c r="BQ169" s="574" t="n"/>
      <c r="BR169" s="574" t="n"/>
      <c r="BS169" s="574" t="n"/>
      <c r="BT169" s="574" t="n"/>
      <c r="BU169" s="574" t="n"/>
      <c r="BV169" s="574" t="n"/>
      <c r="BW169" s="574" t="n"/>
      <c r="BX169" s="574" t="n"/>
      <c r="BY169" s="574" t="n"/>
      <c r="BZ169" s="574" t="n"/>
      <c r="CA169" s="574" t="n"/>
      <c r="CB169" s="574" t="n"/>
      <c r="CC169" s="574" t="n"/>
      <c r="CD169" s="574" t="n"/>
      <c r="CE169" s="574" t="n"/>
      <c r="CF169" s="574" t="n"/>
      <c r="CG169" s="574" t="n"/>
      <c r="CH169" s="574" t="n"/>
      <c r="CI169" s="574" t="n"/>
      <c r="CJ169" s="574" t="n"/>
      <c r="CK169" s="574" t="n"/>
      <c r="CL169" s="574" t="n"/>
      <c r="CM169" s="574" t="n"/>
      <c r="CN169" s="574" t="n"/>
      <c r="CO169" s="574" t="n"/>
      <c r="CP169" s="574" t="n"/>
      <c r="CQ169" s="574" t="n"/>
      <c r="CR169" s="574" t="n"/>
      <c r="CS169" s="574" t="n"/>
      <c r="CT169" s="574" t="n"/>
      <c r="CU169" s="574" t="n"/>
      <c r="CV169" s="574" t="n"/>
      <c r="CW169" s="574" t="n"/>
      <c r="CX169" s="574" t="n"/>
      <c r="CY169" s="574" t="n"/>
      <c r="CZ169" s="574" t="n"/>
      <c r="DA169" s="574" t="n"/>
      <c r="DB169" s="574" t="n"/>
      <c r="DC169" s="574" t="n"/>
      <c r="DD169" s="574" t="n"/>
      <c r="DE169" s="574" t="n"/>
      <c r="DF169" s="574" t="n"/>
      <c r="DG169" s="574" t="n"/>
      <c r="DH169" s="574" t="n"/>
      <c r="DI169" s="574" t="n"/>
      <c r="DJ169" s="574" t="n"/>
      <c r="DK169" s="574" t="n"/>
      <c r="DL169" s="574" t="n"/>
      <c r="DM169" s="574" t="n"/>
      <c r="DN169" s="574" t="n"/>
      <c r="DO169" s="574" t="n"/>
      <c r="DP169" s="574" t="n"/>
      <c r="DQ169" s="574" t="n"/>
      <c r="DR169" s="574" t="n"/>
      <c r="DS169" s="574" t="n"/>
      <c r="DT169" s="574" t="n"/>
      <c r="DU169" s="574" t="n"/>
      <c r="DV169" s="574" t="n"/>
      <c r="DW169" s="574" t="n"/>
      <c r="DX169" s="574" t="n"/>
      <c r="DY169" s="574" t="n"/>
      <c r="DZ169" s="574" t="n"/>
      <c r="EA169" s="574" t="n"/>
      <c r="EB169" s="574" t="n"/>
      <c r="EC169" s="574" t="n"/>
      <c r="ED169" s="574" t="n"/>
      <c r="EE169" s="574" t="n"/>
      <c r="EF169" s="574" t="n"/>
      <c r="EG169" s="574" t="n"/>
      <c r="EH169" s="574" t="n"/>
      <c r="EI169" s="574" t="n"/>
      <c r="EJ169" s="574" t="n"/>
      <c r="EK169" s="574" t="n"/>
      <c r="EL169" s="574" t="n"/>
      <c r="EM169" s="574" t="n"/>
      <c r="EN169" s="574" t="n"/>
      <c r="EO169" s="574" t="n"/>
      <c r="EP169" s="574" t="n"/>
      <c r="EQ169" s="574" t="n"/>
      <c r="ER169" s="574" t="n"/>
      <c r="ES169" s="574" t="n"/>
      <c r="ET169" s="574" t="n"/>
      <c r="EU169" s="574" t="n"/>
      <c r="EV169" s="574" t="n"/>
      <c r="EW169" s="574" t="n"/>
      <c r="EX169" s="574" t="n"/>
      <c r="EY169" s="574" t="n"/>
      <c r="EZ169" s="574" t="n"/>
      <c r="FA169" s="574" t="n"/>
      <c r="FB169" s="574" t="n"/>
      <c r="FC169" s="574" t="n"/>
      <c r="FD169" s="574" t="n"/>
      <c r="FE169" s="574" t="n"/>
      <c r="FF169" s="574" t="n"/>
      <c r="FG169" s="574" t="n"/>
      <c r="FH169" s="574" t="n"/>
      <c r="FI169" s="574" t="n"/>
      <c r="FJ169" s="574" t="n"/>
      <c r="FK169" s="574" t="n"/>
      <c r="FL169" s="574" t="n"/>
      <c r="FM169" s="574" t="n"/>
      <c r="FN169" s="574" t="n"/>
      <c r="FO169" s="574" t="n"/>
      <c r="FP169" s="574" t="n"/>
      <c r="FQ169" s="574" t="n"/>
      <c r="FR169" s="574" t="n"/>
      <c r="FS169" s="574" t="n"/>
      <c r="FT169" s="574" t="n"/>
      <c r="FU169" s="574" t="n"/>
      <c r="FV169" s="574" t="n"/>
      <c r="FW169" s="574" t="n"/>
      <c r="FX169" s="574" t="n"/>
      <c r="FY169" s="574" t="n"/>
      <c r="FZ169" s="574" t="n"/>
      <c r="GA169" s="574" t="n"/>
      <c r="GB169" s="574" t="n"/>
      <c r="GC169" s="574" t="n"/>
      <c r="GD169" s="574" t="n"/>
      <c r="GE169" s="574" t="n"/>
      <c r="GF169" s="574" t="n"/>
    </row>
    <row r="170" customFormat="1" s="568">
      <c r="A170" s="86" t="n"/>
      <c r="B170" s="85" t="n"/>
      <c r="C170" s="84">
        <f>IFERROR(IF(AND($E170&gt;0,$D170&lt;&gt;"The Public"),$E170/SUMIFS($E$10:$E$205,$E$10:$E$205,"&gt;0",$D$10:$D$205,"&lt;&gt;The Public")*$D$5,""),"")</f>
        <v/>
      </c>
      <c r="D170" s="68" t="n"/>
      <c r="E170" s="84">
        <f>SUM(G170:HY170)</f>
        <v/>
      </c>
      <c r="M170" s="574" t="n"/>
      <c r="N170" s="574" t="n"/>
      <c r="O170" s="574" t="n"/>
      <c r="P170" s="574" t="n"/>
      <c r="Q170" s="574" t="n"/>
      <c r="R170" s="574" t="n"/>
      <c r="S170" s="574" t="n"/>
      <c r="T170" s="574" t="n"/>
      <c r="U170" s="574" t="n"/>
      <c r="V170" s="574" t="n"/>
      <c r="W170" s="574" t="n"/>
      <c r="X170" s="574" t="n"/>
      <c r="Y170" s="574" t="n"/>
      <c r="Z170" s="574" t="n"/>
      <c r="AA170" s="574" t="n"/>
      <c r="AB170" s="574" t="n"/>
      <c r="AC170" s="574" t="n"/>
      <c r="AD170" s="574" t="n"/>
      <c r="AE170" s="574" t="n"/>
      <c r="AF170" s="574" t="n"/>
      <c r="AG170" s="574" t="n"/>
      <c r="AH170" s="574" t="n"/>
      <c r="AI170" s="574" t="n"/>
      <c r="AJ170" s="574" t="n"/>
      <c r="AK170" s="574" t="n"/>
      <c r="AL170" s="574" t="n"/>
      <c r="AM170" s="574" t="n"/>
      <c r="AN170" s="574" t="n"/>
      <c r="AO170" s="574" t="n"/>
      <c r="AP170" s="574" t="n"/>
      <c r="AQ170" s="574" t="n"/>
      <c r="AR170" s="574" t="n"/>
      <c r="AS170" s="574" t="n"/>
      <c r="AT170" s="574" t="n"/>
      <c r="AU170" s="574" t="n"/>
      <c r="AV170" s="574" t="n"/>
      <c r="AW170" s="574" t="n"/>
      <c r="AX170" s="574" t="n"/>
      <c r="AY170" s="574" t="n"/>
      <c r="AZ170" s="574" t="n"/>
      <c r="BA170" s="574" t="n"/>
      <c r="BB170" s="574" t="n"/>
      <c r="BC170" s="574" t="n"/>
      <c r="BD170" s="574" t="n"/>
      <c r="BE170" s="574" t="n"/>
      <c r="BF170" s="574" t="n"/>
      <c r="BG170" s="574" t="n"/>
      <c r="BH170" s="574" t="n"/>
      <c r="BI170" s="574" t="n"/>
      <c r="BJ170" s="574" t="n"/>
      <c r="BK170" s="574" t="n"/>
      <c r="BL170" s="574" t="n"/>
      <c r="BM170" s="574" t="n"/>
      <c r="BN170" s="574" t="n"/>
      <c r="BO170" s="574" t="n"/>
      <c r="BP170" s="574" t="n"/>
      <c r="BQ170" s="574" t="n"/>
      <c r="BR170" s="574" t="n"/>
      <c r="BS170" s="574" t="n"/>
      <c r="BT170" s="574" t="n"/>
      <c r="BU170" s="574" t="n"/>
      <c r="BV170" s="574" t="n"/>
      <c r="BW170" s="574" t="n"/>
      <c r="BX170" s="574" t="n"/>
      <c r="BY170" s="574" t="n"/>
      <c r="BZ170" s="574" t="n"/>
      <c r="CA170" s="574" t="n"/>
      <c r="CB170" s="574" t="n"/>
      <c r="CC170" s="574" t="n"/>
      <c r="CD170" s="574" t="n"/>
      <c r="CE170" s="574" t="n"/>
      <c r="CF170" s="574" t="n"/>
      <c r="CG170" s="574" t="n"/>
      <c r="CH170" s="574" t="n"/>
      <c r="CI170" s="574" t="n"/>
      <c r="CJ170" s="574" t="n"/>
      <c r="CK170" s="574" t="n"/>
      <c r="CL170" s="574" t="n"/>
      <c r="CM170" s="574" t="n"/>
      <c r="CN170" s="574" t="n"/>
      <c r="CO170" s="574" t="n"/>
      <c r="CP170" s="574" t="n"/>
      <c r="CQ170" s="574" t="n"/>
      <c r="CR170" s="574" t="n"/>
      <c r="CS170" s="574" t="n"/>
      <c r="CT170" s="574" t="n"/>
      <c r="CU170" s="574" t="n"/>
      <c r="CV170" s="574" t="n"/>
      <c r="CW170" s="574" t="n"/>
      <c r="CX170" s="574" t="n"/>
      <c r="CY170" s="574" t="n"/>
      <c r="CZ170" s="574" t="n"/>
      <c r="DA170" s="574" t="n"/>
      <c r="DB170" s="574" t="n"/>
      <c r="DC170" s="574" t="n"/>
      <c r="DD170" s="574" t="n"/>
      <c r="DE170" s="574" t="n"/>
      <c r="DF170" s="574" t="n"/>
      <c r="DG170" s="574" t="n"/>
      <c r="DH170" s="574" t="n"/>
      <c r="DI170" s="574" t="n"/>
      <c r="DJ170" s="574" t="n"/>
      <c r="DK170" s="574" t="n"/>
      <c r="DL170" s="574" t="n"/>
      <c r="DM170" s="574" t="n"/>
      <c r="DN170" s="574" t="n"/>
      <c r="DO170" s="574" t="n"/>
      <c r="DP170" s="574" t="n"/>
      <c r="DQ170" s="574" t="n"/>
      <c r="DR170" s="574" t="n"/>
      <c r="DS170" s="574" t="n"/>
      <c r="DT170" s="574" t="n"/>
      <c r="DU170" s="574" t="n"/>
      <c r="DV170" s="574" t="n"/>
      <c r="DW170" s="574" t="n"/>
      <c r="DX170" s="574" t="n"/>
      <c r="DY170" s="574" t="n"/>
      <c r="DZ170" s="574" t="n"/>
      <c r="EA170" s="574" t="n"/>
      <c r="EB170" s="574" t="n"/>
      <c r="EC170" s="574" t="n"/>
      <c r="ED170" s="574" t="n"/>
      <c r="EE170" s="574" t="n"/>
      <c r="EF170" s="574" t="n"/>
      <c r="EG170" s="574" t="n"/>
      <c r="EH170" s="574" t="n"/>
      <c r="EI170" s="574" t="n"/>
      <c r="EJ170" s="574" t="n"/>
      <c r="EK170" s="574" t="n"/>
      <c r="EL170" s="574" t="n"/>
      <c r="EM170" s="574" t="n"/>
      <c r="EN170" s="574" t="n"/>
      <c r="EO170" s="574" t="n"/>
      <c r="EP170" s="574" t="n"/>
      <c r="EQ170" s="574" t="n"/>
      <c r="ER170" s="574" t="n"/>
      <c r="ES170" s="574" t="n"/>
      <c r="ET170" s="574" t="n"/>
      <c r="EU170" s="574" t="n"/>
      <c r="EV170" s="574" t="n"/>
      <c r="EW170" s="574" t="n"/>
      <c r="EX170" s="574" t="n"/>
      <c r="EY170" s="574" t="n"/>
      <c r="EZ170" s="574" t="n"/>
      <c r="FA170" s="574" t="n"/>
      <c r="FB170" s="574" t="n"/>
      <c r="FC170" s="574" t="n"/>
      <c r="FD170" s="574" t="n"/>
      <c r="FE170" s="574" t="n"/>
      <c r="FF170" s="574" t="n"/>
      <c r="FG170" s="574" t="n"/>
      <c r="FH170" s="574" t="n"/>
      <c r="FI170" s="574" t="n"/>
      <c r="FJ170" s="574" t="n"/>
      <c r="FK170" s="574" t="n"/>
      <c r="FL170" s="574" t="n"/>
      <c r="FM170" s="574" t="n"/>
      <c r="FN170" s="574" t="n"/>
      <c r="FO170" s="574" t="n"/>
      <c r="FP170" s="574" t="n"/>
      <c r="FQ170" s="574" t="n"/>
      <c r="FR170" s="574" t="n"/>
      <c r="FS170" s="574" t="n"/>
      <c r="FT170" s="574" t="n"/>
      <c r="FU170" s="574" t="n"/>
      <c r="FV170" s="574" t="n"/>
      <c r="FW170" s="574" t="n"/>
      <c r="FX170" s="574" t="n"/>
      <c r="FY170" s="574" t="n"/>
      <c r="FZ170" s="574" t="n"/>
      <c r="GA170" s="574" t="n"/>
      <c r="GB170" s="574" t="n"/>
      <c r="GC170" s="574" t="n"/>
      <c r="GD170" s="574" t="n"/>
      <c r="GE170" s="574" t="n"/>
      <c r="GF170" s="574" t="n"/>
    </row>
    <row r="171" customFormat="1" s="568">
      <c r="A171" s="86" t="n"/>
      <c r="B171" s="85" t="n"/>
      <c r="C171" s="84">
        <f>IFERROR(IF(AND($E171&gt;0,$D171&lt;&gt;"The Public"),$E171/SUMIFS($E$10:$E$205,$E$10:$E$205,"&gt;0",$D$10:$D$205,"&lt;&gt;The Public")*$D$5,""),"")</f>
        <v/>
      </c>
      <c r="D171" s="68" t="n"/>
      <c r="E171" s="84">
        <f>SUM(G171:HY171)</f>
        <v/>
      </c>
      <c r="M171" s="574" t="n"/>
      <c r="N171" s="574" t="n"/>
      <c r="O171" s="574" t="n"/>
      <c r="P171" s="574" t="n"/>
      <c r="Q171" s="574" t="n"/>
      <c r="R171" s="574" t="n"/>
      <c r="S171" s="574" t="n"/>
      <c r="T171" s="574" t="n"/>
      <c r="U171" s="574" t="n"/>
      <c r="V171" s="574" t="n"/>
      <c r="W171" s="574" t="n"/>
      <c r="X171" s="574" t="n"/>
      <c r="Y171" s="574" t="n"/>
      <c r="Z171" s="574" t="n"/>
      <c r="AA171" s="574" t="n"/>
      <c r="AB171" s="574" t="n"/>
      <c r="AC171" s="574" t="n"/>
      <c r="AD171" s="574" t="n"/>
      <c r="AE171" s="574" t="n"/>
      <c r="AF171" s="574" t="n"/>
      <c r="AG171" s="574" t="n"/>
      <c r="AH171" s="574" t="n"/>
      <c r="AI171" s="574" t="n"/>
      <c r="AJ171" s="574" t="n"/>
      <c r="AK171" s="574" t="n"/>
      <c r="AL171" s="574" t="n"/>
      <c r="AM171" s="574" t="n"/>
      <c r="AN171" s="574" t="n"/>
      <c r="AO171" s="574" t="n"/>
      <c r="AP171" s="574" t="n"/>
      <c r="AQ171" s="574" t="n"/>
      <c r="AR171" s="574" t="n"/>
      <c r="AS171" s="574" t="n"/>
      <c r="AT171" s="574" t="n"/>
      <c r="AU171" s="574" t="n"/>
      <c r="AV171" s="574" t="n"/>
      <c r="AW171" s="574" t="n"/>
      <c r="AX171" s="574" t="n"/>
      <c r="AY171" s="574" t="n"/>
      <c r="AZ171" s="574" t="n"/>
      <c r="BA171" s="574" t="n"/>
      <c r="BB171" s="574" t="n"/>
      <c r="BC171" s="574" t="n"/>
      <c r="BD171" s="574" t="n"/>
      <c r="BE171" s="574" t="n"/>
      <c r="BF171" s="574" t="n"/>
      <c r="BG171" s="574" t="n"/>
      <c r="BH171" s="574" t="n"/>
      <c r="BI171" s="574" t="n"/>
      <c r="BJ171" s="574" t="n"/>
      <c r="BK171" s="574" t="n"/>
      <c r="BL171" s="574" t="n"/>
      <c r="BM171" s="574" t="n"/>
      <c r="BN171" s="574" t="n"/>
      <c r="BO171" s="574" t="n"/>
      <c r="BP171" s="574" t="n"/>
      <c r="BQ171" s="574" t="n"/>
      <c r="BR171" s="574" t="n"/>
      <c r="BS171" s="574" t="n"/>
      <c r="BT171" s="574" t="n"/>
      <c r="BU171" s="574" t="n"/>
      <c r="BV171" s="574" t="n"/>
      <c r="BW171" s="574" t="n"/>
      <c r="BX171" s="574" t="n"/>
      <c r="BY171" s="574" t="n"/>
      <c r="BZ171" s="574" t="n"/>
      <c r="CA171" s="574" t="n"/>
      <c r="CB171" s="574" t="n"/>
      <c r="CC171" s="574" t="n"/>
      <c r="CD171" s="574" t="n"/>
      <c r="CE171" s="574" t="n"/>
      <c r="CF171" s="574" t="n"/>
      <c r="CG171" s="574" t="n"/>
      <c r="CH171" s="574" t="n"/>
      <c r="CI171" s="574" t="n"/>
      <c r="CJ171" s="574" t="n"/>
      <c r="CK171" s="574" t="n"/>
      <c r="CL171" s="574" t="n"/>
      <c r="CM171" s="574" t="n"/>
      <c r="CN171" s="574" t="n"/>
      <c r="CO171" s="574" t="n"/>
      <c r="CP171" s="574" t="n"/>
      <c r="CQ171" s="574" t="n"/>
      <c r="CR171" s="574" t="n"/>
      <c r="CS171" s="574" t="n"/>
      <c r="CT171" s="574" t="n"/>
      <c r="CU171" s="574" t="n"/>
      <c r="CV171" s="574" t="n"/>
      <c r="CW171" s="574" t="n"/>
      <c r="CX171" s="574" t="n"/>
      <c r="CY171" s="574" t="n"/>
      <c r="CZ171" s="574" t="n"/>
      <c r="DA171" s="574" t="n"/>
      <c r="DB171" s="574" t="n"/>
      <c r="DC171" s="574" t="n"/>
      <c r="DD171" s="574" t="n"/>
      <c r="DE171" s="574" t="n"/>
      <c r="DF171" s="574" t="n"/>
      <c r="DG171" s="574" t="n"/>
      <c r="DH171" s="574" t="n"/>
      <c r="DI171" s="574" t="n"/>
      <c r="DJ171" s="574" t="n"/>
      <c r="DK171" s="574" t="n"/>
      <c r="DL171" s="574" t="n"/>
      <c r="DM171" s="574" t="n"/>
      <c r="DN171" s="574" t="n"/>
      <c r="DO171" s="574" t="n"/>
      <c r="DP171" s="574" t="n"/>
      <c r="DQ171" s="574" t="n"/>
      <c r="DR171" s="574" t="n"/>
      <c r="DS171" s="574" t="n"/>
      <c r="DT171" s="574" t="n"/>
      <c r="DU171" s="574" t="n"/>
      <c r="DV171" s="574" t="n"/>
      <c r="DW171" s="574" t="n"/>
      <c r="DX171" s="574" t="n"/>
      <c r="DY171" s="574" t="n"/>
      <c r="DZ171" s="574" t="n"/>
      <c r="EA171" s="574" t="n"/>
      <c r="EB171" s="574" t="n"/>
      <c r="EC171" s="574" t="n"/>
      <c r="ED171" s="574" t="n"/>
      <c r="EE171" s="574" t="n"/>
      <c r="EF171" s="574" t="n"/>
      <c r="EG171" s="574" t="n"/>
      <c r="EH171" s="574" t="n"/>
      <c r="EI171" s="574" t="n"/>
      <c r="EJ171" s="574" t="n"/>
      <c r="EK171" s="574" t="n"/>
      <c r="EL171" s="574" t="n"/>
      <c r="EM171" s="574" t="n"/>
      <c r="EN171" s="574" t="n"/>
      <c r="EO171" s="574" t="n"/>
      <c r="EP171" s="574" t="n"/>
      <c r="EQ171" s="574" t="n"/>
      <c r="ER171" s="574" t="n"/>
      <c r="ES171" s="574" t="n"/>
      <c r="ET171" s="574" t="n"/>
      <c r="EU171" s="574" t="n"/>
      <c r="EV171" s="574" t="n"/>
      <c r="EW171" s="574" t="n"/>
      <c r="EX171" s="574" t="n"/>
      <c r="EY171" s="574" t="n"/>
      <c r="EZ171" s="574" t="n"/>
      <c r="FA171" s="574" t="n"/>
      <c r="FB171" s="574" t="n"/>
      <c r="FC171" s="574" t="n"/>
      <c r="FD171" s="574" t="n"/>
      <c r="FE171" s="574" t="n"/>
      <c r="FF171" s="574" t="n"/>
      <c r="FG171" s="574" t="n"/>
      <c r="FH171" s="574" t="n"/>
      <c r="FI171" s="574" t="n"/>
      <c r="FJ171" s="574" t="n"/>
      <c r="FK171" s="574" t="n"/>
      <c r="FL171" s="574" t="n"/>
      <c r="FM171" s="574" t="n"/>
      <c r="FN171" s="574" t="n"/>
      <c r="FO171" s="574" t="n"/>
      <c r="FP171" s="574" t="n"/>
      <c r="FQ171" s="574" t="n"/>
      <c r="FR171" s="574" t="n"/>
      <c r="FS171" s="574" t="n"/>
      <c r="FT171" s="574" t="n"/>
      <c r="FU171" s="574" t="n"/>
      <c r="FV171" s="574" t="n"/>
      <c r="FW171" s="574" t="n"/>
      <c r="FX171" s="574" t="n"/>
      <c r="FY171" s="574" t="n"/>
      <c r="FZ171" s="574" t="n"/>
      <c r="GA171" s="574" t="n"/>
      <c r="GB171" s="574" t="n"/>
      <c r="GC171" s="574" t="n"/>
      <c r="GD171" s="574" t="n"/>
      <c r="GE171" s="574" t="n"/>
      <c r="GF171" s="574" t="n"/>
    </row>
    <row r="172" customFormat="1" s="568">
      <c r="A172" s="86" t="n"/>
      <c r="B172" s="85" t="n"/>
      <c r="C172" s="84">
        <f>IFERROR(IF(AND($E172&gt;0,$D172&lt;&gt;"The Public"),$E172/SUMIFS($E$10:$E$205,$E$10:$E$205,"&gt;0",$D$10:$D$205,"&lt;&gt;The Public")*$D$5,""),"")</f>
        <v/>
      </c>
      <c r="D172" s="68" t="n"/>
      <c r="E172" s="84">
        <f>SUM(G172:HY172)</f>
        <v/>
      </c>
      <c r="M172" s="574" t="n"/>
      <c r="N172" s="574" t="n"/>
      <c r="O172" s="574" t="n"/>
      <c r="P172" s="574" t="n"/>
      <c r="Q172" s="574" t="n"/>
      <c r="R172" s="574" t="n"/>
      <c r="S172" s="574" t="n"/>
      <c r="T172" s="574" t="n"/>
      <c r="U172" s="574" t="n"/>
      <c r="V172" s="574" t="n"/>
      <c r="W172" s="574" t="n"/>
      <c r="X172" s="574" t="n"/>
      <c r="Y172" s="574" t="n"/>
      <c r="Z172" s="574" t="n"/>
      <c r="AA172" s="574" t="n"/>
      <c r="AB172" s="574" t="n"/>
      <c r="AC172" s="574" t="n"/>
      <c r="AD172" s="574" t="n"/>
      <c r="AE172" s="574" t="n"/>
      <c r="AF172" s="574" t="n"/>
      <c r="AG172" s="574" t="n"/>
      <c r="AH172" s="574" t="n"/>
      <c r="AI172" s="574" t="n"/>
      <c r="AJ172" s="574" t="n"/>
      <c r="AK172" s="574" t="n"/>
      <c r="AL172" s="574" t="n"/>
      <c r="AM172" s="574" t="n"/>
      <c r="AN172" s="574" t="n"/>
      <c r="AO172" s="574" t="n"/>
      <c r="AP172" s="574" t="n"/>
      <c r="AQ172" s="574" t="n"/>
      <c r="AR172" s="574" t="n"/>
      <c r="AS172" s="574" t="n"/>
      <c r="AT172" s="574" t="n"/>
      <c r="AU172" s="574" t="n"/>
      <c r="AV172" s="574" t="n"/>
      <c r="AW172" s="574" t="n"/>
      <c r="AX172" s="574" t="n"/>
      <c r="AY172" s="574" t="n"/>
      <c r="AZ172" s="574" t="n"/>
      <c r="BA172" s="574" t="n"/>
      <c r="BB172" s="574" t="n"/>
      <c r="BC172" s="574" t="n"/>
      <c r="BD172" s="574" t="n"/>
      <c r="BE172" s="574" t="n"/>
      <c r="BF172" s="574" t="n"/>
      <c r="BG172" s="574" t="n"/>
      <c r="BH172" s="574" t="n"/>
      <c r="BI172" s="574" t="n"/>
      <c r="BJ172" s="574" t="n"/>
      <c r="BK172" s="574" t="n"/>
      <c r="BL172" s="574" t="n"/>
      <c r="BM172" s="574" t="n"/>
      <c r="BN172" s="574" t="n"/>
      <c r="BO172" s="574" t="n"/>
      <c r="BP172" s="574" t="n"/>
      <c r="BQ172" s="574" t="n"/>
      <c r="BR172" s="574" t="n"/>
      <c r="BS172" s="574" t="n"/>
      <c r="BT172" s="574" t="n"/>
      <c r="BU172" s="574" t="n"/>
      <c r="BV172" s="574" t="n"/>
      <c r="BW172" s="574" t="n"/>
      <c r="BX172" s="574" t="n"/>
      <c r="BY172" s="574" t="n"/>
      <c r="BZ172" s="574" t="n"/>
      <c r="CA172" s="574" t="n"/>
      <c r="CB172" s="574" t="n"/>
      <c r="CC172" s="574" t="n"/>
      <c r="CD172" s="574" t="n"/>
      <c r="CE172" s="574" t="n"/>
      <c r="CF172" s="574" t="n"/>
      <c r="CG172" s="574" t="n"/>
      <c r="CH172" s="574" t="n"/>
      <c r="CI172" s="574" t="n"/>
      <c r="CJ172" s="574" t="n"/>
      <c r="CK172" s="574" t="n"/>
      <c r="CL172" s="574" t="n"/>
      <c r="CM172" s="574" t="n"/>
      <c r="CN172" s="574" t="n"/>
      <c r="CO172" s="574" t="n"/>
      <c r="CP172" s="574" t="n"/>
      <c r="CQ172" s="574" t="n"/>
      <c r="CR172" s="574" t="n"/>
      <c r="CS172" s="574" t="n"/>
      <c r="CT172" s="574" t="n"/>
      <c r="CU172" s="574" t="n"/>
      <c r="CV172" s="574" t="n"/>
      <c r="CW172" s="574" t="n"/>
      <c r="CX172" s="574" t="n"/>
      <c r="CY172" s="574" t="n"/>
      <c r="CZ172" s="574" t="n"/>
      <c r="DA172" s="574" t="n"/>
      <c r="DB172" s="574" t="n"/>
      <c r="DC172" s="574" t="n"/>
      <c r="DD172" s="574" t="n"/>
      <c r="DE172" s="574" t="n"/>
      <c r="DF172" s="574" t="n"/>
      <c r="DG172" s="574" t="n"/>
      <c r="DH172" s="574" t="n"/>
      <c r="DI172" s="574" t="n"/>
      <c r="DJ172" s="574" t="n"/>
      <c r="DK172" s="574" t="n"/>
      <c r="DL172" s="574" t="n"/>
      <c r="DM172" s="574" t="n"/>
      <c r="DN172" s="574" t="n"/>
      <c r="DO172" s="574" t="n"/>
      <c r="DP172" s="574" t="n"/>
      <c r="DQ172" s="574" t="n"/>
      <c r="DR172" s="574" t="n"/>
      <c r="DS172" s="574" t="n"/>
      <c r="DT172" s="574" t="n"/>
      <c r="DU172" s="574" t="n"/>
      <c r="DV172" s="574" t="n"/>
      <c r="DW172" s="574" t="n"/>
      <c r="DX172" s="574" t="n"/>
      <c r="DY172" s="574" t="n"/>
      <c r="DZ172" s="574" t="n"/>
      <c r="EA172" s="574" t="n"/>
      <c r="EB172" s="574" t="n"/>
      <c r="EC172" s="574" t="n"/>
      <c r="ED172" s="574" t="n"/>
      <c r="EE172" s="574" t="n"/>
      <c r="EF172" s="574" t="n"/>
      <c r="EG172" s="574" t="n"/>
      <c r="EH172" s="574" t="n"/>
      <c r="EI172" s="574" t="n"/>
      <c r="EJ172" s="574" t="n"/>
      <c r="EK172" s="574" t="n"/>
      <c r="EL172" s="574" t="n"/>
      <c r="EM172" s="574" t="n"/>
      <c r="EN172" s="574" t="n"/>
      <c r="EO172" s="574" t="n"/>
      <c r="EP172" s="574" t="n"/>
      <c r="EQ172" s="574" t="n"/>
      <c r="ER172" s="574" t="n"/>
      <c r="ES172" s="574" t="n"/>
      <c r="ET172" s="574" t="n"/>
      <c r="EU172" s="574" t="n"/>
      <c r="EV172" s="574" t="n"/>
      <c r="EW172" s="574" t="n"/>
      <c r="EX172" s="574" t="n"/>
      <c r="EY172" s="574" t="n"/>
      <c r="EZ172" s="574" t="n"/>
      <c r="FA172" s="574" t="n"/>
      <c r="FB172" s="574" t="n"/>
      <c r="FC172" s="574" t="n"/>
      <c r="FD172" s="574" t="n"/>
      <c r="FE172" s="574" t="n"/>
      <c r="FF172" s="574" t="n"/>
      <c r="FG172" s="574" t="n"/>
      <c r="FH172" s="574" t="n"/>
      <c r="FI172" s="574" t="n"/>
      <c r="FJ172" s="574" t="n"/>
      <c r="FK172" s="574" t="n"/>
      <c r="FL172" s="574" t="n"/>
      <c r="FM172" s="574" t="n"/>
      <c r="FN172" s="574" t="n"/>
      <c r="FO172" s="574" t="n"/>
      <c r="FP172" s="574" t="n"/>
      <c r="FQ172" s="574" t="n"/>
      <c r="FR172" s="574" t="n"/>
      <c r="FS172" s="574" t="n"/>
      <c r="FT172" s="574" t="n"/>
      <c r="FU172" s="574" t="n"/>
      <c r="FV172" s="574" t="n"/>
      <c r="FW172" s="574" t="n"/>
      <c r="FX172" s="574" t="n"/>
      <c r="FY172" s="574" t="n"/>
      <c r="FZ172" s="574" t="n"/>
      <c r="GA172" s="574" t="n"/>
      <c r="GB172" s="574" t="n"/>
      <c r="GC172" s="574" t="n"/>
      <c r="GD172" s="574" t="n"/>
      <c r="GE172" s="574" t="n"/>
      <c r="GF172" s="574" t="n"/>
    </row>
    <row r="173" customFormat="1" s="568">
      <c r="A173" s="86" t="n"/>
      <c r="B173" s="85" t="n"/>
      <c r="C173" s="84">
        <f>IFERROR(IF(AND($E173&gt;0,$D173&lt;&gt;"The Public"),$E173/SUMIFS($E$10:$E$205,$E$10:$E$205,"&gt;0",$D$10:$D$205,"&lt;&gt;The Public")*$D$5,""),"")</f>
        <v/>
      </c>
      <c r="D173" s="68" t="n"/>
      <c r="E173" s="84">
        <f>SUM(G173:HY173)</f>
        <v/>
      </c>
      <c r="M173" s="574" t="n"/>
      <c r="N173" s="574" t="n"/>
      <c r="O173" s="574" t="n"/>
      <c r="P173" s="574" t="n"/>
      <c r="Q173" s="574" t="n"/>
      <c r="R173" s="574" t="n"/>
      <c r="S173" s="574" t="n"/>
      <c r="T173" s="574" t="n"/>
      <c r="U173" s="574" t="n"/>
      <c r="V173" s="574" t="n"/>
      <c r="W173" s="574" t="n"/>
      <c r="X173" s="574" t="n"/>
      <c r="Y173" s="574" t="n"/>
      <c r="Z173" s="574" t="n"/>
      <c r="AA173" s="574" t="n"/>
      <c r="AB173" s="574" t="n"/>
      <c r="AC173" s="574" t="n"/>
      <c r="AD173" s="574" t="n"/>
      <c r="AE173" s="574" t="n"/>
      <c r="AF173" s="574" t="n"/>
      <c r="AG173" s="574" t="n"/>
      <c r="AH173" s="574" t="n"/>
      <c r="AI173" s="574" t="n"/>
      <c r="AJ173" s="574" t="n"/>
      <c r="AK173" s="574" t="n"/>
      <c r="AL173" s="574" t="n"/>
      <c r="AM173" s="574" t="n"/>
      <c r="AN173" s="574" t="n"/>
      <c r="AO173" s="574" t="n"/>
      <c r="AP173" s="574" t="n"/>
      <c r="AQ173" s="574" t="n"/>
      <c r="AR173" s="574" t="n"/>
      <c r="AS173" s="574" t="n"/>
      <c r="AT173" s="574" t="n"/>
      <c r="AU173" s="574" t="n"/>
      <c r="AV173" s="574" t="n"/>
      <c r="AW173" s="574" t="n"/>
      <c r="AX173" s="574" t="n"/>
      <c r="AY173" s="574" t="n"/>
      <c r="AZ173" s="574" t="n"/>
      <c r="BA173" s="574" t="n"/>
      <c r="BB173" s="574" t="n"/>
      <c r="BC173" s="574" t="n"/>
      <c r="BD173" s="574" t="n"/>
      <c r="BE173" s="574" t="n"/>
      <c r="BF173" s="574" t="n"/>
      <c r="BG173" s="574" t="n"/>
      <c r="BH173" s="574" t="n"/>
      <c r="BI173" s="574" t="n"/>
      <c r="BJ173" s="574" t="n"/>
      <c r="BK173" s="574" t="n"/>
      <c r="BL173" s="574" t="n"/>
      <c r="BM173" s="574" t="n"/>
      <c r="BN173" s="574" t="n"/>
      <c r="BO173" s="574" t="n"/>
      <c r="BP173" s="574" t="n"/>
      <c r="BQ173" s="574" t="n"/>
      <c r="BR173" s="574" t="n"/>
      <c r="BS173" s="574" t="n"/>
      <c r="BT173" s="574" t="n"/>
      <c r="BU173" s="574" t="n"/>
      <c r="BV173" s="574" t="n"/>
      <c r="BW173" s="574" t="n"/>
      <c r="BX173" s="574" t="n"/>
      <c r="BY173" s="574" t="n"/>
      <c r="BZ173" s="574" t="n"/>
      <c r="CA173" s="574" t="n"/>
      <c r="CB173" s="574" t="n"/>
      <c r="CC173" s="574" t="n"/>
      <c r="CD173" s="574" t="n"/>
      <c r="CE173" s="574" t="n"/>
      <c r="CF173" s="574" t="n"/>
      <c r="CG173" s="574" t="n"/>
      <c r="CH173" s="574" t="n"/>
      <c r="CI173" s="574" t="n"/>
      <c r="CJ173" s="574" t="n"/>
      <c r="CK173" s="574" t="n"/>
      <c r="CL173" s="574" t="n"/>
      <c r="CM173" s="574" t="n"/>
      <c r="CN173" s="574" t="n"/>
      <c r="CO173" s="574" t="n"/>
      <c r="CP173" s="574" t="n"/>
      <c r="CQ173" s="574" t="n"/>
      <c r="CR173" s="574" t="n"/>
      <c r="CS173" s="574" t="n"/>
      <c r="CT173" s="574" t="n"/>
      <c r="CU173" s="574" t="n"/>
      <c r="CV173" s="574" t="n"/>
      <c r="CW173" s="574" t="n"/>
      <c r="CX173" s="574" t="n"/>
      <c r="CY173" s="574" t="n"/>
      <c r="CZ173" s="574" t="n"/>
      <c r="DA173" s="574" t="n"/>
      <c r="DB173" s="574" t="n"/>
      <c r="DC173" s="574" t="n"/>
      <c r="DD173" s="574" t="n"/>
      <c r="DE173" s="574" t="n"/>
      <c r="DF173" s="574" t="n"/>
      <c r="DG173" s="574" t="n"/>
      <c r="DH173" s="574" t="n"/>
      <c r="DI173" s="574" t="n"/>
      <c r="DJ173" s="574" t="n"/>
      <c r="DK173" s="574" t="n"/>
      <c r="DL173" s="574" t="n"/>
      <c r="DM173" s="574" t="n"/>
      <c r="DN173" s="574" t="n"/>
      <c r="DO173" s="574" t="n"/>
      <c r="DP173" s="574" t="n"/>
      <c r="DQ173" s="574" t="n"/>
      <c r="DR173" s="574" t="n"/>
      <c r="DS173" s="574" t="n"/>
      <c r="DT173" s="574" t="n"/>
      <c r="DU173" s="574" t="n"/>
      <c r="DV173" s="574" t="n"/>
      <c r="DW173" s="574" t="n"/>
      <c r="DX173" s="574" t="n"/>
      <c r="DY173" s="574" t="n"/>
      <c r="DZ173" s="574" t="n"/>
      <c r="EA173" s="574" t="n"/>
      <c r="EB173" s="574" t="n"/>
      <c r="EC173" s="574" t="n"/>
      <c r="ED173" s="574" t="n"/>
      <c r="EE173" s="574" t="n"/>
      <c r="EF173" s="574" t="n"/>
      <c r="EG173" s="574" t="n"/>
      <c r="EH173" s="574" t="n"/>
      <c r="EI173" s="574" t="n"/>
      <c r="EJ173" s="574" t="n"/>
      <c r="EK173" s="574" t="n"/>
      <c r="EL173" s="574" t="n"/>
      <c r="EM173" s="574" t="n"/>
      <c r="EN173" s="574" t="n"/>
      <c r="EO173" s="574" t="n"/>
      <c r="EP173" s="574" t="n"/>
      <c r="EQ173" s="574" t="n"/>
      <c r="ER173" s="574" t="n"/>
      <c r="ES173" s="574" t="n"/>
      <c r="ET173" s="574" t="n"/>
      <c r="EU173" s="574" t="n"/>
      <c r="EV173" s="574" t="n"/>
      <c r="EW173" s="574" t="n"/>
      <c r="EX173" s="574" t="n"/>
      <c r="EY173" s="574" t="n"/>
      <c r="EZ173" s="574" t="n"/>
      <c r="FA173" s="574" t="n"/>
      <c r="FB173" s="574" t="n"/>
      <c r="FC173" s="574" t="n"/>
      <c r="FD173" s="574" t="n"/>
      <c r="FE173" s="574" t="n"/>
      <c r="FF173" s="574" t="n"/>
      <c r="FG173" s="574" t="n"/>
      <c r="FH173" s="574" t="n"/>
      <c r="FI173" s="574" t="n"/>
      <c r="FJ173" s="574" t="n"/>
      <c r="FK173" s="574" t="n"/>
      <c r="FL173" s="574" t="n"/>
      <c r="FM173" s="574" t="n"/>
      <c r="FN173" s="574" t="n"/>
      <c r="FO173" s="574" t="n"/>
      <c r="FP173" s="574" t="n"/>
      <c r="FQ173" s="574" t="n"/>
      <c r="FR173" s="574" t="n"/>
      <c r="FS173" s="574" t="n"/>
      <c r="FT173" s="574" t="n"/>
      <c r="FU173" s="574" t="n"/>
      <c r="FV173" s="574" t="n"/>
      <c r="FW173" s="574" t="n"/>
      <c r="FX173" s="574" t="n"/>
      <c r="FY173" s="574" t="n"/>
      <c r="FZ173" s="574" t="n"/>
      <c r="GA173" s="574" t="n"/>
      <c r="GB173" s="574" t="n"/>
      <c r="GC173" s="574" t="n"/>
      <c r="GD173" s="574" t="n"/>
      <c r="GE173" s="574" t="n"/>
      <c r="GF173" s="574" t="n"/>
    </row>
    <row r="174" customFormat="1" s="568">
      <c r="A174" s="86" t="n"/>
      <c r="B174" s="85" t="n"/>
      <c r="C174" s="84">
        <f>IFERROR(IF(AND($E174&gt;0,$D174&lt;&gt;"The Public"),$E174/SUMIFS($E$10:$E$205,$E$10:$E$205,"&gt;0",$D$10:$D$205,"&lt;&gt;The Public")*$D$5,""),"")</f>
        <v/>
      </c>
      <c r="D174" s="68" t="n"/>
      <c r="E174" s="84">
        <f>SUM(G174:HY174)</f>
        <v/>
      </c>
      <c r="M174" s="574" t="n"/>
      <c r="N174" s="574" t="n"/>
      <c r="O174" s="574" t="n"/>
      <c r="P174" s="574" t="n"/>
      <c r="Q174" s="574" t="n"/>
      <c r="R174" s="574" t="n"/>
      <c r="S174" s="574" t="n"/>
      <c r="T174" s="574" t="n"/>
      <c r="U174" s="574" t="n"/>
      <c r="V174" s="574" t="n"/>
      <c r="W174" s="574" t="n"/>
      <c r="X174" s="574" t="n"/>
      <c r="Y174" s="574" t="n"/>
      <c r="Z174" s="574" t="n"/>
      <c r="AA174" s="574" t="n"/>
      <c r="AB174" s="574" t="n"/>
      <c r="AC174" s="574" t="n"/>
      <c r="AD174" s="574" t="n"/>
      <c r="AE174" s="574" t="n"/>
      <c r="AF174" s="574" t="n"/>
      <c r="AG174" s="574" t="n"/>
      <c r="AH174" s="574" t="n"/>
      <c r="AI174" s="574" t="n"/>
      <c r="AJ174" s="574" t="n"/>
      <c r="AK174" s="574" t="n"/>
      <c r="AL174" s="574" t="n"/>
      <c r="AM174" s="574" t="n"/>
      <c r="AN174" s="574" t="n"/>
      <c r="AO174" s="574" t="n"/>
      <c r="AP174" s="574" t="n"/>
      <c r="AQ174" s="574" t="n"/>
      <c r="AR174" s="574" t="n"/>
      <c r="AS174" s="574" t="n"/>
      <c r="AT174" s="574" t="n"/>
      <c r="AU174" s="574" t="n"/>
      <c r="AV174" s="574" t="n"/>
      <c r="AW174" s="574" t="n"/>
      <c r="AX174" s="574" t="n"/>
      <c r="AY174" s="574" t="n"/>
      <c r="AZ174" s="574" t="n"/>
      <c r="BA174" s="574" t="n"/>
      <c r="BB174" s="574" t="n"/>
      <c r="BC174" s="574" t="n"/>
      <c r="BD174" s="574" t="n"/>
      <c r="BE174" s="574" t="n"/>
      <c r="BF174" s="574" t="n"/>
      <c r="BG174" s="574" t="n"/>
      <c r="BH174" s="574" t="n"/>
      <c r="BI174" s="574" t="n"/>
      <c r="BJ174" s="574" t="n"/>
      <c r="BK174" s="574" t="n"/>
      <c r="BL174" s="574" t="n"/>
      <c r="BM174" s="574" t="n"/>
      <c r="BN174" s="574" t="n"/>
      <c r="BO174" s="574" t="n"/>
      <c r="BP174" s="574" t="n"/>
      <c r="BQ174" s="574" t="n"/>
      <c r="BR174" s="574" t="n"/>
      <c r="BS174" s="574" t="n"/>
      <c r="BT174" s="574" t="n"/>
      <c r="BU174" s="574" t="n"/>
      <c r="BV174" s="574" t="n"/>
      <c r="BW174" s="574" t="n"/>
      <c r="BX174" s="574" t="n"/>
      <c r="BY174" s="574" t="n"/>
      <c r="BZ174" s="574" t="n"/>
      <c r="CA174" s="574" t="n"/>
      <c r="CB174" s="574" t="n"/>
      <c r="CC174" s="574" t="n"/>
      <c r="CD174" s="574" t="n"/>
      <c r="CE174" s="574" t="n"/>
      <c r="CF174" s="574" t="n"/>
      <c r="CG174" s="574" t="n"/>
      <c r="CH174" s="574" t="n"/>
      <c r="CI174" s="574" t="n"/>
      <c r="CJ174" s="574" t="n"/>
      <c r="CK174" s="574" t="n"/>
      <c r="CL174" s="574" t="n"/>
      <c r="CM174" s="574" t="n"/>
      <c r="CN174" s="574" t="n"/>
      <c r="CO174" s="574" t="n"/>
      <c r="CP174" s="574" t="n"/>
      <c r="CQ174" s="574" t="n"/>
      <c r="CR174" s="574" t="n"/>
      <c r="CS174" s="574" t="n"/>
      <c r="CT174" s="574" t="n"/>
      <c r="CU174" s="574" t="n"/>
      <c r="CV174" s="574" t="n"/>
      <c r="CW174" s="574" t="n"/>
      <c r="CX174" s="574" t="n"/>
      <c r="CY174" s="574" t="n"/>
      <c r="CZ174" s="574" t="n"/>
      <c r="DA174" s="574" t="n"/>
      <c r="DB174" s="574" t="n"/>
      <c r="DC174" s="574" t="n"/>
      <c r="DD174" s="574" t="n"/>
      <c r="DE174" s="574" t="n"/>
      <c r="DF174" s="574" t="n"/>
      <c r="DG174" s="574" t="n"/>
      <c r="DH174" s="574" t="n"/>
      <c r="DI174" s="574" t="n"/>
      <c r="DJ174" s="574" t="n"/>
      <c r="DK174" s="574" t="n"/>
      <c r="DL174" s="574" t="n"/>
      <c r="DM174" s="574" t="n"/>
      <c r="DN174" s="574" t="n"/>
      <c r="DO174" s="574" t="n"/>
      <c r="DP174" s="574" t="n"/>
      <c r="DQ174" s="574" t="n"/>
      <c r="DR174" s="574" t="n"/>
      <c r="DS174" s="574" t="n"/>
      <c r="DT174" s="574" t="n"/>
      <c r="DU174" s="574" t="n"/>
      <c r="DV174" s="574" t="n"/>
      <c r="DW174" s="574" t="n"/>
      <c r="DX174" s="574" t="n"/>
      <c r="DY174" s="574" t="n"/>
      <c r="DZ174" s="574" t="n"/>
      <c r="EA174" s="574" t="n"/>
      <c r="EB174" s="574" t="n"/>
      <c r="EC174" s="574" t="n"/>
      <c r="ED174" s="574" t="n"/>
      <c r="EE174" s="574" t="n"/>
      <c r="EF174" s="574" t="n"/>
      <c r="EG174" s="574" t="n"/>
      <c r="EH174" s="574" t="n"/>
      <c r="EI174" s="574" t="n"/>
      <c r="EJ174" s="574" t="n"/>
      <c r="EK174" s="574" t="n"/>
      <c r="EL174" s="574" t="n"/>
      <c r="EM174" s="574" t="n"/>
      <c r="EN174" s="574" t="n"/>
      <c r="EO174" s="574" t="n"/>
      <c r="EP174" s="574" t="n"/>
      <c r="EQ174" s="574" t="n"/>
      <c r="ER174" s="574" t="n"/>
      <c r="ES174" s="574" t="n"/>
      <c r="ET174" s="574" t="n"/>
      <c r="EU174" s="574" t="n"/>
      <c r="EV174" s="574" t="n"/>
      <c r="EW174" s="574" t="n"/>
      <c r="EX174" s="574" t="n"/>
      <c r="EY174" s="574" t="n"/>
      <c r="EZ174" s="574" t="n"/>
      <c r="FA174" s="574" t="n"/>
      <c r="FB174" s="574" t="n"/>
      <c r="FC174" s="574" t="n"/>
      <c r="FD174" s="574" t="n"/>
      <c r="FE174" s="574" t="n"/>
      <c r="FF174" s="574" t="n"/>
      <c r="FG174" s="574" t="n"/>
      <c r="FH174" s="574" t="n"/>
      <c r="FI174" s="574" t="n"/>
      <c r="FJ174" s="574" t="n"/>
      <c r="FK174" s="574" t="n"/>
      <c r="FL174" s="574" t="n"/>
      <c r="FM174" s="574" t="n"/>
      <c r="FN174" s="574" t="n"/>
      <c r="FO174" s="574" t="n"/>
      <c r="FP174" s="574" t="n"/>
      <c r="FQ174" s="574" t="n"/>
      <c r="FR174" s="574" t="n"/>
      <c r="FS174" s="574" t="n"/>
      <c r="FT174" s="574" t="n"/>
      <c r="FU174" s="574" t="n"/>
      <c r="FV174" s="574" t="n"/>
      <c r="FW174" s="574" t="n"/>
      <c r="FX174" s="574" t="n"/>
      <c r="FY174" s="574" t="n"/>
      <c r="FZ174" s="574" t="n"/>
      <c r="GA174" s="574" t="n"/>
      <c r="GB174" s="574" t="n"/>
      <c r="GC174" s="574" t="n"/>
      <c r="GD174" s="574" t="n"/>
      <c r="GE174" s="574" t="n"/>
      <c r="GF174" s="574" t="n"/>
    </row>
    <row r="175" customFormat="1" s="568">
      <c r="A175" s="86" t="n"/>
      <c r="B175" s="85" t="n"/>
      <c r="C175" s="84">
        <f>IFERROR(IF(AND($E175&gt;0,$D175&lt;&gt;"The Public"),$E175/SUMIFS($E$10:$E$205,$E$10:$E$205,"&gt;0",$D$10:$D$205,"&lt;&gt;The Public")*$D$5,""),"")</f>
        <v/>
      </c>
      <c r="D175" s="68" t="n"/>
      <c r="E175" s="84">
        <f>SUM(G175:HY175)</f>
        <v/>
      </c>
      <c r="M175" s="574" t="n"/>
      <c r="N175" s="574" t="n"/>
      <c r="O175" s="574" t="n"/>
      <c r="P175" s="574" t="n"/>
      <c r="Q175" s="574" t="n"/>
      <c r="R175" s="574" t="n"/>
      <c r="S175" s="574" t="n"/>
      <c r="T175" s="574" t="n"/>
      <c r="U175" s="574" t="n"/>
      <c r="V175" s="574" t="n"/>
      <c r="W175" s="574" t="n"/>
      <c r="X175" s="574" t="n"/>
      <c r="Y175" s="574" t="n"/>
      <c r="Z175" s="574" t="n"/>
      <c r="AA175" s="574" t="n"/>
      <c r="AB175" s="574" t="n"/>
      <c r="AC175" s="574" t="n"/>
      <c r="AD175" s="574" t="n"/>
      <c r="AE175" s="574" t="n"/>
      <c r="AF175" s="574" t="n"/>
      <c r="AG175" s="574" t="n"/>
      <c r="AH175" s="574" t="n"/>
      <c r="AI175" s="574" t="n"/>
      <c r="AJ175" s="574" t="n"/>
      <c r="AK175" s="574" t="n"/>
      <c r="AL175" s="574" t="n"/>
      <c r="AM175" s="574" t="n"/>
      <c r="AN175" s="574" t="n"/>
      <c r="AO175" s="574" t="n"/>
      <c r="AP175" s="574" t="n"/>
      <c r="AQ175" s="574" t="n"/>
      <c r="AR175" s="574" t="n"/>
      <c r="AS175" s="574" t="n"/>
      <c r="AT175" s="574" t="n"/>
      <c r="AU175" s="574" t="n"/>
      <c r="AV175" s="574" t="n"/>
      <c r="AW175" s="574" t="n"/>
      <c r="AX175" s="574" t="n"/>
      <c r="AY175" s="574" t="n"/>
      <c r="AZ175" s="574" t="n"/>
      <c r="BA175" s="574" t="n"/>
      <c r="BB175" s="574" t="n"/>
      <c r="BC175" s="574" t="n"/>
      <c r="BD175" s="574" t="n"/>
      <c r="BE175" s="574" t="n"/>
      <c r="BF175" s="574" t="n"/>
      <c r="BG175" s="574" t="n"/>
      <c r="BH175" s="574" t="n"/>
      <c r="BI175" s="574" t="n"/>
      <c r="BJ175" s="574" t="n"/>
      <c r="BK175" s="574" t="n"/>
      <c r="BL175" s="574" t="n"/>
      <c r="BM175" s="574" t="n"/>
      <c r="BN175" s="574" t="n"/>
      <c r="BO175" s="574" t="n"/>
      <c r="BP175" s="574" t="n"/>
      <c r="BQ175" s="574" t="n"/>
      <c r="BR175" s="574" t="n"/>
      <c r="BS175" s="574" t="n"/>
      <c r="BT175" s="574" t="n"/>
      <c r="BU175" s="574" t="n"/>
      <c r="BV175" s="574" t="n"/>
      <c r="BW175" s="574" t="n"/>
      <c r="BX175" s="574" t="n"/>
      <c r="BY175" s="574" t="n"/>
      <c r="BZ175" s="574" t="n"/>
      <c r="CA175" s="574" t="n"/>
      <c r="CB175" s="574" t="n"/>
      <c r="CC175" s="574" t="n"/>
      <c r="CD175" s="574" t="n"/>
      <c r="CE175" s="574" t="n"/>
      <c r="CF175" s="574" t="n"/>
      <c r="CG175" s="574" t="n"/>
      <c r="CH175" s="574" t="n"/>
      <c r="CI175" s="574" t="n"/>
      <c r="CJ175" s="574" t="n"/>
      <c r="CK175" s="574" t="n"/>
      <c r="CL175" s="574" t="n"/>
      <c r="CM175" s="574" t="n"/>
      <c r="CN175" s="574" t="n"/>
      <c r="CO175" s="574" t="n"/>
      <c r="CP175" s="574" t="n"/>
      <c r="CQ175" s="574" t="n"/>
      <c r="CR175" s="574" t="n"/>
      <c r="CS175" s="574" t="n"/>
      <c r="CT175" s="574" t="n"/>
      <c r="CU175" s="574" t="n"/>
      <c r="CV175" s="574" t="n"/>
      <c r="CW175" s="574" t="n"/>
      <c r="CX175" s="574" t="n"/>
      <c r="CY175" s="574" t="n"/>
      <c r="CZ175" s="574" t="n"/>
      <c r="DA175" s="574" t="n"/>
      <c r="DB175" s="574" t="n"/>
      <c r="DC175" s="574" t="n"/>
      <c r="DD175" s="574" t="n"/>
      <c r="DE175" s="574" t="n"/>
      <c r="DF175" s="574" t="n"/>
      <c r="DG175" s="574" t="n"/>
      <c r="DH175" s="574" t="n"/>
      <c r="DI175" s="574" t="n"/>
      <c r="DJ175" s="574" t="n"/>
      <c r="DK175" s="574" t="n"/>
      <c r="DL175" s="574" t="n"/>
      <c r="DM175" s="574" t="n"/>
      <c r="DN175" s="574" t="n"/>
      <c r="DO175" s="574" t="n"/>
      <c r="DP175" s="574" t="n"/>
      <c r="DQ175" s="574" t="n"/>
      <c r="DR175" s="574" t="n"/>
      <c r="DS175" s="574" t="n"/>
      <c r="DT175" s="574" t="n"/>
      <c r="DU175" s="574" t="n"/>
      <c r="DV175" s="574" t="n"/>
      <c r="DW175" s="574" t="n"/>
      <c r="DX175" s="574" t="n"/>
      <c r="DY175" s="574" t="n"/>
      <c r="DZ175" s="574" t="n"/>
      <c r="EA175" s="574" t="n"/>
      <c r="EB175" s="574" t="n"/>
      <c r="EC175" s="574" t="n"/>
      <c r="ED175" s="574" t="n"/>
      <c r="EE175" s="574" t="n"/>
      <c r="EF175" s="574" t="n"/>
      <c r="EG175" s="574" t="n"/>
      <c r="EH175" s="574" t="n"/>
      <c r="EI175" s="574" t="n"/>
      <c r="EJ175" s="574" t="n"/>
      <c r="EK175" s="574" t="n"/>
      <c r="EL175" s="574" t="n"/>
      <c r="EM175" s="574" t="n"/>
      <c r="EN175" s="574" t="n"/>
      <c r="EO175" s="574" t="n"/>
      <c r="EP175" s="574" t="n"/>
      <c r="EQ175" s="574" t="n"/>
      <c r="ER175" s="574" t="n"/>
      <c r="ES175" s="574" t="n"/>
      <c r="ET175" s="574" t="n"/>
      <c r="EU175" s="574" t="n"/>
      <c r="EV175" s="574" t="n"/>
      <c r="EW175" s="574" t="n"/>
      <c r="EX175" s="574" t="n"/>
      <c r="EY175" s="574" t="n"/>
      <c r="EZ175" s="574" t="n"/>
      <c r="FA175" s="574" t="n"/>
      <c r="FB175" s="574" t="n"/>
      <c r="FC175" s="574" t="n"/>
      <c r="FD175" s="574" t="n"/>
      <c r="FE175" s="574" t="n"/>
      <c r="FF175" s="574" t="n"/>
      <c r="FG175" s="574" t="n"/>
      <c r="FH175" s="574" t="n"/>
      <c r="FI175" s="574" t="n"/>
      <c r="FJ175" s="574" t="n"/>
      <c r="FK175" s="574" t="n"/>
      <c r="FL175" s="574" t="n"/>
      <c r="FM175" s="574" t="n"/>
      <c r="FN175" s="574" t="n"/>
      <c r="FO175" s="574" t="n"/>
      <c r="FP175" s="574" t="n"/>
      <c r="FQ175" s="574" t="n"/>
      <c r="FR175" s="574" t="n"/>
      <c r="FS175" s="574" t="n"/>
      <c r="FT175" s="574" t="n"/>
      <c r="FU175" s="574" t="n"/>
      <c r="FV175" s="574" t="n"/>
      <c r="FW175" s="574" t="n"/>
      <c r="FX175" s="574" t="n"/>
      <c r="FY175" s="574" t="n"/>
      <c r="FZ175" s="574" t="n"/>
      <c r="GA175" s="574" t="n"/>
      <c r="GB175" s="574" t="n"/>
      <c r="GC175" s="574" t="n"/>
      <c r="GD175" s="574" t="n"/>
      <c r="GE175" s="574" t="n"/>
      <c r="GF175" s="574" t="n"/>
    </row>
    <row r="176" customFormat="1" s="568">
      <c r="A176" s="86" t="n"/>
      <c r="B176" s="85" t="n"/>
      <c r="C176" s="84">
        <f>IFERROR(IF(AND($E176&gt;0,$D176&lt;&gt;"The Public"),$E176/SUMIFS($E$10:$E$205,$E$10:$E$205,"&gt;0",$D$10:$D$205,"&lt;&gt;The Public")*$D$5,""),"")</f>
        <v/>
      </c>
      <c r="D176" s="68" t="n"/>
      <c r="E176" s="84">
        <f>SUM(G176:HY176)</f>
        <v/>
      </c>
      <c r="M176" s="574" t="n"/>
      <c r="N176" s="574" t="n"/>
      <c r="O176" s="574" t="n"/>
      <c r="P176" s="574" t="n"/>
      <c r="Q176" s="574" t="n"/>
      <c r="R176" s="574" t="n"/>
      <c r="S176" s="574" t="n"/>
      <c r="T176" s="574" t="n"/>
      <c r="U176" s="574" t="n"/>
      <c r="V176" s="574" t="n"/>
      <c r="W176" s="574" t="n"/>
      <c r="X176" s="574" t="n"/>
      <c r="Y176" s="574" t="n"/>
      <c r="Z176" s="574" t="n"/>
      <c r="AA176" s="574" t="n"/>
      <c r="AB176" s="574" t="n"/>
      <c r="AC176" s="574" t="n"/>
      <c r="AD176" s="574" t="n"/>
      <c r="AE176" s="574" t="n"/>
      <c r="AF176" s="574" t="n"/>
      <c r="AG176" s="574" t="n"/>
      <c r="AH176" s="574" t="n"/>
      <c r="AI176" s="574" t="n"/>
      <c r="AJ176" s="574" t="n"/>
      <c r="AK176" s="574" t="n"/>
      <c r="AL176" s="574" t="n"/>
      <c r="AM176" s="574" t="n"/>
      <c r="AN176" s="574" t="n"/>
      <c r="AO176" s="574" t="n"/>
      <c r="AP176" s="574" t="n"/>
      <c r="AQ176" s="574" t="n"/>
      <c r="AR176" s="574" t="n"/>
      <c r="AS176" s="574" t="n"/>
      <c r="AT176" s="574" t="n"/>
      <c r="AU176" s="574" t="n"/>
      <c r="AV176" s="574" t="n"/>
      <c r="AW176" s="574" t="n"/>
      <c r="AX176" s="574" t="n"/>
      <c r="AY176" s="574" t="n"/>
      <c r="AZ176" s="574" t="n"/>
      <c r="BA176" s="574" t="n"/>
      <c r="BB176" s="574" t="n"/>
      <c r="BC176" s="574" t="n"/>
      <c r="BD176" s="574" t="n"/>
      <c r="BE176" s="574" t="n"/>
      <c r="BF176" s="574" t="n"/>
      <c r="BG176" s="574" t="n"/>
      <c r="BH176" s="574" t="n"/>
      <c r="BI176" s="574" t="n"/>
      <c r="BJ176" s="574" t="n"/>
      <c r="BK176" s="574" t="n"/>
      <c r="BL176" s="574" t="n"/>
      <c r="BM176" s="574" t="n"/>
      <c r="BN176" s="574" t="n"/>
      <c r="BO176" s="574" t="n"/>
      <c r="BP176" s="574" t="n"/>
      <c r="BQ176" s="574" t="n"/>
      <c r="BR176" s="574" t="n"/>
      <c r="BS176" s="574" t="n"/>
      <c r="BT176" s="574" t="n"/>
      <c r="BU176" s="574" t="n"/>
      <c r="BV176" s="574" t="n"/>
      <c r="BW176" s="574" t="n"/>
      <c r="BX176" s="574" t="n"/>
      <c r="BY176" s="574" t="n"/>
      <c r="BZ176" s="574" t="n"/>
      <c r="CA176" s="574" t="n"/>
      <c r="CB176" s="574" t="n"/>
      <c r="CC176" s="574" t="n"/>
      <c r="CD176" s="574" t="n"/>
      <c r="CE176" s="574" t="n"/>
      <c r="CF176" s="574" t="n"/>
      <c r="CG176" s="574" t="n"/>
      <c r="CH176" s="574" t="n"/>
      <c r="CI176" s="574" t="n"/>
      <c r="CJ176" s="574" t="n"/>
      <c r="CK176" s="574" t="n"/>
      <c r="CL176" s="574" t="n"/>
      <c r="CM176" s="574" t="n"/>
      <c r="CN176" s="574" t="n"/>
      <c r="CO176" s="574" t="n"/>
      <c r="CP176" s="574" t="n"/>
      <c r="CQ176" s="574" t="n"/>
      <c r="CR176" s="574" t="n"/>
      <c r="CS176" s="574" t="n"/>
      <c r="CT176" s="574" t="n"/>
      <c r="CU176" s="574" t="n"/>
      <c r="CV176" s="574" t="n"/>
      <c r="CW176" s="574" t="n"/>
      <c r="CX176" s="574" t="n"/>
      <c r="CY176" s="574" t="n"/>
      <c r="CZ176" s="574" t="n"/>
      <c r="DA176" s="574" t="n"/>
      <c r="DB176" s="574" t="n"/>
      <c r="DC176" s="574" t="n"/>
      <c r="DD176" s="574" t="n"/>
      <c r="DE176" s="574" t="n"/>
      <c r="DF176" s="574" t="n"/>
      <c r="DG176" s="574" t="n"/>
      <c r="DH176" s="574" t="n"/>
      <c r="DI176" s="574" t="n"/>
      <c r="DJ176" s="574" t="n"/>
      <c r="DK176" s="574" t="n"/>
      <c r="DL176" s="574" t="n"/>
      <c r="DM176" s="574" t="n"/>
      <c r="DN176" s="574" t="n"/>
      <c r="DO176" s="574" t="n"/>
      <c r="DP176" s="574" t="n"/>
      <c r="DQ176" s="574" t="n"/>
      <c r="DR176" s="574" t="n"/>
      <c r="DS176" s="574" t="n"/>
      <c r="DT176" s="574" t="n"/>
      <c r="DU176" s="574" t="n"/>
      <c r="DV176" s="574" t="n"/>
      <c r="DW176" s="574" t="n"/>
      <c r="DX176" s="574" t="n"/>
      <c r="DY176" s="574" t="n"/>
      <c r="DZ176" s="574" t="n"/>
      <c r="EA176" s="574" t="n"/>
      <c r="EB176" s="574" t="n"/>
      <c r="EC176" s="574" t="n"/>
      <c r="ED176" s="574" t="n"/>
      <c r="EE176" s="574" t="n"/>
      <c r="EF176" s="574" t="n"/>
      <c r="EG176" s="574" t="n"/>
      <c r="EH176" s="574" t="n"/>
      <c r="EI176" s="574" t="n"/>
      <c r="EJ176" s="574" t="n"/>
      <c r="EK176" s="574" t="n"/>
      <c r="EL176" s="574" t="n"/>
      <c r="EM176" s="574" t="n"/>
      <c r="EN176" s="574" t="n"/>
      <c r="EO176" s="574" t="n"/>
      <c r="EP176" s="574" t="n"/>
      <c r="EQ176" s="574" t="n"/>
      <c r="ER176" s="574" t="n"/>
      <c r="ES176" s="574" t="n"/>
      <c r="ET176" s="574" t="n"/>
      <c r="EU176" s="574" t="n"/>
      <c r="EV176" s="574" t="n"/>
      <c r="EW176" s="574" t="n"/>
      <c r="EX176" s="574" t="n"/>
      <c r="EY176" s="574" t="n"/>
      <c r="EZ176" s="574" t="n"/>
      <c r="FA176" s="574" t="n"/>
      <c r="FB176" s="574" t="n"/>
      <c r="FC176" s="574" t="n"/>
      <c r="FD176" s="574" t="n"/>
      <c r="FE176" s="574" t="n"/>
      <c r="FF176" s="574" t="n"/>
      <c r="FG176" s="574" t="n"/>
      <c r="FH176" s="574" t="n"/>
      <c r="FI176" s="574" t="n"/>
      <c r="FJ176" s="574" t="n"/>
      <c r="FK176" s="574" t="n"/>
      <c r="FL176" s="574" t="n"/>
      <c r="FM176" s="574" t="n"/>
      <c r="FN176" s="574" t="n"/>
      <c r="FO176" s="574" t="n"/>
      <c r="FP176" s="574" t="n"/>
      <c r="FQ176" s="574" t="n"/>
      <c r="FR176" s="574" t="n"/>
      <c r="FS176" s="574" t="n"/>
      <c r="FT176" s="574" t="n"/>
      <c r="FU176" s="574" t="n"/>
      <c r="FV176" s="574" t="n"/>
      <c r="FW176" s="574" t="n"/>
      <c r="FX176" s="574" t="n"/>
      <c r="FY176" s="574" t="n"/>
      <c r="FZ176" s="574" t="n"/>
      <c r="GA176" s="574" t="n"/>
      <c r="GB176" s="574" t="n"/>
      <c r="GC176" s="574" t="n"/>
      <c r="GD176" s="574" t="n"/>
      <c r="GE176" s="574" t="n"/>
      <c r="GF176" s="574" t="n"/>
    </row>
    <row r="177" customFormat="1" s="568">
      <c r="A177" s="86" t="n"/>
      <c r="B177" s="85" t="n"/>
      <c r="C177" s="84">
        <f>IFERROR(IF(AND($E177&gt;0,$D177&lt;&gt;"The Public"),$E177/SUMIFS($E$10:$E$205,$E$10:$E$205,"&gt;0",$D$10:$D$205,"&lt;&gt;The Public")*$D$5,""),"")</f>
        <v/>
      </c>
      <c r="D177" s="68" t="n"/>
      <c r="E177" s="84">
        <f>SUM(G177:HY177)</f>
        <v/>
      </c>
      <c r="M177" s="574" t="n"/>
      <c r="N177" s="574" t="n"/>
      <c r="O177" s="574" t="n"/>
      <c r="P177" s="574" t="n"/>
      <c r="Q177" s="574" t="n"/>
      <c r="R177" s="574" t="n"/>
      <c r="S177" s="574" t="n"/>
      <c r="T177" s="574" t="n"/>
      <c r="U177" s="574" t="n"/>
      <c r="V177" s="574" t="n"/>
      <c r="W177" s="574" t="n"/>
      <c r="X177" s="574" t="n"/>
      <c r="Y177" s="574" t="n"/>
      <c r="Z177" s="574" t="n"/>
      <c r="AA177" s="574" t="n"/>
      <c r="AB177" s="574" t="n"/>
      <c r="AC177" s="574" t="n"/>
      <c r="AD177" s="574" t="n"/>
      <c r="AE177" s="574" t="n"/>
      <c r="AF177" s="574" t="n"/>
      <c r="AG177" s="574" t="n"/>
      <c r="AH177" s="574" t="n"/>
      <c r="AI177" s="574" t="n"/>
      <c r="AJ177" s="574" t="n"/>
      <c r="AK177" s="574" t="n"/>
      <c r="AL177" s="574" t="n"/>
      <c r="AM177" s="574" t="n"/>
      <c r="AN177" s="574" t="n"/>
      <c r="AO177" s="574" t="n"/>
      <c r="AP177" s="574" t="n"/>
      <c r="AQ177" s="574" t="n"/>
      <c r="AR177" s="574" t="n"/>
      <c r="AS177" s="574" t="n"/>
      <c r="AT177" s="574" t="n"/>
      <c r="AU177" s="574" t="n"/>
      <c r="AV177" s="574" t="n"/>
      <c r="AW177" s="574" t="n"/>
      <c r="AX177" s="574" t="n"/>
      <c r="AY177" s="574" t="n"/>
      <c r="AZ177" s="574" t="n"/>
      <c r="BA177" s="574" t="n"/>
      <c r="BB177" s="574" t="n"/>
      <c r="BC177" s="574" t="n"/>
      <c r="BD177" s="574" t="n"/>
      <c r="BE177" s="574" t="n"/>
      <c r="BF177" s="574" t="n"/>
      <c r="BG177" s="574" t="n"/>
      <c r="BH177" s="574" t="n"/>
      <c r="BI177" s="574" t="n"/>
      <c r="BJ177" s="574" t="n"/>
      <c r="BK177" s="574" t="n"/>
      <c r="BL177" s="574" t="n"/>
      <c r="BM177" s="574" t="n"/>
      <c r="BN177" s="574" t="n"/>
      <c r="BO177" s="574" t="n"/>
      <c r="BP177" s="574" t="n"/>
      <c r="BQ177" s="574" t="n"/>
      <c r="BR177" s="574" t="n"/>
      <c r="BS177" s="574" t="n"/>
      <c r="BT177" s="574" t="n"/>
      <c r="BU177" s="574" t="n"/>
      <c r="BV177" s="574" t="n"/>
      <c r="BW177" s="574" t="n"/>
      <c r="BX177" s="574" t="n"/>
      <c r="BY177" s="574" t="n"/>
      <c r="BZ177" s="574" t="n"/>
      <c r="CA177" s="574" t="n"/>
      <c r="CB177" s="574" t="n"/>
      <c r="CC177" s="574" t="n"/>
      <c r="CD177" s="574" t="n"/>
      <c r="CE177" s="574" t="n"/>
      <c r="CF177" s="574" t="n"/>
      <c r="CG177" s="574" t="n"/>
      <c r="CH177" s="574" t="n"/>
      <c r="CI177" s="574" t="n"/>
      <c r="CJ177" s="574" t="n"/>
      <c r="CK177" s="574" t="n"/>
      <c r="CL177" s="574" t="n"/>
      <c r="CM177" s="574" t="n"/>
      <c r="CN177" s="574" t="n"/>
      <c r="CO177" s="574" t="n"/>
      <c r="CP177" s="574" t="n"/>
      <c r="CQ177" s="574" t="n"/>
      <c r="CR177" s="574" t="n"/>
      <c r="CS177" s="574" t="n"/>
      <c r="CT177" s="574" t="n"/>
      <c r="CU177" s="574" t="n"/>
      <c r="CV177" s="574" t="n"/>
      <c r="CW177" s="574" t="n"/>
      <c r="CX177" s="574" t="n"/>
      <c r="CY177" s="574" t="n"/>
      <c r="CZ177" s="574" t="n"/>
      <c r="DA177" s="574" t="n"/>
      <c r="DB177" s="574" t="n"/>
      <c r="DC177" s="574" t="n"/>
      <c r="DD177" s="574" t="n"/>
      <c r="DE177" s="574" t="n"/>
      <c r="DF177" s="574" t="n"/>
      <c r="DG177" s="574" t="n"/>
      <c r="DH177" s="574" t="n"/>
      <c r="DI177" s="574" t="n"/>
      <c r="DJ177" s="574" t="n"/>
      <c r="DK177" s="574" t="n"/>
      <c r="DL177" s="574" t="n"/>
      <c r="DM177" s="574" t="n"/>
      <c r="DN177" s="574" t="n"/>
      <c r="DO177" s="574" t="n"/>
      <c r="DP177" s="574" t="n"/>
      <c r="DQ177" s="574" t="n"/>
      <c r="DR177" s="574" t="n"/>
      <c r="DS177" s="574" t="n"/>
      <c r="DT177" s="574" t="n"/>
      <c r="DU177" s="574" t="n"/>
      <c r="DV177" s="574" t="n"/>
      <c r="DW177" s="574" t="n"/>
      <c r="DX177" s="574" t="n"/>
      <c r="DY177" s="574" t="n"/>
      <c r="DZ177" s="574" t="n"/>
      <c r="EA177" s="574" t="n"/>
      <c r="EB177" s="574" t="n"/>
      <c r="EC177" s="574" t="n"/>
      <c r="ED177" s="574" t="n"/>
      <c r="EE177" s="574" t="n"/>
      <c r="EF177" s="574" t="n"/>
      <c r="EG177" s="574" t="n"/>
      <c r="EH177" s="574" t="n"/>
      <c r="EI177" s="574" t="n"/>
      <c r="EJ177" s="574" t="n"/>
      <c r="EK177" s="574" t="n"/>
      <c r="EL177" s="574" t="n"/>
      <c r="EM177" s="574" t="n"/>
      <c r="EN177" s="574" t="n"/>
      <c r="EO177" s="574" t="n"/>
      <c r="EP177" s="574" t="n"/>
      <c r="EQ177" s="574" t="n"/>
      <c r="ER177" s="574" t="n"/>
      <c r="ES177" s="574" t="n"/>
      <c r="ET177" s="574" t="n"/>
      <c r="EU177" s="574" t="n"/>
      <c r="EV177" s="574" t="n"/>
      <c r="EW177" s="574" t="n"/>
      <c r="EX177" s="574" t="n"/>
      <c r="EY177" s="574" t="n"/>
      <c r="EZ177" s="574" t="n"/>
      <c r="FA177" s="574" t="n"/>
      <c r="FB177" s="574" t="n"/>
      <c r="FC177" s="574" t="n"/>
      <c r="FD177" s="574" t="n"/>
      <c r="FE177" s="574" t="n"/>
      <c r="FF177" s="574" t="n"/>
      <c r="FG177" s="574" t="n"/>
      <c r="FH177" s="574" t="n"/>
      <c r="FI177" s="574" t="n"/>
      <c r="FJ177" s="574" t="n"/>
      <c r="FK177" s="574" t="n"/>
      <c r="FL177" s="574" t="n"/>
      <c r="FM177" s="574" t="n"/>
      <c r="FN177" s="574" t="n"/>
      <c r="FO177" s="574" t="n"/>
      <c r="FP177" s="574" t="n"/>
      <c r="FQ177" s="574" t="n"/>
      <c r="FR177" s="574" t="n"/>
      <c r="FS177" s="574" t="n"/>
      <c r="FT177" s="574" t="n"/>
      <c r="FU177" s="574" t="n"/>
      <c r="FV177" s="574" t="n"/>
      <c r="FW177" s="574" t="n"/>
      <c r="FX177" s="574" t="n"/>
      <c r="FY177" s="574" t="n"/>
      <c r="FZ177" s="574" t="n"/>
      <c r="GA177" s="574" t="n"/>
      <c r="GB177" s="574" t="n"/>
      <c r="GC177" s="574" t="n"/>
      <c r="GD177" s="574" t="n"/>
      <c r="GE177" s="574" t="n"/>
      <c r="GF177" s="574" t="n"/>
    </row>
    <row r="178" customFormat="1" s="568">
      <c r="A178" s="86" t="n"/>
      <c r="B178" s="85" t="n"/>
      <c r="C178" s="84">
        <f>IFERROR(IF(AND($E178&gt;0,$D178&lt;&gt;"The Public"),$E178/SUMIFS($E$10:$E$205,$E$10:$E$205,"&gt;0",$D$10:$D$205,"&lt;&gt;The Public")*$D$5,""),"")</f>
        <v/>
      </c>
      <c r="D178" s="68" t="n"/>
      <c r="E178" s="84">
        <f>SUM(G178:HY178)</f>
        <v/>
      </c>
      <c r="M178" s="574" t="n"/>
      <c r="N178" s="574" t="n"/>
      <c r="O178" s="574" t="n"/>
      <c r="P178" s="574" t="n"/>
      <c r="Q178" s="574" t="n"/>
      <c r="R178" s="574" t="n"/>
      <c r="S178" s="574" t="n"/>
      <c r="T178" s="574" t="n"/>
      <c r="U178" s="574" t="n"/>
      <c r="V178" s="574" t="n"/>
      <c r="W178" s="574" t="n"/>
      <c r="X178" s="574" t="n"/>
      <c r="Y178" s="574" t="n"/>
      <c r="Z178" s="574" t="n"/>
      <c r="AA178" s="574" t="n"/>
      <c r="AB178" s="574" t="n"/>
      <c r="AC178" s="574" t="n"/>
      <c r="AD178" s="574" t="n"/>
      <c r="AE178" s="574" t="n"/>
      <c r="AF178" s="574" t="n"/>
      <c r="AG178" s="574" t="n"/>
      <c r="AH178" s="574" t="n"/>
      <c r="AI178" s="574" t="n"/>
      <c r="AJ178" s="574" t="n"/>
      <c r="AK178" s="574" t="n"/>
      <c r="AL178" s="574" t="n"/>
      <c r="AM178" s="574" t="n"/>
      <c r="AN178" s="574" t="n"/>
      <c r="AO178" s="574" t="n"/>
      <c r="AP178" s="574" t="n"/>
      <c r="AQ178" s="574" t="n"/>
      <c r="AR178" s="574" t="n"/>
      <c r="AS178" s="574" t="n"/>
      <c r="AT178" s="574" t="n"/>
      <c r="AU178" s="574" t="n"/>
      <c r="AV178" s="574" t="n"/>
      <c r="AW178" s="574" t="n"/>
      <c r="AX178" s="574" t="n"/>
      <c r="AY178" s="574" t="n"/>
      <c r="AZ178" s="574" t="n"/>
      <c r="BA178" s="574" t="n"/>
      <c r="BB178" s="574" t="n"/>
      <c r="BC178" s="574" t="n"/>
      <c r="BD178" s="574" t="n"/>
      <c r="BE178" s="574" t="n"/>
      <c r="BF178" s="574" t="n"/>
      <c r="BG178" s="574" t="n"/>
      <c r="BH178" s="574" t="n"/>
      <c r="BI178" s="574" t="n"/>
      <c r="BJ178" s="574" t="n"/>
      <c r="BK178" s="574" t="n"/>
      <c r="BL178" s="574" t="n"/>
      <c r="BM178" s="574" t="n"/>
      <c r="BN178" s="574" t="n"/>
      <c r="BO178" s="574" t="n"/>
      <c r="BP178" s="574" t="n"/>
      <c r="BQ178" s="574" t="n"/>
      <c r="BR178" s="574" t="n"/>
      <c r="BS178" s="574" t="n"/>
      <c r="BT178" s="574" t="n"/>
      <c r="BU178" s="574" t="n"/>
      <c r="BV178" s="574" t="n"/>
      <c r="BW178" s="574" t="n"/>
      <c r="BX178" s="574" t="n"/>
      <c r="BY178" s="574" t="n"/>
      <c r="BZ178" s="574" t="n"/>
      <c r="CA178" s="574" t="n"/>
      <c r="CB178" s="574" t="n"/>
      <c r="CC178" s="574" t="n"/>
      <c r="CD178" s="574" t="n"/>
      <c r="CE178" s="574" t="n"/>
      <c r="CF178" s="574" t="n"/>
      <c r="CG178" s="574" t="n"/>
      <c r="CH178" s="574" t="n"/>
      <c r="CI178" s="574" t="n"/>
      <c r="CJ178" s="574" t="n"/>
      <c r="CK178" s="574" t="n"/>
      <c r="CL178" s="574" t="n"/>
      <c r="CM178" s="574" t="n"/>
      <c r="CN178" s="574" t="n"/>
      <c r="CO178" s="574" t="n"/>
      <c r="CP178" s="574" t="n"/>
      <c r="CQ178" s="574" t="n"/>
      <c r="CR178" s="574" t="n"/>
      <c r="CS178" s="574" t="n"/>
      <c r="CT178" s="574" t="n"/>
      <c r="CU178" s="574" t="n"/>
      <c r="CV178" s="574" t="n"/>
      <c r="CW178" s="574" t="n"/>
      <c r="CX178" s="574" t="n"/>
      <c r="CY178" s="574" t="n"/>
      <c r="CZ178" s="574" t="n"/>
      <c r="DA178" s="574" t="n"/>
      <c r="DB178" s="574" t="n"/>
      <c r="DC178" s="574" t="n"/>
      <c r="DD178" s="574" t="n"/>
      <c r="DE178" s="574" t="n"/>
      <c r="DF178" s="574" t="n"/>
      <c r="DG178" s="574" t="n"/>
      <c r="DH178" s="574" t="n"/>
      <c r="DI178" s="574" t="n"/>
      <c r="DJ178" s="574" t="n"/>
      <c r="DK178" s="574" t="n"/>
      <c r="DL178" s="574" t="n"/>
      <c r="DM178" s="574" t="n"/>
      <c r="DN178" s="574" t="n"/>
      <c r="DO178" s="574" t="n"/>
      <c r="DP178" s="574" t="n"/>
      <c r="DQ178" s="574" t="n"/>
      <c r="DR178" s="574" t="n"/>
      <c r="DS178" s="574" t="n"/>
      <c r="DT178" s="574" t="n"/>
      <c r="DU178" s="574" t="n"/>
      <c r="DV178" s="574" t="n"/>
      <c r="DW178" s="574" t="n"/>
      <c r="DX178" s="574" t="n"/>
      <c r="DY178" s="574" t="n"/>
      <c r="DZ178" s="574" t="n"/>
      <c r="EA178" s="574" t="n"/>
      <c r="EB178" s="574" t="n"/>
      <c r="EC178" s="574" t="n"/>
      <c r="ED178" s="574" t="n"/>
      <c r="EE178" s="574" t="n"/>
      <c r="EF178" s="574" t="n"/>
      <c r="EG178" s="574" t="n"/>
      <c r="EH178" s="574" t="n"/>
      <c r="EI178" s="574" t="n"/>
      <c r="EJ178" s="574" t="n"/>
      <c r="EK178" s="574" t="n"/>
      <c r="EL178" s="574" t="n"/>
      <c r="EM178" s="574" t="n"/>
      <c r="EN178" s="574" t="n"/>
      <c r="EO178" s="574" t="n"/>
      <c r="EP178" s="574" t="n"/>
      <c r="EQ178" s="574" t="n"/>
      <c r="ER178" s="574" t="n"/>
      <c r="ES178" s="574" t="n"/>
      <c r="ET178" s="574" t="n"/>
      <c r="EU178" s="574" t="n"/>
      <c r="EV178" s="574" t="n"/>
      <c r="EW178" s="574" t="n"/>
      <c r="EX178" s="574" t="n"/>
      <c r="EY178" s="574" t="n"/>
      <c r="EZ178" s="574" t="n"/>
      <c r="FA178" s="574" t="n"/>
      <c r="FB178" s="574" t="n"/>
      <c r="FC178" s="574" t="n"/>
      <c r="FD178" s="574" t="n"/>
      <c r="FE178" s="574" t="n"/>
      <c r="FF178" s="574" t="n"/>
      <c r="FG178" s="574" t="n"/>
      <c r="FH178" s="574" t="n"/>
      <c r="FI178" s="574" t="n"/>
      <c r="FJ178" s="574" t="n"/>
      <c r="FK178" s="574" t="n"/>
      <c r="FL178" s="574" t="n"/>
      <c r="FM178" s="574" t="n"/>
      <c r="FN178" s="574" t="n"/>
      <c r="FO178" s="574" t="n"/>
      <c r="FP178" s="574" t="n"/>
      <c r="FQ178" s="574" t="n"/>
      <c r="FR178" s="574" t="n"/>
      <c r="FS178" s="574" t="n"/>
      <c r="FT178" s="574" t="n"/>
      <c r="FU178" s="574" t="n"/>
      <c r="FV178" s="574" t="n"/>
      <c r="FW178" s="574" t="n"/>
      <c r="FX178" s="574" t="n"/>
      <c r="FY178" s="574" t="n"/>
      <c r="FZ178" s="574" t="n"/>
      <c r="GA178" s="574" t="n"/>
      <c r="GB178" s="574" t="n"/>
      <c r="GC178" s="574" t="n"/>
      <c r="GD178" s="574" t="n"/>
      <c r="GE178" s="574" t="n"/>
      <c r="GF178" s="574" t="n"/>
    </row>
    <row r="179" customFormat="1" s="568">
      <c r="A179" s="86" t="n"/>
      <c r="B179" s="85" t="n"/>
      <c r="C179" s="84">
        <f>IFERROR(IF(AND($E179&gt;0,$D179&lt;&gt;"The Public"),$E179/SUMIFS($E$10:$E$205,$E$10:$E$205,"&gt;0",$D$10:$D$205,"&lt;&gt;The Public")*$D$5,""),"")</f>
        <v/>
      </c>
      <c r="D179" s="68" t="n"/>
      <c r="E179" s="84">
        <f>SUM(G179:HY179)</f>
        <v/>
      </c>
      <c r="M179" s="574" t="n"/>
      <c r="N179" s="574" t="n"/>
      <c r="O179" s="574" t="n"/>
      <c r="P179" s="574" t="n"/>
      <c r="Q179" s="574" t="n"/>
      <c r="R179" s="574" t="n"/>
      <c r="S179" s="574" t="n"/>
      <c r="T179" s="574" t="n"/>
      <c r="U179" s="574" t="n"/>
      <c r="V179" s="574" t="n"/>
      <c r="W179" s="574" t="n"/>
      <c r="X179" s="574" t="n"/>
      <c r="Y179" s="574" t="n"/>
      <c r="Z179" s="574" t="n"/>
      <c r="AA179" s="574" t="n"/>
      <c r="AB179" s="574" t="n"/>
      <c r="AC179" s="574" t="n"/>
      <c r="AD179" s="574" t="n"/>
      <c r="AE179" s="574" t="n"/>
      <c r="AF179" s="574" t="n"/>
      <c r="AG179" s="574" t="n"/>
      <c r="AH179" s="574" t="n"/>
      <c r="AI179" s="574" t="n"/>
      <c r="AJ179" s="574" t="n"/>
      <c r="AK179" s="574" t="n"/>
      <c r="AL179" s="574" t="n"/>
      <c r="AM179" s="574" t="n"/>
      <c r="AN179" s="574" t="n"/>
      <c r="AO179" s="574" t="n"/>
      <c r="AP179" s="574" t="n"/>
      <c r="AQ179" s="574" t="n"/>
      <c r="AR179" s="574" t="n"/>
      <c r="AS179" s="574" t="n"/>
      <c r="AT179" s="574" t="n"/>
      <c r="AU179" s="574" t="n"/>
      <c r="AV179" s="574" t="n"/>
      <c r="AW179" s="574" t="n"/>
      <c r="AX179" s="574" t="n"/>
      <c r="AY179" s="574" t="n"/>
      <c r="AZ179" s="574" t="n"/>
      <c r="BA179" s="574" t="n"/>
      <c r="BB179" s="574" t="n"/>
      <c r="BC179" s="574" t="n"/>
      <c r="BD179" s="574" t="n"/>
      <c r="BE179" s="574" t="n"/>
      <c r="BF179" s="574" t="n"/>
      <c r="BG179" s="574" t="n"/>
      <c r="BH179" s="574" t="n"/>
      <c r="BI179" s="574" t="n"/>
      <c r="BJ179" s="574" t="n"/>
      <c r="BK179" s="574" t="n"/>
      <c r="BL179" s="574" t="n"/>
      <c r="BM179" s="574" t="n"/>
      <c r="BN179" s="574" t="n"/>
      <c r="BO179" s="574" t="n"/>
      <c r="BP179" s="574" t="n"/>
      <c r="BQ179" s="574" t="n"/>
      <c r="BR179" s="574" t="n"/>
      <c r="BS179" s="574" t="n"/>
      <c r="BT179" s="574" t="n"/>
      <c r="BU179" s="574" t="n"/>
      <c r="BV179" s="574" t="n"/>
      <c r="BW179" s="574" t="n"/>
      <c r="BX179" s="574" t="n"/>
      <c r="BY179" s="574" t="n"/>
      <c r="BZ179" s="574" t="n"/>
      <c r="CA179" s="574" t="n"/>
      <c r="CB179" s="574" t="n"/>
      <c r="CC179" s="574" t="n"/>
      <c r="CD179" s="574" t="n"/>
      <c r="CE179" s="574" t="n"/>
      <c r="CF179" s="574" t="n"/>
      <c r="CG179" s="574" t="n"/>
      <c r="CH179" s="574" t="n"/>
      <c r="CI179" s="574" t="n"/>
      <c r="CJ179" s="574" t="n"/>
      <c r="CK179" s="574" t="n"/>
      <c r="CL179" s="574" t="n"/>
      <c r="CM179" s="574" t="n"/>
      <c r="CN179" s="574" t="n"/>
      <c r="CO179" s="574" t="n"/>
      <c r="CP179" s="574" t="n"/>
      <c r="CQ179" s="574" t="n"/>
      <c r="CR179" s="574" t="n"/>
      <c r="CS179" s="574" t="n"/>
      <c r="CT179" s="574" t="n"/>
      <c r="CU179" s="574" t="n"/>
      <c r="CV179" s="574" t="n"/>
      <c r="CW179" s="574" t="n"/>
      <c r="CX179" s="574" t="n"/>
      <c r="CY179" s="574" t="n"/>
      <c r="CZ179" s="574" t="n"/>
      <c r="DA179" s="574" t="n"/>
      <c r="DB179" s="574" t="n"/>
      <c r="DC179" s="574" t="n"/>
      <c r="DD179" s="574" t="n"/>
      <c r="DE179" s="574" t="n"/>
      <c r="DF179" s="574" t="n"/>
      <c r="DG179" s="574" t="n"/>
      <c r="DH179" s="574" t="n"/>
      <c r="DI179" s="574" t="n"/>
      <c r="DJ179" s="574" t="n"/>
      <c r="DK179" s="574" t="n"/>
      <c r="DL179" s="574" t="n"/>
      <c r="DM179" s="574" t="n"/>
      <c r="DN179" s="574" t="n"/>
      <c r="DO179" s="574" t="n"/>
      <c r="DP179" s="574" t="n"/>
      <c r="DQ179" s="574" t="n"/>
      <c r="DR179" s="574" t="n"/>
      <c r="DS179" s="574" t="n"/>
      <c r="DT179" s="574" t="n"/>
      <c r="DU179" s="574" t="n"/>
      <c r="DV179" s="574" t="n"/>
      <c r="DW179" s="574" t="n"/>
      <c r="DX179" s="574" t="n"/>
      <c r="DY179" s="574" t="n"/>
      <c r="DZ179" s="574" t="n"/>
      <c r="EA179" s="574" t="n"/>
      <c r="EB179" s="574" t="n"/>
      <c r="EC179" s="574" t="n"/>
      <c r="ED179" s="574" t="n"/>
      <c r="EE179" s="574" t="n"/>
      <c r="EF179" s="574" t="n"/>
      <c r="EG179" s="574" t="n"/>
      <c r="EH179" s="574" t="n"/>
      <c r="EI179" s="574" t="n"/>
      <c r="EJ179" s="574" t="n"/>
      <c r="EK179" s="574" t="n"/>
      <c r="EL179" s="574" t="n"/>
      <c r="EM179" s="574" t="n"/>
      <c r="EN179" s="574" t="n"/>
      <c r="EO179" s="574" t="n"/>
      <c r="EP179" s="574" t="n"/>
      <c r="EQ179" s="574" t="n"/>
      <c r="ER179" s="574" t="n"/>
      <c r="ES179" s="574" t="n"/>
      <c r="ET179" s="574" t="n"/>
      <c r="EU179" s="574" t="n"/>
      <c r="EV179" s="574" t="n"/>
      <c r="EW179" s="574" t="n"/>
      <c r="EX179" s="574" t="n"/>
      <c r="EY179" s="574" t="n"/>
      <c r="EZ179" s="574" t="n"/>
      <c r="FA179" s="574" t="n"/>
      <c r="FB179" s="574" t="n"/>
      <c r="FC179" s="574" t="n"/>
      <c r="FD179" s="574" t="n"/>
      <c r="FE179" s="574" t="n"/>
      <c r="FF179" s="574" t="n"/>
      <c r="FG179" s="574" t="n"/>
      <c r="FH179" s="574" t="n"/>
      <c r="FI179" s="574" t="n"/>
      <c r="FJ179" s="574" t="n"/>
      <c r="FK179" s="574" t="n"/>
      <c r="FL179" s="574" t="n"/>
      <c r="FM179" s="574" t="n"/>
      <c r="FN179" s="574" t="n"/>
      <c r="FO179" s="574" t="n"/>
      <c r="FP179" s="574" t="n"/>
      <c r="FQ179" s="574" t="n"/>
      <c r="FR179" s="574" t="n"/>
      <c r="FS179" s="574" t="n"/>
      <c r="FT179" s="574" t="n"/>
      <c r="FU179" s="574" t="n"/>
      <c r="FV179" s="574" t="n"/>
      <c r="FW179" s="574" t="n"/>
      <c r="FX179" s="574" t="n"/>
      <c r="FY179" s="574" t="n"/>
      <c r="FZ179" s="574" t="n"/>
      <c r="GA179" s="574" t="n"/>
      <c r="GB179" s="574" t="n"/>
      <c r="GC179" s="574" t="n"/>
      <c r="GD179" s="574" t="n"/>
      <c r="GE179" s="574" t="n"/>
      <c r="GF179" s="574" t="n"/>
    </row>
    <row r="180" customFormat="1" s="568">
      <c r="A180" s="86" t="n"/>
      <c r="B180" s="85" t="n"/>
      <c r="C180" s="84">
        <f>IFERROR(IF(AND($E180&gt;0,$D180&lt;&gt;"The Public"),$E180/SUMIFS($E$10:$E$205,$E$10:$E$205,"&gt;0",$D$10:$D$205,"&lt;&gt;The Public")*$D$5,""),"")</f>
        <v/>
      </c>
      <c r="D180" s="68" t="n"/>
      <c r="E180" s="84">
        <f>SUM(G180:HY180)</f>
        <v/>
      </c>
      <c r="M180" s="574" t="n"/>
      <c r="N180" s="574" t="n"/>
      <c r="O180" s="574" t="n"/>
      <c r="P180" s="574" t="n"/>
      <c r="Q180" s="574" t="n"/>
      <c r="R180" s="574" t="n"/>
      <c r="S180" s="574" t="n"/>
      <c r="T180" s="574" t="n"/>
      <c r="U180" s="574" t="n"/>
      <c r="V180" s="574" t="n"/>
      <c r="W180" s="574" t="n"/>
      <c r="X180" s="574" t="n"/>
      <c r="Y180" s="574" t="n"/>
      <c r="Z180" s="574" t="n"/>
      <c r="AA180" s="574" t="n"/>
      <c r="AB180" s="574" t="n"/>
      <c r="AC180" s="574" t="n"/>
      <c r="AD180" s="574" t="n"/>
      <c r="AE180" s="574" t="n"/>
      <c r="AF180" s="574" t="n"/>
      <c r="AG180" s="574" t="n"/>
      <c r="AH180" s="574" t="n"/>
      <c r="AI180" s="574" t="n"/>
      <c r="AJ180" s="574" t="n"/>
      <c r="AK180" s="574" t="n"/>
      <c r="AL180" s="574" t="n"/>
      <c r="AM180" s="574" t="n"/>
      <c r="AN180" s="574" t="n"/>
      <c r="AO180" s="574" t="n"/>
      <c r="AP180" s="574" t="n"/>
      <c r="AQ180" s="574" t="n"/>
      <c r="AR180" s="574" t="n"/>
      <c r="AS180" s="574" t="n"/>
      <c r="AT180" s="574" t="n"/>
      <c r="AU180" s="574" t="n"/>
      <c r="AV180" s="574" t="n"/>
      <c r="AW180" s="574" t="n"/>
      <c r="AX180" s="574" t="n"/>
      <c r="AY180" s="574" t="n"/>
      <c r="AZ180" s="574" t="n"/>
      <c r="BA180" s="574" t="n"/>
      <c r="BB180" s="574" t="n"/>
      <c r="BC180" s="574" t="n"/>
      <c r="BD180" s="574" t="n"/>
      <c r="BE180" s="574" t="n"/>
      <c r="BF180" s="574" t="n"/>
      <c r="BG180" s="574" t="n"/>
      <c r="BH180" s="574" t="n"/>
      <c r="BI180" s="574" t="n"/>
      <c r="BJ180" s="574" t="n"/>
      <c r="BK180" s="574" t="n"/>
      <c r="BL180" s="574" t="n"/>
      <c r="BM180" s="574" t="n"/>
      <c r="BN180" s="574" t="n"/>
      <c r="BO180" s="574" t="n"/>
      <c r="BP180" s="574" t="n"/>
      <c r="BQ180" s="574" t="n"/>
      <c r="BR180" s="574" t="n"/>
      <c r="BS180" s="574" t="n"/>
      <c r="BT180" s="574" t="n"/>
      <c r="BU180" s="574" t="n"/>
      <c r="BV180" s="574" t="n"/>
      <c r="BW180" s="574" t="n"/>
      <c r="BX180" s="574" t="n"/>
      <c r="BY180" s="574" t="n"/>
      <c r="BZ180" s="574" t="n"/>
      <c r="CA180" s="574" t="n"/>
      <c r="CB180" s="574" t="n"/>
      <c r="CC180" s="574" t="n"/>
      <c r="CD180" s="574" t="n"/>
      <c r="CE180" s="574" t="n"/>
      <c r="CF180" s="574" t="n"/>
      <c r="CG180" s="574" t="n"/>
      <c r="CH180" s="574" t="n"/>
      <c r="CI180" s="574" t="n"/>
      <c r="CJ180" s="574" t="n"/>
      <c r="CK180" s="574" t="n"/>
      <c r="CL180" s="574" t="n"/>
      <c r="CM180" s="574" t="n"/>
      <c r="CN180" s="574" t="n"/>
      <c r="CO180" s="574" t="n"/>
      <c r="CP180" s="574" t="n"/>
      <c r="CQ180" s="574" t="n"/>
      <c r="CR180" s="574" t="n"/>
      <c r="CS180" s="574" t="n"/>
      <c r="CT180" s="574" t="n"/>
      <c r="CU180" s="574" t="n"/>
      <c r="CV180" s="574" t="n"/>
      <c r="CW180" s="574" t="n"/>
      <c r="CX180" s="574" t="n"/>
      <c r="CY180" s="574" t="n"/>
      <c r="CZ180" s="574" t="n"/>
      <c r="DA180" s="574" t="n"/>
      <c r="DB180" s="574" t="n"/>
      <c r="DC180" s="574" t="n"/>
      <c r="DD180" s="574" t="n"/>
      <c r="DE180" s="574" t="n"/>
      <c r="DF180" s="574" t="n"/>
      <c r="DG180" s="574" t="n"/>
      <c r="DH180" s="574" t="n"/>
      <c r="DI180" s="574" t="n"/>
      <c r="DJ180" s="574" t="n"/>
      <c r="DK180" s="574" t="n"/>
      <c r="DL180" s="574" t="n"/>
      <c r="DM180" s="574" t="n"/>
      <c r="DN180" s="574" t="n"/>
      <c r="DO180" s="574" t="n"/>
      <c r="DP180" s="574" t="n"/>
      <c r="DQ180" s="574" t="n"/>
      <c r="DR180" s="574" t="n"/>
      <c r="DS180" s="574" t="n"/>
      <c r="DT180" s="574" t="n"/>
      <c r="DU180" s="574" t="n"/>
      <c r="DV180" s="574" t="n"/>
      <c r="DW180" s="574" t="n"/>
      <c r="DX180" s="574" t="n"/>
      <c r="DY180" s="574" t="n"/>
      <c r="DZ180" s="574" t="n"/>
      <c r="EA180" s="574" t="n"/>
      <c r="EB180" s="574" t="n"/>
      <c r="EC180" s="574" t="n"/>
      <c r="ED180" s="574" t="n"/>
      <c r="EE180" s="574" t="n"/>
      <c r="EF180" s="574" t="n"/>
      <c r="EG180" s="574" t="n"/>
      <c r="EH180" s="574" t="n"/>
      <c r="EI180" s="574" t="n"/>
      <c r="EJ180" s="574" t="n"/>
      <c r="EK180" s="574" t="n"/>
      <c r="EL180" s="574" t="n"/>
      <c r="EM180" s="574" t="n"/>
      <c r="EN180" s="574" t="n"/>
      <c r="EO180" s="574" t="n"/>
      <c r="EP180" s="574" t="n"/>
      <c r="EQ180" s="574" t="n"/>
      <c r="ER180" s="574" t="n"/>
      <c r="ES180" s="574" t="n"/>
      <c r="ET180" s="574" t="n"/>
      <c r="EU180" s="574" t="n"/>
      <c r="EV180" s="574" t="n"/>
      <c r="EW180" s="574" t="n"/>
      <c r="EX180" s="574" t="n"/>
      <c r="EY180" s="574" t="n"/>
      <c r="EZ180" s="574" t="n"/>
      <c r="FA180" s="574" t="n"/>
      <c r="FB180" s="574" t="n"/>
      <c r="FC180" s="574" t="n"/>
      <c r="FD180" s="574" t="n"/>
      <c r="FE180" s="574" t="n"/>
      <c r="FF180" s="574" t="n"/>
      <c r="FG180" s="574" t="n"/>
      <c r="FH180" s="574" t="n"/>
      <c r="FI180" s="574" t="n"/>
      <c r="FJ180" s="574" t="n"/>
      <c r="FK180" s="574" t="n"/>
      <c r="FL180" s="574" t="n"/>
      <c r="FM180" s="574" t="n"/>
      <c r="FN180" s="574" t="n"/>
      <c r="FO180" s="574" t="n"/>
      <c r="FP180" s="574" t="n"/>
      <c r="FQ180" s="574" t="n"/>
      <c r="FR180" s="574" t="n"/>
      <c r="FS180" s="574" t="n"/>
      <c r="FT180" s="574" t="n"/>
      <c r="FU180" s="574" t="n"/>
      <c r="FV180" s="574" t="n"/>
      <c r="FW180" s="574" t="n"/>
      <c r="FX180" s="574" t="n"/>
      <c r="FY180" s="574" t="n"/>
      <c r="FZ180" s="574" t="n"/>
      <c r="GA180" s="574" t="n"/>
      <c r="GB180" s="574" t="n"/>
      <c r="GC180" s="574" t="n"/>
      <c r="GD180" s="574" t="n"/>
      <c r="GE180" s="574" t="n"/>
      <c r="GF180" s="574" t="n"/>
    </row>
    <row r="181" customFormat="1" s="568">
      <c r="A181" s="86" t="n"/>
      <c r="B181" s="85" t="n"/>
      <c r="C181" s="84">
        <f>IFERROR(IF(AND($E181&gt;0,$D181&lt;&gt;"The Public"),$E181/SUMIFS($E$10:$E$205,$E$10:$E$205,"&gt;0",$D$10:$D$205,"&lt;&gt;The Public")*$D$5,""),"")</f>
        <v/>
      </c>
      <c r="D181" s="68" t="n"/>
      <c r="E181" s="84">
        <f>SUM(G181:HY181)</f>
        <v/>
      </c>
      <c r="M181" s="574" t="n"/>
      <c r="N181" s="574" t="n"/>
      <c r="O181" s="574" t="n"/>
      <c r="P181" s="574" t="n"/>
      <c r="Q181" s="574" t="n"/>
      <c r="R181" s="574" t="n"/>
      <c r="S181" s="574" t="n"/>
      <c r="T181" s="574" t="n"/>
      <c r="U181" s="574" t="n"/>
      <c r="V181" s="574" t="n"/>
      <c r="W181" s="574" t="n"/>
      <c r="X181" s="574" t="n"/>
      <c r="Y181" s="574" t="n"/>
      <c r="Z181" s="574" t="n"/>
      <c r="AA181" s="574" t="n"/>
      <c r="AB181" s="574" t="n"/>
      <c r="AC181" s="574" t="n"/>
      <c r="AD181" s="574" t="n"/>
      <c r="AE181" s="574" t="n"/>
      <c r="AF181" s="574" t="n"/>
      <c r="AG181" s="574" t="n"/>
      <c r="AH181" s="574" t="n"/>
      <c r="AI181" s="574" t="n"/>
      <c r="AJ181" s="574" t="n"/>
      <c r="AK181" s="574" t="n"/>
      <c r="AL181" s="574" t="n"/>
      <c r="AM181" s="574" t="n"/>
      <c r="AN181" s="574" t="n"/>
      <c r="AO181" s="574" t="n"/>
      <c r="AP181" s="574" t="n"/>
      <c r="AQ181" s="574" t="n"/>
      <c r="AR181" s="574" t="n"/>
      <c r="AS181" s="574" t="n"/>
      <c r="AT181" s="574" t="n"/>
      <c r="AU181" s="574" t="n"/>
      <c r="AV181" s="574" t="n"/>
      <c r="AW181" s="574" t="n"/>
      <c r="AX181" s="574" t="n"/>
      <c r="AY181" s="574" t="n"/>
      <c r="AZ181" s="574" t="n"/>
      <c r="BA181" s="574" t="n"/>
      <c r="BB181" s="574" t="n"/>
      <c r="BC181" s="574" t="n"/>
      <c r="BD181" s="574" t="n"/>
      <c r="BE181" s="574" t="n"/>
      <c r="BF181" s="574" t="n"/>
      <c r="BG181" s="574" t="n"/>
      <c r="BH181" s="574" t="n"/>
      <c r="BI181" s="574" t="n"/>
      <c r="BJ181" s="574" t="n"/>
      <c r="BK181" s="574" t="n"/>
      <c r="BL181" s="574" t="n"/>
      <c r="BM181" s="574" t="n"/>
      <c r="BN181" s="574" t="n"/>
      <c r="BO181" s="574" t="n"/>
      <c r="BP181" s="574" t="n"/>
      <c r="BQ181" s="574" t="n"/>
      <c r="BR181" s="574" t="n"/>
      <c r="BS181" s="574" t="n"/>
      <c r="BT181" s="574" t="n"/>
      <c r="BU181" s="574" t="n"/>
      <c r="BV181" s="574" t="n"/>
      <c r="BW181" s="574" t="n"/>
      <c r="BX181" s="574" t="n"/>
      <c r="BY181" s="574" t="n"/>
      <c r="BZ181" s="574" t="n"/>
      <c r="CA181" s="574" t="n"/>
      <c r="CB181" s="574" t="n"/>
      <c r="CC181" s="574" t="n"/>
      <c r="CD181" s="574" t="n"/>
      <c r="CE181" s="574" t="n"/>
      <c r="CF181" s="574" t="n"/>
      <c r="CG181" s="574" t="n"/>
      <c r="CH181" s="574" t="n"/>
      <c r="CI181" s="574" t="n"/>
      <c r="CJ181" s="574" t="n"/>
      <c r="CK181" s="574" t="n"/>
      <c r="CL181" s="574" t="n"/>
      <c r="CM181" s="574" t="n"/>
      <c r="CN181" s="574" t="n"/>
      <c r="CO181" s="574" t="n"/>
      <c r="CP181" s="574" t="n"/>
      <c r="CQ181" s="574" t="n"/>
      <c r="CR181" s="574" t="n"/>
      <c r="CS181" s="574" t="n"/>
      <c r="CT181" s="574" t="n"/>
      <c r="CU181" s="574" t="n"/>
      <c r="CV181" s="574" t="n"/>
      <c r="CW181" s="574" t="n"/>
      <c r="CX181" s="574" t="n"/>
      <c r="CY181" s="574" t="n"/>
      <c r="CZ181" s="574" t="n"/>
      <c r="DA181" s="574" t="n"/>
      <c r="DB181" s="574" t="n"/>
      <c r="DC181" s="574" t="n"/>
      <c r="DD181" s="574" t="n"/>
      <c r="DE181" s="574" t="n"/>
      <c r="DF181" s="574" t="n"/>
      <c r="DG181" s="574" t="n"/>
      <c r="DH181" s="574" t="n"/>
      <c r="DI181" s="574" t="n"/>
      <c r="DJ181" s="574" t="n"/>
      <c r="DK181" s="574" t="n"/>
      <c r="DL181" s="574" t="n"/>
      <c r="DM181" s="574" t="n"/>
      <c r="DN181" s="574" t="n"/>
      <c r="DO181" s="574" t="n"/>
      <c r="DP181" s="574" t="n"/>
      <c r="DQ181" s="574" t="n"/>
      <c r="DR181" s="574" t="n"/>
      <c r="DS181" s="574" t="n"/>
      <c r="DT181" s="574" t="n"/>
      <c r="DU181" s="574" t="n"/>
      <c r="DV181" s="574" t="n"/>
      <c r="DW181" s="574" t="n"/>
      <c r="DX181" s="574" t="n"/>
      <c r="DY181" s="574" t="n"/>
      <c r="DZ181" s="574" t="n"/>
      <c r="EA181" s="574" t="n"/>
      <c r="EB181" s="574" t="n"/>
      <c r="EC181" s="574" t="n"/>
      <c r="ED181" s="574" t="n"/>
      <c r="EE181" s="574" t="n"/>
      <c r="EF181" s="574" t="n"/>
      <c r="EG181" s="574" t="n"/>
      <c r="EH181" s="574" t="n"/>
      <c r="EI181" s="574" t="n"/>
      <c r="EJ181" s="574" t="n"/>
      <c r="EK181" s="574" t="n"/>
      <c r="EL181" s="574" t="n"/>
      <c r="EM181" s="574" t="n"/>
      <c r="EN181" s="574" t="n"/>
      <c r="EO181" s="574" t="n"/>
      <c r="EP181" s="574" t="n"/>
      <c r="EQ181" s="574" t="n"/>
      <c r="ER181" s="574" t="n"/>
      <c r="ES181" s="574" t="n"/>
      <c r="ET181" s="574" t="n"/>
      <c r="EU181" s="574" t="n"/>
      <c r="EV181" s="574" t="n"/>
      <c r="EW181" s="574" t="n"/>
      <c r="EX181" s="574" t="n"/>
      <c r="EY181" s="574" t="n"/>
      <c r="EZ181" s="574" t="n"/>
      <c r="FA181" s="574" t="n"/>
      <c r="FB181" s="574" t="n"/>
      <c r="FC181" s="574" t="n"/>
      <c r="FD181" s="574" t="n"/>
      <c r="FE181" s="574" t="n"/>
      <c r="FF181" s="574" t="n"/>
      <c r="FG181" s="574" t="n"/>
      <c r="FH181" s="574" t="n"/>
      <c r="FI181" s="574" t="n"/>
      <c r="FJ181" s="574" t="n"/>
      <c r="FK181" s="574" t="n"/>
      <c r="FL181" s="574" t="n"/>
      <c r="FM181" s="574" t="n"/>
      <c r="FN181" s="574" t="n"/>
      <c r="FO181" s="574" t="n"/>
      <c r="FP181" s="574" t="n"/>
      <c r="FQ181" s="574" t="n"/>
      <c r="FR181" s="574" t="n"/>
      <c r="FS181" s="574" t="n"/>
      <c r="FT181" s="574" t="n"/>
      <c r="FU181" s="574" t="n"/>
      <c r="FV181" s="574" t="n"/>
      <c r="FW181" s="574" t="n"/>
      <c r="FX181" s="574" t="n"/>
      <c r="FY181" s="574" t="n"/>
      <c r="FZ181" s="574" t="n"/>
      <c r="GA181" s="574" t="n"/>
      <c r="GB181" s="574" t="n"/>
      <c r="GC181" s="574" t="n"/>
      <c r="GD181" s="574" t="n"/>
      <c r="GE181" s="574" t="n"/>
      <c r="GF181" s="574" t="n"/>
    </row>
    <row r="182" customFormat="1" s="568">
      <c r="A182" s="86" t="n"/>
      <c r="B182" s="85" t="n"/>
      <c r="C182" s="84">
        <f>IFERROR(IF(AND($E182&gt;0,$D182&lt;&gt;"The Public"),$E182/SUMIFS($E$10:$E$205,$E$10:$E$205,"&gt;0",$D$10:$D$205,"&lt;&gt;The Public")*$D$5,""),"")</f>
        <v/>
      </c>
      <c r="D182" s="68" t="n"/>
      <c r="E182" s="84">
        <f>SUM(G182:HY182)</f>
        <v/>
      </c>
      <c r="M182" s="574" t="n"/>
      <c r="N182" s="574" t="n"/>
      <c r="O182" s="574" t="n"/>
      <c r="P182" s="574" t="n"/>
      <c r="Q182" s="574" t="n"/>
      <c r="R182" s="574" t="n"/>
      <c r="S182" s="574" t="n"/>
      <c r="T182" s="574" t="n"/>
      <c r="U182" s="574" t="n"/>
      <c r="V182" s="574" t="n"/>
      <c r="W182" s="574" t="n"/>
      <c r="X182" s="574" t="n"/>
      <c r="Y182" s="574" t="n"/>
      <c r="Z182" s="574" t="n"/>
      <c r="AA182" s="574" t="n"/>
      <c r="AB182" s="574" t="n"/>
      <c r="AC182" s="574" t="n"/>
      <c r="AD182" s="574" t="n"/>
      <c r="AE182" s="574" t="n"/>
      <c r="AF182" s="574" t="n"/>
      <c r="AG182" s="574" t="n"/>
      <c r="AH182" s="574" t="n"/>
      <c r="AI182" s="574" t="n"/>
      <c r="AJ182" s="574" t="n"/>
      <c r="AK182" s="574" t="n"/>
      <c r="AL182" s="574" t="n"/>
      <c r="AM182" s="574" t="n"/>
      <c r="AN182" s="574" t="n"/>
      <c r="AO182" s="574" t="n"/>
      <c r="AP182" s="574" t="n"/>
      <c r="AQ182" s="574" t="n"/>
      <c r="AR182" s="574" t="n"/>
      <c r="AS182" s="574" t="n"/>
      <c r="AT182" s="574" t="n"/>
      <c r="AU182" s="574" t="n"/>
      <c r="AV182" s="574" t="n"/>
      <c r="AW182" s="574" t="n"/>
      <c r="AX182" s="574" t="n"/>
      <c r="AY182" s="574" t="n"/>
      <c r="AZ182" s="574" t="n"/>
      <c r="BA182" s="574" t="n"/>
      <c r="BB182" s="574" t="n"/>
      <c r="BC182" s="574" t="n"/>
      <c r="BD182" s="574" t="n"/>
      <c r="BE182" s="574" t="n"/>
      <c r="BF182" s="574" t="n"/>
      <c r="BG182" s="574" t="n"/>
      <c r="BH182" s="574" t="n"/>
      <c r="BI182" s="574" t="n"/>
      <c r="BJ182" s="574" t="n"/>
      <c r="BK182" s="574" t="n"/>
      <c r="BL182" s="574" t="n"/>
      <c r="BM182" s="574" t="n"/>
      <c r="BN182" s="574" t="n"/>
      <c r="BO182" s="574" t="n"/>
      <c r="BP182" s="574" t="n"/>
      <c r="BQ182" s="574" t="n"/>
      <c r="BR182" s="574" t="n"/>
      <c r="BS182" s="574" t="n"/>
      <c r="BT182" s="574" t="n"/>
      <c r="BU182" s="574" t="n"/>
      <c r="BV182" s="574" t="n"/>
      <c r="BW182" s="574" t="n"/>
      <c r="BX182" s="574" t="n"/>
      <c r="BY182" s="574" t="n"/>
      <c r="BZ182" s="574" t="n"/>
      <c r="CA182" s="574" t="n"/>
      <c r="CB182" s="574" t="n"/>
      <c r="CC182" s="574" t="n"/>
      <c r="CD182" s="574" t="n"/>
      <c r="CE182" s="574" t="n"/>
      <c r="CF182" s="574" t="n"/>
      <c r="CG182" s="574" t="n"/>
      <c r="CH182" s="574" t="n"/>
      <c r="CI182" s="574" t="n"/>
      <c r="CJ182" s="574" t="n"/>
      <c r="CK182" s="574" t="n"/>
      <c r="CL182" s="574" t="n"/>
      <c r="CM182" s="574" t="n"/>
      <c r="CN182" s="574" t="n"/>
      <c r="CO182" s="574" t="n"/>
      <c r="CP182" s="574" t="n"/>
      <c r="CQ182" s="574" t="n"/>
      <c r="CR182" s="574" t="n"/>
      <c r="CS182" s="574" t="n"/>
      <c r="CT182" s="574" t="n"/>
      <c r="CU182" s="574" t="n"/>
      <c r="CV182" s="574" t="n"/>
      <c r="CW182" s="574" t="n"/>
      <c r="CX182" s="574" t="n"/>
      <c r="CY182" s="574" t="n"/>
      <c r="CZ182" s="574" t="n"/>
      <c r="DA182" s="574" t="n"/>
      <c r="DB182" s="574" t="n"/>
      <c r="DC182" s="574" t="n"/>
      <c r="DD182" s="574" t="n"/>
      <c r="DE182" s="574" t="n"/>
      <c r="DF182" s="574" t="n"/>
      <c r="DG182" s="574" t="n"/>
      <c r="DH182" s="574" t="n"/>
      <c r="DI182" s="574" t="n"/>
      <c r="DJ182" s="574" t="n"/>
      <c r="DK182" s="574" t="n"/>
      <c r="DL182" s="574" t="n"/>
      <c r="DM182" s="574" t="n"/>
      <c r="DN182" s="574" t="n"/>
      <c r="DO182" s="574" t="n"/>
      <c r="DP182" s="574" t="n"/>
      <c r="DQ182" s="574" t="n"/>
      <c r="DR182" s="574" t="n"/>
      <c r="DS182" s="574" t="n"/>
      <c r="DT182" s="574" t="n"/>
      <c r="DU182" s="574" t="n"/>
      <c r="DV182" s="574" t="n"/>
      <c r="DW182" s="574" t="n"/>
      <c r="DX182" s="574" t="n"/>
      <c r="DY182" s="574" t="n"/>
      <c r="DZ182" s="574" t="n"/>
      <c r="EA182" s="574" t="n"/>
      <c r="EB182" s="574" t="n"/>
      <c r="EC182" s="574" t="n"/>
      <c r="ED182" s="574" t="n"/>
      <c r="EE182" s="574" t="n"/>
      <c r="EF182" s="574" t="n"/>
      <c r="EG182" s="574" t="n"/>
      <c r="EH182" s="574" t="n"/>
      <c r="EI182" s="574" t="n"/>
      <c r="EJ182" s="574" t="n"/>
      <c r="EK182" s="574" t="n"/>
      <c r="EL182" s="574" t="n"/>
      <c r="EM182" s="574" t="n"/>
      <c r="EN182" s="574" t="n"/>
      <c r="EO182" s="574" t="n"/>
      <c r="EP182" s="574" t="n"/>
      <c r="EQ182" s="574" t="n"/>
      <c r="ER182" s="574" t="n"/>
      <c r="ES182" s="574" t="n"/>
      <c r="ET182" s="574" t="n"/>
      <c r="EU182" s="574" t="n"/>
      <c r="EV182" s="574" t="n"/>
      <c r="EW182" s="574" t="n"/>
      <c r="EX182" s="574" t="n"/>
      <c r="EY182" s="574" t="n"/>
      <c r="EZ182" s="574" t="n"/>
      <c r="FA182" s="574" t="n"/>
      <c r="FB182" s="574" t="n"/>
      <c r="FC182" s="574" t="n"/>
      <c r="FD182" s="574" t="n"/>
      <c r="FE182" s="574" t="n"/>
      <c r="FF182" s="574" t="n"/>
      <c r="FG182" s="574" t="n"/>
      <c r="FH182" s="574" t="n"/>
      <c r="FI182" s="574" t="n"/>
      <c r="FJ182" s="574" t="n"/>
      <c r="FK182" s="574" t="n"/>
      <c r="FL182" s="574" t="n"/>
      <c r="FM182" s="574" t="n"/>
      <c r="FN182" s="574" t="n"/>
      <c r="FO182" s="574" t="n"/>
      <c r="FP182" s="574" t="n"/>
      <c r="FQ182" s="574" t="n"/>
      <c r="FR182" s="574" t="n"/>
      <c r="FS182" s="574" t="n"/>
      <c r="FT182" s="574" t="n"/>
      <c r="FU182" s="574" t="n"/>
      <c r="FV182" s="574" t="n"/>
      <c r="FW182" s="574" t="n"/>
      <c r="FX182" s="574" t="n"/>
      <c r="FY182" s="574" t="n"/>
      <c r="FZ182" s="574" t="n"/>
      <c r="GA182" s="574" t="n"/>
      <c r="GB182" s="574" t="n"/>
      <c r="GC182" s="574" t="n"/>
      <c r="GD182" s="574" t="n"/>
      <c r="GE182" s="574" t="n"/>
      <c r="GF182" s="574" t="n"/>
    </row>
    <row r="183" customFormat="1" s="568">
      <c r="A183" s="86" t="n"/>
      <c r="B183" s="85" t="n"/>
      <c r="C183" s="84">
        <f>IFERROR(IF(AND($E183&gt;0,$D183&lt;&gt;"The Public"),$E183/SUMIFS($E$10:$E$205,$E$10:$E$205,"&gt;0",$D$10:$D$205,"&lt;&gt;The Public")*$D$5,""),"")</f>
        <v/>
      </c>
      <c r="D183" s="68" t="n"/>
      <c r="E183" s="84">
        <f>SUM(G183:HY183)</f>
        <v/>
      </c>
      <c r="M183" s="574" t="n"/>
      <c r="N183" s="574" t="n"/>
      <c r="O183" s="574" t="n"/>
      <c r="P183" s="574" t="n"/>
      <c r="Q183" s="574" t="n"/>
      <c r="R183" s="574" t="n"/>
      <c r="S183" s="574" t="n"/>
      <c r="T183" s="574" t="n"/>
      <c r="U183" s="574" t="n"/>
      <c r="V183" s="574" t="n"/>
      <c r="W183" s="574" t="n"/>
      <c r="X183" s="574" t="n"/>
      <c r="Y183" s="574" t="n"/>
      <c r="Z183" s="574" t="n"/>
      <c r="AA183" s="574" t="n"/>
      <c r="AB183" s="574" t="n"/>
      <c r="AC183" s="574" t="n"/>
      <c r="AD183" s="574" t="n"/>
      <c r="AE183" s="574" t="n"/>
      <c r="AF183" s="574" t="n"/>
      <c r="AG183" s="574" t="n"/>
      <c r="AH183" s="574" t="n"/>
      <c r="AI183" s="574" t="n"/>
      <c r="AJ183" s="574" t="n"/>
      <c r="AK183" s="574" t="n"/>
      <c r="AL183" s="574" t="n"/>
      <c r="AM183" s="574" t="n"/>
      <c r="AN183" s="574" t="n"/>
      <c r="AO183" s="574" t="n"/>
      <c r="AP183" s="574" t="n"/>
      <c r="AQ183" s="574" t="n"/>
      <c r="AR183" s="574" t="n"/>
      <c r="AS183" s="574" t="n"/>
      <c r="AT183" s="574" t="n"/>
      <c r="AU183" s="574" t="n"/>
      <c r="AV183" s="574" t="n"/>
      <c r="AW183" s="574" t="n"/>
      <c r="AX183" s="574" t="n"/>
      <c r="AY183" s="574" t="n"/>
      <c r="AZ183" s="574" t="n"/>
      <c r="BA183" s="574" t="n"/>
      <c r="BB183" s="574" t="n"/>
      <c r="BC183" s="574" t="n"/>
      <c r="BD183" s="574" t="n"/>
      <c r="BE183" s="574" t="n"/>
      <c r="BF183" s="574" t="n"/>
      <c r="BG183" s="574" t="n"/>
      <c r="BH183" s="574" t="n"/>
      <c r="BI183" s="574" t="n"/>
      <c r="BJ183" s="574" t="n"/>
      <c r="BK183" s="574" t="n"/>
      <c r="BL183" s="574" t="n"/>
      <c r="BM183" s="574" t="n"/>
      <c r="BN183" s="574" t="n"/>
      <c r="BO183" s="574" t="n"/>
      <c r="BP183" s="574" t="n"/>
      <c r="BQ183" s="574" t="n"/>
      <c r="BR183" s="574" t="n"/>
      <c r="BS183" s="574" t="n"/>
      <c r="BT183" s="574" t="n"/>
      <c r="BU183" s="574" t="n"/>
      <c r="BV183" s="574" t="n"/>
      <c r="BW183" s="574" t="n"/>
      <c r="BX183" s="574" t="n"/>
      <c r="BY183" s="574" t="n"/>
      <c r="BZ183" s="574" t="n"/>
      <c r="CA183" s="574" t="n"/>
      <c r="CB183" s="574" t="n"/>
      <c r="CC183" s="574" t="n"/>
      <c r="CD183" s="574" t="n"/>
      <c r="CE183" s="574" t="n"/>
      <c r="CF183" s="574" t="n"/>
      <c r="CG183" s="574" t="n"/>
      <c r="CH183" s="574" t="n"/>
      <c r="CI183" s="574" t="n"/>
      <c r="CJ183" s="574" t="n"/>
      <c r="CK183" s="574" t="n"/>
      <c r="CL183" s="574" t="n"/>
      <c r="CM183" s="574" t="n"/>
      <c r="CN183" s="574" t="n"/>
      <c r="CO183" s="574" t="n"/>
      <c r="CP183" s="574" t="n"/>
      <c r="CQ183" s="574" t="n"/>
      <c r="CR183" s="574" t="n"/>
      <c r="CS183" s="574" t="n"/>
      <c r="CT183" s="574" t="n"/>
      <c r="CU183" s="574" t="n"/>
      <c r="CV183" s="574" t="n"/>
      <c r="CW183" s="574" t="n"/>
      <c r="CX183" s="574" t="n"/>
      <c r="CY183" s="574" t="n"/>
      <c r="CZ183" s="574" t="n"/>
      <c r="DA183" s="574" t="n"/>
      <c r="DB183" s="574" t="n"/>
      <c r="DC183" s="574" t="n"/>
      <c r="DD183" s="574" t="n"/>
      <c r="DE183" s="574" t="n"/>
      <c r="DF183" s="574" t="n"/>
      <c r="DG183" s="574" t="n"/>
      <c r="DH183" s="574" t="n"/>
      <c r="DI183" s="574" t="n"/>
      <c r="DJ183" s="574" t="n"/>
      <c r="DK183" s="574" t="n"/>
      <c r="DL183" s="574" t="n"/>
      <c r="DM183" s="574" t="n"/>
      <c r="DN183" s="574" t="n"/>
      <c r="DO183" s="574" t="n"/>
      <c r="DP183" s="574" t="n"/>
      <c r="DQ183" s="574" t="n"/>
      <c r="DR183" s="574" t="n"/>
      <c r="DS183" s="574" t="n"/>
      <c r="DT183" s="574" t="n"/>
      <c r="DU183" s="574" t="n"/>
      <c r="DV183" s="574" t="n"/>
      <c r="DW183" s="574" t="n"/>
      <c r="DX183" s="574" t="n"/>
      <c r="DY183" s="574" t="n"/>
      <c r="DZ183" s="574" t="n"/>
      <c r="EA183" s="574" t="n"/>
      <c r="EB183" s="574" t="n"/>
      <c r="EC183" s="574" t="n"/>
      <c r="ED183" s="574" t="n"/>
      <c r="EE183" s="574" t="n"/>
      <c r="EF183" s="574" t="n"/>
      <c r="EG183" s="574" t="n"/>
      <c r="EH183" s="574" t="n"/>
      <c r="EI183" s="574" t="n"/>
      <c r="EJ183" s="574" t="n"/>
      <c r="EK183" s="574" t="n"/>
      <c r="EL183" s="574" t="n"/>
      <c r="EM183" s="574" t="n"/>
      <c r="EN183" s="574" t="n"/>
      <c r="EO183" s="574" t="n"/>
      <c r="EP183" s="574" t="n"/>
      <c r="EQ183" s="574" t="n"/>
      <c r="ER183" s="574" t="n"/>
      <c r="ES183" s="574" t="n"/>
      <c r="ET183" s="574" t="n"/>
      <c r="EU183" s="574" t="n"/>
      <c r="EV183" s="574" t="n"/>
      <c r="EW183" s="574" t="n"/>
      <c r="EX183" s="574" t="n"/>
      <c r="EY183" s="574" t="n"/>
      <c r="EZ183" s="574" t="n"/>
      <c r="FA183" s="574" t="n"/>
      <c r="FB183" s="574" t="n"/>
      <c r="FC183" s="574" t="n"/>
      <c r="FD183" s="574" t="n"/>
      <c r="FE183" s="574" t="n"/>
      <c r="FF183" s="574" t="n"/>
      <c r="FG183" s="574" t="n"/>
      <c r="FH183" s="574" t="n"/>
      <c r="FI183" s="574" t="n"/>
      <c r="FJ183" s="574" t="n"/>
      <c r="FK183" s="574" t="n"/>
      <c r="FL183" s="574" t="n"/>
      <c r="FM183" s="574" t="n"/>
      <c r="FN183" s="574" t="n"/>
      <c r="FO183" s="574" t="n"/>
      <c r="FP183" s="574" t="n"/>
      <c r="FQ183" s="574" t="n"/>
      <c r="FR183" s="574" t="n"/>
      <c r="FS183" s="574" t="n"/>
      <c r="FT183" s="574" t="n"/>
      <c r="FU183" s="574" t="n"/>
      <c r="FV183" s="574" t="n"/>
      <c r="FW183" s="574" t="n"/>
      <c r="FX183" s="574" t="n"/>
      <c r="FY183" s="574" t="n"/>
      <c r="FZ183" s="574" t="n"/>
      <c r="GA183" s="574" t="n"/>
      <c r="GB183" s="574" t="n"/>
      <c r="GC183" s="574" t="n"/>
      <c r="GD183" s="574" t="n"/>
      <c r="GE183" s="574" t="n"/>
      <c r="GF183" s="574" t="n"/>
    </row>
    <row r="184" customFormat="1" s="568">
      <c r="A184" s="86" t="n"/>
      <c r="B184" s="85" t="n"/>
      <c r="C184" s="84">
        <f>IFERROR(IF(AND($E184&gt;0,$D184&lt;&gt;"The Public"),$E184/SUMIFS($E$10:$E$205,$E$10:$E$205,"&gt;0",$D$10:$D$205,"&lt;&gt;The Public")*$D$5,""),"")</f>
        <v/>
      </c>
      <c r="D184" s="68" t="n"/>
      <c r="E184" s="84">
        <f>SUM(G184:HY184)</f>
        <v/>
      </c>
      <c r="M184" s="574" t="n"/>
      <c r="N184" s="574" t="n"/>
      <c r="O184" s="574" t="n"/>
      <c r="P184" s="574" t="n"/>
      <c r="Q184" s="574" t="n"/>
      <c r="R184" s="574" t="n"/>
      <c r="S184" s="574" t="n"/>
      <c r="T184" s="574" t="n"/>
      <c r="U184" s="574" t="n"/>
      <c r="V184" s="574" t="n"/>
      <c r="W184" s="574" t="n"/>
      <c r="X184" s="574" t="n"/>
      <c r="Y184" s="574" t="n"/>
      <c r="Z184" s="574" t="n"/>
      <c r="AA184" s="574" t="n"/>
      <c r="AB184" s="574" t="n"/>
      <c r="AC184" s="574" t="n"/>
      <c r="AD184" s="574" t="n"/>
      <c r="AE184" s="574" t="n"/>
      <c r="AF184" s="574" t="n"/>
      <c r="AG184" s="574" t="n"/>
      <c r="AH184" s="574" t="n"/>
      <c r="AI184" s="574" t="n"/>
      <c r="AJ184" s="574" t="n"/>
      <c r="AK184" s="574" t="n"/>
      <c r="AL184" s="574" t="n"/>
      <c r="AM184" s="574" t="n"/>
      <c r="AN184" s="574" t="n"/>
      <c r="AO184" s="574" t="n"/>
      <c r="AP184" s="574" t="n"/>
      <c r="AQ184" s="574" t="n"/>
      <c r="AR184" s="574" t="n"/>
      <c r="AS184" s="574" t="n"/>
      <c r="AT184" s="574" t="n"/>
      <c r="AU184" s="574" t="n"/>
      <c r="AV184" s="574" t="n"/>
      <c r="AW184" s="574" t="n"/>
      <c r="AX184" s="574" t="n"/>
      <c r="AY184" s="574" t="n"/>
      <c r="AZ184" s="574" t="n"/>
      <c r="BA184" s="574" t="n"/>
      <c r="BB184" s="574" t="n"/>
      <c r="BC184" s="574" t="n"/>
      <c r="BD184" s="574" t="n"/>
      <c r="BE184" s="574" t="n"/>
      <c r="BF184" s="574" t="n"/>
      <c r="BG184" s="574" t="n"/>
      <c r="BH184" s="574" t="n"/>
      <c r="BI184" s="574" t="n"/>
      <c r="BJ184" s="574" t="n"/>
      <c r="BK184" s="574" t="n"/>
      <c r="BL184" s="574" t="n"/>
      <c r="BM184" s="574" t="n"/>
      <c r="BN184" s="574" t="n"/>
      <c r="BO184" s="574" t="n"/>
      <c r="BP184" s="574" t="n"/>
      <c r="BQ184" s="574" t="n"/>
      <c r="BR184" s="574" t="n"/>
      <c r="BS184" s="574" t="n"/>
      <c r="BT184" s="574" t="n"/>
      <c r="BU184" s="574" t="n"/>
      <c r="BV184" s="574" t="n"/>
      <c r="BW184" s="574" t="n"/>
      <c r="BX184" s="574" t="n"/>
      <c r="BY184" s="574" t="n"/>
      <c r="BZ184" s="574" t="n"/>
      <c r="CA184" s="574" t="n"/>
      <c r="CB184" s="574" t="n"/>
      <c r="CC184" s="574" t="n"/>
      <c r="CD184" s="574" t="n"/>
      <c r="CE184" s="574" t="n"/>
      <c r="CF184" s="574" t="n"/>
      <c r="CG184" s="574" t="n"/>
      <c r="CH184" s="574" t="n"/>
      <c r="CI184" s="574" t="n"/>
      <c r="CJ184" s="574" t="n"/>
      <c r="CK184" s="574" t="n"/>
      <c r="CL184" s="574" t="n"/>
      <c r="CM184" s="574" t="n"/>
      <c r="CN184" s="574" t="n"/>
      <c r="CO184" s="574" t="n"/>
      <c r="CP184" s="574" t="n"/>
      <c r="CQ184" s="574" t="n"/>
      <c r="CR184" s="574" t="n"/>
      <c r="CS184" s="574" t="n"/>
      <c r="CT184" s="574" t="n"/>
      <c r="CU184" s="574" t="n"/>
      <c r="CV184" s="574" t="n"/>
      <c r="CW184" s="574" t="n"/>
      <c r="CX184" s="574" t="n"/>
      <c r="CY184" s="574" t="n"/>
      <c r="CZ184" s="574" t="n"/>
      <c r="DA184" s="574" t="n"/>
      <c r="DB184" s="574" t="n"/>
      <c r="DC184" s="574" t="n"/>
      <c r="DD184" s="574" t="n"/>
      <c r="DE184" s="574" t="n"/>
      <c r="DF184" s="574" t="n"/>
      <c r="DG184" s="574" t="n"/>
      <c r="DH184" s="574" t="n"/>
      <c r="DI184" s="574" t="n"/>
      <c r="DJ184" s="574" t="n"/>
      <c r="DK184" s="574" t="n"/>
      <c r="DL184" s="574" t="n"/>
      <c r="DM184" s="574" t="n"/>
      <c r="DN184" s="574" t="n"/>
      <c r="DO184" s="574" t="n"/>
      <c r="DP184" s="574" t="n"/>
      <c r="DQ184" s="574" t="n"/>
      <c r="DR184" s="574" t="n"/>
      <c r="DS184" s="574" t="n"/>
      <c r="DT184" s="574" t="n"/>
      <c r="DU184" s="574" t="n"/>
      <c r="DV184" s="574" t="n"/>
      <c r="DW184" s="574" t="n"/>
      <c r="DX184" s="574" t="n"/>
      <c r="DY184" s="574" t="n"/>
      <c r="DZ184" s="574" t="n"/>
      <c r="EA184" s="574" t="n"/>
      <c r="EB184" s="574" t="n"/>
      <c r="EC184" s="574" t="n"/>
      <c r="ED184" s="574" t="n"/>
      <c r="EE184" s="574" t="n"/>
      <c r="EF184" s="574" t="n"/>
      <c r="EG184" s="574" t="n"/>
      <c r="EH184" s="574" t="n"/>
      <c r="EI184" s="574" t="n"/>
      <c r="EJ184" s="574" t="n"/>
      <c r="EK184" s="574" t="n"/>
      <c r="EL184" s="574" t="n"/>
      <c r="EM184" s="574" t="n"/>
      <c r="EN184" s="574" t="n"/>
      <c r="EO184" s="574" t="n"/>
      <c r="EP184" s="574" t="n"/>
      <c r="EQ184" s="574" t="n"/>
      <c r="ER184" s="574" t="n"/>
      <c r="ES184" s="574" t="n"/>
      <c r="ET184" s="574" t="n"/>
      <c r="EU184" s="574" t="n"/>
      <c r="EV184" s="574" t="n"/>
      <c r="EW184" s="574" t="n"/>
      <c r="EX184" s="574" t="n"/>
      <c r="EY184" s="574" t="n"/>
      <c r="EZ184" s="574" t="n"/>
      <c r="FA184" s="574" t="n"/>
      <c r="FB184" s="574" t="n"/>
      <c r="FC184" s="574" t="n"/>
      <c r="FD184" s="574" t="n"/>
      <c r="FE184" s="574" t="n"/>
      <c r="FF184" s="574" t="n"/>
      <c r="FG184" s="574" t="n"/>
      <c r="FH184" s="574" t="n"/>
      <c r="FI184" s="574" t="n"/>
      <c r="FJ184" s="574" t="n"/>
      <c r="FK184" s="574" t="n"/>
      <c r="FL184" s="574" t="n"/>
      <c r="FM184" s="574" t="n"/>
      <c r="FN184" s="574" t="n"/>
      <c r="FO184" s="574" t="n"/>
      <c r="FP184" s="574" t="n"/>
      <c r="FQ184" s="574" t="n"/>
      <c r="FR184" s="574" t="n"/>
      <c r="FS184" s="574" t="n"/>
      <c r="FT184" s="574" t="n"/>
      <c r="FU184" s="574" t="n"/>
      <c r="FV184" s="574" t="n"/>
      <c r="FW184" s="574" t="n"/>
      <c r="FX184" s="574" t="n"/>
      <c r="FY184" s="574" t="n"/>
      <c r="FZ184" s="574" t="n"/>
      <c r="GA184" s="574" t="n"/>
      <c r="GB184" s="574" t="n"/>
      <c r="GC184" s="574" t="n"/>
      <c r="GD184" s="574" t="n"/>
      <c r="GE184" s="574" t="n"/>
      <c r="GF184" s="574" t="n"/>
    </row>
    <row r="185" customFormat="1" s="568">
      <c r="A185" s="86" t="n"/>
      <c r="B185" s="85" t="n"/>
      <c r="C185" s="84">
        <f>IFERROR(IF(AND($E185&gt;0,$D185&lt;&gt;"The Public"),$E185/SUMIFS($E$10:$E$205,$E$10:$E$205,"&gt;0",$D$10:$D$205,"&lt;&gt;The Public")*$D$5,""),"")</f>
        <v/>
      </c>
      <c r="D185" s="68" t="n"/>
      <c r="E185" s="84">
        <f>SUM(G185:HY185)</f>
        <v/>
      </c>
      <c r="M185" s="574" t="n"/>
      <c r="N185" s="574" t="n"/>
      <c r="O185" s="574" t="n"/>
      <c r="P185" s="574" t="n"/>
      <c r="Q185" s="574" t="n"/>
      <c r="R185" s="574" t="n"/>
      <c r="S185" s="574" t="n"/>
      <c r="T185" s="574" t="n"/>
      <c r="U185" s="574" t="n"/>
      <c r="V185" s="574" t="n"/>
      <c r="W185" s="574" t="n"/>
      <c r="X185" s="574" t="n"/>
      <c r="Y185" s="574" t="n"/>
      <c r="Z185" s="574" t="n"/>
      <c r="AA185" s="574" t="n"/>
      <c r="AB185" s="574" t="n"/>
      <c r="AC185" s="574" t="n"/>
      <c r="AD185" s="574" t="n"/>
      <c r="AE185" s="574" t="n"/>
      <c r="AF185" s="574" t="n"/>
      <c r="AG185" s="574" t="n"/>
      <c r="AH185" s="574" t="n"/>
      <c r="AI185" s="574" t="n"/>
      <c r="AJ185" s="574" t="n"/>
      <c r="AK185" s="574" t="n"/>
      <c r="AL185" s="574" t="n"/>
      <c r="AM185" s="574" t="n"/>
      <c r="AN185" s="574" t="n"/>
      <c r="AO185" s="574" t="n"/>
      <c r="AP185" s="574" t="n"/>
      <c r="AQ185" s="574" t="n"/>
      <c r="AR185" s="574" t="n"/>
      <c r="AS185" s="574" t="n"/>
      <c r="AT185" s="574" t="n"/>
      <c r="AU185" s="574" t="n"/>
      <c r="AV185" s="574" t="n"/>
      <c r="AW185" s="574" t="n"/>
      <c r="AX185" s="574" t="n"/>
      <c r="AY185" s="574" t="n"/>
      <c r="AZ185" s="574" t="n"/>
      <c r="BA185" s="574" t="n"/>
      <c r="BB185" s="574" t="n"/>
      <c r="BC185" s="574" t="n"/>
      <c r="BD185" s="574" t="n"/>
      <c r="BE185" s="574" t="n"/>
      <c r="BF185" s="574" t="n"/>
      <c r="BG185" s="574" t="n"/>
      <c r="BH185" s="574" t="n"/>
      <c r="BI185" s="574" t="n"/>
      <c r="BJ185" s="574" t="n"/>
      <c r="BK185" s="574" t="n"/>
      <c r="BL185" s="574" t="n"/>
      <c r="BM185" s="574" t="n"/>
      <c r="BN185" s="574" t="n"/>
      <c r="BO185" s="574" t="n"/>
      <c r="BP185" s="574" t="n"/>
      <c r="BQ185" s="574" t="n"/>
      <c r="BR185" s="574" t="n"/>
      <c r="BS185" s="574" t="n"/>
      <c r="BT185" s="574" t="n"/>
      <c r="BU185" s="574" t="n"/>
      <c r="BV185" s="574" t="n"/>
      <c r="BW185" s="574" t="n"/>
      <c r="BX185" s="574" t="n"/>
      <c r="BY185" s="574" t="n"/>
      <c r="BZ185" s="574" t="n"/>
      <c r="CA185" s="574" t="n"/>
      <c r="CB185" s="574" t="n"/>
      <c r="CC185" s="574" t="n"/>
      <c r="CD185" s="574" t="n"/>
      <c r="CE185" s="574" t="n"/>
      <c r="CF185" s="574" t="n"/>
      <c r="CG185" s="574" t="n"/>
      <c r="CH185" s="574" t="n"/>
      <c r="CI185" s="574" t="n"/>
      <c r="CJ185" s="574" t="n"/>
      <c r="CK185" s="574" t="n"/>
      <c r="CL185" s="574" t="n"/>
      <c r="CM185" s="574" t="n"/>
      <c r="CN185" s="574" t="n"/>
      <c r="CO185" s="574" t="n"/>
      <c r="CP185" s="574" t="n"/>
      <c r="CQ185" s="574" t="n"/>
      <c r="CR185" s="574" t="n"/>
      <c r="CS185" s="574" t="n"/>
      <c r="CT185" s="574" t="n"/>
      <c r="CU185" s="574" t="n"/>
      <c r="CV185" s="574" t="n"/>
      <c r="CW185" s="574" t="n"/>
      <c r="CX185" s="574" t="n"/>
      <c r="CY185" s="574" t="n"/>
      <c r="CZ185" s="574" t="n"/>
      <c r="DA185" s="574" t="n"/>
      <c r="DB185" s="574" t="n"/>
      <c r="DC185" s="574" t="n"/>
      <c r="DD185" s="574" t="n"/>
      <c r="DE185" s="574" t="n"/>
      <c r="DF185" s="574" t="n"/>
      <c r="DG185" s="574" t="n"/>
      <c r="DH185" s="574" t="n"/>
      <c r="DI185" s="574" t="n"/>
      <c r="DJ185" s="574" t="n"/>
      <c r="DK185" s="574" t="n"/>
      <c r="DL185" s="574" t="n"/>
      <c r="DM185" s="574" t="n"/>
      <c r="DN185" s="574" t="n"/>
      <c r="DO185" s="574" t="n"/>
      <c r="DP185" s="574" t="n"/>
      <c r="DQ185" s="574" t="n"/>
      <c r="DR185" s="574" t="n"/>
      <c r="DS185" s="574" t="n"/>
      <c r="DT185" s="574" t="n"/>
      <c r="DU185" s="574" t="n"/>
      <c r="DV185" s="574" t="n"/>
      <c r="DW185" s="574" t="n"/>
      <c r="DX185" s="574" t="n"/>
      <c r="DY185" s="574" t="n"/>
      <c r="DZ185" s="574" t="n"/>
      <c r="EA185" s="574" t="n"/>
      <c r="EB185" s="574" t="n"/>
      <c r="EC185" s="574" t="n"/>
      <c r="ED185" s="574" t="n"/>
      <c r="EE185" s="574" t="n"/>
      <c r="EF185" s="574" t="n"/>
      <c r="EG185" s="574" t="n"/>
      <c r="EH185" s="574" t="n"/>
      <c r="EI185" s="574" t="n"/>
      <c r="EJ185" s="574" t="n"/>
      <c r="EK185" s="574" t="n"/>
      <c r="EL185" s="574" t="n"/>
      <c r="EM185" s="574" t="n"/>
      <c r="EN185" s="574" t="n"/>
      <c r="EO185" s="574" t="n"/>
      <c r="EP185" s="574" t="n"/>
      <c r="EQ185" s="574" t="n"/>
      <c r="ER185" s="574" t="n"/>
      <c r="ES185" s="574" t="n"/>
      <c r="ET185" s="574" t="n"/>
      <c r="EU185" s="574" t="n"/>
      <c r="EV185" s="574" t="n"/>
      <c r="EW185" s="574" t="n"/>
      <c r="EX185" s="574" t="n"/>
      <c r="EY185" s="574" t="n"/>
      <c r="EZ185" s="574" t="n"/>
      <c r="FA185" s="574" t="n"/>
      <c r="FB185" s="574" t="n"/>
      <c r="FC185" s="574" t="n"/>
      <c r="FD185" s="574" t="n"/>
      <c r="FE185" s="574" t="n"/>
      <c r="FF185" s="574" t="n"/>
      <c r="FG185" s="574" t="n"/>
      <c r="FH185" s="574" t="n"/>
      <c r="FI185" s="574" t="n"/>
      <c r="FJ185" s="574" t="n"/>
      <c r="FK185" s="574" t="n"/>
      <c r="FL185" s="574" t="n"/>
      <c r="FM185" s="574" t="n"/>
      <c r="FN185" s="574" t="n"/>
      <c r="FO185" s="574" t="n"/>
      <c r="FP185" s="574" t="n"/>
      <c r="FQ185" s="574" t="n"/>
      <c r="FR185" s="574" t="n"/>
      <c r="FS185" s="574" t="n"/>
      <c r="FT185" s="574" t="n"/>
      <c r="FU185" s="574" t="n"/>
      <c r="FV185" s="574" t="n"/>
      <c r="FW185" s="574" t="n"/>
      <c r="FX185" s="574" t="n"/>
      <c r="FY185" s="574" t="n"/>
      <c r="FZ185" s="574" t="n"/>
      <c r="GA185" s="574" t="n"/>
      <c r="GB185" s="574" t="n"/>
      <c r="GC185" s="574" t="n"/>
      <c r="GD185" s="574" t="n"/>
      <c r="GE185" s="574" t="n"/>
      <c r="GF185" s="574" t="n"/>
    </row>
    <row r="186" customFormat="1" s="568">
      <c r="A186" s="86" t="n"/>
      <c r="B186" s="85" t="n"/>
      <c r="C186" s="84">
        <f>IFERROR(IF(AND($E186&gt;0,$D186&lt;&gt;"The Public"),$E186/SUMIFS($E$10:$E$205,$E$10:$E$205,"&gt;0",$D$10:$D$205,"&lt;&gt;The Public")*$D$5,""),"")</f>
        <v/>
      </c>
      <c r="D186" s="68" t="n"/>
      <c r="E186" s="84">
        <f>SUM(G186:HY186)</f>
        <v/>
      </c>
      <c r="M186" s="574" t="n"/>
      <c r="N186" s="574" t="n"/>
      <c r="O186" s="574" t="n"/>
      <c r="P186" s="574" t="n"/>
      <c r="Q186" s="574" t="n"/>
      <c r="R186" s="574" t="n"/>
      <c r="S186" s="574" t="n"/>
      <c r="T186" s="574" t="n"/>
      <c r="U186" s="574" t="n"/>
      <c r="V186" s="574" t="n"/>
      <c r="W186" s="574" t="n"/>
      <c r="X186" s="574" t="n"/>
      <c r="Y186" s="574" t="n"/>
      <c r="Z186" s="574" t="n"/>
      <c r="AA186" s="574" t="n"/>
      <c r="AB186" s="574" t="n"/>
      <c r="AC186" s="574" t="n"/>
      <c r="AD186" s="574" t="n"/>
      <c r="AE186" s="574" t="n"/>
      <c r="AF186" s="574" t="n"/>
      <c r="AG186" s="574" t="n"/>
      <c r="AH186" s="574" t="n"/>
      <c r="AI186" s="574" t="n"/>
      <c r="AJ186" s="574" t="n"/>
      <c r="AK186" s="574" t="n"/>
      <c r="AL186" s="574" t="n"/>
      <c r="AM186" s="574" t="n"/>
      <c r="AN186" s="574" t="n"/>
      <c r="AO186" s="574" t="n"/>
      <c r="AP186" s="574" t="n"/>
      <c r="AQ186" s="574" t="n"/>
      <c r="AR186" s="574" t="n"/>
      <c r="AS186" s="574" t="n"/>
      <c r="AT186" s="574" t="n"/>
      <c r="AU186" s="574" t="n"/>
      <c r="AV186" s="574" t="n"/>
      <c r="AW186" s="574" t="n"/>
      <c r="AX186" s="574" t="n"/>
      <c r="AY186" s="574" t="n"/>
      <c r="AZ186" s="574" t="n"/>
      <c r="BA186" s="574" t="n"/>
      <c r="BB186" s="574" t="n"/>
      <c r="BC186" s="574" t="n"/>
      <c r="BD186" s="574" t="n"/>
      <c r="BE186" s="574" t="n"/>
      <c r="BF186" s="574" t="n"/>
      <c r="BG186" s="574" t="n"/>
      <c r="BH186" s="574" t="n"/>
      <c r="BI186" s="574" t="n"/>
      <c r="BJ186" s="574" t="n"/>
      <c r="BK186" s="574" t="n"/>
      <c r="BL186" s="574" t="n"/>
      <c r="BM186" s="574" t="n"/>
      <c r="BN186" s="574" t="n"/>
      <c r="BO186" s="574" t="n"/>
      <c r="BP186" s="574" t="n"/>
      <c r="BQ186" s="574" t="n"/>
      <c r="BR186" s="574" t="n"/>
      <c r="BS186" s="574" t="n"/>
      <c r="BT186" s="574" t="n"/>
      <c r="BU186" s="574" t="n"/>
      <c r="BV186" s="574" t="n"/>
      <c r="BW186" s="574" t="n"/>
      <c r="BX186" s="574" t="n"/>
      <c r="BY186" s="574" t="n"/>
      <c r="BZ186" s="574" t="n"/>
      <c r="CA186" s="574" t="n"/>
      <c r="CB186" s="574" t="n"/>
      <c r="CC186" s="574" t="n"/>
      <c r="CD186" s="574" t="n"/>
      <c r="CE186" s="574" t="n"/>
      <c r="CF186" s="574" t="n"/>
      <c r="CG186" s="574" t="n"/>
      <c r="CH186" s="574" t="n"/>
      <c r="CI186" s="574" t="n"/>
      <c r="CJ186" s="574" t="n"/>
      <c r="CK186" s="574" t="n"/>
      <c r="CL186" s="574" t="n"/>
      <c r="CM186" s="574" t="n"/>
      <c r="CN186" s="574" t="n"/>
      <c r="CO186" s="574" t="n"/>
      <c r="CP186" s="574" t="n"/>
      <c r="CQ186" s="574" t="n"/>
      <c r="CR186" s="574" t="n"/>
      <c r="CS186" s="574" t="n"/>
      <c r="CT186" s="574" t="n"/>
      <c r="CU186" s="574" t="n"/>
      <c r="CV186" s="574" t="n"/>
      <c r="CW186" s="574" t="n"/>
      <c r="CX186" s="574" t="n"/>
      <c r="CY186" s="574" t="n"/>
      <c r="CZ186" s="574" t="n"/>
      <c r="DA186" s="574" t="n"/>
      <c r="DB186" s="574" t="n"/>
      <c r="DC186" s="574" t="n"/>
      <c r="DD186" s="574" t="n"/>
      <c r="DE186" s="574" t="n"/>
      <c r="DF186" s="574" t="n"/>
      <c r="DG186" s="574" t="n"/>
      <c r="DH186" s="574" t="n"/>
      <c r="DI186" s="574" t="n"/>
      <c r="DJ186" s="574" t="n"/>
      <c r="DK186" s="574" t="n"/>
      <c r="DL186" s="574" t="n"/>
      <c r="DM186" s="574" t="n"/>
      <c r="DN186" s="574" t="n"/>
      <c r="DO186" s="574" t="n"/>
      <c r="DP186" s="574" t="n"/>
      <c r="DQ186" s="574" t="n"/>
      <c r="DR186" s="574" t="n"/>
      <c r="DS186" s="574" t="n"/>
      <c r="DT186" s="574" t="n"/>
      <c r="DU186" s="574" t="n"/>
      <c r="DV186" s="574" t="n"/>
      <c r="DW186" s="574" t="n"/>
      <c r="DX186" s="574" t="n"/>
      <c r="DY186" s="574" t="n"/>
      <c r="DZ186" s="574" t="n"/>
      <c r="EA186" s="574" t="n"/>
      <c r="EB186" s="574" t="n"/>
      <c r="EC186" s="574" t="n"/>
      <c r="ED186" s="574" t="n"/>
      <c r="EE186" s="574" t="n"/>
      <c r="EF186" s="574" t="n"/>
      <c r="EG186" s="574" t="n"/>
      <c r="EH186" s="574" t="n"/>
      <c r="EI186" s="574" t="n"/>
      <c r="EJ186" s="574" t="n"/>
      <c r="EK186" s="574" t="n"/>
      <c r="EL186" s="574" t="n"/>
      <c r="EM186" s="574" t="n"/>
      <c r="EN186" s="574" t="n"/>
      <c r="EO186" s="574" t="n"/>
      <c r="EP186" s="574" t="n"/>
      <c r="EQ186" s="574" t="n"/>
      <c r="ER186" s="574" t="n"/>
      <c r="ES186" s="574" t="n"/>
      <c r="ET186" s="574" t="n"/>
      <c r="EU186" s="574" t="n"/>
      <c r="EV186" s="574" t="n"/>
      <c r="EW186" s="574" t="n"/>
      <c r="EX186" s="574" t="n"/>
      <c r="EY186" s="574" t="n"/>
      <c r="EZ186" s="574" t="n"/>
      <c r="FA186" s="574" t="n"/>
      <c r="FB186" s="574" t="n"/>
      <c r="FC186" s="574" t="n"/>
      <c r="FD186" s="574" t="n"/>
      <c r="FE186" s="574" t="n"/>
      <c r="FF186" s="574" t="n"/>
      <c r="FG186" s="574" t="n"/>
      <c r="FH186" s="574" t="n"/>
      <c r="FI186" s="574" t="n"/>
      <c r="FJ186" s="574" t="n"/>
      <c r="FK186" s="574" t="n"/>
      <c r="FL186" s="574" t="n"/>
      <c r="FM186" s="574" t="n"/>
      <c r="FN186" s="574" t="n"/>
      <c r="FO186" s="574" t="n"/>
      <c r="FP186" s="574" t="n"/>
      <c r="FQ186" s="574" t="n"/>
      <c r="FR186" s="574" t="n"/>
      <c r="FS186" s="574" t="n"/>
      <c r="FT186" s="574" t="n"/>
      <c r="FU186" s="574" t="n"/>
      <c r="FV186" s="574" t="n"/>
      <c r="FW186" s="574" t="n"/>
      <c r="FX186" s="574" t="n"/>
      <c r="FY186" s="574" t="n"/>
      <c r="FZ186" s="574" t="n"/>
      <c r="GA186" s="574" t="n"/>
      <c r="GB186" s="574" t="n"/>
      <c r="GC186" s="574" t="n"/>
      <c r="GD186" s="574" t="n"/>
      <c r="GE186" s="574" t="n"/>
      <c r="GF186" s="574" t="n"/>
    </row>
    <row r="187" customFormat="1" s="568">
      <c r="A187" s="86" t="n"/>
      <c r="B187" s="85" t="n"/>
      <c r="C187" s="84">
        <f>IFERROR(IF(AND($E187&gt;0,$D187&lt;&gt;"The Public"),$E187/SUMIFS($E$10:$E$205,$E$10:$E$205,"&gt;0",$D$10:$D$205,"&lt;&gt;The Public")*$D$5,""),"")</f>
        <v/>
      </c>
      <c r="D187" s="68" t="n"/>
      <c r="E187" s="84">
        <f>SUM(G187:HY187)</f>
        <v/>
      </c>
      <c r="M187" s="574" t="n"/>
      <c r="N187" s="574" t="n"/>
      <c r="O187" s="574" t="n"/>
      <c r="P187" s="574" t="n"/>
      <c r="Q187" s="574" t="n"/>
      <c r="R187" s="574" t="n"/>
      <c r="S187" s="574" t="n"/>
      <c r="T187" s="574" t="n"/>
      <c r="U187" s="574" t="n"/>
      <c r="V187" s="574" t="n"/>
      <c r="W187" s="574" t="n"/>
      <c r="X187" s="574" t="n"/>
      <c r="Y187" s="574" t="n"/>
      <c r="Z187" s="574" t="n"/>
      <c r="AA187" s="574" t="n"/>
      <c r="AB187" s="574" t="n"/>
      <c r="AC187" s="574" t="n"/>
      <c r="AD187" s="574" t="n"/>
      <c r="AE187" s="574" t="n"/>
      <c r="AF187" s="574" t="n"/>
      <c r="AG187" s="574" t="n"/>
      <c r="AH187" s="574" t="n"/>
      <c r="AI187" s="574" t="n"/>
      <c r="AJ187" s="574" t="n"/>
      <c r="AK187" s="574" t="n"/>
      <c r="AL187" s="574" t="n"/>
      <c r="AM187" s="574" t="n"/>
      <c r="AN187" s="574" t="n"/>
      <c r="AO187" s="574" t="n"/>
      <c r="AP187" s="574" t="n"/>
      <c r="AQ187" s="574" t="n"/>
      <c r="AR187" s="574" t="n"/>
      <c r="AS187" s="574" t="n"/>
      <c r="AT187" s="574" t="n"/>
      <c r="AU187" s="574" t="n"/>
      <c r="AV187" s="574" t="n"/>
      <c r="AW187" s="574" t="n"/>
      <c r="AX187" s="574" t="n"/>
      <c r="AY187" s="574" t="n"/>
      <c r="AZ187" s="574" t="n"/>
      <c r="BA187" s="574" t="n"/>
      <c r="BB187" s="574" t="n"/>
      <c r="BC187" s="574" t="n"/>
      <c r="BD187" s="574" t="n"/>
      <c r="BE187" s="574" t="n"/>
      <c r="BF187" s="574" t="n"/>
      <c r="BG187" s="574" t="n"/>
      <c r="BH187" s="574" t="n"/>
      <c r="BI187" s="574" t="n"/>
      <c r="BJ187" s="574" t="n"/>
      <c r="BK187" s="574" t="n"/>
      <c r="BL187" s="574" t="n"/>
      <c r="BM187" s="574" t="n"/>
      <c r="BN187" s="574" t="n"/>
      <c r="BO187" s="574" t="n"/>
      <c r="BP187" s="574" t="n"/>
      <c r="BQ187" s="574" t="n"/>
      <c r="BR187" s="574" t="n"/>
      <c r="BS187" s="574" t="n"/>
      <c r="BT187" s="574" t="n"/>
      <c r="BU187" s="574" t="n"/>
      <c r="BV187" s="574" t="n"/>
      <c r="BW187" s="574" t="n"/>
      <c r="BX187" s="574" t="n"/>
      <c r="BY187" s="574" t="n"/>
      <c r="BZ187" s="574" t="n"/>
      <c r="CA187" s="574" t="n"/>
      <c r="CB187" s="574" t="n"/>
      <c r="CC187" s="574" t="n"/>
      <c r="CD187" s="574" t="n"/>
      <c r="CE187" s="574" t="n"/>
      <c r="CF187" s="574" t="n"/>
      <c r="CG187" s="574" t="n"/>
      <c r="CH187" s="574" t="n"/>
      <c r="CI187" s="574" t="n"/>
      <c r="CJ187" s="574" t="n"/>
      <c r="CK187" s="574" t="n"/>
      <c r="CL187" s="574" t="n"/>
      <c r="CM187" s="574" t="n"/>
      <c r="CN187" s="574" t="n"/>
      <c r="CO187" s="574" t="n"/>
      <c r="CP187" s="574" t="n"/>
      <c r="CQ187" s="574" t="n"/>
      <c r="CR187" s="574" t="n"/>
      <c r="CS187" s="574" t="n"/>
      <c r="CT187" s="574" t="n"/>
      <c r="CU187" s="574" t="n"/>
      <c r="CV187" s="574" t="n"/>
      <c r="CW187" s="574" t="n"/>
      <c r="CX187" s="574" t="n"/>
      <c r="CY187" s="574" t="n"/>
      <c r="CZ187" s="574" t="n"/>
      <c r="DA187" s="574" t="n"/>
      <c r="DB187" s="574" t="n"/>
      <c r="DC187" s="574" t="n"/>
      <c r="DD187" s="574" t="n"/>
      <c r="DE187" s="574" t="n"/>
      <c r="DF187" s="574" t="n"/>
      <c r="DG187" s="574" t="n"/>
      <c r="DH187" s="574" t="n"/>
      <c r="DI187" s="574" t="n"/>
      <c r="DJ187" s="574" t="n"/>
      <c r="DK187" s="574" t="n"/>
      <c r="DL187" s="574" t="n"/>
      <c r="DM187" s="574" t="n"/>
      <c r="DN187" s="574" t="n"/>
      <c r="DO187" s="574" t="n"/>
      <c r="DP187" s="574" t="n"/>
      <c r="DQ187" s="574" t="n"/>
      <c r="DR187" s="574" t="n"/>
      <c r="DS187" s="574" t="n"/>
      <c r="DT187" s="574" t="n"/>
      <c r="DU187" s="574" t="n"/>
      <c r="DV187" s="574" t="n"/>
      <c r="DW187" s="574" t="n"/>
      <c r="DX187" s="574" t="n"/>
      <c r="DY187" s="574" t="n"/>
      <c r="DZ187" s="574" t="n"/>
      <c r="EA187" s="574" t="n"/>
      <c r="EB187" s="574" t="n"/>
      <c r="EC187" s="574" t="n"/>
      <c r="ED187" s="574" t="n"/>
      <c r="EE187" s="574" t="n"/>
      <c r="EF187" s="574" t="n"/>
      <c r="EG187" s="574" t="n"/>
      <c r="EH187" s="574" t="n"/>
      <c r="EI187" s="574" t="n"/>
      <c r="EJ187" s="574" t="n"/>
      <c r="EK187" s="574" t="n"/>
      <c r="EL187" s="574" t="n"/>
      <c r="EM187" s="574" t="n"/>
      <c r="EN187" s="574" t="n"/>
      <c r="EO187" s="574" t="n"/>
      <c r="EP187" s="574" t="n"/>
      <c r="EQ187" s="574" t="n"/>
      <c r="ER187" s="574" t="n"/>
      <c r="ES187" s="574" t="n"/>
      <c r="ET187" s="574" t="n"/>
      <c r="EU187" s="574" t="n"/>
      <c r="EV187" s="574" t="n"/>
      <c r="EW187" s="574" t="n"/>
      <c r="EX187" s="574" t="n"/>
      <c r="EY187" s="574" t="n"/>
      <c r="EZ187" s="574" t="n"/>
      <c r="FA187" s="574" t="n"/>
      <c r="FB187" s="574" t="n"/>
      <c r="FC187" s="574" t="n"/>
      <c r="FD187" s="574" t="n"/>
      <c r="FE187" s="574" t="n"/>
      <c r="FF187" s="574" t="n"/>
      <c r="FG187" s="574" t="n"/>
      <c r="FH187" s="574" t="n"/>
      <c r="FI187" s="574" t="n"/>
      <c r="FJ187" s="574" t="n"/>
      <c r="FK187" s="574" t="n"/>
      <c r="FL187" s="574" t="n"/>
      <c r="FM187" s="574" t="n"/>
      <c r="FN187" s="574" t="n"/>
      <c r="FO187" s="574" t="n"/>
      <c r="FP187" s="574" t="n"/>
      <c r="FQ187" s="574" t="n"/>
      <c r="FR187" s="574" t="n"/>
      <c r="FS187" s="574" t="n"/>
      <c r="FT187" s="574" t="n"/>
      <c r="FU187" s="574" t="n"/>
      <c r="FV187" s="574" t="n"/>
      <c r="FW187" s="574" t="n"/>
      <c r="FX187" s="574" t="n"/>
      <c r="FY187" s="574" t="n"/>
      <c r="FZ187" s="574" t="n"/>
      <c r="GA187" s="574" t="n"/>
      <c r="GB187" s="574" t="n"/>
      <c r="GC187" s="574" t="n"/>
      <c r="GD187" s="574" t="n"/>
      <c r="GE187" s="574" t="n"/>
      <c r="GF187" s="574" t="n"/>
    </row>
    <row r="188" customFormat="1" s="568">
      <c r="A188" s="86" t="n"/>
      <c r="B188" s="85" t="n"/>
      <c r="C188" s="84">
        <f>IFERROR(IF(AND($E188&gt;0,$D188&lt;&gt;"The Public"),$E188/SUMIFS($E$10:$E$205,$E$10:$E$205,"&gt;0",$D$10:$D$205,"&lt;&gt;The Public")*$D$5,""),"")</f>
        <v/>
      </c>
      <c r="D188" s="68" t="n"/>
      <c r="E188" s="84">
        <f>SUM(G188:HY188)</f>
        <v/>
      </c>
      <c r="M188" s="574" t="n"/>
      <c r="N188" s="574" t="n"/>
      <c r="O188" s="574" t="n"/>
      <c r="P188" s="574" t="n"/>
      <c r="Q188" s="574" t="n"/>
      <c r="R188" s="574" t="n"/>
      <c r="S188" s="574" t="n"/>
      <c r="T188" s="574" t="n"/>
      <c r="U188" s="574" t="n"/>
      <c r="V188" s="574" t="n"/>
      <c r="W188" s="574" t="n"/>
      <c r="X188" s="574" t="n"/>
      <c r="Y188" s="574" t="n"/>
      <c r="Z188" s="574" t="n"/>
      <c r="AA188" s="574" t="n"/>
      <c r="AB188" s="574" t="n"/>
      <c r="AC188" s="574" t="n"/>
      <c r="AD188" s="574" t="n"/>
      <c r="AE188" s="574" t="n"/>
      <c r="AF188" s="574" t="n"/>
      <c r="AG188" s="574" t="n"/>
      <c r="AH188" s="574" t="n"/>
      <c r="AI188" s="574" t="n"/>
      <c r="AJ188" s="574" t="n"/>
      <c r="AK188" s="574" t="n"/>
      <c r="AL188" s="574" t="n"/>
      <c r="AM188" s="574" t="n"/>
      <c r="AN188" s="574" t="n"/>
      <c r="AO188" s="574" t="n"/>
      <c r="AP188" s="574" t="n"/>
      <c r="AQ188" s="574" t="n"/>
      <c r="AR188" s="574" t="n"/>
      <c r="AS188" s="574" t="n"/>
      <c r="AT188" s="574" t="n"/>
      <c r="AU188" s="574" t="n"/>
      <c r="AV188" s="574" t="n"/>
      <c r="AW188" s="574" t="n"/>
      <c r="AX188" s="574" t="n"/>
      <c r="AY188" s="574" t="n"/>
      <c r="AZ188" s="574" t="n"/>
      <c r="BA188" s="574" t="n"/>
      <c r="BB188" s="574" t="n"/>
      <c r="BC188" s="574" t="n"/>
      <c r="BD188" s="574" t="n"/>
      <c r="BE188" s="574" t="n"/>
      <c r="BF188" s="574" t="n"/>
      <c r="BG188" s="574" t="n"/>
      <c r="BH188" s="574" t="n"/>
      <c r="BI188" s="574" t="n"/>
      <c r="BJ188" s="574" t="n"/>
      <c r="BK188" s="574" t="n"/>
      <c r="BL188" s="574" t="n"/>
      <c r="BM188" s="574" t="n"/>
      <c r="BN188" s="574" t="n"/>
      <c r="BO188" s="574" t="n"/>
      <c r="BP188" s="574" t="n"/>
      <c r="BQ188" s="574" t="n"/>
      <c r="BR188" s="574" t="n"/>
      <c r="BS188" s="574" t="n"/>
      <c r="BT188" s="574" t="n"/>
      <c r="BU188" s="574" t="n"/>
      <c r="BV188" s="574" t="n"/>
      <c r="BW188" s="574" t="n"/>
      <c r="BX188" s="574" t="n"/>
      <c r="BY188" s="574" t="n"/>
      <c r="BZ188" s="574" t="n"/>
      <c r="CA188" s="574" t="n"/>
      <c r="CB188" s="574" t="n"/>
      <c r="CC188" s="574" t="n"/>
      <c r="CD188" s="574" t="n"/>
      <c r="CE188" s="574" t="n"/>
      <c r="CF188" s="574" t="n"/>
      <c r="CG188" s="574" t="n"/>
      <c r="CH188" s="574" t="n"/>
      <c r="CI188" s="574" t="n"/>
      <c r="CJ188" s="574" t="n"/>
      <c r="CK188" s="574" t="n"/>
      <c r="CL188" s="574" t="n"/>
      <c r="CM188" s="574" t="n"/>
      <c r="CN188" s="574" t="n"/>
      <c r="CO188" s="574" t="n"/>
      <c r="CP188" s="574" t="n"/>
      <c r="CQ188" s="574" t="n"/>
      <c r="CR188" s="574" t="n"/>
      <c r="CS188" s="574" t="n"/>
      <c r="CT188" s="574" t="n"/>
      <c r="CU188" s="574" t="n"/>
      <c r="CV188" s="574" t="n"/>
      <c r="CW188" s="574" t="n"/>
      <c r="CX188" s="574" t="n"/>
      <c r="CY188" s="574" t="n"/>
      <c r="CZ188" s="574" t="n"/>
      <c r="DA188" s="574" t="n"/>
      <c r="DB188" s="574" t="n"/>
      <c r="DC188" s="574" t="n"/>
      <c r="DD188" s="574" t="n"/>
      <c r="DE188" s="574" t="n"/>
      <c r="DF188" s="574" t="n"/>
      <c r="DG188" s="574" t="n"/>
      <c r="DH188" s="574" t="n"/>
      <c r="DI188" s="574" t="n"/>
      <c r="DJ188" s="574" t="n"/>
      <c r="DK188" s="574" t="n"/>
      <c r="DL188" s="574" t="n"/>
      <c r="DM188" s="574" t="n"/>
      <c r="DN188" s="574" t="n"/>
      <c r="DO188" s="574" t="n"/>
      <c r="DP188" s="574" t="n"/>
      <c r="DQ188" s="574" t="n"/>
      <c r="DR188" s="574" t="n"/>
      <c r="DS188" s="574" t="n"/>
      <c r="DT188" s="574" t="n"/>
      <c r="DU188" s="574" t="n"/>
      <c r="DV188" s="574" t="n"/>
      <c r="DW188" s="574" t="n"/>
      <c r="DX188" s="574" t="n"/>
      <c r="DY188" s="574" t="n"/>
      <c r="DZ188" s="574" t="n"/>
      <c r="EA188" s="574" t="n"/>
      <c r="EB188" s="574" t="n"/>
      <c r="EC188" s="574" t="n"/>
      <c r="ED188" s="574" t="n"/>
      <c r="EE188" s="574" t="n"/>
      <c r="EF188" s="574" t="n"/>
      <c r="EG188" s="574" t="n"/>
      <c r="EH188" s="574" t="n"/>
      <c r="EI188" s="574" t="n"/>
      <c r="EJ188" s="574" t="n"/>
      <c r="EK188" s="574" t="n"/>
      <c r="EL188" s="574" t="n"/>
      <c r="EM188" s="574" t="n"/>
      <c r="EN188" s="574" t="n"/>
      <c r="EO188" s="574" t="n"/>
      <c r="EP188" s="574" t="n"/>
      <c r="EQ188" s="574" t="n"/>
      <c r="ER188" s="574" t="n"/>
      <c r="ES188" s="574" t="n"/>
      <c r="ET188" s="574" t="n"/>
      <c r="EU188" s="574" t="n"/>
      <c r="EV188" s="574" t="n"/>
      <c r="EW188" s="574" t="n"/>
      <c r="EX188" s="574" t="n"/>
      <c r="EY188" s="574" t="n"/>
      <c r="EZ188" s="574" t="n"/>
      <c r="FA188" s="574" t="n"/>
      <c r="FB188" s="574" t="n"/>
      <c r="FC188" s="574" t="n"/>
      <c r="FD188" s="574" t="n"/>
      <c r="FE188" s="574" t="n"/>
      <c r="FF188" s="574" t="n"/>
      <c r="FG188" s="574" t="n"/>
      <c r="FH188" s="574" t="n"/>
      <c r="FI188" s="574" t="n"/>
      <c r="FJ188" s="574" t="n"/>
      <c r="FK188" s="574" t="n"/>
      <c r="FL188" s="574" t="n"/>
      <c r="FM188" s="574" t="n"/>
      <c r="FN188" s="574" t="n"/>
      <c r="FO188" s="574" t="n"/>
      <c r="FP188" s="574" t="n"/>
      <c r="FQ188" s="574" t="n"/>
      <c r="FR188" s="574" t="n"/>
      <c r="FS188" s="574" t="n"/>
      <c r="FT188" s="574" t="n"/>
      <c r="FU188" s="574" t="n"/>
      <c r="FV188" s="574" t="n"/>
      <c r="FW188" s="574" t="n"/>
      <c r="FX188" s="574" t="n"/>
      <c r="FY188" s="574" t="n"/>
      <c r="FZ188" s="574" t="n"/>
      <c r="GA188" s="574" t="n"/>
      <c r="GB188" s="574" t="n"/>
      <c r="GC188" s="574" t="n"/>
      <c r="GD188" s="574" t="n"/>
      <c r="GE188" s="574" t="n"/>
      <c r="GF188" s="574" t="n"/>
    </row>
    <row r="189" customFormat="1" s="568">
      <c r="A189" s="86" t="n"/>
      <c r="B189" s="85" t="n"/>
      <c r="C189" s="84">
        <f>IFERROR(IF(AND($E189&gt;0,$D189&lt;&gt;"The Public"),$E189/SUMIFS($E$10:$E$205,$E$10:$E$205,"&gt;0",$D$10:$D$205,"&lt;&gt;The Public")*$D$5,""),"")</f>
        <v/>
      </c>
      <c r="D189" s="68" t="n"/>
      <c r="E189" s="84">
        <f>SUM(G189:HY189)</f>
        <v/>
      </c>
      <c r="M189" s="574" t="n"/>
      <c r="N189" s="574" t="n"/>
      <c r="O189" s="574" t="n"/>
      <c r="P189" s="574" t="n"/>
      <c r="Q189" s="574" t="n"/>
      <c r="R189" s="574" t="n"/>
      <c r="S189" s="574" t="n"/>
      <c r="T189" s="574" t="n"/>
      <c r="U189" s="574" t="n"/>
      <c r="V189" s="574" t="n"/>
      <c r="W189" s="574" t="n"/>
      <c r="X189" s="574" t="n"/>
      <c r="Y189" s="574" t="n"/>
      <c r="Z189" s="574" t="n"/>
      <c r="AA189" s="574" t="n"/>
      <c r="AB189" s="574" t="n"/>
      <c r="AC189" s="574" t="n"/>
      <c r="AD189" s="574" t="n"/>
      <c r="AE189" s="574" t="n"/>
      <c r="AF189" s="574" t="n"/>
      <c r="AG189" s="574" t="n"/>
      <c r="AH189" s="574" t="n"/>
      <c r="AI189" s="574" t="n"/>
      <c r="AJ189" s="574" t="n"/>
      <c r="AK189" s="574" t="n"/>
      <c r="AL189" s="574" t="n"/>
      <c r="AM189" s="574" t="n"/>
      <c r="AN189" s="574" t="n"/>
      <c r="AO189" s="574" t="n"/>
      <c r="AP189" s="574" t="n"/>
      <c r="AQ189" s="574" t="n"/>
      <c r="AR189" s="574" t="n"/>
      <c r="AS189" s="574" t="n"/>
      <c r="AT189" s="574" t="n"/>
      <c r="AU189" s="574" t="n"/>
      <c r="AV189" s="574" t="n"/>
      <c r="AW189" s="574" t="n"/>
      <c r="AX189" s="574" t="n"/>
      <c r="AY189" s="574" t="n"/>
      <c r="AZ189" s="574" t="n"/>
      <c r="BA189" s="574" t="n"/>
      <c r="BB189" s="574" t="n"/>
      <c r="BC189" s="574" t="n"/>
      <c r="BD189" s="574" t="n"/>
      <c r="BE189" s="574" t="n"/>
      <c r="BF189" s="574" t="n"/>
      <c r="BG189" s="574" t="n"/>
      <c r="BH189" s="574" t="n"/>
      <c r="BI189" s="574" t="n"/>
      <c r="BJ189" s="574" t="n"/>
      <c r="BK189" s="574" t="n"/>
      <c r="BL189" s="574" t="n"/>
      <c r="BM189" s="574" t="n"/>
      <c r="BN189" s="574" t="n"/>
      <c r="BO189" s="574" t="n"/>
      <c r="BP189" s="574" t="n"/>
      <c r="BQ189" s="574" t="n"/>
      <c r="BR189" s="574" t="n"/>
      <c r="BS189" s="574" t="n"/>
      <c r="BT189" s="574" t="n"/>
      <c r="BU189" s="574" t="n"/>
      <c r="BV189" s="574" t="n"/>
      <c r="BW189" s="574" t="n"/>
      <c r="BX189" s="574" t="n"/>
      <c r="BY189" s="574" t="n"/>
      <c r="BZ189" s="574" t="n"/>
      <c r="CA189" s="574" t="n"/>
      <c r="CB189" s="574" t="n"/>
      <c r="CC189" s="574" t="n"/>
      <c r="CD189" s="574" t="n"/>
      <c r="CE189" s="574" t="n"/>
      <c r="CF189" s="574" t="n"/>
      <c r="CG189" s="574" t="n"/>
      <c r="CH189" s="574" t="n"/>
      <c r="CI189" s="574" t="n"/>
      <c r="CJ189" s="574" t="n"/>
      <c r="CK189" s="574" t="n"/>
      <c r="CL189" s="574" t="n"/>
      <c r="CM189" s="574" t="n"/>
      <c r="CN189" s="574" t="n"/>
      <c r="CO189" s="574" t="n"/>
      <c r="CP189" s="574" t="n"/>
      <c r="CQ189" s="574" t="n"/>
      <c r="CR189" s="574" t="n"/>
      <c r="CS189" s="574" t="n"/>
      <c r="CT189" s="574" t="n"/>
      <c r="CU189" s="574" t="n"/>
      <c r="CV189" s="574" t="n"/>
      <c r="CW189" s="574" t="n"/>
      <c r="CX189" s="574" t="n"/>
      <c r="CY189" s="574" t="n"/>
      <c r="CZ189" s="574" t="n"/>
      <c r="DA189" s="574" t="n"/>
      <c r="DB189" s="574" t="n"/>
      <c r="DC189" s="574" t="n"/>
      <c r="DD189" s="574" t="n"/>
      <c r="DE189" s="574" t="n"/>
      <c r="DF189" s="574" t="n"/>
      <c r="DG189" s="574" t="n"/>
      <c r="DH189" s="574" t="n"/>
      <c r="DI189" s="574" t="n"/>
      <c r="DJ189" s="574" t="n"/>
      <c r="DK189" s="574" t="n"/>
      <c r="DL189" s="574" t="n"/>
      <c r="DM189" s="574" t="n"/>
      <c r="DN189" s="574" t="n"/>
      <c r="DO189" s="574" t="n"/>
      <c r="DP189" s="574" t="n"/>
      <c r="DQ189" s="574" t="n"/>
      <c r="DR189" s="574" t="n"/>
      <c r="DS189" s="574" t="n"/>
      <c r="DT189" s="574" t="n"/>
      <c r="DU189" s="574" t="n"/>
      <c r="DV189" s="574" t="n"/>
      <c r="DW189" s="574" t="n"/>
      <c r="DX189" s="574" t="n"/>
      <c r="DY189" s="574" t="n"/>
      <c r="DZ189" s="574" t="n"/>
      <c r="EA189" s="574" t="n"/>
      <c r="EB189" s="574" t="n"/>
      <c r="EC189" s="574" t="n"/>
      <c r="ED189" s="574" t="n"/>
      <c r="EE189" s="574" t="n"/>
      <c r="EF189" s="574" t="n"/>
      <c r="EG189" s="574" t="n"/>
      <c r="EH189" s="574" t="n"/>
      <c r="EI189" s="574" t="n"/>
      <c r="EJ189" s="574" t="n"/>
      <c r="EK189" s="574" t="n"/>
      <c r="EL189" s="574" t="n"/>
      <c r="EM189" s="574" t="n"/>
      <c r="EN189" s="574" t="n"/>
      <c r="EO189" s="574" t="n"/>
      <c r="EP189" s="574" t="n"/>
      <c r="EQ189" s="574" t="n"/>
      <c r="ER189" s="574" t="n"/>
      <c r="ES189" s="574" t="n"/>
      <c r="ET189" s="574" t="n"/>
      <c r="EU189" s="574" t="n"/>
      <c r="EV189" s="574" t="n"/>
      <c r="EW189" s="574" t="n"/>
      <c r="EX189" s="574" t="n"/>
      <c r="EY189" s="574" t="n"/>
      <c r="EZ189" s="574" t="n"/>
      <c r="FA189" s="574" t="n"/>
      <c r="FB189" s="574" t="n"/>
      <c r="FC189" s="574" t="n"/>
      <c r="FD189" s="574" t="n"/>
      <c r="FE189" s="574" t="n"/>
      <c r="FF189" s="574" t="n"/>
      <c r="FG189" s="574" t="n"/>
      <c r="FH189" s="574" t="n"/>
      <c r="FI189" s="574" t="n"/>
      <c r="FJ189" s="574" t="n"/>
      <c r="FK189" s="574" t="n"/>
      <c r="FL189" s="574" t="n"/>
      <c r="FM189" s="574" t="n"/>
      <c r="FN189" s="574" t="n"/>
      <c r="FO189" s="574" t="n"/>
      <c r="FP189" s="574" t="n"/>
      <c r="FQ189" s="574" t="n"/>
      <c r="FR189" s="574" t="n"/>
      <c r="FS189" s="574" t="n"/>
      <c r="FT189" s="574" t="n"/>
      <c r="FU189" s="574" t="n"/>
      <c r="FV189" s="574" t="n"/>
      <c r="FW189" s="574" t="n"/>
      <c r="FX189" s="574" t="n"/>
      <c r="FY189" s="574" t="n"/>
      <c r="FZ189" s="574" t="n"/>
      <c r="GA189" s="574" t="n"/>
      <c r="GB189" s="574" t="n"/>
      <c r="GC189" s="574" t="n"/>
      <c r="GD189" s="574" t="n"/>
      <c r="GE189" s="574" t="n"/>
      <c r="GF189" s="574" t="n"/>
    </row>
    <row r="190" customFormat="1" s="568">
      <c r="A190" s="86" t="n"/>
      <c r="B190" s="85" t="n"/>
      <c r="C190" s="84">
        <f>IFERROR(IF(AND($E190&gt;0,$D190&lt;&gt;"The Public"),$E190/SUMIFS($E$10:$E$205,$E$10:$E$205,"&gt;0",$D$10:$D$205,"&lt;&gt;The Public")*$D$5,""),"")</f>
        <v/>
      </c>
      <c r="D190" s="68" t="n"/>
      <c r="E190" s="84">
        <f>SUM(G190:HY190)</f>
        <v/>
      </c>
      <c r="M190" s="574" t="n"/>
      <c r="N190" s="574" t="n"/>
      <c r="O190" s="574" t="n"/>
      <c r="P190" s="574" t="n"/>
      <c r="Q190" s="574" t="n"/>
      <c r="R190" s="574" t="n"/>
      <c r="S190" s="574" t="n"/>
      <c r="T190" s="574" t="n"/>
      <c r="U190" s="574" t="n"/>
      <c r="V190" s="574" t="n"/>
      <c r="W190" s="574" t="n"/>
      <c r="X190" s="574" t="n"/>
      <c r="Y190" s="574" t="n"/>
      <c r="Z190" s="574" t="n"/>
      <c r="AA190" s="574" t="n"/>
      <c r="AB190" s="574" t="n"/>
      <c r="AC190" s="574" t="n"/>
      <c r="AD190" s="574" t="n"/>
      <c r="AE190" s="574" t="n"/>
      <c r="AF190" s="574" t="n"/>
      <c r="AG190" s="574" t="n"/>
      <c r="AH190" s="574" t="n"/>
      <c r="AI190" s="574" t="n"/>
      <c r="AJ190" s="574" t="n"/>
      <c r="AK190" s="574" t="n"/>
      <c r="AL190" s="574" t="n"/>
      <c r="AM190" s="574" t="n"/>
      <c r="AN190" s="574" t="n"/>
      <c r="AO190" s="574" t="n"/>
      <c r="AP190" s="574" t="n"/>
      <c r="AQ190" s="574" t="n"/>
      <c r="AR190" s="574" t="n"/>
      <c r="AS190" s="574" t="n"/>
      <c r="AT190" s="574" t="n"/>
      <c r="AU190" s="574" t="n"/>
      <c r="AV190" s="574" t="n"/>
      <c r="AW190" s="574" t="n"/>
      <c r="AX190" s="574" t="n"/>
      <c r="AY190" s="574" t="n"/>
      <c r="AZ190" s="574" t="n"/>
      <c r="BA190" s="574" t="n"/>
      <c r="BB190" s="574" t="n"/>
      <c r="BC190" s="574" t="n"/>
      <c r="BD190" s="574" t="n"/>
      <c r="BE190" s="574" t="n"/>
      <c r="BF190" s="574" t="n"/>
      <c r="BG190" s="574" t="n"/>
      <c r="BH190" s="574" t="n"/>
      <c r="BI190" s="574" t="n"/>
      <c r="BJ190" s="574" t="n"/>
      <c r="BK190" s="574" t="n"/>
      <c r="BL190" s="574" t="n"/>
      <c r="BM190" s="574" t="n"/>
      <c r="BN190" s="574" t="n"/>
      <c r="BO190" s="574" t="n"/>
      <c r="BP190" s="574" t="n"/>
      <c r="BQ190" s="574" t="n"/>
      <c r="BR190" s="574" t="n"/>
      <c r="BS190" s="574" t="n"/>
      <c r="BT190" s="574" t="n"/>
      <c r="BU190" s="574" t="n"/>
      <c r="BV190" s="574" t="n"/>
      <c r="BW190" s="574" t="n"/>
      <c r="BX190" s="574" t="n"/>
      <c r="BY190" s="574" t="n"/>
      <c r="BZ190" s="574" t="n"/>
      <c r="CA190" s="574" t="n"/>
      <c r="CB190" s="574" t="n"/>
      <c r="CC190" s="574" t="n"/>
      <c r="CD190" s="574" t="n"/>
      <c r="CE190" s="574" t="n"/>
      <c r="CF190" s="574" t="n"/>
      <c r="CG190" s="574" t="n"/>
      <c r="CH190" s="574" t="n"/>
      <c r="CI190" s="574" t="n"/>
      <c r="CJ190" s="574" t="n"/>
      <c r="CK190" s="574" t="n"/>
      <c r="CL190" s="574" t="n"/>
      <c r="CM190" s="574" t="n"/>
      <c r="CN190" s="574" t="n"/>
      <c r="CO190" s="574" t="n"/>
      <c r="CP190" s="574" t="n"/>
      <c r="CQ190" s="574" t="n"/>
      <c r="CR190" s="574" t="n"/>
      <c r="CS190" s="574" t="n"/>
      <c r="CT190" s="574" t="n"/>
      <c r="CU190" s="574" t="n"/>
      <c r="CV190" s="574" t="n"/>
      <c r="CW190" s="574" t="n"/>
      <c r="CX190" s="574" t="n"/>
      <c r="CY190" s="574" t="n"/>
      <c r="CZ190" s="574" t="n"/>
      <c r="DA190" s="574" t="n"/>
      <c r="DB190" s="574" t="n"/>
      <c r="DC190" s="574" t="n"/>
      <c r="DD190" s="574" t="n"/>
      <c r="DE190" s="574" t="n"/>
      <c r="DF190" s="574" t="n"/>
      <c r="DG190" s="574" t="n"/>
      <c r="DH190" s="574" t="n"/>
      <c r="DI190" s="574" t="n"/>
      <c r="DJ190" s="574" t="n"/>
      <c r="DK190" s="574" t="n"/>
      <c r="DL190" s="574" t="n"/>
      <c r="DM190" s="574" t="n"/>
      <c r="DN190" s="574" t="n"/>
      <c r="DO190" s="574" t="n"/>
      <c r="DP190" s="574" t="n"/>
      <c r="DQ190" s="574" t="n"/>
      <c r="DR190" s="574" t="n"/>
      <c r="DS190" s="574" t="n"/>
      <c r="DT190" s="574" t="n"/>
      <c r="DU190" s="574" t="n"/>
      <c r="DV190" s="574" t="n"/>
      <c r="DW190" s="574" t="n"/>
      <c r="DX190" s="574" t="n"/>
      <c r="DY190" s="574" t="n"/>
      <c r="DZ190" s="574" t="n"/>
      <c r="EA190" s="574" t="n"/>
      <c r="EB190" s="574" t="n"/>
      <c r="EC190" s="574" t="n"/>
      <c r="ED190" s="574" t="n"/>
      <c r="EE190" s="574" t="n"/>
      <c r="EF190" s="574" t="n"/>
      <c r="EG190" s="574" t="n"/>
      <c r="EH190" s="574" t="n"/>
      <c r="EI190" s="574" t="n"/>
      <c r="EJ190" s="574" t="n"/>
      <c r="EK190" s="574" t="n"/>
      <c r="EL190" s="574" t="n"/>
      <c r="EM190" s="574" t="n"/>
      <c r="EN190" s="574" t="n"/>
      <c r="EO190" s="574" t="n"/>
      <c r="EP190" s="574" t="n"/>
      <c r="EQ190" s="574" t="n"/>
      <c r="ER190" s="574" t="n"/>
      <c r="ES190" s="574" t="n"/>
      <c r="ET190" s="574" t="n"/>
      <c r="EU190" s="574" t="n"/>
      <c r="EV190" s="574" t="n"/>
      <c r="EW190" s="574" t="n"/>
      <c r="EX190" s="574" t="n"/>
      <c r="EY190" s="574" t="n"/>
      <c r="EZ190" s="574" t="n"/>
      <c r="FA190" s="574" t="n"/>
      <c r="FB190" s="574" t="n"/>
      <c r="FC190" s="574" t="n"/>
      <c r="FD190" s="574" t="n"/>
      <c r="FE190" s="574" t="n"/>
      <c r="FF190" s="574" t="n"/>
      <c r="FG190" s="574" t="n"/>
      <c r="FH190" s="574" t="n"/>
      <c r="FI190" s="574" t="n"/>
      <c r="FJ190" s="574" t="n"/>
      <c r="FK190" s="574" t="n"/>
      <c r="FL190" s="574" t="n"/>
      <c r="FM190" s="574" t="n"/>
      <c r="FN190" s="574" t="n"/>
      <c r="FO190" s="574" t="n"/>
      <c r="FP190" s="574" t="n"/>
      <c r="FQ190" s="574" t="n"/>
      <c r="FR190" s="574" t="n"/>
      <c r="FS190" s="574" t="n"/>
      <c r="FT190" s="574" t="n"/>
      <c r="FU190" s="574" t="n"/>
      <c r="FV190" s="574" t="n"/>
      <c r="FW190" s="574" t="n"/>
      <c r="FX190" s="574" t="n"/>
      <c r="FY190" s="574" t="n"/>
      <c r="FZ190" s="574" t="n"/>
      <c r="GA190" s="574" t="n"/>
      <c r="GB190" s="574" t="n"/>
      <c r="GC190" s="574" t="n"/>
      <c r="GD190" s="574" t="n"/>
      <c r="GE190" s="574" t="n"/>
      <c r="GF190" s="574" t="n"/>
    </row>
    <row r="191" customFormat="1" s="568">
      <c r="A191" s="86" t="n"/>
      <c r="B191" s="85" t="n"/>
      <c r="C191" s="84">
        <f>IFERROR(IF(AND($E191&gt;0,$D191&lt;&gt;"The Public"),$E191/SUMIFS($E$10:$E$205,$E$10:$E$205,"&gt;0",$D$10:$D$205,"&lt;&gt;The Public")*$D$5,""),"")</f>
        <v/>
      </c>
      <c r="D191" s="68" t="n"/>
      <c r="E191" s="84">
        <f>SUM(G191:HY191)</f>
        <v/>
      </c>
      <c r="M191" s="574" t="n"/>
      <c r="N191" s="574" t="n"/>
      <c r="O191" s="574" t="n"/>
      <c r="P191" s="574" t="n"/>
      <c r="Q191" s="574" t="n"/>
      <c r="R191" s="574" t="n"/>
      <c r="S191" s="574" t="n"/>
      <c r="T191" s="574" t="n"/>
      <c r="U191" s="574" t="n"/>
      <c r="V191" s="574" t="n"/>
      <c r="W191" s="574" t="n"/>
      <c r="X191" s="574" t="n"/>
      <c r="Y191" s="574" t="n"/>
      <c r="Z191" s="574" t="n"/>
      <c r="AA191" s="574" t="n"/>
      <c r="AB191" s="574" t="n"/>
      <c r="AC191" s="574" t="n"/>
      <c r="AD191" s="574" t="n"/>
      <c r="AE191" s="574" t="n"/>
      <c r="AF191" s="574" t="n"/>
      <c r="AG191" s="574" t="n"/>
      <c r="AH191" s="574" t="n"/>
      <c r="AI191" s="574" t="n"/>
      <c r="AJ191" s="574" t="n"/>
      <c r="AK191" s="574" t="n"/>
      <c r="AL191" s="574" t="n"/>
      <c r="AM191" s="574" t="n"/>
      <c r="AN191" s="574" t="n"/>
      <c r="AO191" s="574" t="n"/>
      <c r="AP191" s="574" t="n"/>
      <c r="AQ191" s="574" t="n"/>
      <c r="AR191" s="574" t="n"/>
      <c r="AS191" s="574" t="n"/>
      <c r="AT191" s="574" t="n"/>
      <c r="AU191" s="574" t="n"/>
      <c r="AV191" s="574" t="n"/>
      <c r="AW191" s="574" t="n"/>
      <c r="AX191" s="574" t="n"/>
      <c r="AY191" s="574" t="n"/>
      <c r="AZ191" s="574" t="n"/>
      <c r="BA191" s="574" t="n"/>
      <c r="BB191" s="574" t="n"/>
      <c r="BC191" s="574" t="n"/>
      <c r="BD191" s="574" t="n"/>
      <c r="BE191" s="574" t="n"/>
      <c r="BF191" s="574" t="n"/>
      <c r="BG191" s="574" t="n"/>
      <c r="BH191" s="574" t="n"/>
      <c r="BI191" s="574" t="n"/>
      <c r="BJ191" s="574" t="n"/>
      <c r="BK191" s="574" t="n"/>
      <c r="BL191" s="574" t="n"/>
      <c r="BM191" s="574" t="n"/>
      <c r="BN191" s="574" t="n"/>
      <c r="BO191" s="574" t="n"/>
      <c r="BP191" s="574" t="n"/>
      <c r="BQ191" s="574" t="n"/>
      <c r="BR191" s="574" t="n"/>
      <c r="BS191" s="574" t="n"/>
      <c r="BT191" s="574" t="n"/>
      <c r="BU191" s="574" t="n"/>
      <c r="BV191" s="574" t="n"/>
      <c r="BW191" s="574" t="n"/>
      <c r="BX191" s="574" t="n"/>
      <c r="BY191" s="574" t="n"/>
      <c r="BZ191" s="574" t="n"/>
      <c r="CA191" s="574" t="n"/>
      <c r="CB191" s="574" t="n"/>
      <c r="CC191" s="574" t="n"/>
      <c r="CD191" s="574" t="n"/>
      <c r="CE191" s="574" t="n"/>
      <c r="CF191" s="574" t="n"/>
      <c r="CG191" s="574" t="n"/>
      <c r="CH191" s="574" t="n"/>
      <c r="CI191" s="574" t="n"/>
      <c r="CJ191" s="574" t="n"/>
      <c r="CK191" s="574" t="n"/>
      <c r="CL191" s="574" t="n"/>
      <c r="CM191" s="574" t="n"/>
      <c r="CN191" s="574" t="n"/>
      <c r="CO191" s="574" t="n"/>
      <c r="CP191" s="574" t="n"/>
      <c r="CQ191" s="574" t="n"/>
      <c r="CR191" s="574" t="n"/>
      <c r="CS191" s="574" t="n"/>
      <c r="CT191" s="574" t="n"/>
      <c r="CU191" s="574" t="n"/>
      <c r="CV191" s="574" t="n"/>
      <c r="CW191" s="574" t="n"/>
      <c r="CX191" s="574" t="n"/>
      <c r="CY191" s="574" t="n"/>
      <c r="CZ191" s="574" t="n"/>
      <c r="DA191" s="574" t="n"/>
      <c r="DB191" s="574" t="n"/>
      <c r="DC191" s="574" t="n"/>
      <c r="DD191" s="574" t="n"/>
      <c r="DE191" s="574" t="n"/>
      <c r="DF191" s="574" t="n"/>
      <c r="DG191" s="574" t="n"/>
      <c r="DH191" s="574" t="n"/>
      <c r="DI191" s="574" t="n"/>
      <c r="DJ191" s="574" t="n"/>
      <c r="DK191" s="574" t="n"/>
      <c r="DL191" s="574" t="n"/>
      <c r="DM191" s="574" t="n"/>
      <c r="DN191" s="574" t="n"/>
      <c r="DO191" s="574" t="n"/>
      <c r="DP191" s="574" t="n"/>
      <c r="DQ191" s="574" t="n"/>
      <c r="DR191" s="574" t="n"/>
      <c r="DS191" s="574" t="n"/>
      <c r="DT191" s="574" t="n"/>
      <c r="DU191" s="574" t="n"/>
      <c r="DV191" s="574" t="n"/>
      <c r="DW191" s="574" t="n"/>
      <c r="DX191" s="574" t="n"/>
      <c r="DY191" s="574" t="n"/>
      <c r="DZ191" s="574" t="n"/>
      <c r="EA191" s="574" t="n"/>
      <c r="EB191" s="574" t="n"/>
      <c r="EC191" s="574" t="n"/>
      <c r="ED191" s="574" t="n"/>
      <c r="EE191" s="574" t="n"/>
      <c r="EF191" s="574" t="n"/>
      <c r="EG191" s="574" t="n"/>
      <c r="EH191" s="574" t="n"/>
      <c r="EI191" s="574" t="n"/>
      <c r="EJ191" s="574" t="n"/>
      <c r="EK191" s="574" t="n"/>
      <c r="EL191" s="574" t="n"/>
      <c r="EM191" s="574" t="n"/>
      <c r="EN191" s="574" t="n"/>
      <c r="EO191" s="574" t="n"/>
      <c r="EP191" s="574" t="n"/>
      <c r="EQ191" s="574" t="n"/>
      <c r="ER191" s="574" t="n"/>
      <c r="ES191" s="574" t="n"/>
      <c r="ET191" s="574" t="n"/>
      <c r="EU191" s="574" t="n"/>
      <c r="EV191" s="574" t="n"/>
      <c r="EW191" s="574" t="n"/>
      <c r="EX191" s="574" t="n"/>
      <c r="EY191" s="574" t="n"/>
      <c r="EZ191" s="574" t="n"/>
      <c r="FA191" s="574" t="n"/>
      <c r="FB191" s="574" t="n"/>
      <c r="FC191" s="574" t="n"/>
      <c r="FD191" s="574" t="n"/>
      <c r="FE191" s="574" t="n"/>
      <c r="FF191" s="574" t="n"/>
      <c r="FG191" s="574" t="n"/>
      <c r="FH191" s="574" t="n"/>
      <c r="FI191" s="574" t="n"/>
      <c r="FJ191" s="574" t="n"/>
      <c r="FK191" s="574" t="n"/>
      <c r="FL191" s="574" t="n"/>
      <c r="FM191" s="574" t="n"/>
      <c r="FN191" s="574" t="n"/>
      <c r="FO191" s="574" t="n"/>
      <c r="FP191" s="574" t="n"/>
      <c r="FQ191" s="574" t="n"/>
      <c r="FR191" s="574" t="n"/>
      <c r="FS191" s="574" t="n"/>
      <c r="FT191" s="574" t="n"/>
      <c r="FU191" s="574" t="n"/>
      <c r="FV191" s="574" t="n"/>
      <c r="FW191" s="574" t="n"/>
      <c r="FX191" s="574" t="n"/>
      <c r="FY191" s="574" t="n"/>
      <c r="FZ191" s="574" t="n"/>
      <c r="GA191" s="574" t="n"/>
      <c r="GB191" s="574" t="n"/>
      <c r="GC191" s="574" t="n"/>
      <c r="GD191" s="574" t="n"/>
      <c r="GE191" s="574" t="n"/>
      <c r="GF191" s="574" t="n"/>
    </row>
    <row r="192" customFormat="1" s="568">
      <c r="A192" s="86" t="n"/>
      <c r="B192" s="85" t="n"/>
      <c r="C192" s="84">
        <f>IFERROR(IF(AND($E192&gt;0,$D192&lt;&gt;"The Public"),$E192/SUMIFS($E$10:$E$205,$E$10:$E$205,"&gt;0",$D$10:$D$205,"&lt;&gt;The Public")*$D$5,""),"")</f>
        <v/>
      </c>
      <c r="D192" s="68" t="n"/>
      <c r="E192" s="84">
        <f>SUM(G192:HY192)</f>
        <v/>
      </c>
      <c r="M192" s="574" t="n"/>
      <c r="N192" s="574" t="n"/>
      <c r="O192" s="574" t="n"/>
      <c r="P192" s="574" t="n"/>
      <c r="Q192" s="574" t="n"/>
      <c r="R192" s="574" t="n"/>
      <c r="S192" s="574" t="n"/>
      <c r="T192" s="574" t="n"/>
      <c r="U192" s="574" t="n"/>
      <c r="V192" s="574" t="n"/>
      <c r="W192" s="574" t="n"/>
      <c r="X192" s="574" t="n"/>
      <c r="Y192" s="574" t="n"/>
      <c r="Z192" s="574" t="n"/>
      <c r="AA192" s="574" t="n"/>
      <c r="AB192" s="574" t="n"/>
      <c r="AC192" s="574" t="n"/>
      <c r="AD192" s="574" t="n"/>
      <c r="AE192" s="574" t="n"/>
      <c r="AF192" s="574" t="n"/>
      <c r="AG192" s="574" t="n"/>
      <c r="AH192" s="574" t="n"/>
      <c r="AI192" s="574" t="n"/>
      <c r="AJ192" s="574" t="n"/>
      <c r="AK192" s="574" t="n"/>
      <c r="AL192" s="574" t="n"/>
      <c r="AM192" s="574" t="n"/>
      <c r="AN192" s="574" t="n"/>
      <c r="AO192" s="574" t="n"/>
      <c r="AP192" s="574" t="n"/>
      <c r="AQ192" s="574" t="n"/>
      <c r="AR192" s="574" t="n"/>
      <c r="AS192" s="574" t="n"/>
      <c r="AT192" s="574" t="n"/>
      <c r="AU192" s="574" t="n"/>
      <c r="AV192" s="574" t="n"/>
      <c r="AW192" s="574" t="n"/>
      <c r="AX192" s="574" t="n"/>
      <c r="AY192" s="574" t="n"/>
      <c r="AZ192" s="574" t="n"/>
      <c r="BA192" s="574" t="n"/>
      <c r="BB192" s="574" t="n"/>
      <c r="BC192" s="574" t="n"/>
      <c r="BD192" s="574" t="n"/>
      <c r="BE192" s="574" t="n"/>
      <c r="BF192" s="574" t="n"/>
      <c r="BG192" s="574" t="n"/>
      <c r="BH192" s="574" t="n"/>
      <c r="BI192" s="574" t="n"/>
      <c r="BJ192" s="574" t="n"/>
      <c r="BK192" s="574" t="n"/>
      <c r="BL192" s="574" t="n"/>
      <c r="BM192" s="574" t="n"/>
      <c r="BN192" s="574" t="n"/>
      <c r="BO192" s="574" t="n"/>
      <c r="BP192" s="574" t="n"/>
      <c r="BQ192" s="574" t="n"/>
      <c r="BR192" s="574" t="n"/>
      <c r="BS192" s="574" t="n"/>
      <c r="BT192" s="574" t="n"/>
      <c r="BU192" s="574" t="n"/>
      <c r="BV192" s="574" t="n"/>
      <c r="BW192" s="574" t="n"/>
      <c r="BX192" s="574" t="n"/>
      <c r="BY192" s="574" t="n"/>
      <c r="BZ192" s="574" t="n"/>
      <c r="CA192" s="574" t="n"/>
      <c r="CB192" s="574" t="n"/>
      <c r="CC192" s="574" t="n"/>
      <c r="CD192" s="574" t="n"/>
      <c r="CE192" s="574" t="n"/>
      <c r="CF192" s="574" t="n"/>
      <c r="CG192" s="574" t="n"/>
      <c r="CH192" s="574" t="n"/>
      <c r="CI192" s="574" t="n"/>
      <c r="CJ192" s="574" t="n"/>
      <c r="CK192" s="574" t="n"/>
      <c r="CL192" s="574" t="n"/>
      <c r="CM192" s="574" t="n"/>
      <c r="CN192" s="574" t="n"/>
      <c r="CO192" s="574" t="n"/>
      <c r="CP192" s="574" t="n"/>
      <c r="CQ192" s="574" t="n"/>
      <c r="CR192" s="574" t="n"/>
      <c r="CS192" s="574" t="n"/>
      <c r="CT192" s="574" t="n"/>
      <c r="CU192" s="574" t="n"/>
      <c r="CV192" s="574" t="n"/>
      <c r="CW192" s="574" t="n"/>
      <c r="CX192" s="574" t="n"/>
      <c r="CY192" s="574" t="n"/>
      <c r="CZ192" s="574" t="n"/>
      <c r="DA192" s="574" t="n"/>
      <c r="DB192" s="574" t="n"/>
      <c r="DC192" s="574" t="n"/>
      <c r="DD192" s="574" t="n"/>
      <c r="DE192" s="574" t="n"/>
      <c r="DF192" s="574" t="n"/>
      <c r="DG192" s="574" t="n"/>
      <c r="DH192" s="574" t="n"/>
      <c r="DI192" s="574" t="n"/>
      <c r="DJ192" s="574" t="n"/>
      <c r="DK192" s="574" t="n"/>
      <c r="DL192" s="574" t="n"/>
      <c r="DM192" s="574" t="n"/>
      <c r="DN192" s="574" t="n"/>
      <c r="DO192" s="574" t="n"/>
      <c r="DP192" s="574" t="n"/>
      <c r="DQ192" s="574" t="n"/>
      <c r="DR192" s="574" t="n"/>
      <c r="DS192" s="574" t="n"/>
      <c r="DT192" s="574" t="n"/>
      <c r="DU192" s="574" t="n"/>
      <c r="DV192" s="574" t="n"/>
      <c r="DW192" s="574" t="n"/>
      <c r="DX192" s="574" t="n"/>
      <c r="DY192" s="574" t="n"/>
      <c r="DZ192" s="574" t="n"/>
      <c r="EA192" s="574" t="n"/>
      <c r="EB192" s="574" t="n"/>
      <c r="EC192" s="574" t="n"/>
      <c r="ED192" s="574" t="n"/>
      <c r="EE192" s="574" t="n"/>
      <c r="EF192" s="574" t="n"/>
      <c r="EG192" s="574" t="n"/>
      <c r="EH192" s="574" t="n"/>
      <c r="EI192" s="574" t="n"/>
      <c r="EJ192" s="574" t="n"/>
      <c r="EK192" s="574" t="n"/>
      <c r="EL192" s="574" t="n"/>
      <c r="EM192" s="574" t="n"/>
      <c r="EN192" s="574" t="n"/>
      <c r="EO192" s="574" t="n"/>
      <c r="EP192" s="574" t="n"/>
      <c r="EQ192" s="574" t="n"/>
      <c r="ER192" s="574" t="n"/>
      <c r="ES192" s="574" t="n"/>
      <c r="ET192" s="574" t="n"/>
      <c r="EU192" s="574" t="n"/>
      <c r="EV192" s="574" t="n"/>
      <c r="EW192" s="574" t="n"/>
      <c r="EX192" s="574" t="n"/>
      <c r="EY192" s="574" t="n"/>
      <c r="EZ192" s="574" t="n"/>
      <c r="FA192" s="574" t="n"/>
      <c r="FB192" s="574" t="n"/>
      <c r="FC192" s="574" t="n"/>
      <c r="FD192" s="574" t="n"/>
      <c r="FE192" s="574" t="n"/>
      <c r="FF192" s="574" t="n"/>
      <c r="FG192" s="574" t="n"/>
      <c r="FH192" s="574" t="n"/>
      <c r="FI192" s="574" t="n"/>
      <c r="FJ192" s="574" t="n"/>
      <c r="FK192" s="574" t="n"/>
      <c r="FL192" s="574" t="n"/>
      <c r="FM192" s="574" t="n"/>
      <c r="FN192" s="574" t="n"/>
      <c r="FO192" s="574" t="n"/>
      <c r="FP192" s="574" t="n"/>
      <c r="FQ192" s="574" t="n"/>
      <c r="FR192" s="574" t="n"/>
      <c r="FS192" s="574" t="n"/>
      <c r="FT192" s="574" t="n"/>
      <c r="FU192" s="574" t="n"/>
      <c r="FV192" s="574" t="n"/>
      <c r="FW192" s="574" t="n"/>
      <c r="FX192" s="574" t="n"/>
      <c r="FY192" s="574" t="n"/>
      <c r="FZ192" s="574" t="n"/>
      <c r="GA192" s="574" t="n"/>
      <c r="GB192" s="574" t="n"/>
      <c r="GC192" s="574" t="n"/>
      <c r="GD192" s="574" t="n"/>
      <c r="GE192" s="574" t="n"/>
      <c r="GF192" s="574" t="n"/>
    </row>
    <row r="193" customFormat="1" s="568">
      <c r="A193" s="86" t="n"/>
      <c r="B193" s="85" t="n"/>
      <c r="C193" s="84">
        <f>IFERROR(IF(AND($E193&gt;0,$D193&lt;&gt;"The Public"),$E193/SUMIFS($E$10:$E$205,$E$10:$E$205,"&gt;0",$D$10:$D$205,"&lt;&gt;The Public")*$D$5,""),"")</f>
        <v/>
      </c>
      <c r="D193" s="68" t="n"/>
      <c r="E193" s="84">
        <f>SUM(G193:HY193)</f>
        <v/>
      </c>
      <c r="M193" s="574" t="n"/>
      <c r="N193" s="574" t="n"/>
      <c r="O193" s="574" t="n"/>
      <c r="P193" s="574" t="n"/>
      <c r="Q193" s="574" t="n"/>
      <c r="R193" s="574" t="n"/>
      <c r="S193" s="574" t="n"/>
      <c r="T193" s="574" t="n"/>
      <c r="U193" s="574" t="n"/>
      <c r="V193" s="574" t="n"/>
      <c r="W193" s="574" t="n"/>
      <c r="X193" s="574" t="n"/>
      <c r="Y193" s="574" t="n"/>
      <c r="Z193" s="574" t="n"/>
      <c r="AA193" s="574" t="n"/>
      <c r="AB193" s="574" t="n"/>
      <c r="AC193" s="574" t="n"/>
      <c r="AD193" s="574" t="n"/>
      <c r="AE193" s="574" t="n"/>
      <c r="AF193" s="574" t="n"/>
      <c r="AG193" s="574" t="n"/>
      <c r="AH193" s="574" t="n"/>
      <c r="AI193" s="574" t="n"/>
      <c r="AJ193" s="574" t="n"/>
      <c r="AK193" s="574" t="n"/>
      <c r="AL193" s="574" t="n"/>
      <c r="AM193" s="574" t="n"/>
      <c r="AN193" s="574" t="n"/>
      <c r="AO193" s="574" t="n"/>
      <c r="AP193" s="574" t="n"/>
      <c r="AQ193" s="574" t="n"/>
      <c r="AR193" s="574" t="n"/>
      <c r="AS193" s="574" t="n"/>
      <c r="AT193" s="574" t="n"/>
      <c r="AU193" s="574" t="n"/>
      <c r="AV193" s="574" t="n"/>
      <c r="AW193" s="574" t="n"/>
      <c r="AX193" s="574" t="n"/>
      <c r="AY193" s="574" t="n"/>
      <c r="AZ193" s="574" t="n"/>
      <c r="BA193" s="574" t="n"/>
      <c r="BB193" s="574" t="n"/>
      <c r="BC193" s="574" t="n"/>
      <c r="BD193" s="574" t="n"/>
      <c r="BE193" s="574" t="n"/>
      <c r="BF193" s="574" t="n"/>
      <c r="BG193" s="574" t="n"/>
      <c r="BH193" s="574" t="n"/>
      <c r="BI193" s="574" t="n"/>
      <c r="BJ193" s="574" t="n"/>
      <c r="BK193" s="574" t="n"/>
      <c r="BL193" s="574" t="n"/>
      <c r="BM193" s="574" t="n"/>
      <c r="BN193" s="574" t="n"/>
      <c r="BO193" s="574" t="n"/>
      <c r="BP193" s="574" t="n"/>
      <c r="BQ193" s="574" t="n"/>
      <c r="BR193" s="574" t="n"/>
      <c r="BS193" s="574" t="n"/>
      <c r="BT193" s="574" t="n"/>
      <c r="BU193" s="574" t="n"/>
      <c r="BV193" s="574" t="n"/>
      <c r="BW193" s="574" t="n"/>
      <c r="BX193" s="574" t="n"/>
      <c r="BY193" s="574" t="n"/>
      <c r="BZ193" s="574" t="n"/>
      <c r="CA193" s="574" t="n"/>
      <c r="CB193" s="574" t="n"/>
      <c r="CC193" s="574" t="n"/>
      <c r="CD193" s="574" t="n"/>
      <c r="CE193" s="574" t="n"/>
      <c r="CF193" s="574" t="n"/>
      <c r="CG193" s="574" t="n"/>
      <c r="CH193" s="574" t="n"/>
      <c r="CI193" s="574" t="n"/>
      <c r="CJ193" s="574" t="n"/>
      <c r="CK193" s="574" t="n"/>
      <c r="CL193" s="574" t="n"/>
      <c r="CM193" s="574" t="n"/>
      <c r="CN193" s="574" t="n"/>
      <c r="CO193" s="574" t="n"/>
      <c r="CP193" s="574" t="n"/>
      <c r="CQ193" s="574" t="n"/>
      <c r="CR193" s="574" t="n"/>
      <c r="CS193" s="574" t="n"/>
      <c r="CT193" s="574" t="n"/>
      <c r="CU193" s="574" t="n"/>
      <c r="CV193" s="574" t="n"/>
      <c r="CW193" s="574" t="n"/>
      <c r="CX193" s="574" t="n"/>
      <c r="CY193" s="574" t="n"/>
      <c r="CZ193" s="574" t="n"/>
      <c r="DA193" s="574" t="n"/>
      <c r="DB193" s="574" t="n"/>
      <c r="DC193" s="574" t="n"/>
      <c r="DD193" s="574" t="n"/>
      <c r="DE193" s="574" t="n"/>
      <c r="DF193" s="574" t="n"/>
      <c r="DG193" s="574" t="n"/>
      <c r="DH193" s="574" t="n"/>
      <c r="DI193" s="574" t="n"/>
      <c r="DJ193" s="574" t="n"/>
      <c r="DK193" s="574" t="n"/>
      <c r="DL193" s="574" t="n"/>
      <c r="DM193" s="574" t="n"/>
      <c r="DN193" s="574" t="n"/>
      <c r="DO193" s="574" t="n"/>
      <c r="DP193" s="574" t="n"/>
      <c r="DQ193" s="574" t="n"/>
      <c r="DR193" s="574" t="n"/>
      <c r="DS193" s="574" t="n"/>
      <c r="DT193" s="574" t="n"/>
      <c r="DU193" s="574" t="n"/>
      <c r="DV193" s="574" t="n"/>
      <c r="DW193" s="574" t="n"/>
      <c r="DX193" s="574" t="n"/>
      <c r="DY193" s="574" t="n"/>
      <c r="DZ193" s="574" t="n"/>
      <c r="EA193" s="574" t="n"/>
      <c r="EB193" s="574" t="n"/>
      <c r="EC193" s="574" t="n"/>
      <c r="ED193" s="574" t="n"/>
      <c r="EE193" s="574" t="n"/>
      <c r="EF193" s="574" t="n"/>
      <c r="EG193" s="574" t="n"/>
      <c r="EH193" s="574" t="n"/>
      <c r="EI193" s="574" t="n"/>
      <c r="EJ193" s="574" t="n"/>
      <c r="EK193" s="574" t="n"/>
      <c r="EL193" s="574" t="n"/>
      <c r="EM193" s="574" t="n"/>
      <c r="EN193" s="574" t="n"/>
      <c r="EO193" s="574" t="n"/>
      <c r="EP193" s="574" t="n"/>
      <c r="EQ193" s="574" t="n"/>
      <c r="ER193" s="574" t="n"/>
      <c r="ES193" s="574" t="n"/>
      <c r="ET193" s="574" t="n"/>
      <c r="EU193" s="574" t="n"/>
      <c r="EV193" s="574" t="n"/>
      <c r="EW193" s="574" t="n"/>
      <c r="EX193" s="574" t="n"/>
      <c r="EY193" s="574" t="n"/>
      <c r="EZ193" s="574" t="n"/>
      <c r="FA193" s="574" t="n"/>
      <c r="FB193" s="574" t="n"/>
      <c r="FC193" s="574" t="n"/>
      <c r="FD193" s="574" t="n"/>
      <c r="FE193" s="574" t="n"/>
      <c r="FF193" s="574" t="n"/>
      <c r="FG193" s="574" t="n"/>
      <c r="FH193" s="574" t="n"/>
      <c r="FI193" s="574" t="n"/>
      <c r="FJ193" s="574" t="n"/>
      <c r="FK193" s="574" t="n"/>
      <c r="FL193" s="574" t="n"/>
      <c r="FM193" s="574" t="n"/>
      <c r="FN193" s="574" t="n"/>
      <c r="FO193" s="574" t="n"/>
      <c r="FP193" s="574" t="n"/>
      <c r="FQ193" s="574" t="n"/>
      <c r="FR193" s="574" t="n"/>
      <c r="FS193" s="574" t="n"/>
      <c r="FT193" s="574" t="n"/>
      <c r="FU193" s="574" t="n"/>
      <c r="FV193" s="574" t="n"/>
      <c r="FW193" s="574" t="n"/>
      <c r="FX193" s="574" t="n"/>
      <c r="FY193" s="574" t="n"/>
      <c r="FZ193" s="574" t="n"/>
      <c r="GA193" s="574" t="n"/>
      <c r="GB193" s="574" t="n"/>
      <c r="GC193" s="574" t="n"/>
      <c r="GD193" s="574" t="n"/>
      <c r="GE193" s="574" t="n"/>
      <c r="GF193" s="574" t="n"/>
    </row>
    <row r="194" customFormat="1" s="568">
      <c r="A194" s="86" t="n"/>
      <c r="B194" s="85" t="n"/>
      <c r="C194" s="84">
        <f>IFERROR(IF(AND($E194&gt;0,$D194&lt;&gt;"The Public"),$E194/SUMIFS($E$10:$E$205,$E$10:$E$205,"&gt;0",$D$10:$D$205,"&lt;&gt;The Public")*$D$5,""),"")</f>
        <v/>
      </c>
      <c r="D194" s="68" t="n"/>
      <c r="E194" s="84">
        <f>SUM(G194:HY194)</f>
        <v/>
      </c>
      <c r="M194" s="574" t="n"/>
      <c r="N194" s="574" t="n"/>
      <c r="O194" s="574" t="n"/>
      <c r="P194" s="574" t="n"/>
      <c r="Q194" s="574" t="n"/>
      <c r="R194" s="574" t="n"/>
      <c r="S194" s="574" t="n"/>
      <c r="T194" s="574" t="n"/>
      <c r="U194" s="574" t="n"/>
      <c r="V194" s="574" t="n"/>
      <c r="W194" s="574" t="n"/>
      <c r="X194" s="574" t="n"/>
      <c r="Y194" s="574" t="n"/>
      <c r="Z194" s="574" t="n"/>
      <c r="AA194" s="574" t="n"/>
      <c r="AB194" s="574" t="n"/>
      <c r="AC194" s="574" t="n"/>
      <c r="AD194" s="574" t="n"/>
      <c r="AE194" s="574" t="n"/>
      <c r="AF194" s="574" t="n"/>
      <c r="AG194" s="574" t="n"/>
      <c r="AH194" s="574" t="n"/>
      <c r="AI194" s="574" t="n"/>
      <c r="AJ194" s="574" t="n"/>
      <c r="AK194" s="574" t="n"/>
      <c r="AL194" s="574" t="n"/>
      <c r="AM194" s="574" t="n"/>
      <c r="AN194" s="574" t="n"/>
      <c r="AO194" s="574" t="n"/>
      <c r="AP194" s="574" t="n"/>
      <c r="AQ194" s="574" t="n"/>
      <c r="AR194" s="574" t="n"/>
      <c r="AS194" s="574" t="n"/>
      <c r="AT194" s="574" t="n"/>
      <c r="AU194" s="574" t="n"/>
      <c r="AV194" s="574" t="n"/>
      <c r="AW194" s="574" t="n"/>
      <c r="AX194" s="574" t="n"/>
      <c r="AY194" s="574" t="n"/>
      <c r="AZ194" s="574" t="n"/>
      <c r="BA194" s="574" t="n"/>
      <c r="BB194" s="574" t="n"/>
      <c r="BC194" s="574" t="n"/>
      <c r="BD194" s="574" t="n"/>
      <c r="BE194" s="574" t="n"/>
      <c r="BF194" s="574" t="n"/>
      <c r="BG194" s="574" t="n"/>
      <c r="BH194" s="574" t="n"/>
      <c r="BI194" s="574" t="n"/>
      <c r="BJ194" s="574" t="n"/>
      <c r="BK194" s="574" t="n"/>
      <c r="BL194" s="574" t="n"/>
      <c r="BM194" s="574" t="n"/>
      <c r="BN194" s="574" t="n"/>
      <c r="BO194" s="574" t="n"/>
      <c r="BP194" s="574" t="n"/>
      <c r="BQ194" s="574" t="n"/>
      <c r="BR194" s="574" t="n"/>
      <c r="BS194" s="574" t="n"/>
      <c r="BT194" s="574" t="n"/>
      <c r="BU194" s="574" t="n"/>
      <c r="BV194" s="574" t="n"/>
      <c r="BW194" s="574" t="n"/>
      <c r="BX194" s="574" t="n"/>
      <c r="BY194" s="574" t="n"/>
      <c r="BZ194" s="574" t="n"/>
      <c r="CA194" s="574" t="n"/>
      <c r="CB194" s="574" t="n"/>
      <c r="CC194" s="574" t="n"/>
      <c r="CD194" s="574" t="n"/>
      <c r="CE194" s="574" t="n"/>
      <c r="CF194" s="574" t="n"/>
      <c r="CG194" s="574" t="n"/>
      <c r="CH194" s="574" t="n"/>
      <c r="CI194" s="574" t="n"/>
      <c r="CJ194" s="574" t="n"/>
      <c r="CK194" s="574" t="n"/>
      <c r="CL194" s="574" t="n"/>
      <c r="CM194" s="574" t="n"/>
      <c r="CN194" s="574" t="n"/>
      <c r="CO194" s="574" t="n"/>
      <c r="CP194" s="574" t="n"/>
      <c r="CQ194" s="574" t="n"/>
      <c r="CR194" s="574" t="n"/>
      <c r="CS194" s="574" t="n"/>
      <c r="CT194" s="574" t="n"/>
      <c r="CU194" s="574" t="n"/>
      <c r="CV194" s="574" t="n"/>
      <c r="CW194" s="574" t="n"/>
      <c r="CX194" s="574" t="n"/>
      <c r="CY194" s="574" t="n"/>
      <c r="CZ194" s="574" t="n"/>
      <c r="DA194" s="574" t="n"/>
      <c r="DB194" s="574" t="n"/>
      <c r="DC194" s="574" t="n"/>
      <c r="DD194" s="574" t="n"/>
      <c r="DE194" s="574" t="n"/>
      <c r="DF194" s="574" t="n"/>
      <c r="DG194" s="574" t="n"/>
      <c r="DH194" s="574" t="n"/>
      <c r="DI194" s="574" t="n"/>
      <c r="DJ194" s="574" t="n"/>
      <c r="DK194" s="574" t="n"/>
      <c r="DL194" s="574" t="n"/>
      <c r="DM194" s="574" t="n"/>
      <c r="DN194" s="574" t="n"/>
      <c r="DO194" s="574" t="n"/>
      <c r="DP194" s="574" t="n"/>
      <c r="DQ194" s="574" t="n"/>
      <c r="DR194" s="574" t="n"/>
      <c r="DS194" s="574" t="n"/>
      <c r="DT194" s="574" t="n"/>
      <c r="DU194" s="574" t="n"/>
      <c r="DV194" s="574" t="n"/>
      <c r="DW194" s="574" t="n"/>
      <c r="DX194" s="574" t="n"/>
      <c r="DY194" s="574" t="n"/>
      <c r="DZ194" s="574" t="n"/>
      <c r="EA194" s="574" t="n"/>
      <c r="EB194" s="574" t="n"/>
      <c r="EC194" s="574" t="n"/>
      <c r="ED194" s="574" t="n"/>
      <c r="EE194" s="574" t="n"/>
      <c r="EF194" s="574" t="n"/>
      <c r="EG194" s="574" t="n"/>
      <c r="EH194" s="574" t="n"/>
      <c r="EI194" s="574" t="n"/>
      <c r="EJ194" s="574" t="n"/>
      <c r="EK194" s="574" t="n"/>
      <c r="EL194" s="574" t="n"/>
      <c r="EM194" s="574" t="n"/>
      <c r="EN194" s="574" t="n"/>
      <c r="EO194" s="574" t="n"/>
      <c r="EP194" s="574" t="n"/>
      <c r="EQ194" s="574" t="n"/>
      <c r="ER194" s="574" t="n"/>
      <c r="ES194" s="574" t="n"/>
      <c r="ET194" s="574" t="n"/>
      <c r="EU194" s="574" t="n"/>
      <c r="EV194" s="574" t="n"/>
      <c r="EW194" s="574" t="n"/>
      <c r="EX194" s="574" t="n"/>
      <c r="EY194" s="574" t="n"/>
      <c r="EZ194" s="574" t="n"/>
      <c r="FA194" s="574" t="n"/>
      <c r="FB194" s="574" t="n"/>
      <c r="FC194" s="574" t="n"/>
      <c r="FD194" s="574" t="n"/>
      <c r="FE194" s="574" t="n"/>
      <c r="FF194" s="574" t="n"/>
      <c r="FG194" s="574" t="n"/>
      <c r="FH194" s="574" t="n"/>
      <c r="FI194" s="574" t="n"/>
      <c r="FJ194" s="574" t="n"/>
      <c r="FK194" s="574" t="n"/>
      <c r="FL194" s="574" t="n"/>
      <c r="FM194" s="574" t="n"/>
      <c r="FN194" s="574" t="n"/>
      <c r="FO194" s="574" t="n"/>
      <c r="FP194" s="574" t="n"/>
      <c r="FQ194" s="574" t="n"/>
      <c r="FR194" s="574" t="n"/>
      <c r="FS194" s="574" t="n"/>
      <c r="FT194" s="574" t="n"/>
      <c r="FU194" s="574" t="n"/>
      <c r="FV194" s="574" t="n"/>
      <c r="FW194" s="574" t="n"/>
      <c r="FX194" s="574" t="n"/>
      <c r="FY194" s="574" t="n"/>
      <c r="FZ194" s="574" t="n"/>
      <c r="GA194" s="574" t="n"/>
      <c r="GB194" s="574" t="n"/>
      <c r="GC194" s="574" t="n"/>
      <c r="GD194" s="574" t="n"/>
      <c r="GE194" s="574" t="n"/>
      <c r="GF194" s="574" t="n"/>
    </row>
    <row r="195" customFormat="1" s="568">
      <c r="A195" s="86" t="n"/>
      <c r="B195" s="85" t="n"/>
      <c r="C195" s="84">
        <f>IFERROR(IF(AND($E195&gt;0,$D195&lt;&gt;"The Public"),$E195/SUMIFS($E$10:$E$205,$E$10:$E$205,"&gt;0",$D$10:$D$205,"&lt;&gt;The Public")*$D$5,""),"")</f>
        <v/>
      </c>
      <c r="D195" s="68" t="n"/>
      <c r="E195" s="84">
        <f>SUM(G195:HY195)</f>
        <v/>
      </c>
      <c r="M195" s="574" t="n"/>
      <c r="N195" s="574" t="n"/>
      <c r="O195" s="574" t="n"/>
      <c r="P195" s="574" t="n"/>
      <c r="Q195" s="574" t="n"/>
      <c r="R195" s="574" t="n"/>
      <c r="S195" s="574" t="n"/>
      <c r="T195" s="574" t="n"/>
      <c r="U195" s="574" t="n"/>
      <c r="V195" s="574" t="n"/>
      <c r="W195" s="574" t="n"/>
      <c r="X195" s="574" t="n"/>
      <c r="Y195" s="574" t="n"/>
      <c r="Z195" s="574" t="n"/>
      <c r="AA195" s="574" t="n"/>
      <c r="AB195" s="574" t="n"/>
      <c r="AC195" s="574" t="n"/>
      <c r="AD195" s="574" t="n"/>
      <c r="AE195" s="574" t="n"/>
      <c r="AF195" s="574" t="n"/>
      <c r="AG195" s="574" t="n"/>
      <c r="AH195" s="574" t="n"/>
      <c r="AI195" s="574" t="n"/>
      <c r="AJ195" s="574" t="n"/>
      <c r="AK195" s="574" t="n"/>
      <c r="AL195" s="574" t="n"/>
      <c r="AM195" s="574" t="n"/>
      <c r="AN195" s="574" t="n"/>
      <c r="AO195" s="574" t="n"/>
      <c r="AP195" s="574" t="n"/>
      <c r="AQ195" s="574" t="n"/>
      <c r="AR195" s="574" t="n"/>
      <c r="AS195" s="574" t="n"/>
      <c r="AT195" s="574" t="n"/>
      <c r="AU195" s="574" t="n"/>
      <c r="AV195" s="574" t="n"/>
      <c r="AW195" s="176" t="n"/>
      <c r="AX195" s="176" t="n"/>
      <c r="AY195" s="176" t="n"/>
      <c r="AZ195" s="176" t="n"/>
      <c r="BA195" s="574" t="n"/>
      <c r="BB195" s="574" t="n"/>
      <c r="BC195" s="574" t="n"/>
      <c r="BD195" s="574" t="n"/>
      <c r="BE195" s="574" t="n"/>
      <c r="BF195" s="574" t="n"/>
      <c r="BG195" s="574" t="n"/>
      <c r="BH195" s="574" t="n"/>
      <c r="BI195" s="574" t="n"/>
      <c r="BJ195" s="574" t="n"/>
      <c r="BK195" s="574" t="n"/>
      <c r="BL195" s="574" t="n"/>
      <c r="BM195" s="574" t="n"/>
      <c r="BN195" s="574" t="n"/>
      <c r="BO195" s="574" t="n"/>
      <c r="BP195" s="574" t="n"/>
      <c r="BQ195" s="574" t="n"/>
      <c r="BR195" s="574" t="n"/>
      <c r="BS195" s="574" t="n"/>
      <c r="BT195" s="574" t="n"/>
      <c r="BU195" s="574" t="n"/>
      <c r="BV195" s="574" t="n"/>
      <c r="BW195" s="574" t="n"/>
      <c r="BX195" s="574" t="n"/>
      <c r="BY195" s="574" t="n"/>
      <c r="BZ195" s="574" t="n"/>
      <c r="CA195" s="574" t="n"/>
      <c r="CB195" s="574" t="n"/>
      <c r="CC195" s="574" t="n"/>
      <c r="CD195" s="574" t="n"/>
      <c r="CE195" s="574" t="n"/>
      <c r="CF195" s="574" t="n"/>
      <c r="CG195" s="574" t="n"/>
      <c r="CH195" s="574" t="n"/>
      <c r="CI195" s="574" t="n"/>
      <c r="CJ195" s="574" t="n"/>
      <c r="CK195" s="574" t="n"/>
      <c r="CL195" s="574" t="n"/>
      <c r="CM195" s="574" t="n"/>
      <c r="CN195" s="574" t="n"/>
      <c r="CO195" s="574" t="n"/>
      <c r="CP195" s="574" t="n"/>
      <c r="CQ195" s="574" t="n"/>
      <c r="CR195" s="574" t="n"/>
      <c r="CS195" s="574" t="n"/>
      <c r="CT195" s="574" t="n"/>
      <c r="CU195" s="574" t="n"/>
      <c r="CV195" s="574" t="n"/>
      <c r="CW195" s="574" t="n"/>
      <c r="CX195" s="574" t="n"/>
      <c r="CY195" s="574" t="n"/>
      <c r="CZ195" s="574" t="n"/>
      <c r="DA195" s="574" t="n"/>
      <c r="DB195" s="574" t="n"/>
      <c r="DC195" s="574" t="n"/>
      <c r="DD195" s="574" t="n"/>
      <c r="DE195" s="574" t="n"/>
      <c r="DF195" s="574" t="n"/>
      <c r="DG195" s="574" t="n"/>
      <c r="DH195" s="574" t="n"/>
      <c r="DI195" s="574" t="n"/>
      <c r="DJ195" s="574" t="n"/>
      <c r="DK195" s="574" t="n"/>
      <c r="DL195" s="574" t="n"/>
      <c r="DM195" s="574" t="n"/>
      <c r="DN195" s="574" t="n"/>
      <c r="DO195" s="574" t="n"/>
      <c r="DP195" s="574" t="n"/>
      <c r="DQ195" s="574" t="n"/>
      <c r="DR195" s="574" t="n"/>
      <c r="DS195" s="574" t="n"/>
      <c r="DT195" s="574" t="n"/>
      <c r="DU195" s="574" t="n"/>
      <c r="DV195" s="574" t="n"/>
      <c r="DW195" s="574" t="n"/>
      <c r="DX195" s="574" t="n"/>
      <c r="DY195" s="574" t="n"/>
      <c r="DZ195" s="574" t="n"/>
      <c r="EA195" s="574" t="n"/>
      <c r="EB195" s="574" t="n"/>
      <c r="EC195" s="574" t="n"/>
      <c r="ED195" s="574" t="n"/>
      <c r="EE195" s="574" t="n"/>
      <c r="EF195" s="574" t="n"/>
      <c r="EG195" s="574" t="n"/>
      <c r="EH195" s="574" t="n"/>
      <c r="EI195" s="574" t="n"/>
      <c r="EJ195" s="574" t="n"/>
      <c r="EK195" s="574" t="n"/>
      <c r="EL195" s="574" t="n"/>
      <c r="EM195" s="574" t="n"/>
      <c r="EN195" s="574" t="n"/>
      <c r="EO195" s="574" t="n"/>
      <c r="EP195" s="574" t="n"/>
      <c r="EQ195" s="574" t="n"/>
      <c r="ER195" s="574" t="n"/>
      <c r="ES195" s="574" t="n"/>
      <c r="ET195" s="574" t="n"/>
      <c r="EU195" s="574" t="n"/>
      <c r="EV195" s="574" t="n"/>
      <c r="EW195" s="574" t="n"/>
      <c r="EX195" s="574" t="n"/>
      <c r="EY195" s="574" t="n"/>
      <c r="EZ195" s="574" t="n"/>
      <c r="FA195" s="574" t="n"/>
      <c r="FB195" s="574" t="n"/>
      <c r="FC195" s="574" t="n"/>
      <c r="FD195" s="574" t="n"/>
      <c r="FE195" s="574" t="n"/>
      <c r="FF195" s="574" t="n"/>
      <c r="FG195" s="574" t="n"/>
      <c r="FH195" s="574" t="n"/>
      <c r="FI195" s="574" t="n"/>
      <c r="FJ195" s="574" t="n"/>
      <c r="FK195" s="574" t="n"/>
      <c r="FL195" s="574" t="n"/>
      <c r="FM195" s="574" t="n"/>
      <c r="FN195" s="574" t="n"/>
      <c r="FO195" s="574" t="n"/>
      <c r="FP195" s="574" t="n"/>
      <c r="FQ195" s="574" t="n"/>
      <c r="FR195" s="574" t="n"/>
      <c r="FS195" s="574" t="n"/>
      <c r="FT195" s="574" t="n"/>
      <c r="FU195" s="574" t="n"/>
      <c r="FV195" s="574" t="n"/>
      <c r="FW195" s="574" t="n"/>
      <c r="FX195" s="574" t="n"/>
      <c r="FY195" s="574" t="n"/>
      <c r="FZ195" s="574" t="n"/>
      <c r="GA195" s="574" t="n"/>
      <c r="GB195" s="574" t="n"/>
      <c r="GC195" s="574" t="n"/>
      <c r="GD195" s="574" t="n"/>
      <c r="GE195" s="574" t="n"/>
      <c r="GF195" s="574" t="n"/>
    </row>
    <row r="196" customFormat="1" s="568">
      <c r="A196" s="86" t="n"/>
      <c r="B196" s="85" t="n"/>
      <c r="C196" s="84">
        <f>IFERROR(IF(AND($E196&gt;0,$D196&lt;&gt;"The Public"),$E196/SUMIFS($E$10:$E$205,$E$10:$E$205,"&gt;0",$D$10:$D$205,"&lt;&gt;The Public")*$D$5,""),"")</f>
        <v/>
      </c>
      <c r="D196" s="68" t="n"/>
      <c r="E196" s="84">
        <f>SUM(G196:HY196)</f>
        <v/>
      </c>
      <c r="M196" s="574" t="n"/>
      <c r="N196" s="574" t="n"/>
      <c r="O196" s="574" t="n"/>
      <c r="P196" s="574" t="n"/>
      <c r="Q196" s="574" t="n"/>
      <c r="R196" s="574" t="n"/>
      <c r="S196" s="574" t="n"/>
      <c r="T196" s="574" t="n"/>
      <c r="U196" s="574" t="n"/>
      <c r="V196" s="574" t="n"/>
      <c r="W196" s="574" t="n"/>
      <c r="X196" s="574" t="n"/>
      <c r="Y196" s="574" t="n"/>
      <c r="Z196" s="574" t="n"/>
      <c r="AA196" s="574" t="n"/>
      <c r="AB196" s="574" t="n"/>
      <c r="AC196" s="574" t="n"/>
      <c r="AD196" s="574" t="n"/>
      <c r="AE196" s="574" t="n"/>
      <c r="AF196" s="574" t="n"/>
      <c r="AG196" s="574" t="n"/>
      <c r="AH196" s="574" t="n"/>
      <c r="AI196" s="574" t="n"/>
      <c r="AJ196" s="574" t="n"/>
      <c r="AK196" s="574" t="n"/>
      <c r="AL196" s="574" t="n"/>
      <c r="AM196" s="574" t="n"/>
      <c r="AN196" s="574" t="n"/>
      <c r="AO196" s="574" t="n"/>
      <c r="AP196" s="574" t="n"/>
      <c r="AQ196" s="574" t="n"/>
      <c r="AR196" s="574" t="n"/>
      <c r="AS196" s="574" t="n"/>
      <c r="AT196" s="574" t="n"/>
      <c r="AU196" s="574" t="n"/>
      <c r="AV196" s="574" t="n"/>
      <c r="AW196" s="169" t="n"/>
      <c r="AX196" s="169" t="n"/>
      <c r="AY196" s="169" t="n"/>
      <c r="AZ196" s="169" t="n"/>
      <c r="BA196" s="574" t="n"/>
      <c r="BB196" s="574" t="n"/>
      <c r="BC196" s="574" t="n"/>
      <c r="BD196" s="574" t="n"/>
      <c r="BE196" s="574" t="n"/>
      <c r="BF196" s="574" t="n"/>
      <c r="BG196" s="574" t="n"/>
      <c r="BH196" s="574" t="n"/>
      <c r="BI196" s="574" t="n"/>
      <c r="BJ196" s="574" t="n"/>
      <c r="BK196" s="574" t="n"/>
      <c r="BL196" s="574" t="n"/>
      <c r="BM196" s="574" t="n"/>
      <c r="BN196" s="574" t="n"/>
      <c r="BO196" s="574" t="n"/>
      <c r="BP196" s="574" t="n"/>
      <c r="BQ196" s="574" t="n"/>
      <c r="BR196" s="574" t="n"/>
      <c r="BS196" s="574" t="n"/>
      <c r="BT196" s="574" t="n"/>
      <c r="BU196" s="574" t="n"/>
      <c r="BV196" s="574" t="n"/>
      <c r="BW196" s="574" t="n"/>
      <c r="BX196" s="574" t="n"/>
      <c r="BY196" s="574" t="n"/>
      <c r="BZ196" s="574" t="n"/>
      <c r="CA196" s="574" t="n"/>
      <c r="CB196" s="574" t="n"/>
      <c r="CC196" s="574" t="n"/>
      <c r="CD196" s="574" t="n"/>
      <c r="CE196" s="574" t="n"/>
      <c r="CF196" s="574" t="n"/>
      <c r="CG196" s="574" t="n"/>
      <c r="CH196" s="574" t="n"/>
      <c r="CI196" s="574" t="n"/>
      <c r="CJ196" s="574" t="n"/>
      <c r="CK196" s="574" t="n"/>
      <c r="CL196" s="574" t="n"/>
      <c r="CM196" s="574" t="n"/>
      <c r="CN196" s="574" t="n"/>
      <c r="CO196" s="574" t="n"/>
      <c r="CP196" s="574" t="n"/>
      <c r="CQ196" s="574" t="n"/>
      <c r="CR196" s="574" t="n"/>
      <c r="CS196" s="574" t="n"/>
      <c r="CT196" s="574" t="n"/>
      <c r="CU196" s="574" t="n"/>
      <c r="CV196" s="574" t="n"/>
      <c r="CW196" s="574" t="n"/>
      <c r="CX196" s="574" t="n"/>
      <c r="CY196" s="574" t="n"/>
      <c r="CZ196" s="574" t="n"/>
      <c r="DA196" s="574" t="n"/>
      <c r="DB196" s="574" t="n"/>
      <c r="DC196" s="574" t="n"/>
      <c r="DD196" s="574" t="n"/>
      <c r="DE196" s="574" t="n"/>
      <c r="DF196" s="574" t="n"/>
      <c r="DG196" s="574" t="n"/>
      <c r="DH196" s="574" t="n"/>
      <c r="DI196" s="574" t="n"/>
      <c r="DJ196" s="574" t="n"/>
      <c r="DK196" s="574" t="n"/>
      <c r="DL196" s="574" t="n"/>
      <c r="DM196" s="574" t="n"/>
      <c r="DN196" s="574" t="n"/>
      <c r="DO196" s="574" t="n"/>
      <c r="DP196" s="574" t="n"/>
      <c r="DQ196" s="574" t="n"/>
      <c r="DR196" s="574" t="n"/>
      <c r="DS196" s="574" t="n"/>
      <c r="DT196" s="574" t="n"/>
      <c r="DU196" s="574" t="n"/>
      <c r="DV196" s="574" t="n"/>
      <c r="DW196" s="574" t="n"/>
      <c r="DX196" s="574" t="n"/>
      <c r="DY196" s="574" t="n"/>
      <c r="DZ196" s="574" t="n"/>
      <c r="EA196" s="574" t="n"/>
      <c r="EB196" s="574" t="n"/>
      <c r="EC196" s="574" t="n"/>
      <c r="ED196" s="574" t="n"/>
      <c r="EE196" s="574" t="n"/>
      <c r="EF196" s="574" t="n"/>
      <c r="EG196" s="574" t="n"/>
      <c r="EH196" s="574" t="n"/>
      <c r="EI196" s="574" t="n"/>
      <c r="EJ196" s="574" t="n"/>
      <c r="EK196" s="574" t="n"/>
      <c r="EL196" s="574" t="n"/>
      <c r="EM196" s="574" t="n"/>
      <c r="EN196" s="574" t="n"/>
      <c r="EO196" s="574" t="n"/>
      <c r="EP196" s="574" t="n"/>
      <c r="EQ196" s="574" t="n"/>
      <c r="ER196" s="574" t="n"/>
      <c r="ES196" s="574" t="n"/>
      <c r="ET196" s="574" t="n"/>
      <c r="EU196" s="574" t="n"/>
      <c r="EV196" s="574" t="n"/>
      <c r="EW196" s="574" t="n"/>
      <c r="EX196" s="574" t="n"/>
      <c r="EY196" s="574" t="n"/>
      <c r="EZ196" s="574" t="n"/>
      <c r="FA196" s="574" t="n"/>
      <c r="FB196" s="574" t="n"/>
      <c r="FC196" s="574" t="n"/>
      <c r="FD196" s="574" t="n"/>
      <c r="FE196" s="574" t="n"/>
      <c r="FF196" s="574" t="n"/>
      <c r="FG196" s="574" t="n"/>
      <c r="FH196" s="574" t="n"/>
      <c r="FI196" s="574" t="n"/>
      <c r="FJ196" s="574" t="n"/>
      <c r="FK196" s="574" t="n"/>
      <c r="FL196" s="574" t="n"/>
      <c r="FM196" s="574" t="n"/>
      <c r="FN196" s="574" t="n"/>
      <c r="FO196" s="574" t="n"/>
      <c r="FP196" s="574" t="n"/>
      <c r="FQ196" s="574" t="n"/>
      <c r="FR196" s="574" t="n"/>
      <c r="FS196" s="574" t="n"/>
      <c r="FT196" s="574" t="n"/>
      <c r="FU196" s="574" t="n"/>
      <c r="FV196" s="574" t="n"/>
      <c r="FW196" s="574" t="n"/>
      <c r="FX196" s="574" t="n"/>
      <c r="FY196" s="574" t="n"/>
      <c r="FZ196" s="574" t="n"/>
      <c r="GA196" s="574" t="n"/>
      <c r="GB196" s="574" t="n"/>
      <c r="GC196" s="574" t="n"/>
      <c r="GD196" s="574" t="n"/>
      <c r="GE196" s="574" t="n"/>
      <c r="GF196" s="574" t="n"/>
    </row>
    <row r="197" customFormat="1" s="568">
      <c r="A197" s="86" t="n"/>
      <c r="B197" s="85" t="n"/>
      <c r="C197" s="84">
        <f>IFERROR(IF(AND($E197&gt;0,$D197&lt;&gt;"The Public"),$E197/SUMIFS($E$10:$E$205,$E$10:$E$205,"&gt;0",$D$10:$D$205,"&lt;&gt;The Public")*$D$5,""),"")</f>
        <v/>
      </c>
      <c r="D197" s="68" t="n"/>
      <c r="E197" s="84">
        <f>SUM(G197:HY197)</f>
        <v/>
      </c>
      <c r="M197" s="574" t="n"/>
      <c r="N197" s="574" t="n"/>
      <c r="O197" s="574" t="n"/>
      <c r="P197" s="574" t="n"/>
      <c r="Q197" s="574" t="n"/>
      <c r="R197" s="574" t="n"/>
      <c r="S197" s="574" t="n"/>
      <c r="T197" s="574" t="n"/>
      <c r="U197" s="574" t="n"/>
      <c r="V197" s="574" t="n"/>
      <c r="W197" s="574" t="n"/>
      <c r="X197" s="574" t="n"/>
      <c r="Y197" s="574" t="n"/>
      <c r="Z197" s="574" t="n"/>
      <c r="AA197" s="574" t="n"/>
      <c r="AB197" s="574" t="n"/>
      <c r="AC197" s="574" t="n"/>
      <c r="AD197" s="574" t="n"/>
      <c r="AE197" s="574" t="n"/>
      <c r="AF197" s="574" t="n"/>
      <c r="AG197" s="574" t="n"/>
      <c r="AH197" s="574" t="n"/>
      <c r="AI197" s="574" t="n"/>
      <c r="AJ197" s="574" t="n"/>
      <c r="AK197" s="574" t="n"/>
      <c r="AL197" s="574" t="n"/>
      <c r="AM197" s="574" t="n"/>
      <c r="AN197" s="574" t="n"/>
      <c r="AO197" s="574" t="n"/>
      <c r="AP197" s="574" t="n"/>
      <c r="AQ197" s="574" t="n"/>
      <c r="AR197" s="574" t="n"/>
      <c r="AS197" s="574" t="n"/>
      <c r="AT197" s="574" t="n"/>
      <c r="AU197" s="574" t="n"/>
      <c r="AV197" s="574" t="n"/>
      <c r="AW197" s="169" t="n"/>
      <c r="AX197" s="169" t="n"/>
      <c r="AY197" s="169" t="n"/>
      <c r="AZ197" s="169" t="n"/>
      <c r="BA197" s="574" t="n"/>
      <c r="BB197" s="574" t="n"/>
      <c r="BC197" s="574" t="n"/>
      <c r="BD197" s="574" t="n"/>
      <c r="BE197" s="574" t="n"/>
      <c r="BF197" s="574" t="n"/>
      <c r="BG197" s="574" t="n"/>
      <c r="BH197" s="574" t="n"/>
      <c r="BI197" s="574" t="n"/>
      <c r="BJ197" s="574" t="n"/>
      <c r="BK197" s="574" t="n"/>
      <c r="BL197" s="574" t="n"/>
      <c r="BM197" s="574" t="n"/>
      <c r="BN197" s="574" t="n"/>
      <c r="BO197" s="574" t="n"/>
      <c r="BP197" s="574" t="n"/>
      <c r="BQ197" s="574" t="n"/>
      <c r="BR197" s="574" t="n"/>
      <c r="BS197" s="574" t="n"/>
      <c r="BT197" s="574" t="n"/>
      <c r="BU197" s="574" t="n"/>
      <c r="BV197" s="574" t="n"/>
      <c r="BW197" s="574" t="n"/>
      <c r="BX197" s="574" t="n"/>
      <c r="BY197" s="574" t="n"/>
      <c r="BZ197" s="574" t="n"/>
      <c r="CA197" s="574" t="n"/>
      <c r="CB197" s="574" t="n"/>
      <c r="CC197" s="574" t="n"/>
      <c r="CD197" s="574" t="n"/>
      <c r="CE197" s="574" t="n"/>
      <c r="CF197" s="574" t="n"/>
      <c r="CG197" s="574" t="n"/>
      <c r="CH197" s="574" t="n"/>
      <c r="CI197" s="574" t="n"/>
      <c r="CJ197" s="574" t="n"/>
      <c r="CK197" s="574" t="n"/>
      <c r="CL197" s="574" t="n"/>
      <c r="CM197" s="574" t="n"/>
      <c r="CN197" s="574" t="n"/>
      <c r="CO197" s="574" t="n"/>
      <c r="CP197" s="574" t="n"/>
      <c r="CQ197" s="574" t="n"/>
      <c r="CR197" s="574" t="n"/>
      <c r="CS197" s="574" t="n"/>
      <c r="CT197" s="574" t="n"/>
      <c r="CU197" s="574" t="n"/>
      <c r="CV197" s="574" t="n"/>
      <c r="CW197" s="574" t="n"/>
      <c r="CX197" s="574" t="n"/>
      <c r="CY197" s="574" t="n"/>
      <c r="CZ197" s="574" t="n"/>
      <c r="DA197" s="574" t="n"/>
      <c r="DB197" s="574" t="n"/>
      <c r="DC197" s="574" t="n"/>
      <c r="DD197" s="574" t="n"/>
      <c r="DE197" s="574" t="n"/>
      <c r="DF197" s="574" t="n"/>
      <c r="DG197" s="574" t="n"/>
      <c r="DH197" s="574" t="n"/>
      <c r="DI197" s="574" t="n"/>
      <c r="DJ197" s="574" t="n"/>
      <c r="DK197" s="574" t="n"/>
      <c r="DL197" s="574" t="n"/>
      <c r="DM197" s="574" t="n"/>
      <c r="DN197" s="574" t="n"/>
      <c r="DO197" s="574" t="n"/>
      <c r="DP197" s="574" t="n"/>
      <c r="DQ197" s="574" t="n"/>
      <c r="DR197" s="574" t="n"/>
      <c r="DS197" s="574" t="n"/>
      <c r="DT197" s="574" t="n"/>
      <c r="DU197" s="574" t="n"/>
      <c r="DV197" s="574" t="n"/>
      <c r="DW197" s="574" t="n"/>
      <c r="DX197" s="574" t="n"/>
      <c r="DY197" s="574" t="n"/>
      <c r="DZ197" s="574" t="n"/>
      <c r="EA197" s="574" t="n"/>
      <c r="EB197" s="574" t="n"/>
      <c r="EC197" s="574" t="n"/>
      <c r="ED197" s="574" t="n"/>
      <c r="EE197" s="574" t="n"/>
      <c r="EF197" s="574" t="n"/>
      <c r="EG197" s="574" t="n"/>
      <c r="EH197" s="574" t="n"/>
      <c r="EI197" s="574" t="n"/>
      <c r="EJ197" s="574" t="n"/>
      <c r="EK197" s="574" t="n"/>
      <c r="EL197" s="574" t="n"/>
      <c r="EM197" s="574" t="n"/>
      <c r="EN197" s="574" t="n"/>
      <c r="EO197" s="574" t="n"/>
      <c r="EP197" s="574" t="n"/>
      <c r="EQ197" s="574" t="n"/>
      <c r="ER197" s="574" t="n"/>
      <c r="ES197" s="574" t="n"/>
      <c r="ET197" s="574" t="n"/>
      <c r="EU197" s="574" t="n"/>
      <c r="EV197" s="574" t="n"/>
      <c r="EW197" s="574" t="n"/>
      <c r="EX197" s="574" t="n"/>
      <c r="EY197" s="574" t="n"/>
      <c r="EZ197" s="574" t="n"/>
      <c r="FA197" s="574" t="n"/>
      <c r="FB197" s="574" t="n"/>
      <c r="FC197" s="574" t="n"/>
      <c r="FD197" s="574" t="n"/>
      <c r="FE197" s="574" t="n"/>
      <c r="FF197" s="574" t="n"/>
      <c r="FG197" s="574" t="n"/>
      <c r="FH197" s="574" t="n"/>
      <c r="FI197" s="574" t="n"/>
      <c r="FJ197" s="574" t="n"/>
      <c r="FK197" s="574" t="n"/>
      <c r="FL197" s="574" t="n"/>
      <c r="FM197" s="574" t="n"/>
      <c r="FN197" s="574" t="n"/>
      <c r="FO197" s="574" t="n"/>
      <c r="FP197" s="574" t="n"/>
      <c r="FQ197" s="574" t="n"/>
      <c r="FR197" s="574" t="n"/>
      <c r="FS197" s="574" t="n"/>
      <c r="FT197" s="574" t="n"/>
      <c r="FU197" s="574" t="n"/>
      <c r="FV197" s="574" t="n"/>
      <c r="FW197" s="574" t="n"/>
      <c r="FX197" s="574" t="n"/>
      <c r="FY197" s="574" t="n"/>
      <c r="FZ197" s="574" t="n"/>
      <c r="GA197" s="574" t="n"/>
      <c r="GB197" s="574" t="n"/>
      <c r="GC197" s="574" t="n"/>
      <c r="GD197" s="574" t="n"/>
      <c r="GE197" s="574" t="n"/>
      <c r="GF197" s="574" t="n"/>
    </row>
    <row r="198" customFormat="1" s="568">
      <c r="A198" s="86" t="n"/>
      <c r="B198" s="85" t="n"/>
      <c r="C198" s="84">
        <f>IFERROR(IF(AND($E198&gt;0,$D198&lt;&gt;"The Public"),$E198/SUMIFS($E$10:$E$205,$E$10:$E$205,"&gt;0",$D$10:$D$205,"&lt;&gt;The Public")*$D$5,""),"")</f>
        <v/>
      </c>
      <c r="D198" s="68" t="n"/>
      <c r="E198" s="84">
        <f>SUM(G198:HY198)</f>
        <v/>
      </c>
      <c r="M198" s="574" t="n"/>
      <c r="N198" s="574" t="n"/>
      <c r="O198" s="574" t="n"/>
      <c r="P198" s="574" t="n"/>
      <c r="Q198" s="574" t="n"/>
      <c r="R198" s="574" t="n"/>
      <c r="S198" s="574" t="n"/>
      <c r="T198" s="574" t="n"/>
      <c r="U198" s="574" t="n"/>
      <c r="V198" s="574" t="n"/>
      <c r="W198" s="574" t="n"/>
      <c r="X198" s="574" t="n"/>
      <c r="Y198" s="574" t="n"/>
      <c r="Z198" s="574" t="n"/>
      <c r="AA198" s="574" t="n"/>
      <c r="AB198" s="574" t="n"/>
      <c r="AC198" s="574" t="n"/>
      <c r="AD198" s="574" t="n"/>
      <c r="AE198" s="574" t="n"/>
      <c r="AF198" s="574" t="n"/>
      <c r="AG198" s="574" t="n"/>
      <c r="AH198" s="574" t="n"/>
      <c r="AI198" s="574" t="n"/>
      <c r="AJ198" s="574" t="n"/>
      <c r="AK198" s="574" t="n"/>
      <c r="AL198" s="574" t="n"/>
      <c r="AM198" s="574" t="n"/>
      <c r="AN198" s="574" t="n"/>
      <c r="AO198" s="574" t="n"/>
      <c r="AP198" s="574" t="n"/>
      <c r="AQ198" s="574" t="n"/>
      <c r="AR198" s="574" t="n"/>
      <c r="AS198" s="574" t="n"/>
      <c r="AT198" s="574" t="n"/>
      <c r="AU198" s="574" t="n"/>
      <c r="AV198" s="574" t="n"/>
      <c r="AW198" s="169" t="n"/>
      <c r="AX198" s="169" t="n"/>
      <c r="AY198" s="169" t="n"/>
      <c r="AZ198" s="169" t="n"/>
      <c r="BA198" s="574" t="n"/>
      <c r="BB198" s="574" t="n"/>
      <c r="BC198" s="574" t="n"/>
      <c r="BD198" s="574" t="n"/>
      <c r="BE198" s="574" t="n"/>
      <c r="BF198" s="574" t="n"/>
      <c r="BG198" s="574" t="n"/>
      <c r="BH198" s="574" t="n"/>
      <c r="BI198" s="574" t="n"/>
      <c r="BJ198" s="574" t="n"/>
      <c r="BK198" s="574" t="n"/>
      <c r="BL198" s="574" t="n"/>
      <c r="BM198" s="574" t="n"/>
      <c r="BN198" s="574" t="n"/>
      <c r="BO198" s="574" t="n"/>
      <c r="BP198" s="574" t="n"/>
      <c r="BQ198" s="574" t="n"/>
      <c r="BR198" s="574" t="n"/>
      <c r="BS198" s="574" t="n"/>
      <c r="BT198" s="574" t="n"/>
      <c r="BU198" s="574" t="n"/>
      <c r="BV198" s="574" t="n"/>
      <c r="BW198" s="574" t="n"/>
      <c r="BX198" s="574" t="n"/>
      <c r="BY198" s="574" t="n"/>
      <c r="BZ198" s="574" t="n"/>
      <c r="CA198" s="574" t="n"/>
      <c r="CB198" s="574" t="n"/>
      <c r="CC198" s="574" t="n"/>
      <c r="CD198" s="574" t="n"/>
      <c r="CE198" s="574" t="n"/>
      <c r="CF198" s="574" t="n"/>
      <c r="CG198" s="574" t="n"/>
      <c r="CH198" s="574" t="n"/>
      <c r="CI198" s="574" t="n"/>
      <c r="CJ198" s="574" t="n"/>
      <c r="CK198" s="574" t="n"/>
      <c r="CL198" s="574" t="n"/>
      <c r="CM198" s="574" t="n"/>
      <c r="CN198" s="574" t="n"/>
      <c r="CO198" s="574" t="n"/>
      <c r="CP198" s="574" t="n"/>
      <c r="CQ198" s="574" t="n"/>
      <c r="CR198" s="574" t="n"/>
      <c r="CS198" s="574" t="n"/>
      <c r="CT198" s="574" t="n"/>
      <c r="CU198" s="574" t="n"/>
      <c r="CV198" s="574" t="n"/>
      <c r="CW198" s="574" t="n"/>
      <c r="CX198" s="574" t="n"/>
      <c r="CY198" s="574" t="n"/>
      <c r="CZ198" s="574" t="n"/>
      <c r="DA198" s="574" t="n"/>
      <c r="DB198" s="574" t="n"/>
      <c r="DC198" s="574" t="n"/>
      <c r="DD198" s="574" t="n"/>
      <c r="DE198" s="574" t="n"/>
      <c r="DF198" s="574" t="n"/>
      <c r="DG198" s="574" t="n"/>
      <c r="DH198" s="574" t="n"/>
      <c r="DI198" s="574" t="n"/>
      <c r="DJ198" s="574" t="n"/>
      <c r="DK198" s="574" t="n"/>
      <c r="DL198" s="574" t="n"/>
      <c r="DM198" s="574" t="n"/>
      <c r="DN198" s="574" t="n"/>
      <c r="DO198" s="574" t="n"/>
      <c r="DP198" s="574" t="n"/>
      <c r="DQ198" s="574" t="n"/>
      <c r="DR198" s="574" t="n"/>
      <c r="DS198" s="574" t="n"/>
      <c r="DT198" s="574" t="n"/>
      <c r="DU198" s="574" t="n"/>
      <c r="DV198" s="574" t="n"/>
      <c r="DW198" s="574" t="n"/>
      <c r="DX198" s="574" t="n"/>
      <c r="DY198" s="574" t="n"/>
      <c r="DZ198" s="574" t="n"/>
      <c r="EA198" s="574" t="n"/>
      <c r="EB198" s="574" t="n"/>
      <c r="EC198" s="574" t="n"/>
      <c r="ED198" s="574" t="n"/>
      <c r="EE198" s="574" t="n"/>
      <c r="EF198" s="574" t="n"/>
      <c r="EG198" s="574" t="n"/>
      <c r="EH198" s="574" t="n"/>
      <c r="EI198" s="574" t="n"/>
      <c r="EJ198" s="574" t="n"/>
      <c r="EK198" s="574" t="n"/>
      <c r="EL198" s="574" t="n"/>
      <c r="EM198" s="574" t="n"/>
      <c r="EN198" s="574" t="n"/>
      <c r="EO198" s="574" t="n"/>
      <c r="EP198" s="574" t="n"/>
      <c r="EQ198" s="574" t="n"/>
      <c r="ER198" s="574" t="n"/>
      <c r="ES198" s="574" t="n"/>
      <c r="ET198" s="574" t="n"/>
      <c r="EU198" s="574" t="n"/>
      <c r="EV198" s="574" t="n"/>
      <c r="EW198" s="574" t="n"/>
      <c r="EX198" s="574" t="n"/>
      <c r="EY198" s="574" t="n"/>
      <c r="EZ198" s="574" t="n"/>
      <c r="FA198" s="574" t="n"/>
      <c r="FB198" s="574" t="n"/>
      <c r="FC198" s="574" t="n"/>
      <c r="FD198" s="574" t="n"/>
      <c r="FE198" s="574" t="n"/>
      <c r="FF198" s="574" t="n"/>
      <c r="FG198" s="574" t="n"/>
      <c r="FH198" s="574" t="n"/>
      <c r="FI198" s="574" t="n"/>
      <c r="FJ198" s="574" t="n"/>
      <c r="FK198" s="574" t="n"/>
      <c r="FL198" s="574" t="n"/>
      <c r="FM198" s="574" t="n"/>
      <c r="FN198" s="574" t="n"/>
      <c r="FO198" s="574" t="n"/>
      <c r="FP198" s="574" t="n"/>
      <c r="FQ198" s="574" t="n"/>
      <c r="FR198" s="574" t="n"/>
      <c r="FS198" s="574" t="n"/>
      <c r="FT198" s="574" t="n"/>
      <c r="FU198" s="574" t="n"/>
      <c r="FV198" s="574" t="n"/>
      <c r="FW198" s="574" t="n"/>
      <c r="FX198" s="574" t="n"/>
      <c r="FY198" s="574" t="n"/>
      <c r="FZ198" s="574" t="n"/>
      <c r="GA198" s="574" t="n"/>
      <c r="GB198" s="574" t="n"/>
      <c r="GC198" s="574" t="n"/>
      <c r="GD198" s="574" t="n"/>
      <c r="GE198" s="574" t="n"/>
      <c r="GF198" s="574" t="n"/>
    </row>
    <row r="199" customFormat="1" s="568">
      <c r="A199" s="86" t="n"/>
      <c r="B199" s="85" t="n"/>
      <c r="C199" s="84">
        <f>IFERROR(IF(AND($E199&gt;0,$D199&lt;&gt;"The Public"),$E199/SUMIFS($E$10:$E$205,$E$10:$E$205,"&gt;0",$D$10:$D$205,"&lt;&gt;The Public")*$D$5,""),"")</f>
        <v/>
      </c>
      <c r="D199" s="68" t="n"/>
      <c r="E199" s="84">
        <f>SUM(G199:HY199)</f>
        <v/>
      </c>
      <c r="M199" s="574" t="n"/>
      <c r="N199" s="574" t="n"/>
      <c r="O199" s="574" t="n"/>
      <c r="P199" s="574" t="n"/>
      <c r="Q199" s="574" t="n"/>
      <c r="R199" s="574" t="n"/>
      <c r="S199" s="574" t="n"/>
      <c r="T199" s="574" t="n"/>
      <c r="U199" s="574" t="n"/>
      <c r="V199" s="574" t="n"/>
      <c r="W199" s="574" t="n"/>
      <c r="X199" s="574" t="n"/>
      <c r="Y199" s="574" t="n"/>
      <c r="Z199" s="574" t="n"/>
      <c r="AA199" s="574" t="n"/>
      <c r="AB199" s="574" t="n"/>
      <c r="AC199" s="574" t="n"/>
      <c r="AD199" s="574" t="n"/>
      <c r="AE199" s="574" t="n"/>
      <c r="AF199" s="574" t="n"/>
      <c r="AG199" s="574" t="n"/>
      <c r="AH199" s="574" t="n"/>
      <c r="AI199" s="574" t="n"/>
      <c r="AJ199" s="574" t="n"/>
      <c r="AK199" s="574" t="n"/>
      <c r="AL199" s="574" t="n"/>
      <c r="AM199" s="574" t="n"/>
      <c r="AN199" s="574" t="n"/>
      <c r="AO199" s="574" t="n"/>
      <c r="AP199" s="574" t="n"/>
      <c r="AQ199" s="574" t="n"/>
      <c r="AR199" s="574" t="n"/>
      <c r="AS199" s="574" t="n"/>
      <c r="AT199" s="574" t="n"/>
      <c r="AU199" s="574" t="n"/>
      <c r="AV199" s="574" t="n"/>
      <c r="AW199" s="169" t="n"/>
      <c r="AX199" s="169" t="n"/>
      <c r="AY199" s="169" t="n"/>
      <c r="AZ199" s="169" t="n"/>
      <c r="BA199" s="574" t="n"/>
      <c r="BB199" s="574" t="n"/>
      <c r="BC199" s="574" t="n"/>
      <c r="BD199" s="574" t="n"/>
      <c r="BE199" s="574" t="n"/>
      <c r="BF199" s="574" t="n"/>
      <c r="BG199" s="574" t="n"/>
      <c r="BH199" s="574" t="n"/>
      <c r="BI199" s="574" t="n"/>
      <c r="BJ199" s="574" t="n"/>
      <c r="BK199" s="574" t="n"/>
      <c r="BL199" s="574" t="n"/>
      <c r="BM199" s="574" t="n"/>
      <c r="BN199" s="574" t="n"/>
      <c r="BO199" s="574" t="n"/>
      <c r="BP199" s="574" t="n"/>
      <c r="BQ199" s="574" t="n"/>
      <c r="BR199" s="574" t="n"/>
      <c r="BS199" s="574" t="n"/>
      <c r="BT199" s="574" t="n"/>
      <c r="BU199" s="574" t="n"/>
      <c r="BV199" s="574" t="n"/>
      <c r="BW199" s="574" t="n"/>
      <c r="BX199" s="574" t="n"/>
      <c r="BY199" s="574" t="n"/>
      <c r="BZ199" s="574" t="n"/>
      <c r="CA199" s="574" t="n"/>
      <c r="CB199" s="574" t="n"/>
      <c r="CC199" s="574" t="n"/>
      <c r="CD199" s="574" t="n"/>
      <c r="CE199" s="574" t="n"/>
      <c r="CF199" s="574" t="n"/>
      <c r="CG199" s="574" t="n"/>
      <c r="CH199" s="574" t="n"/>
      <c r="CI199" s="574" t="n"/>
      <c r="CJ199" s="574" t="n"/>
      <c r="CK199" s="574" t="n"/>
      <c r="CL199" s="574" t="n"/>
      <c r="CM199" s="574" t="n"/>
      <c r="CN199" s="574" t="n"/>
      <c r="CO199" s="574" t="n"/>
      <c r="CP199" s="574" t="n"/>
      <c r="CQ199" s="574" t="n"/>
      <c r="CR199" s="574" t="n"/>
      <c r="CS199" s="574" t="n"/>
      <c r="CT199" s="574" t="n"/>
      <c r="CU199" s="574" t="n"/>
      <c r="CV199" s="574" t="n"/>
      <c r="CW199" s="574" t="n"/>
      <c r="CX199" s="574" t="n"/>
      <c r="CY199" s="574" t="n"/>
      <c r="CZ199" s="574" t="n"/>
      <c r="DA199" s="574" t="n"/>
      <c r="DB199" s="574" t="n"/>
      <c r="DC199" s="574" t="n"/>
      <c r="DD199" s="574" t="n"/>
      <c r="DE199" s="574" t="n"/>
      <c r="DF199" s="574" t="n"/>
      <c r="DG199" s="574" t="n"/>
      <c r="DH199" s="574" t="n"/>
      <c r="DI199" s="574" t="n"/>
      <c r="DJ199" s="574" t="n"/>
      <c r="DK199" s="574" t="n"/>
      <c r="DL199" s="574" t="n"/>
      <c r="DM199" s="574" t="n"/>
      <c r="DN199" s="574" t="n"/>
      <c r="DO199" s="574" t="n"/>
      <c r="DP199" s="574" t="n"/>
      <c r="DQ199" s="574" t="n"/>
      <c r="DR199" s="574" t="n"/>
      <c r="DS199" s="574" t="n"/>
      <c r="DT199" s="574" t="n"/>
      <c r="DU199" s="574" t="n"/>
      <c r="DV199" s="574" t="n"/>
      <c r="DW199" s="574" t="n"/>
      <c r="DX199" s="574" t="n"/>
      <c r="DY199" s="574" t="n"/>
      <c r="DZ199" s="574" t="n"/>
      <c r="EA199" s="574" t="n"/>
      <c r="EB199" s="574" t="n"/>
      <c r="EC199" s="574" t="n"/>
      <c r="ED199" s="574" t="n"/>
      <c r="EE199" s="574" t="n"/>
      <c r="EF199" s="574" t="n"/>
      <c r="EG199" s="574" t="n"/>
      <c r="EH199" s="574" t="n"/>
      <c r="EI199" s="574" t="n"/>
      <c r="EJ199" s="574" t="n"/>
      <c r="EK199" s="574" t="n"/>
      <c r="EL199" s="574" t="n"/>
      <c r="EM199" s="574" t="n"/>
      <c r="EN199" s="574" t="n"/>
      <c r="EO199" s="574" t="n"/>
      <c r="EP199" s="574" t="n"/>
      <c r="EQ199" s="574" t="n"/>
      <c r="ER199" s="574" t="n"/>
      <c r="ES199" s="574" t="n"/>
      <c r="ET199" s="574" t="n"/>
      <c r="EU199" s="574" t="n"/>
      <c r="EV199" s="574" t="n"/>
      <c r="EW199" s="574" t="n"/>
      <c r="EX199" s="574" t="n"/>
      <c r="EY199" s="574" t="n"/>
      <c r="EZ199" s="574" t="n"/>
      <c r="FA199" s="574" t="n"/>
      <c r="FB199" s="574" t="n"/>
      <c r="FC199" s="574" t="n"/>
      <c r="FD199" s="574" t="n"/>
      <c r="FE199" s="574" t="n"/>
      <c r="FF199" s="574" t="n"/>
      <c r="FG199" s="574" t="n"/>
      <c r="FH199" s="574" t="n"/>
      <c r="FI199" s="574" t="n"/>
      <c r="FJ199" s="574" t="n"/>
      <c r="FK199" s="574" t="n"/>
      <c r="FL199" s="574" t="n"/>
      <c r="FM199" s="574" t="n"/>
      <c r="FN199" s="574" t="n"/>
      <c r="FO199" s="574" t="n"/>
      <c r="FP199" s="574" t="n"/>
      <c r="FQ199" s="574" t="n"/>
      <c r="FR199" s="574" t="n"/>
      <c r="FS199" s="574" t="n"/>
      <c r="FT199" s="574" t="n"/>
      <c r="FU199" s="574" t="n"/>
      <c r="FV199" s="574" t="n"/>
      <c r="FW199" s="574" t="n"/>
      <c r="FX199" s="574" t="n"/>
      <c r="FY199" s="574" t="n"/>
      <c r="FZ199" s="574" t="n"/>
      <c r="GA199" s="574" t="n"/>
      <c r="GB199" s="574" t="n"/>
      <c r="GC199" s="574" t="n"/>
      <c r="GD199" s="574" t="n"/>
      <c r="GE199" s="574" t="n"/>
      <c r="GF199" s="574" t="n"/>
    </row>
    <row r="200" customFormat="1" s="568">
      <c r="A200" s="86" t="n"/>
      <c r="B200" s="85" t="n"/>
      <c r="C200" s="84">
        <f>IFERROR(IF(AND($E200&gt;0,$D200&lt;&gt;"The Public"),$E200/SUMIFS($E$10:$E$205,$E$10:$E$205,"&gt;0",$D$10:$D$205,"&lt;&gt;The Public")*$D$5,""),"")</f>
        <v/>
      </c>
      <c r="D200" s="68" t="n"/>
      <c r="E200" s="84">
        <f>SUM(G200:HY200)</f>
        <v/>
      </c>
      <c r="M200" s="574" t="n"/>
      <c r="N200" s="574" t="n"/>
      <c r="O200" s="574" t="n"/>
      <c r="P200" s="574" t="n"/>
      <c r="Q200" s="574" t="n"/>
      <c r="R200" s="574" t="n"/>
      <c r="S200" s="574" t="n"/>
      <c r="T200" s="574" t="n"/>
      <c r="U200" s="574" t="n"/>
      <c r="V200" s="574" t="n"/>
      <c r="W200" s="574" t="n"/>
      <c r="X200" s="574" t="n"/>
      <c r="Y200" s="574" t="n"/>
      <c r="Z200" s="574" t="n"/>
      <c r="AA200" s="574" t="n"/>
      <c r="AB200" s="574" t="n"/>
      <c r="AC200" s="574" t="n"/>
      <c r="AD200" s="574" t="n"/>
      <c r="AE200" s="574" t="n"/>
      <c r="AF200" s="574" t="n"/>
      <c r="AG200" s="574" t="n"/>
      <c r="AH200" s="574" t="n"/>
      <c r="AI200" s="574" t="n"/>
      <c r="AJ200" s="574" t="n"/>
      <c r="AK200" s="574" t="n"/>
      <c r="AL200" s="574" t="n"/>
      <c r="AM200" s="574" t="n"/>
      <c r="AN200" s="574" t="n"/>
      <c r="AO200" s="574" t="n"/>
      <c r="AP200" s="574" t="n"/>
      <c r="AQ200" s="574" t="n"/>
      <c r="AR200" s="574" t="n"/>
      <c r="AS200" s="574" t="n"/>
      <c r="AT200" s="574" t="n"/>
      <c r="AU200" s="574" t="n"/>
      <c r="AV200" s="574" t="n"/>
      <c r="AW200" s="169" t="n"/>
      <c r="AX200" s="169" t="n"/>
      <c r="AY200" s="169" t="n"/>
      <c r="AZ200" s="169" t="n"/>
      <c r="BA200" s="574" t="n"/>
      <c r="BB200" s="574" t="n"/>
      <c r="BC200" s="574" t="n"/>
      <c r="BD200" s="574" t="n"/>
      <c r="BE200" s="574" t="n"/>
      <c r="BF200" s="574" t="n"/>
      <c r="BG200" s="574" t="n"/>
      <c r="BH200" s="574" t="n"/>
      <c r="BI200" s="574" t="n"/>
      <c r="BJ200" s="574" t="n"/>
      <c r="BK200" s="574" t="n"/>
      <c r="BL200" s="574" t="n"/>
      <c r="BM200" s="574" t="n"/>
      <c r="BN200" s="574" t="n"/>
      <c r="BO200" s="574" t="n"/>
      <c r="BP200" s="574" t="n"/>
      <c r="BQ200" s="574" t="n"/>
      <c r="BR200" s="574" t="n"/>
      <c r="BS200" s="574" t="n"/>
      <c r="BT200" s="574" t="n"/>
      <c r="BU200" s="574" t="n"/>
      <c r="BV200" s="574" t="n"/>
      <c r="BW200" s="574" t="n"/>
      <c r="BX200" s="574" t="n"/>
      <c r="BY200" s="574" t="n"/>
      <c r="BZ200" s="574" t="n"/>
      <c r="CA200" s="574" t="n"/>
      <c r="CB200" s="574" t="n"/>
      <c r="CC200" s="574" t="n"/>
      <c r="CD200" s="574" t="n"/>
      <c r="CE200" s="574" t="n"/>
      <c r="CF200" s="574" t="n"/>
      <c r="CG200" s="574" t="n"/>
      <c r="CH200" s="574" t="n"/>
      <c r="CI200" s="574" t="n"/>
      <c r="CJ200" s="574" t="n"/>
      <c r="CK200" s="574" t="n"/>
      <c r="CL200" s="574" t="n"/>
      <c r="CM200" s="574" t="n"/>
      <c r="CN200" s="574" t="n"/>
      <c r="CO200" s="574" t="n"/>
      <c r="CP200" s="574" t="n"/>
      <c r="CQ200" s="574" t="n"/>
      <c r="CR200" s="574" t="n"/>
      <c r="CS200" s="574" t="n"/>
      <c r="CT200" s="574" t="n"/>
      <c r="CU200" s="574" t="n"/>
      <c r="CV200" s="574" t="n"/>
      <c r="CW200" s="574" t="n"/>
      <c r="CX200" s="574" t="n"/>
      <c r="CY200" s="574" t="n"/>
      <c r="CZ200" s="574" t="n"/>
      <c r="DA200" s="574" t="n"/>
      <c r="DB200" s="574" t="n"/>
      <c r="DC200" s="574" t="n"/>
      <c r="DD200" s="574" t="n"/>
      <c r="DE200" s="574" t="n"/>
      <c r="DF200" s="574" t="n"/>
      <c r="DG200" s="574" t="n"/>
      <c r="DH200" s="574" t="n"/>
      <c r="DI200" s="574" t="n"/>
      <c r="DJ200" s="574" t="n"/>
      <c r="DK200" s="574" t="n"/>
      <c r="DL200" s="574" t="n"/>
      <c r="DM200" s="574" t="n"/>
      <c r="DN200" s="574" t="n"/>
      <c r="DO200" s="574" t="n"/>
      <c r="DP200" s="574" t="n"/>
      <c r="DQ200" s="574" t="n"/>
      <c r="DR200" s="574" t="n"/>
      <c r="DS200" s="574" t="n"/>
      <c r="DT200" s="574" t="n"/>
      <c r="DU200" s="574" t="n"/>
      <c r="DV200" s="574" t="n"/>
      <c r="DW200" s="574" t="n"/>
      <c r="DX200" s="574" t="n"/>
      <c r="DY200" s="574" t="n"/>
      <c r="DZ200" s="574" t="n"/>
      <c r="EA200" s="574" t="n"/>
      <c r="EB200" s="574" t="n"/>
      <c r="EC200" s="574" t="n"/>
      <c r="ED200" s="574" t="n"/>
      <c r="EE200" s="574" t="n"/>
      <c r="EF200" s="574" t="n"/>
      <c r="EG200" s="574" t="n"/>
      <c r="EH200" s="574" t="n"/>
      <c r="EI200" s="574" t="n"/>
      <c r="EJ200" s="574" t="n"/>
      <c r="EK200" s="574" t="n"/>
      <c r="EL200" s="574" t="n"/>
      <c r="EM200" s="574" t="n"/>
      <c r="EN200" s="574" t="n"/>
      <c r="EO200" s="574" t="n"/>
      <c r="EP200" s="574" t="n"/>
      <c r="EQ200" s="574" t="n"/>
      <c r="ER200" s="574" t="n"/>
      <c r="ES200" s="574" t="n"/>
      <c r="ET200" s="574" t="n"/>
      <c r="EU200" s="574" t="n"/>
      <c r="EV200" s="574" t="n"/>
      <c r="EW200" s="574" t="n"/>
      <c r="EX200" s="574" t="n"/>
      <c r="EY200" s="574" t="n"/>
      <c r="EZ200" s="574" t="n"/>
      <c r="FA200" s="574" t="n"/>
      <c r="FB200" s="574" t="n"/>
      <c r="FC200" s="574" t="n"/>
      <c r="FD200" s="574" t="n"/>
      <c r="FE200" s="574" t="n"/>
      <c r="FF200" s="574" t="n"/>
      <c r="FG200" s="574" t="n"/>
      <c r="FH200" s="574" t="n"/>
      <c r="FI200" s="574" t="n"/>
      <c r="FJ200" s="574" t="n"/>
      <c r="FK200" s="574" t="n"/>
      <c r="FL200" s="574" t="n"/>
      <c r="FM200" s="574" t="n"/>
      <c r="FN200" s="574" t="n"/>
      <c r="FO200" s="574" t="n"/>
      <c r="FP200" s="574" t="n"/>
      <c r="FQ200" s="574" t="n"/>
      <c r="FR200" s="574" t="n"/>
      <c r="FS200" s="574" t="n"/>
      <c r="FT200" s="574" t="n"/>
      <c r="FU200" s="574" t="n"/>
      <c r="FV200" s="574" t="n"/>
      <c r="FW200" s="574" t="n"/>
      <c r="FX200" s="574" t="n"/>
      <c r="FY200" s="574" t="n"/>
      <c r="FZ200" s="574" t="n"/>
      <c r="GA200" s="574" t="n"/>
      <c r="GB200" s="574" t="n"/>
      <c r="GC200" s="574" t="n"/>
      <c r="GD200" s="574" t="n"/>
      <c r="GE200" s="574" t="n"/>
      <c r="GF200" s="574" t="n"/>
    </row>
    <row r="201" customFormat="1" s="568">
      <c r="A201" s="86" t="n"/>
      <c r="B201" s="85" t="n"/>
      <c r="C201" s="84">
        <f>IFERROR(IF(AND($E201&gt;0,$D201&lt;&gt;"The Public"),$E201/SUMIFS($E$10:$E$205,$E$10:$E$205,"&gt;0",$D$10:$D$205,"&lt;&gt;The Public")*$D$5,""),"")</f>
        <v/>
      </c>
      <c r="D201" s="68" t="n"/>
      <c r="E201" s="84">
        <f>SUM(G201:HY201)</f>
        <v/>
      </c>
      <c r="M201" s="574" t="n"/>
      <c r="N201" s="574" t="n"/>
      <c r="O201" s="574" t="n"/>
      <c r="P201" s="574" t="n"/>
      <c r="Q201" s="574" t="n"/>
      <c r="R201" s="574" t="n"/>
      <c r="S201" s="574" t="n"/>
      <c r="T201" s="574" t="n"/>
      <c r="U201" s="574" t="n"/>
      <c r="V201" s="574" t="n"/>
      <c r="W201" s="574" t="n"/>
      <c r="X201" s="574" t="n"/>
      <c r="Y201" s="574" t="n"/>
      <c r="Z201" s="574" t="n"/>
      <c r="AA201" s="574" t="n"/>
      <c r="AB201" s="574" t="n"/>
      <c r="AC201" s="574" t="n"/>
      <c r="AD201" s="574" t="n"/>
      <c r="AE201" s="574" t="n"/>
      <c r="AF201" s="574" t="n"/>
      <c r="AG201" s="574" t="n"/>
      <c r="AH201" s="574" t="n"/>
      <c r="AI201" s="574" t="n"/>
      <c r="AJ201" s="574" t="n"/>
      <c r="AK201" s="574" t="n"/>
      <c r="AL201" s="574" t="n"/>
      <c r="AM201" s="574" t="n"/>
      <c r="AN201" s="574" t="n"/>
      <c r="AO201" s="574" t="n"/>
      <c r="AP201" s="574" t="n"/>
      <c r="AQ201" s="574" t="n"/>
      <c r="AR201" s="574" t="n"/>
      <c r="AS201" s="574" t="n"/>
      <c r="AT201" s="574" t="n"/>
      <c r="AU201" s="574" t="n"/>
      <c r="AV201" s="176" t="n"/>
      <c r="AW201" s="169" t="n"/>
      <c r="AX201" s="169" t="n"/>
      <c r="AY201" s="169" t="n"/>
      <c r="AZ201" s="169" t="n"/>
      <c r="BA201" s="574" t="n"/>
      <c r="BB201" s="574" t="n"/>
      <c r="BC201" s="574" t="n"/>
      <c r="BD201" s="574" t="n"/>
      <c r="BE201" s="574" t="n"/>
      <c r="BF201" s="574" t="n"/>
      <c r="BG201" s="574" t="n"/>
      <c r="BH201" s="574" t="n"/>
      <c r="BI201" s="574" t="n"/>
      <c r="BJ201" s="574" t="n"/>
      <c r="BK201" s="574" t="n"/>
      <c r="BL201" s="574" t="n"/>
      <c r="BM201" s="574" t="n"/>
      <c r="BN201" s="574" t="n"/>
      <c r="BO201" s="574" t="n"/>
      <c r="BP201" s="574" t="n"/>
      <c r="BQ201" s="574" t="n"/>
      <c r="BR201" s="574" t="n"/>
      <c r="BS201" s="574" t="n"/>
      <c r="BT201" s="574" t="n"/>
      <c r="BU201" s="574" t="n"/>
      <c r="BV201" s="574" t="n"/>
      <c r="BW201" s="574" t="n"/>
      <c r="BX201" s="574" t="n"/>
      <c r="BY201" s="574" t="n"/>
      <c r="BZ201" s="574" t="n"/>
      <c r="CA201" s="574" t="n"/>
      <c r="CB201" s="574" t="n"/>
      <c r="CC201" s="574" t="n"/>
      <c r="CD201" s="574" t="n"/>
      <c r="CE201" s="574" t="n"/>
      <c r="CF201" s="574" t="n"/>
      <c r="CG201" s="574" t="n"/>
      <c r="CH201" s="574" t="n"/>
      <c r="CI201" s="574" t="n"/>
      <c r="CJ201" s="574" t="n"/>
      <c r="CK201" s="574" t="n"/>
      <c r="CL201" s="574" t="n"/>
      <c r="CM201" s="574" t="n"/>
      <c r="CN201" s="574" t="n"/>
      <c r="CO201" s="574" t="n"/>
      <c r="CP201" s="574" t="n"/>
      <c r="CQ201" s="574" t="n"/>
      <c r="CR201" s="574" t="n"/>
      <c r="CS201" s="574" t="n"/>
      <c r="CT201" s="574" t="n"/>
      <c r="CU201" s="574" t="n"/>
      <c r="CV201" s="574" t="n"/>
      <c r="CW201" s="574" t="n"/>
      <c r="CX201" s="574" t="n"/>
      <c r="CY201" s="574" t="n"/>
      <c r="CZ201" s="574" t="n"/>
      <c r="DA201" s="574" t="n"/>
      <c r="DB201" s="574" t="n"/>
      <c r="DC201" s="574" t="n"/>
      <c r="DD201" s="574" t="n"/>
      <c r="DE201" s="574" t="n"/>
      <c r="DF201" s="574" t="n"/>
      <c r="DG201" s="574" t="n"/>
      <c r="DH201" s="574" t="n"/>
      <c r="DI201" s="574" t="n"/>
      <c r="DJ201" s="574" t="n"/>
      <c r="DK201" s="574" t="n"/>
      <c r="DL201" s="574" t="n"/>
      <c r="DM201" s="574" t="n"/>
      <c r="DN201" s="574" t="n"/>
      <c r="DO201" s="574" t="n"/>
      <c r="DP201" s="574" t="n"/>
      <c r="DQ201" s="574" t="n"/>
      <c r="DR201" s="574" t="n"/>
      <c r="DS201" s="574" t="n"/>
      <c r="DT201" s="574" t="n"/>
      <c r="DU201" s="574" t="n"/>
      <c r="DV201" s="574" t="n"/>
      <c r="DW201" s="574" t="n"/>
      <c r="DX201" s="574" t="n"/>
      <c r="DY201" s="574" t="n"/>
      <c r="DZ201" s="574" t="n"/>
      <c r="EA201" s="574" t="n"/>
      <c r="EB201" s="574" t="n"/>
      <c r="EC201" s="574" t="n"/>
      <c r="ED201" s="574" t="n"/>
      <c r="EE201" s="574" t="n"/>
      <c r="EF201" s="574" t="n"/>
      <c r="EG201" s="574" t="n"/>
      <c r="EH201" s="574" t="n"/>
      <c r="EI201" s="574" t="n"/>
      <c r="EJ201" s="574" t="n"/>
      <c r="EK201" s="574" t="n"/>
      <c r="EL201" s="574" t="n"/>
      <c r="EM201" s="574" t="n"/>
      <c r="EN201" s="574" t="n"/>
      <c r="EO201" s="574" t="n"/>
      <c r="EP201" s="574" t="n"/>
      <c r="EQ201" s="574" t="n"/>
      <c r="ER201" s="574" t="n"/>
      <c r="ES201" s="574" t="n"/>
      <c r="ET201" s="574" t="n"/>
      <c r="EU201" s="574" t="n"/>
      <c r="EV201" s="574" t="n"/>
      <c r="EW201" s="574" t="n"/>
      <c r="EX201" s="574" t="n"/>
      <c r="EY201" s="574" t="n"/>
      <c r="EZ201" s="574" t="n"/>
      <c r="FA201" s="574" t="n"/>
      <c r="FB201" s="574" t="n"/>
      <c r="FC201" s="574" t="n"/>
      <c r="FD201" s="574" t="n"/>
      <c r="FE201" s="574" t="n"/>
      <c r="FF201" s="574" t="n"/>
      <c r="FG201" s="574" t="n"/>
      <c r="FH201" s="574" t="n"/>
      <c r="FI201" s="574" t="n"/>
      <c r="FJ201" s="574" t="n"/>
      <c r="FK201" s="574" t="n"/>
      <c r="FL201" s="574" t="n"/>
      <c r="FM201" s="574" t="n"/>
      <c r="FN201" s="574" t="n"/>
      <c r="FO201" s="574" t="n"/>
      <c r="FP201" s="574" t="n"/>
      <c r="FQ201" s="574" t="n"/>
      <c r="FR201" s="574" t="n"/>
      <c r="FS201" s="574" t="n"/>
      <c r="FT201" s="574" t="n"/>
      <c r="FU201" s="574" t="n"/>
      <c r="FV201" s="574" t="n"/>
      <c r="FW201" s="574" t="n"/>
      <c r="FX201" s="574" t="n"/>
      <c r="FY201" s="574" t="n"/>
      <c r="FZ201" s="574" t="n"/>
      <c r="GA201" s="574" t="n"/>
      <c r="GB201" s="574" t="n"/>
      <c r="GC201" s="574" t="n"/>
      <c r="GD201" s="574" t="n"/>
      <c r="GE201" s="574" t="n"/>
      <c r="GF201" s="574" t="n"/>
    </row>
    <row r="202" customFormat="1" s="568">
      <c r="A202" s="86" t="n"/>
      <c r="B202" s="85" t="n"/>
      <c r="C202" s="84">
        <f>IFERROR(IF(AND($E202&gt;0,$D202&lt;&gt;"The Public"),$E202/SUMIFS($E$10:$E$205,$E$10:$E$205,"&gt;0",$D$10:$D$205,"&lt;&gt;The Public")*$D$5,""),"")</f>
        <v/>
      </c>
      <c r="D202" s="68" t="n"/>
      <c r="E202" s="84">
        <f>SUM(G202:HY202)</f>
        <v/>
      </c>
      <c r="M202" s="574" t="n"/>
      <c r="N202" s="574" t="n"/>
      <c r="O202" s="574" t="n"/>
      <c r="P202" s="574" t="n"/>
      <c r="Q202" s="574" t="n"/>
      <c r="R202" s="574" t="n"/>
      <c r="S202" s="574" t="n"/>
      <c r="T202" s="574" t="n"/>
      <c r="U202" s="574" t="n"/>
      <c r="V202" s="574" t="n"/>
      <c r="W202" s="574" t="n"/>
      <c r="X202" s="574" t="n"/>
      <c r="Y202" s="574" t="n"/>
      <c r="Z202" s="574" t="n"/>
      <c r="AA202" s="574" t="n"/>
      <c r="AB202" s="574" t="n"/>
      <c r="AC202" s="574" t="n"/>
      <c r="AD202" s="574" t="n"/>
      <c r="AE202" s="574" t="n"/>
      <c r="AF202" s="574" t="n"/>
      <c r="AG202" s="574" t="n"/>
      <c r="AH202" s="574" t="n"/>
      <c r="AI202" s="574" t="n"/>
      <c r="AJ202" s="574" t="n"/>
      <c r="AK202" s="574" t="n"/>
      <c r="AL202" s="574" t="n"/>
      <c r="AM202" s="574" t="n"/>
      <c r="AN202" s="574" t="n"/>
      <c r="AO202" s="574" t="n"/>
      <c r="AP202" s="574" t="n"/>
      <c r="AQ202" s="574" t="n"/>
      <c r="AR202" s="574" t="n"/>
      <c r="AS202" s="574" t="n"/>
      <c r="AT202" s="574" t="n"/>
      <c r="AU202" s="574" t="n"/>
      <c r="AV202" s="169" t="n"/>
      <c r="AW202" s="169" t="n"/>
      <c r="AX202" s="169" t="n"/>
      <c r="AY202" s="169" t="n"/>
      <c r="AZ202" s="169" t="n"/>
      <c r="BA202" s="574" t="n"/>
      <c r="BB202" s="574" t="n"/>
      <c r="BC202" s="574" t="n"/>
      <c r="BD202" s="176" t="n"/>
      <c r="BE202" s="574" t="n"/>
      <c r="BF202" s="574" t="n"/>
      <c r="BG202" s="574" t="n"/>
      <c r="BH202" s="574" t="n"/>
      <c r="BI202" s="574" t="n"/>
      <c r="BJ202" s="574" t="n"/>
      <c r="BK202" s="574" t="n"/>
      <c r="BL202" s="574" t="n"/>
      <c r="BM202" s="574" t="n"/>
      <c r="BN202" s="574" t="n"/>
      <c r="BO202" s="574" t="n"/>
      <c r="BP202" s="574" t="n"/>
      <c r="BQ202" s="574" t="n"/>
      <c r="BR202" s="574" t="n"/>
      <c r="BS202" s="574" t="n"/>
      <c r="BT202" s="574" t="n"/>
      <c r="BU202" s="574" t="n"/>
      <c r="BV202" s="574" t="n"/>
      <c r="BW202" s="574" t="n"/>
      <c r="BX202" s="574" t="n"/>
      <c r="BY202" s="574" t="n"/>
      <c r="BZ202" s="574" t="n"/>
      <c r="CA202" s="574" t="n"/>
      <c r="CB202" s="574" t="n"/>
      <c r="CC202" s="574" t="n"/>
      <c r="CD202" s="574" t="n"/>
      <c r="CE202" s="574" t="n"/>
      <c r="CF202" s="574" t="n"/>
      <c r="CG202" s="574" t="n"/>
      <c r="CH202" s="574" t="n"/>
      <c r="CI202" s="574" t="n"/>
      <c r="CJ202" s="574" t="n"/>
      <c r="CK202" s="574" t="n"/>
      <c r="CL202" s="574" t="n"/>
      <c r="CM202" s="574" t="n"/>
      <c r="CN202" s="574" t="n"/>
      <c r="CO202" s="574" t="n"/>
      <c r="CP202" s="574" t="n"/>
      <c r="CQ202" s="574" t="n"/>
      <c r="CR202" s="574" t="n"/>
      <c r="CS202" s="574" t="n"/>
      <c r="CT202" s="574" t="n"/>
      <c r="CU202" s="574" t="n"/>
      <c r="CV202" s="574" t="n"/>
      <c r="CW202" s="574" t="n"/>
      <c r="CX202" s="574" t="n"/>
      <c r="CY202" s="574" t="n"/>
      <c r="CZ202" s="574" t="n"/>
      <c r="DA202" s="574" t="n"/>
      <c r="DB202" s="574" t="n"/>
      <c r="DC202" s="574" t="n"/>
      <c r="DD202" s="574" t="n"/>
      <c r="DE202" s="574" t="n"/>
      <c r="DF202" s="574" t="n"/>
      <c r="DG202" s="574" t="n"/>
      <c r="DH202" s="574" t="n"/>
      <c r="DI202" s="574" t="n"/>
      <c r="DJ202" s="574" t="n"/>
      <c r="DK202" s="574" t="n"/>
      <c r="DL202" s="574" t="n"/>
      <c r="DM202" s="574" t="n"/>
      <c r="DN202" s="574" t="n"/>
      <c r="DO202" s="574" t="n"/>
      <c r="DP202" s="574" t="n"/>
      <c r="DQ202" s="574" t="n"/>
      <c r="DR202" s="574" t="n"/>
      <c r="DS202" s="574" t="n"/>
      <c r="DT202" s="574" t="n"/>
      <c r="DU202" s="574" t="n"/>
      <c r="DV202" s="574" t="n"/>
      <c r="DW202" s="574" t="n"/>
      <c r="DX202" s="574" t="n"/>
      <c r="DY202" s="574" t="n"/>
      <c r="DZ202" s="574" t="n"/>
      <c r="EA202" s="574" t="n"/>
      <c r="EB202" s="574" t="n"/>
      <c r="EC202" s="574" t="n"/>
      <c r="ED202" s="574" t="n"/>
      <c r="EE202" s="574" t="n"/>
      <c r="EF202" s="574" t="n"/>
      <c r="EG202" s="574" t="n"/>
      <c r="EH202" s="574" t="n"/>
      <c r="EI202" s="574" t="n"/>
      <c r="EJ202" s="574" t="n"/>
      <c r="EK202" s="574" t="n"/>
      <c r="EL202" s="574" t="n"/>
      <c r="EM202" s="574" t="n"/>
      <c r="EN202" s="574" t="n"/>
      <c r="EO202" s="574" t="n"/>
      <c r="EP202" s="574" t="n"/>
      <c r="EQ202" s="574" t="n"/>
      <c r="ER202" s="574" t="n"/>
      <c r="ES202" s="574" t="n"/>
      <c r="ET202" s="574" t="n"/>
      <c r="EU202" s="574" t="n"/>
      <c r="EV202" s="574" t="n"/>
      <c r="EW202" s="574" t="n"/>
      <c r="EX202" s="574" t="n"/>
      <c r="EY202" s="574" t="n"/>
      <c r="EZ202" s="574" t="n"/>
      <c r="FA202" s="574" t="n"/>
      <c r="FB202" s="574" t="n"/>
      <c r="FC202" s="574" t="n"/>
      <c r="FD202" s="574" t="n"/>
      <c r="FE202" s="574" t="n"/>
      <c r="FF202" s="574" t="n"/>
      <c r="FG202" s="574" t="n"/>
      <c r="FH202" s="574" t="n"/>
      <c r="FI202" s="574" t="n"/>
      <c r="FJ202" s="574" t="n"/>
      <c r="FK202" s="574" t="n"/>
      <c r="FL202" s="574" t="n"/>
      <c r="FM202" s="574" t="n"/>
      <c r="FN202" s="574" t="n"/>
      <c r="FO202" s="574" t="n"/>
      <c r="FP202" s="574" t="n"/>
      <c r="FQ202" s="574" t="n"/>
      <c r="FR202" s="574" t="n"/>
      <c r="FS202" s="574" t="n"/>
      <c r="FT202" s="574" t="n"/>
      <c r="FU202" s="574" t="n"/>
      <c r="FV202" s="574" t="n"/>
      <c r="FW202" s="574" t="n"/>
      <c r="FX202" s="574" t="n"/>
      <c r="FY202" s="574" t="n"/>
      <c r="FZ202" s="574" t="n"/>
      <c r="GA202" s="574" t="n"/>
      <c r="GB202" s="574" t="n"/>
      <c r="GC202" s="574" t="n"/>
      <c r="GD202" s="574" t="n"/>
      <c r="GE202" s="574" t="n"/>
      <c r="GF202" s="574" t="n"/>
    </row>
    <row r="203" customFormat="1" s="568">
      <c r="A203" s="86" t="n"/>
      <c r="B203" s="85" t="n"/>
      <c r="C203" s="84">
        <f>IFERROR(IF(AND($E203&gt;0,$D203&lt;&gt;"The Public"),$E203/SUMIFS($E$10:$E$205,$E$10:$E$205,"&gt;0",$D$10:$D$205,"&lt;&gt;The Public")*$D$5,""),"")</f>
        <v/>
      </c>
      <c r="D203" s="68" t="n"/>
      <c r="E203" s="84">
        <f>SUM(G203:HY203)</f>
        <v/>
      </c>
      <c r="M203" s="574" t="n"/>
      <c r="N203" s="574" t="n"/>
      <c r="O203" s="574" t="n"/>
      <c r="P203" s="574" t="n"/>
      <c r="Q203" s="574" t="n"/>
      <c r="R203" s="574" t="n"/>
      <c r="S203" s="574" t="n"/>
      <c r="T203" s="574" t="n"/>
      <c r="U203" s="574" t="n"/>
      <c r="V203" s="574" t="n"/>
      <c r="W203" s="574" t="n"/>
      <c r="X203" s="574" t="n"/>
      <c r="Y203" s="574" t="n"/>
      <c r="Z203" s="574" t="n"/>
      <c r="AA203" s="574" t="n"/>
      <c r="AB203" s="574" t="n"/>
      <c r="AC203" s="574" t="n"/>
      <c r="AD203" s="574" t="n"/>
      <c r="AE203" s="574" t="n"/>
      <c r="AF203" s="574" t="n"/>
      <c r="AG203" s="574" t="n"/>
      <c r="AH203" s="574" t="n"/>
      <c r="AI203" s="574" t="n"/>
      <c r="AJ203" s="574" t="n"/>
      <c r="AK203" s="574" t="n"/>
      <c r="AL203" s="574" t="n"/>
      <c r="AM203" s="574" t="n"/>
      <c r="AN203" s="574" t="n"/>
      <c r="AO203" s="574" t="n"/>
      <c r="AP203" s="574" t="n"/>
      <c r="AQ203" s="574" t="n"/>
      <c r="AR203" s="574" t="n"/>
      <c r="AS203" s="574" t="n"/>
      <c r="AT203" s="574" t="n"/>
      <c r="AU203" s="574" t="n"/>
      <c r="AV203" s="169" t="n"/>
      <c r="AW203" s="169" t="n"/>
      <c r="AX203" s="169" t="n"/>
      <c r="AY203" s="169" t="n"/>
      <c r="AZ203" s="169" t="n"/>
      <c r="BA203" s="574" t="n"/>
      <c r="BB203" s="574" t="n"/>
      <c r="BC203" s="574" t="n"/>
      <c r="BD203" s="169" t="n"/>
      <c r="BE203" s="574" t="n"/>
      <c r="BF203" s="574" t="n"/>
      <c r="BG203" s="574" t="n"/>
      <c r="BH203" s="574" t="n"/>
      <c r="BI203" s="574" t="n"/>
      <c r="BJ203" s="574" t="n"/>
      <c r="BK203" s="574" t="n"/>
      <c r="BL203" s="574" t="n"/>
      <c r="BM203" s="574" t="n"/>
      <c r="BN203" s="574" t="n"/>
      <c r="BO203" s="574" t="n"/>
      <c r="BP203" s="574" t="n"/>
      <c r="BQ203" s="574" t="n"/>
      <c r="BR203" s="574" t="n"/>
      <c r="BS203" s="574" t="n"/>
      <c r="BT203" s="574" t="n"/>
      <c r="BU203" s="574" t="n"/>
      <c r="BV203" s="574" t="n"/>
      <c r="BW203" s="574" t="n"/>
      <c r="BX203" s="574" t="n"/>
      <c r="BY203" s="574" t="n"/>
      <c r="BZ203" s="574" t="n"/>
      <c r="CA203" s="574" t="n"/>
      <c r="CB203" s="574" t="n"/>
      <c r="CC203" s="574" t="n"/>
      <c r="CD203" s="574" t="n"/>
      <c r="CE203" s="574" t="n"/>
      <c r="CF203" s="574" t="n"/>
      <c r="CG203" s="574" t="n"/>
      <c r="CH203" s="574" t="n"/>
      <c r="CI203" s="574" t="n"/>
      <c r="CJ203" s="574" t="n"/>
      <c r="CK203" s="574" t="n"/>
      <c r="CL203" s="574" t="n"/>
      <c r="CM203" s="574" t="n"/>
      <c r="CN203" s="574" t="n"/>
      <c r="CO203" s="574" t="n"/>
      <c r="CP203" s="574" t="n"/>
      <c r="CQ203" s="574" t="n"/>
      <c r="CR203" s="574" t="n"/>
      <c r="CS203" s="574" t="n"/>
      <c r="CT203" s="574" t="n"/>
      <c r="CU203" s="574" t="n"/>
      <c r="CV203" s="574" t="n"/>
      <c r="CW203" s="574" t="n"/>
      <c r="CX203" s="574" t="n"/>
      <c r="CY203" s="574" t="n"/>
      <c r="CZ203" s="574" t="n"/>
      <c r="DA203" s="574" t="n"/>
      <c r="DB203" s="574" t="n"/>
      <c r="DC203" s="574" t="n"/>
      <c r="DD203" s="574" t="n"/>
      <c r="DE203" s="574" t="n"/>
      <c r="DF203" s="574" t="n"/>
      <c r="DG203" s="574" t="n"/>
      <c r="DH203" s="574" t="n"/>
      <c r="DI203" s="574" t="n"/>
      <c r="DJ203" s="574" t="n"/>
      <c r="DK203" s="574" t="n"/>
      <c r="DL203" s="574" t="n"/>
      <c r="DM203" s="574" t="n"/>
      <c r="DN203" s="574" t="n"/>
      <c r="DO203" s="574" t="n"/>
      <c r="DP203" s="574" t="n"/>
      <c r="DQ203" s="574" t="n"/>
      <c r="DR203" s="574" t="n"/>
      <c r="DS203" s="574" t="n"/>
      <c r="DT203" s="574" t="n"/>
      <c r="DU203" s="574" t="n"/>
      <c r="DV203" s="574" t="n"/>
      <c r="DW203" s="574" t="n"/>
      <c r="DX203" s="574" t="n"/>
      <c r="DY203" s="574" t="n"/>
      <c r="DZ203" s="574" t="n"/>
      <c r="EA203" s="574" t="n"/>
      <c r="EB203" s="574" t="n"/>
      <c r="EC203" s="574" t="n"/>
      <c r="ED203" s="574" t="n"/>
      <c r="EE203" s="574" t="n"/>
      <c r="EF203" s="574" t="n"/>
      <c r="EG203" s="574" t="n"/>
      <c r="EH203" s="574" t="n"/>
      <c r="EI203" s="574" t="n"/>
      <c r="EJ203" s="574" t="n"/>
      <c r="EK203" s="574" t="n"/>
      <c r="EL203" s="574" t="n"/>
      <c r="EM203" s="574" t="n"/>
      <c r="EN203" s="574" t="n"/>
      <c r="EO203" s="574" t="n"/>
      <c r="EP203" s="574" t="n"/>
      <c r="EQ203" s="574" t="n"/>
      <c r="ER203" s="574" t="n"/>
      <c r="ES203" s="574" t="n"/>
      <c r="ET203" s="574" t="n"/>
      <c r="EU203" s="574" t="n"/>
      <c r="EV203" s="574" t="n"/>
      <c r="EW203" s="574" t="n"/>
      <c r="EX203" s="574" t="n"/>
      <c r="EY203" s="574" t="n"/>
      <c r="EZ203" s="574" t="n"/>
      <c r="FA203" s="574" t="n"/>
      <c r="FB203" s="574" t="n"/>
      <c r="FC203" s="574" t="n"/>
      <c r="FD203" s="574" t="n"/>
      <c r="FE203" s="574" t="n"/>
      <c r="FF203" s="574" t="n"/>
      <c r="FG203" s="574" t="n"/>
      <c r="FH203" s="574" t="n"/>
      <c r="FI203" s="574" t="n"/>
      <c r="FJ203" s="574" t="n"/>
      <c r="FK203" s="574" t="n"/>
      <c r="FL203" s="574" t="n"/>
      <c r="FM203" s="574" t="n"/>
      <c r="FN203" s="574" t="n"/>
      <c r="FO203" s="574" t="n"/>
      <c r="FP203" s="574" t="n"/>
      <c r="FQ203" s="574" t="n"/>
      <c r="FR203" s="574" t="n"/>
      <c r="FS203" s="574" t="n"/>
      <c r="FT203" s="574" t="n"/>
      <c r="FU203" s="574" t="n"/>
      <c r="FV203" s="574" t="n"/>
      <c r="FW203" s="574" t="n"/>
      <c r="FX203" s="574" t="n"/>
      <c r="FY203" s="574" t="n"/>
      <c r="FZ203" s="574" t="n"/>
      <c r="GA203" s="574" t="n"/>
      <c r="GB203" s="574" t="n"/>
      <c r="GC203" s="574" t="n"/>
      <c r="GD203" s="574" t="n"/>
      <c r="GE203" s="574" t="n"/>
      <c r="GF203" s="574" t="n"/>
    </row>
    <row r="204" customFormat="1" s="568">
      <c r="A204" s="86" t="n"/>
      <c r="B204" s="85" t="n"/>
      <c r="C204" s="84">
        <f>IFERROR(IF(AND($E204&gt;0,$D204&lt;&gt;"The Public"),$E204/SUMIFS($E$10:$E$205,$E$10:$E$205,"&gt;0",$D$10:$D$205,"&lt;&gt;The Public")*$D$5,""),"")</f>
        <v/>
      </c>
      <c r="D204" s="68" t="n"/>
      <c r="E204" s="84">
        <f>SUM(G204:HY204)</f>
        <v/>
      </c>
      <c r="M204" s="574" t="n"/>
      <c r="N204" s="574" t="n"/>
      <c r="O204" s="574" t="n"/>
      <c r="P204" s="574" t="n"/>
      <c r="Q204" s="574" t="n"/>
      <c r="R204" s="574" t="n"/>
      <c r="S204" s="574" t="n"/>
      <c r="T204" s="574" t="n"/>
      <c r="U204" s="574" t="n"/>
      <c r="V204" s="574" t="n"/>
      <c r="W204" s="574" t="n"/>
      <c r="X204" s="574" t="n"/>
      <c r="Y204" s="574" t="n"/>
      <c r="Z204" s="574" t="n"/>
      <c r="AA204" s="574" t="n"/>
      <c r="AB204" s="574" t="n"/>
      <c r="AC204" s="574" t="n"/>
      <c r="AD204" s="574" t="n"/>
      <c r="AE204" s="574" t="n"/>
      <c r="AF204" s="574" t="n"/>
      <c r="AG204" s="574" t="n"/>
      <c r="AH204" s="574" t="n"/>
      <c r="AI204" s="574" t="n"/>
      <c r="AJ204" s="574" t="n"/>
      <c r="AK204" s="574" t="n"/>
      <c r="AL204" s="574" t="n"/>
      <c r="AM204" s="574" t="n"/>
      <c r="AN204" s="574" t="n"/>
      <c r="AO204" s="574" t="n"/>
      <c r="AP204" s="574" t="n"/>
      <c r="AQ204" s="574" t="n"/>
      <c r="AR204" s="574" t="n"/>
      <c r="AS204" s="574" t="n"/>
      <c r="AT204" s="574" t="n"/>
      <c r="AU204" s="574" t="n"/>
      <c r="AV204" s="169" t="n"/>
      <c r="AW204" s="169" t="n"/>
      <c r="AX204" s="169" t="n"/>
      <c r="AY204" s="169" t="n"/>
      <c r="AZ204" s="169" t="n"/>
      <c r="BA204" s="574" t="n"/>
      <c r="BB204" s="574" t="n"/>
      <c r="BC204" s="574" t="n"/>
      <c r="BD204" s="169" t="n"/>
      <c r="BE204" s="574" t="n"/>
      <c r="BF204" s="574" t="n"/>
      <c r="BG204" s="574" t="n"/>
      <c r="BH204" s="574" t="n"/>
      <c r="BI204" s="574" t="n"/>
      <c r="BJ204" s="574" t="n"/>
      <c r="BK204" s="574" t="n"/>
      <c r="BL204" s="574" t="n"/>
      <c r="BM204" s="574" t="n"/>
      <c r="BN204" s="574" t="n"/>
      <c r="BO204" s="574" t="n"/>
      <c r="BP204" s="574" t="n"/>
      <c r="BQ204" s="574" t="n"/>
      <c r="BR204" s="574" t="n"/>
      <c r="BS204" s="574" t="n"/>
      <c r="BT204" s="574" t="n"/>
      <c r="BU204" s="574" t="n"/>
      <c r="BV204" s="574" t="n"/>
      <c r="BW204" s="574" t="n"/>
      <c r="BX204" s="574" t="n"/>
      <c r="BY204" s="574" t="n"/>
      <c r="BZ204" s="574" t="n"/>
      <c r="CA204" s="574" t="n"/>
      <c r="CB204" s="574" t="n"/>
      <c r="CC204" s="574" t="n"/>
      <c r="CD204" s="574" t="n"/>
      <c r="CE204" s="574" t="n"/>
      <c r="CF204" s="574" t="n"/>
      <c r="CG204" s="574" t="n"/>
      <c r="CH204" s="574" t="n"/>
      <c r="CI204" s="574" t="n"/>
      <c r="CJ204" s="574" t="n"/>
      <c r="CK204" s="574" t="n"/>
      <c r="CL204" s="574" t="n"/>
      <c r="CM204" s="574" t="n"/>
      <c r="CN204" s="574" t="n"/>
      <c r="CO204" s="574" t="n"/>
      <c r="CP204" s="574" t="n"/>
      <c r="CQ204" s="574" t="n"/>
      <c r="CR204" s="574" t="n"/>
      <c r="CS204" s="574" t="n"/>
      <c r="CT204" s="574" t="n"/>
      <c r="CU204" s="574" t="n"/>
      <c r="CV204" s="574" t="n"/>
      <c r="CW204" s="574" t="n"/>
      <c r="CX204" s="574" t="n"/>
      <c r="CY204" s="574" t="n"/>
      <c r="CZ204" s="574" t="n"/>
      <c r="DA204" s="574" t="n"/>
      <c r="DB204" s="574" t="n"/>
      <c r="DC204" s="574" t="n"/>
      <c r="DD204" s="574" t="n"/>
      <c r="DE204" s="574" t="n"/>
      <c r="DF204" s="574" t="n"/>
      <c r="DG204" s="574" t="n"/>
      <c r="DH204" s="574" t="n"/>
      <c r="DI204" s="574" t="n"/>
      <c r="DJ204" s="574" t="n"/>
      <c r="DK204" s="574" t="n"/>
      <c r="DL204" s="574" t="n"/>
      <c r="DM204" s="574" t="n"/>
      <c r="DN204" s="574" t="n"/>
      <c r="DO204" s="574" t="n"/>
      <c r="DP204" s="574" t="n"/>
      <c r="DQ204" s="574" t="n"/>
      <c r="DR204" s="574" t="n"/>
      <c r="DS204" s="574" t="n"/>
      <c r="DT204" s="574" t="n"/>
      <c r="DU204" s="574" t="n"/>
      <c r="DV204" s="574" t="n"/>
      <c r="DW204" s="574" t="n"/>
      <c r="DX204" s="574" t="n"/>
      <c r="DY204" s="574" t="n"/>
      <c r="DZ204" s="574" t="n"/>
      <c r="EA204" s="574" t="n"/>
      <c r="EB204" s="574" t="n"/>
      <c r="EC204" s="574" t="n"/>
      <c r="ED204" s="574" t="n"/>
      <c r="EE204" s="574" t="n"/>
      <c r="EF204" s="574" t="n"/>
      <c r="EG204" s="574" t="n"/>
      <c r="EH204" s="574" t="n"/>
      <c r="EI204" s="574" t="n"/>
      <c r="EJ204" s="574" t="n"/>
      <c r="EK204" s="574" t="n"/>
      <c r="EL204" s="574" t="n"/>
      <c r="EM204" s="574" t="n"/>
      <c r="EN204" s="574" t="n"/>
      <c r="EO204" s="574" t="n"/>
      <c r="EP204" s="574" t="n"/>
      <c r="EQ204" s="574" t="n"/>
      <c r="ER204" s="574" t="n"/>
      <c r="ES204" s="574" t="n"/>
      <c r="ET204" s="574" t="n"/>
      <c r="EU204" s="574" t="n"/>
      <c r="EV204" s="574" t="n"/>
      <c r="EW204" s="574" t="n"/>
      <c r="EX204" s="574" t="n"/>
      <c r="EY204" s="574" t="n"/>
      <c r="EZ204" s="574" t="n"/>
      <c r="FA204" s="574" t="n"/>
      <c r="FB204" s="574" t="n"/>
      <c r="FC204" s="574" t="n"/>
      <c r="FD204" s="574" t="n"/>
      <c r="FE204" s="574" t="n"/>
      <c r="FF204" s="574" t="n"/>
      <c r="FG204" s="574" t="n"/>
      <c r="FH204" s="574" t="n"/>
      <c r="FI204" s="574" t="n"/>
      <c r="FJ204" s="574" t="n"/>
      <c r="FK204" s="574" t="n"/>
      <c r="FL204" s="574" t="n"/>
      <c r="FM204" s="574" t="n"/>
      <c r="FN204" s="574" t="n"/>
      <c r="FO204" s="574" t="n"/>
      <c r="FP204" s="574" t="n"/>
      <c r="FQ204" s="574" t="n"/>
      <c r="FR204" s="574" t="n"/>
      <c r="FS204" s="574" t="n"/>
      <c r="FT204" s="574" t="n"/>
      <c r="FU204" s="574" t="n"/>
      <c r="FV204" s="574" t="n"/>
      <c r="FW204" s="574" t="n"/>
      <c r="FX204" s="574" t="n"/>
      <c r="FY204" s="574" t="n"/>
      <c r="FZ204" s="574" t="n"/>
      <c r="GA204" s="574" t="n"/>
      <c r="GB204" s="574" t="n"/>
      <c r="GC204" s="574" t="n"/>
      <c r="GD204" s="574" t="n"/>
      <c r="GE204" s="574" t="n"/>
      <c r="GF204" s="574" t="n"/>
    </row>
    <row r="205" customFormat="1" s="568">
      <c r="A205" s="86" t="n"/>
      <c r="B205" s="85" t="n"/>
      <c r="C205" s="84">
        <f>IFERROR(IF(AND($E205&gt;0,$D205&lt;&gt;"The Public"),$E205/SUMIFS($E$10:$E$205,$E$10:$E$205,"&gt;0",$D$10:$D$205,"&lt;&gt;The Public")*$D$5,""),"")</f>
        <v/>
      </c>
      <c r="D205" s="68" t="n"/>
      <c r="E205" s="84">
        <f>SUM(G205:HY205)</f>
        <v/>
      </c>
      <c r="M205" s="574" t="n"/>
      <c r="N205" s="574" t="n"/>
      <c r="O205" s="574" t="n"/>
      <c r="P205" s="574" t="n"/>
      <c r="Q205" s="574" t="n"/>
      <c r="R205" s="574" t="n"/>
      <c r="S205" s="574" t="n"/>
      <c r="T205" s="574" t="n"/>
      <c r="U205" s="574" t="n"/>
      <c r="V205" s="574" t="n"/>
      <c r="W205" s="574" t="n"/>
      <c r="X205" s="574" t="n"/>
      <c r="Y205" s="574" t="n"/>
      <c r="Z205" s="574" t="n"/>
      <c r="AA205" s="574" t="n"/>
      <c r="AB205" s="574" t="n"/>
      <c r="AC205" s="574" t="n"/>
      <c r="AD205" s="574" t="n"/>
      <c r="AE205" s="574" t="n"/>
      <c r="AF205" s="574" t="n"/>
      <c r="AG205" s="574" t="n"/>
      <c r="AH205" s="574" t="n"/>
      <c r="AI205" s="574" t="n"/>
      <c r="AJ205" s="574" t="n"/>
      <c r="AK205" s="574" t="n"/>
      <c r="AL205" s="574" t="n"/>
      <c r="AM205" s="574" t="n"/>
      <c r="AN205" s="574" t="n"/>
      <c r="AO205" s="574" t="n"/>
      <c r="AP205" s="574" t="n"/>
      <c r="AQ205" s="574" t="n"/>
      <c r="AR205" s="574" t="n"/>
      <c r="AS205" s="176" t="n"/>
      <c r="AT205" s="574" t="n"/>
      <c r="AU205" s="574" t="n"/>
      <c r="AV205" s="169" t="n"/>
      <c r="AW205" s="169" t="n"/>
      <c r="AX205" s="169" t="n"/>
      <c r="AY205" s="169" t="n"/>
      <c r="AZ205" s="169" t="n"/>
      <c r="BA205" s="574" t="n"/>
      <c r="BB205" s="574" t="n"/>
      <c r="BC205" s="574" t="n"/>
      <c r="BD205" s="169" t="n"/>
      <c r="BE205" s="574" t="n"/>
      <c r="BF205" s="574" t="n"/>
      <c r="BG205" s="574" t="n"/>
      <c r="BH205" s="574" t="n"/>
      <c r="BI205" s="574" t="n"/>
      <c r="BJ205" s="574" t="n"/>
      <c r="BK205" s="574" t="n"/>
      <c r="BL205" s="574" t="n"/>
      <c r="BM205" s="574" t="n"/>
      <c r="BN205" s="574" t="n"/>
      <c r="BO205" s="574" t="n"/>
      <c r="BP205" s="574" t="n"/>
      <c r="BQ205" s="574" t="n"/>
      <c r="BR205" s="574" t="n"/>
      <c r="BS205" s="574" t="n"/>
      <c r="BT205" s="574" t="n"/>
      <c r="BU205" s="574" t="n"/>
      <c r="BV205" s="574" t="n"/>
      <c r="BW205" s="574" t="n"/>
      <c r="BX205" s="574" t="n"/>
      <c r="BY205" s="574" t="n"/>
      <c r="BZ205" s="574" t="n"/>
      <c r="CA205" s="574" t="n"/>
      <c r="CB205" s="574" t="n"/>
      <c r="CC205" s="574" t="n"/>
      <c r="CD205" s="574" t="n"/>
      <c r="CE205" s="574" t="n"/>
      <c r="CF205" s="574" t="n"/>
      <c r="CG205" s="574" t="n"/>
      <c r="CH205" s="574" t="n"/>
      <c r="CI205" s="574" t="n"/>
      <c r="CJ205" s="574" t="n"/>
      <c r="CK205" s="574" t="n"/>
      <c r="CL205" s="574" t="n"/>
      <c r="CM205" s="574" t="n"/>
      <c r="CN205" s="574" t="n"/>
      <c r="CO205" s="574" t="n"/>
      <c r="CP205" s="574" t="n"/>
      <c r="CQ205" s="574" t="n"/>
      <c r="CR205" s="574" t="n"/>
      <c r="CS205" s="574" t="n"/>
      <c r="CT205" s="574" t="n"/>
      <c r="CU205" s="574" t="n"/>
      <c r="CV205" s="574" t="n"/>
      <c r="CW205" s="574" t="n"/>
      <c r="CX205" s="574" t="n"/>
      <c r="CY205" s="574" t="n"/>
      <c r="CZ205" s="574" t="n"/>
      <c r="DA205" s="574" t="n"/>
      <c r="DB205" s="574" t="n"/>
      <c r="DC205" s="574" t="n"/>
      <c r="DD205" s="574" t="n"/>
      <c r="DE205" s="574" t="n"/>
      <c r="DF205" s="574" t="n"/>
      <c r="DG205" s="574" t="n"/>
      <c r="DH205" s="574" t="n"/>
      <c r="DI205" s="574" t="n"/>
      <c r="DJ205" s="574" t="n"/>
      <c r="DK205" s="574" t="n"/>
      <c r="DL205" s="574" t="n"/>
      <c r="DM205" s="574" t="n"/>
      <c r="DN205" s="574" t="n"/>
      <c r="DO205" s="574" t="n"/>
      <c r="DP205" s="574" t="n"/>
      <c r="DQ205" s="574" t="n"/>
      <c r="DR205" s="574" t="n"/>
      <c r="DS205" s="574" t="n"/>
      <c r="DT205" s="574" t="n"/>
      <c r="DU205" s="574" t="n"/>
      <c r="DV205" s="574" t="n"/>
      <c r="DW205" s="574" t="n"/>
      <c r="DX205" s="574" t="n"/>
      <c r="DY205" s="574" t="n"/>
      <c r="DZ205" s="574" t="n"/>
      <c r="EA205" s="574" t="n"/>
      <c r="EB205" s="574" t="n"/>
      <c r="EC205" s="574" t="n"/>
      <c r="ED205" s="574" t="n"/>
      <c r="EE205" s="574" t="n"/>
      <c r="EF205" s="574" t="n"/>
      <c r="EG205" s="574" t="n"/>
      <c r="EH205" s="574" t="n"/>
      <c r="EI205" s="574" t="n"/>
      <c r="EJ205" s="574" t="n"/>
      <c r="EK205" s="574" t="n"/>
      <c r="EL205" s="574" t="n"/>
      <c r="EM205" s="574" t="n"/>
      <c r="EN205" s="574" t="n"/>
      <c r="EO205" s="574" t="n"/>
      <c r="EP205" s="574" t="n"/>
      <c r="EQ205" s="574" t="n"/>
      <c r="ER205" s="574" t="n"/>
      <c r="ES205" s="574" t="n"/>
      <c r="ET205" s="574" t="n"/>
      <c r="EU205" s="574" t="n"/>
      <c r="EV205" s="574" t="n"/>
      <c r="EW205" s="574" t="n"/>
      <c r="EX205" s="574" t="n"/>
      <c r="EY205" s="574" t="n"/>
      <c r="EZ205" s="574" t="n"/>
      <c r="FA205" s="574" t="n"/>
      <c r="FB205" s="574" t="n"/>
      <c r="FC205" s="574" t="n"/>
      <c r="FD205" s="574" t="n"/>
      <c r="FE205" s="574" t="n"/>
      <c r="FF205" s="574" t="n"/>
      <c r="FG205" s="574" t="n"/>
      <c r="FH205" s="574" t="n"/>
      <c r="FI205" s="574" t="n"/>
      <c r="FJ205" s="574" t="n"/>
      <c r="FK205" s="574" t="n"/>
      <c r="FL205" s="574" t="n"/>
      <c r="FM205" s="574" t="n"/>
      <c r="FN205" s="574" t="n"/>
      <c r="FO205" s="574" t="n"/>
      <c r="FP205" s="574" t="n"/>
      <c r="FQ205" s="574" t="n"/>
      <c r="FR205" s="574" t="n"/>
      <c r="FS205" s="574" t="n"/>
      <c r="FT205" s="574" t="n"/>
      <c r="FU205" s="574" t="n"/>
      <c r="FV205" s="574" t="n"/>
      <c r="FW205" s="574" t="n"/>
      <c r="FX205" s="574" t="n"/>
      <c r="FY205" s="574" t="n"/>
      <c r="FZ205" s="574" t="n"/>
      <c r="GA205" s="574" t="n"/>
      <c r="GB205" s="574" t="n"/>
      <c r="GC205" s="574" t="n"/>
      <c r="GD205" s="574" t="n"/>
      <c r="GE205" s="574" t="n"/>
      <c r="GF205" s="574" t="n"/>
    </row>
    <row r="206" customFormat="1" s="77">
      <c r="A206" s="82" t="n"/>
      <c r="B206" s="81" t="n"/>
      <c r="C206" s="80" t="n"/>
      <c r="D206" s="79" t="inlineStr">
        <is>
          <t>If additional Rows are needed,</t>
        </is>
      </c>
      <c r="E206" s="78" t="n"/>
      <c r="M206" s="176" t="n"/>
      <c r="N206" s="176" t="n"/>
      <c r="O206" s="176" t="n"/>
      <c r="P206" s="176" t="n"/>
      <c r="Q206" s="176" t="n"/>
      <c r="R206" s="176" t="n"/>
      <c r="S206" s="176" t="n"/>
      <c r="T206" s="176" t="n"/>
      <c r="U206" s="176" t="n"/>
      <c r="V206" s="176" t="n"/>
      <c r="W206" s="176" t="n"/>
      <c r="X206" s="176" t="n"/>
      <c r="Y206" s="176" t="n"/>
      <c r="Z206" s="176" t="n"/>
      <c r="AA206" s="176" t="n"/>
      <c r="AB206" s="176" t="n"/>
      <c r="AC206" s="176" t="n"/>
      <c r="AD206" s="176" t="n"/>
      <c r="AE206" s="176" t="n"/>
      <c r="AF206" s="176" t="n"/>
      <c r="AG206" s="176" t="n"/>
      <c r="AH206" s="176" t="n"/>
      <c r="AI206" s="176" t="n"/>
      <c r="AJ206" s="176" t="n"/>
      <c r="AK206" s="176" t="n"/>
      <c r="AL206" s="176" t="n"/>
      <c r="AM206" s="176" t="n"/>
      <c r="AN206" s="176" t="n"/>
      <c r="AO206" s="176" t="n"/>
      <c r="AP206" s="176" t="n"/>
      <c r="AQ206" s="176" t="n"/>
      <c r="AR206" s="176" t="n"/>
      <c r="AS206" s="169" t="n"/>
      <c r="AT206" s="176" t="n"/>
      <c r="AU206" s="176" t="n"/>
      <c r="AV206" s="169" t="n"/>
      <c r="AW206" s="169" t="n"/>
      <c r="AX206" s="169" t="n"/>
      <c r="AY206" s="169" t="n"/>
      <c r="AZ206" s="169" t="n"/>
      <c r="BA206" s="176" t="n"/>
      <c r="BB206" s="176" t="n"/>
      <c r="BC206" s="176" t="n"/>
      <c r="BD206" s="169" t="n"/>
      <c r="BE206" s="176" t="n"/>
      <c r="BF206" s="176" t="n"/>
      <c r="BG206" s="176" t="n"/>
      <c r="BH206" s="176" t="n"/>
      <c r="BI206" s="176" t="n"/>
      <c r="BJ206" s="176" t="n"/>
      <c r="BK206" s="176" t="n"/>
      <c r="BL206" s="176" t="n"/>
      <c r="BM206" s="176" t="n"/>
      <c r="BN206" s="176" t="n"/>
      <c r="BO206" s="176" t="n"/>
      <c r="BP206" s="176" t="n"/>
      <c r="BQ206" s="176" t="n"/>
      <c r="BR206" s="176" t="n"/>
      <c r="BS206" s="176" t="n"/>
      <c r="BT206" s="176" t="n"/>
      <c r="BU206" s="176" t="n"/>
      <c r="BV206" s="176" t="n"/>
      <c r="BW206" s="176" t="n"/>
      <c r="BX206" s="176" t="n"/>
      <c r="BY206" s="176" t="n"/>
      <c r="BZ206" s="176" t="n"/>
      <c r="CA206" s="176" t="n"/>
      <c r="CB206" s="176" t="n"/>
      <c r="CC206" s="176" t="n"/>
      <c r="CD206" s="176" t="n"/>
      <c r="CE206" s="176" t="n"/>
      <c r="CF206" s="176" t="n"/>
      <c r="CG206" s="176" t="n"/>
      <c r="CH206" s="176" t="n"/>
      <c r="CI206" s="176" t="n"/>
      <c r="CJ206" s="176" t="n"/>
      <c r="CK206" s="176" t="n"/>
      <c r="CL206" s="176" t="n"/>
      <c r="CM206" s="176" t="n"/>
      <c r="CN206" s="176" t="n"/>
      <c r="CO206" s="176" t="n"/>
      <c r="CP206" s="176" t="n"/>
      <c r="CQ206" s="176" t="n"/>
      <c r="CR206" s="176" t="n"/>
      <c r="CS206" s="176" t="n"/>
      <c r="CT206" s="176" t="n"/>
      <c r="CU206" s="176" t="n"/>
      <c r="CV206" s="176" t="n"/>
      <c r="CW206" s="176" t="n"/>
      <c r="CX206" s="176" t="n"/>
      <c r="CY206" s="176" t="n"/>
      <c r="CZ206" s="176" t="n"/>
      <c r="DA206" s="176" t="n"/>
      <c r="DB206" s="176" t="n"/>
      <c r="DC206" s="176" t="n"/>
      <c r="DD206" s="176" t="n"/>
      <c r="DE206" s="176" t="n"/>
      <c r="DF206" s="176" t="n"/>
      <c r="DG206" s="176" t="n"/>
      <c r="DH206" s="176" t="n"/>
      <c r="DI206" s="176" t="n"/>
      <c r="DJ206" s="176" t="n"/>
      <c r="DK206" s="176" t="n"/>
      <c r="DL206" s="176" t="n"/>
      <c r="DM206" s="176" t="n"/>
      <c r="DN206" s="176" t="n"/>
      <c r="DO206" s="176" t="n"/>
      <c r="DP206" s="176" t="n"/>
      <c r="DQ206" s="176" t="n"/>
      <c r="DR206" s="176" t="n"/>
      <c r="DS206" s="176" t="n"/>
      <c r="DT206" s="176" t="n"/>
      <c r="DU206" s="176" t="n"/>
      <c r="DV206" s="176" t="n"/>
      <c r="DW206" s="176" t="n"/>
      <c r="DX206" s="176" t="n"/>
      <c r="DY206" s="176" t="n"/>
      <c r="DZ206" s="176" t="n"/>
      <c r="EA206" s="176" t="n"/>
      <c r="EB206" s="176" t="n"/>
      <c r="EC206" s="176" t="n"/>
      <c r="ED206" s="176" t="n"/>
      <c r="EE206" s="176" t="n"/>
      <c r="EF206" s="176" t="n"/>
      <c r="EG206" s="176" t="n"/>
      <c r="EH206" s="176" t="n"/>
      <c r="EI206" s="176" t="n"/>
      <c r="EJ206" s="176" t="n"/>
      <c r="EK206" s="176" t="n"/>
      <c r="EL206" s="176"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c r="FK206" s="176" t="n"/>
      <c r="FL206" s="176" t="n"/>
      <c r="FM206" s="176" t="n"/>
      <c r="FN206" s="176" t="n"/>
      <c r="FO206" s="176" t="n"/>
      <c r="FP206" s="176" t="n"/>
      <c r="FQ206" s="176" t="n"/>
      <c r="FR206" s="176" t="n"/>
      <c r="FS206" s="176" t="n"/>
      <c r="FT206" s="176" t="n"/>
      <c r="FU206" s="176" t="n"/>
      <c r="FV206" s="176" t="n"/>
      <c r="FW206" s="176" t="n"/>
      <c r="FX206" s="176" t="n"/>
      <c r="FY206" s="176" t="n"/>
      <c r="FZ206" s="176" t="n"/>
      <c r="GA206" s="176" t="n"/>
      <c r="GB206" s="176" t="n"/>
      <c r="GC206" s="176" t="n"/>
      <c r="GD206" s="176" t="n"/>
      <c r="GE206" s="176" t="n"/>
      <c r="GF206" s="176" t="n"/>
    </row>
    <row r="207" customFormat="1" s="74">
      <c r="A207" s="73" t="n"/>
      <c r="B207" s="72" t="n"/>
      <c r="C207" s="71" t="n"/>
      <c r="D207" s="70" t="inlineStr">
        <is>
          <t>Insert them prior to the last row listed.</t>
        </is>
      </c>
      <c r="E207" s="69" t="n"/>
      <c r="M207" s="169" t="n"/>
      <c r="N207" s="169" t="n"/>
      <c r="O207" s="169" t="n"/>
      <c r="P207" s="169" t="n"/>
      <c r="Q207" s="169" t="n"/>
      <c r="R207" s="169" t="n"/>
      <c r="S207" s="169" t="n"/>
      <c r="T207" s="169" t="n"/>
      <c r="U207" s="169" t="n"/>
      <c r="V207" s="169" t="n"/>
      <c r="W207" s="169" t="n"/>
      <c r="X207" s="169" t="n"/>
      <c r="Y207" s="169" t="n"/>
      <c r="Z207" s="169" t="n"/>
      <c r="AA207" s="169" t="n"/>
      <c r="AB207" s="169" t="n"/>
      <c r="AC207" s="169" t="n"/>
      <c r="AD207" s="169" t="n"/>
      <c r="AE207" s="169" t="n"/>
      <c r="AF207" s="169" t="n"/>
      <c r="AG207" s="169" t="n"/>
      <c r="AH207" s="169" t="n"/>
      <c r="AI207" s="169" t="n"/>
      <c r="AJ207" s="169" t="n"/>
      <c r="AK207" s="169" t="n"/>
      <c r="AL207" s="169" t="n"/>
      <c r="AM207" s="169" t="n"/>
      <c r="AN207" s="169" t="n"/>
      <c r="AO207" s="169" t="n"/>
      <c r="AP207" s="169" t="n"/>
      <c r="AQ207" s="169" t="n"/>
      <c r="AR207" s="169" t="n"/>
      <c r="AS207" s="169" t="n"/>
      <c r="AT207" s="169" t="n"/>
      <c r="AU207" s="169" t="n"/>
      <c r="AV207" s="169" t="n"/>
      <c r="AW207" s="169" t="n"/>
      <c r="AX207" s="169" t="n"/>
      <c r="AY207" s="169" t="n"/>
      <c r="AZ207" s="169" t="n"/>
      <c r="BA207" s="169" t="n"/>
      <c r="BB207" s="169" t="n"/>
      <c r="BC207" s="169" t="n"/>
      <c r="BD207" s="169" t="n"/>
      <c r="BE207" s="169" t="n"/>
      <c r="BF207" s="169" t="n"/>
      <c r="BG207" s="169" t="n"/>
      <c r="BH207" s="169" t="n"/>
      <c r="BI207" s="169" t="n"/>
      <c r="BJ207" s="169" t="n"/>
      <c r="BK207" s="169" t="n"/>
      <c r="BL207" s="169" t="n"/>
      <c r="BM207" s="169" t="n"/>
      <c r="BN207" s="169" t="n"/>
      <c r="BO207" s="169" t="n"/>
      <c r="BP207" s="169" t="n"/>
      <c r="BQ207" s="169" t="n"/>
      <c r="BR207" s="169" t="n"/>
      <c r="BS207" s="169" t="n"/>
      <c r="BT207" s="169" t="n"/>
      <c r="BU207" s="169" t="n"/>
      <c r="BV207" s="169" t="n"/>
      <c r="BW207" s="169" t="n"/>
      <c r="BX207" s="169" t="n"/>
      <c r="BY207" s="169" t="n"/>
      <c r="BZ207" s="169" t="n"/>
      <c r="CA207" s="169" t="n"/>
      <c r="CB207" s="169" t="n"/>
      <c r="CC207" s="169" t="n"/>
      <c r="CD207" s="169" t="n"/>
      <c r="CE207" s="169" t="n"/>
      <c r="CF207" s="169" t="n"/>
      <c r="CG207" s="169" t="n"/>
      <c r="CH207" s="169" t="n"/>
      <c r="CI207" s="169" t="n"/>
      <c r="CJ207" s="169" t="n"/>
      <c r="CK207" s="169" t="n"/>
      <c r="CL207" s="169" t="n"/>
      <c r="CM207" s="169" t="n"/>
      <c r="CN207" s="169" t="n"/>
      <c r="CO207" s="169" t="n"/>
      <c r="CP207" s="169" t="n"/>
      <c r="CQ207" s="169" t="n"/>
      <c r="CR207" s="169" t="n"/>
      <c r="CS207" s="169" t="n"/>
      <c r="CT207" s="169" t="n"/>
      <c r="CU207" s="169" t="n"/>
      <c r="CV207" s="169" t="n"/>
      <c r="CW207" s="169" t="n"/>
      <c r="CX207" s="169" t="n"/>
      <c r="CY207" s="169" t="n"/>
      <c r="CZ207" s="169" t="n"/>
      <c r="DA207" s="169" t="n"/>
      <c r="DB207" s="169" t="n"/>
      <c r="DC207" s="169" t="n"/>
      <c r="DD207" s="169" t="n"/>
      <c r="DE207" s="169" t="n"/>
      <c r="DF207" s="169" t="n"/>
      <c r="DG207" s="169" t="n"/>
      <c r="DH207" s="169" t="n"/>
      <c r="DI207" s="169" t="n"/>
      <c r="DJ207" s="169" t="n"/>
      <c r="DK207" s="169" t="n"/>
      <c r="DL207" s="169" t="n"/>
      <c r="DM207" s="169" t="n"/>
      <c r="DN207" s="169" t="n"/>
      <c r="DO207" s="169" t="n"/>
      <c r="DP207" s="169" t="n"/>
      <c r="DQ207" s="169" t="n"/>
      <c r="DR207" s="169" t="n"/>
      <c r="DS207" s="169" t="n"/>
      <c r="DT207" s="169" t="n"/>
      <c r="DU207" s="169" t="n"/>
      <c r="DV207" s="169" t="n"/>
      <c r="DW207" s="169" t="n"/>
      <c r="DX207" s="169" t="n"/>
      <c r="DY207" s="169" t="n"/>
      <c r="DZ207" s="169" t="n"/>
      <c r="EA207" s="169" t="n"/>
      <c r="EB207" s="169" t="n"/>
      <c r="EC207" s="169" t="n"/>
      <c r="ED207" s="169" t="n"/>
      <c r="EE207" s="169" t="n"/>
      <c r="EF207" s="169" t="n"/>
      <c r="EG207" s="169" t="n"/>
      <c r="EH207" s="169" t="n"/>
      <c r="EI207" s="169" t="n"/>
      <c r="EJ207" s="169" t="n"/>
      <c r="EK207" s="169" t="n"/>
      <c r="EL207" s="169" t="n"/>
      <c r="EM207" s="169" t="n"/>
      <c r="EN207" s="169" t="n"/>
      <c r="EO207" s="169" t="n"/>
      <c r="EP207" s="169" t="n"/>
      <c r="EQ207" s="169" t="n"/>
      <c r="ER207" s="169" t="n"/>
      <c r="ES207" s="169" t="n"/>
      <c r="ET207" s="169" t="n"/>
      <c r="EU207" s="169" t="n"/>
      <c r="EV207" s="169" t="n"/>
      <c r="EW207" s="169" t="n"/>
      <c r="EX207" s="169" t="n"/>
      <c r="EY207" s="169" t="n"/>
      <c r="EZ207" s="169" t="n"/>
      <c r="FA207" s="169" t="n"/>
      <c r="FB207" s="169" t="n"/>
      <c r="FC207" s="169" t="n"/>
      <c r="FD207" s="169" t="n"/>
      <c r="FE207" s="169" t="n"/>
      <c r="FF207" s="169" t="n"/>
      <c r="FG207" s="169" t="n"/>
      <c r="FH207" s="169" t="n"/>
      <c r="FI207" s="169" t="n"/>
      <c r="FJ207" s="169" t="n"/>
      <c r="FK207" s="169" t="n"/>
      <c r="FL207" s="169" t="n"/>
      <c r="FM207" s="169" t="n"/>
      <c r="FN207" s="169" t="n"/>
      <c r="FO207" s="169" t="n"/>
      <c r="FP207" s="169" t="n"/>
      <c r="FQ207" s="169" t="n"/>
      <c r="FR207" s="169" t="n"/>
      <c r="FS207" s="169" t="n"/>
      <c r="FT207" s="169" t="n"/>
      <c r="FU207" s="169" t="n"/>
      <c r="FV207" s="169" t="n"/>
      <c r="FW207" s="169" t="n"/>
      <c r="FX207" s="169" t="n"/>
      <c r="FY207" s="169" t="n"/>
      <c r="FZ207" s="169" t="n"/>
      <c r="GA207" s="169" t="n"/>
      <c r="GB207" s="169" t="n"/>
      <c r="GC207" s="169" t="n"/>
      <c r="GD207" s="169" t="n"/>
      <c r="GE207" s="169" t="n"/>
      <c r="GF207" s="169" t="n"/>
    </row>
    <row r="208">
      <c r="A208" s="73" t="n"/>
      <c r="B208" s="72" t="n"/>
      <c r="C208" s="71" t="n"/>
      <c r="D208" s="70" t="inlineStr">
        <is>
          <t>Do NOT COPY the formulas below this line.</t>
        </is>
      </c>
      <c r="E208" s="69" t="n"/>
    </row>
  </sheetData>
  <mergeCells count="197">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GB7:GB8"/>
    <mergeCell ref="B5:C5"/>
    <mergeCell ref="AR7:AR8"/>
    <mergeCell ref="DW7:DW8"/>
    <mergeCell ref="EI7:EI8"/>
    <mergeCell ref="ED7:ED8"/>
    <mergeCell ref="D6:D7"/>
    <mergeCell ref="AO7:AO8"/>
    <mergeCell ref="B4:C4"/>
    <mergeCell ref="B6:B8"/>
    <mergeCell ref="BY7:BY8"/>
    <mergeCell ref="AQ7:AQ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U7:FU8"/>
    <mergeCell ref="EE7:EE8"/>
    <mergeCell ref="DN7:DN8"/>
    <mergeCell ref="FK7:FK8"/>
    <mergeCell ref="GE7:GE8"/>
    <mergeCell ref="BX7:BX8"/>
    <mergeCell ref="FM7:FM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GF210"/>
  <sheetViews>
    <sheetView tabSelected="1" zoomScaleNormal="120" workbookViewId="0">
      <pane xSplit="6" topLeftCell="DK1" activePane="topRight" state="frozen"/>
      <selection pane="topRight" activeCell="J21" sqref="J2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5703125" bestFit="1" customWidth="1" style="61" min="8" max="8"/>
    <col width="10.7109375" bestFit="1" customWidth="1" style="61" min="9" max="10"/>
    <col width="9.28515625" bestFit="1" customWidth="1" style="61" min="11" max="12"/>
    <col width="9.140625" bestFit="1" customWidth="1" style="61" min="13" max="13"/>
    <col width="9.28515625" bestFit="1" customWidth="1" style="61" min="14" max="14"/>
    <col width="9.140625" bestFit="1" customWidth="1" style="61" min="15" max="15"/>
    <col width="10.140625" bestFit="1" customWidth="1" style="61" min="16" max="16"/>
    <col width="10.140625" bestFit="1" customWidth="1" style="169" min="17" max="17"/>
    <col width="9.28515625" bestFit="1" customWidth="1" style="61" min="18" max="23"/>
    <col width="10.140625" bestFit="1" customWidth="1" style="61" min="24" max="24"/>
    <col width="9.28515625" bestFit="1" customWidth="1" style="61" min="25" max="25"/>
    <col width="9.28515625" bestFit="1" customWidth="1" style="169" min="26" max="26"/>
    <col width="14.5703125" bestFit="1" customWidth="1" style="169" min="27" max="27"/>
    <col width="11.7109375" bestFit="1" customWidth="1" style="169" min="28" max="28"/>
    <col width="10.7109375" bestFit="1" customWidth="1" style="169" min="29" max="29"/>
    <col width="9.85546875" bestFit="1" customWidth="1" style="169" min="30" max="31"/>
    <col width="9.28515625" bestFit="1" customWidth="1" style="169" min="32" max="32"/>
    <col width="9.28515625" bestFit="1" customWidth="1" style="61" min="33" max="33"/>
    <col width="9.5703125" bestFit="1" customWidth="1" style="169" min="34" max="34"/>
    <col width="9.28515625" bestFit="1" customWidth="1" style="61" min="35" max="35"/>
    <col width="9" bestFit="1" customWidth="1" style="169" min="36" max="36"/>
    <col width="14.42578125" customWidth="1" style="61" min="37" max="90"/>
    <col width="14.42578125" customWidth="1" style="129" min="91" max="183"/>
    <col width="3" customWidth="1" style="62" min="184" max="184"/>
    <col width="14.42578125" customWidth="1" style="61" min="185" max="16384"/>
  </cols>
  <sheetData>
    <row r="1" ht="13.5" customHeight="1" s="267" thickBot="1">
      <c r="E1" s="298" t="inlineStr">
        <is>
          <t>Instrument</t>
        </is>
      </c>
      <c r="F1" s="507" t="n"/>
      <c r="G1" s="111" t="n"/>
      <c r="H1" s="169" t="inlineStr">
        <is>
          <t>PAT</t>
        </is>
      </c>
      <c r="I1" s="169" t="inlineStr">
        <is>
          <t>DEED</t>
        </is>
      </c>
      <c r="J1" s="169" t="inlineStr">
        <is>
          <t>DEED</t>
        </is>
      </c>
      <c r="K1" s="169" t="inlineStr">
        <is>
          <t>DEED</t>
        </is>
      </c>
      <c r="L1" s="169" t="inlineStr">
        <is>
          <t>WD</t>
        </is>
      </c>
      <c r="M1" s="169" t="inlineStr">
        <is>
          <t>MD</t>
        </is>
      </c>
      <c r="N1" s="169" t="inlineStr">
        <is>
          <t>MD</t>
        </is>
      </c>
      <c r="O1" s="169" t="inlineStr">
        <is>
          <t>MD</t>
        </is>
      </c>
      <c r="P1" s="169" t="inlineStr">
        <is>
          <t>MD</t>
        </is>
      </c>
      <c r="Q1" s="169" t="inlineStr">
        <is>
          <t>MD</t>
        </is>
      </c>
      <c r="R1" s="169" t="inlineStr">
        <is>
          <t>MD</t>
        </is>
      </c>
      <c r="S1" s="169" t="inlineStr">
        <is>
          <t>MD</t>
        </is>
      </c>
      <c r="T1" s="169" t="inlineStr">
        <is>
          <t>MD</t>
        </is>
      </c>
      <c r="U1" s="169" t="inlineStr">
        <is>
          <t>MD</t>
        </is>
      </c>
      <c r="V1" s="169" t="inlineStr">
        <is>
          <t>TA</t>
        </is>
      </c>
      <c r="W1" s="169" t="inlineStr">
        <is>
          <t>MD</t>
        </is>
      </c>
      <c r="X1" s="169" t="inlineStr">
        <is>
          <t>MD</t>
        </is>
      </c>
      <c r="Y1" s="169" t="inlineStr">
        <is>
          <t>MD</t>
        </is>
      </c>
      <c r="Z1" s="169" t="inlineStr">
        <is>
          <t>TA</t>
        </is>
      </c>
      <c r="AA1" s="169" t="inlineStr">
        <is>
          <t>MD</t>
        </is>
      </c>
      <c r="AB1" s="169" t="inlineStr">
        <is>
          <t>MD</t>
        </is>
      </c>
      <c r="AC1" s="169" t="inlineStr">
        <is>
          <t>MD</t>
        </is>
      </c>
      <c r="AD1" s="169" t="inlineStr">
        <is>
          <t>MD</t>
        </is>
      </c>
      <c r="AE1" s="169" t="inlineStr">
        <is>
          <t>MD</t>
        </is>
      </c>
      <c r="AF1" s="169" t="inlineStr">
        <is>
          <t>MD</t>
        </is>
      </c>
      <c r="AG1" s="169" t="inlineStr">
        <is>
          <t>MD</t>
        </is>
      </c>
      <c r="AH1" s="169" t="inlineStr">
        <is>
          <t>MD</t>
        </is>
      </c>
      <c r="AI1" s="169" t="inlineStr">
        <is>
          <t>MD</t>
        </is>
      </c>
      <c r="AJ1" s="218" t="inlineStr">
        <is>
          <t>MD</t>
        </is>
      </c>
      <c r="AK1" s="129" t="inlineStr">
        <is>
          <t>MD</t>
        </is>
      </c>
      <c r="AL1" s="129" t="inlineStr">
        <is>
          <t>MD</t>
        </is>
      </c>
      <c r="AM1" s="129" t="inlineStr">
        <is>
          <t>MD</t>
        </is>
      </c>
      <c r="AN1" s="129" t="inlineStr">
        <is>
          <t>MD</t>
        </is>
      </c>
      <c r="AO1" s="129" t="inlineStr">
        <is>
          <t>MD</t>
        </is>
      </c>
      <c r="AP1" s="129" t="inlineStr">
        <is>
          <t>MD</t>
        </is>
      </c>
      <c r="AQ1" s="129" t="inlineStr">
        <is>
          <t>MD</t>
        </is>
      </c>
      <c r="AR1" s="129" t="inlineStr">
        <is>
          <t>MD</t>
        </is>
      </c>
      <c r="AS1" s="129" t="inlineStr">
        <is>
          <t>MD</t>
        </is>
      </c>
      <c r="AT1" s="129" t="inlineStr">
        <is>
          <t>MD</t>
        </is>
      </c>
      <c r="AU1" s="129" t="inlineStr">
        <is>
          <t>MD</t>
        </is>
      </c>
      <c r="AV1" s="129" t="inlineStr">
        <is>
          <t>MD</t>
        </is>
      </c>
      <c r="AW1" s="129" t="inlineStr">
        <is>
          <t>MD</t>
        </is>
      </c>
      <c r="AX1" s="129" t="inlineStr">
        <is>
          <t>MD</t>
        </is>
      </c>
      <c r="AY1" s="129" t="inlineStr">
        <is>
          <t>MD</t>
        </is>
      </c>
      <c r="AZ1" s="129" t="inlineStr">
        <is>
          <t>MD</t>
        </is>
      </c>
      <c r="BA1" s="129" t="inlineStr">
        <is>
          <t>MD</t>
        </is>
      </c>
      <c r="BB1" s="129" t="inlineStr">
        <is>
          <t>MD</t>
        </is>
      </c>
      <c r="BC1" s="129" t="inlineStr">
        <is>
          <t>MD</t>
        </is>
      </c>
      <c r="BD1" s="129" t="inlineStr">
        <is>
          <t>MD</t>
        </is>
      </c>
      <c r="BE1" s="129" t="inlineStr">
        <is>
          <t>MD</t>
        </is>
      </c>
      <c r="BF1" s="129" t="inlineStr">
        <is>
          <t>MD</t>
        </is>
      </c>
      <c r="BG1" s="129" t="inlineStr">
        <is>
          <t>MD</t>
        </is>
      </c>
      <c r="BH1" s="129" t="inlineStr">
        <is>
          <t>MD</t>
        </is>
      </c>
      <c r="BI1" s="129" t="inlineStr">
        <is>
          <t>MD</t>
        </is>
      </c>
      <c r="BJ1" s="129" t="inlineStr">
        <is>
          <t>MD</t>
        </is>
      </c>
      <c r="BK1" s="129" t="inlineStr">
        <is>
          <t>MD</t>
        </is>
      </c>
      <c r="BL1" s="129" t="inlineStr">
        <is>
          <t>PROB</t>
        </is>
      </c>
      <c r="BM1" s="129" t="inlineStr">
        <is>
          <t>MD</t>
        </is>
      </c>
      <c r="BN1" s="129" t="inlineStr">
        <is>
          <t>MD</t>
        </is>
      </c>
      <c r="BO1" s="129" t="inlineStr">
        <is>
          <t>MD</t>
        </is>
      </c>
      <c r="BP1" s="129" t="inlineStr">
        <is>
          <t>MD</t>
        </is>
      </c>
      <c r="BQ1" s="129" t="inlineStr">
        <is>
          <t>MD</t>
        </is>
      </c>
      <c r="BR1" s="129" t="inlineStr">
        <is>
          <t>MD</t>
        </is>
      </c>
      <c r="BS1" s="129" t="inlineStr">
        <is>
          <t>MD</t>
        </is>
      </c>
      <c r="BT1" s="129" t="inlineStr">
        <is>
          <t>MD</t>
        </is>
      </c>
      <c r="BU1" s="129" t="inlineStr">
        <is>
          <t>MD</t>
        </is>
      </c>
      <c r="BV1" s="129" t="inlineStr">
        <is>
          <t>MD</t>
        </is>
      </c>
      <c r="BW1" s="129" t="inlineStr">
        <is>
          <t>MD</t>
        </is>
      </c>
      <c r="BX1" s="129" t="inlineStr">
        <is>
          <t>PROB</t>
        </is>
      </c>
      <c r="BY1" s="129" t="inlineStr">
        <is>
          <t>MD</t>
        </is>
      </c>
      <c r="BZ1" s="129" t="inlineStr">
        <is>
          <t>MD</t>
        </is>
      </c>
      <c r="CA1" s="129" t="inlineStr">
        <is>
          <t>MD</t>
        </is>
      </c>
      <c r="CB1" s="129" t="inlineStr">
        <is>
          <t>QCMD</t>
        </is>
      </c>
      <c r="CC1" s="129" t="inlineStr">
        <is>
          <t>MD</t>
        </is>
      </c>
      <c r="CD1" s="129" t="inlineStr">
        <is>
          <t>MD</t>
        </is>
      </c>
      <c r="CE1" s="129" t="inlineStr">
        <is>
          <t>MD</t>
        </is>
      </c>
      <c r="CF1" s="129" t="inlineStr">
        <is>
          <t>MD</t>
        </is>
      </c>
      <c r="CG1" s="129" t="inlineStr">
        <is>
          <t>MD</t>
        </is>
      </c>
      <c r="CH1" s="129" t="inlineStr">
        <is>
          <t>MD</t>
        </is>
      </c>
      <c r="CI1" s="129" t="inlineStr">
        <is>
          <t>MD</t>
        </is>
      </c>
      <c r="CJ1" s="129" t="inlineStr">
        <is>
          <t>MD</t>
        </is>
      </c>
      <c r="CK1" s="129" t="inlineStr">
        <is>
          <t>MD</t>
        </is>
      </c>
      <c r="CL1" s="129" t="inlineStr">
        <is>
          <t>MD</t>
        </is>
      </c>
      <c r="CM1" s="129" t="inlineStr">
        <is>
          <t>PROB</t>
        </is>
      </c>
      <c r="CN1" s="129" t="inlineStr">
        <is>
          <t>QCMD</t>
        </is>
      </c>
      <c r="CO1" s="129" t="inlineStr">
        <is>
          <t>QCMD</t>
        </is>
      </c>
      <c r="CP1" s="129" t="inlineStr">
        <is>
          <t>QCMD</t>
        </is>
      </c>
      <c r="CQ1" s="129" t="inlineStr">
        <is>
          <t>QCMD</t>
        </is>
      </c>
      <c r="CR1" s="129" t="inlineStr">
        <is>
          <t>MD</t>
        </is>
      </c>
      <c r="CS1" s="129" t="inlineStr">
        <is>
          <t>MD</t>
        </is>
      </c>
      <c r="CT1" s="129" t="inlineStr">
        <is>
          <t>QCMD</t>
        </is>
      </c>
      <c r="CU1" s="129" t="inlineStr">
        <is>
          <t>MD</t>
        </is>
      </c>
      <c r="CV1" s="129" t="inlineStr">
        <is>
          <t>MD</t>
        </is>
      </c>
      <c r="CW1" s="129" t="inlineStr">
        <is>
          <t>MD</t>
        </is>
      </c>
      <c r="CX1" s="129" t="inlineStr">
        <is>
          <t>MD</t>
        </is>
      </c>
      <c r="CY1" s="129" t="inlineStr">
        <is>
          <t>MD</t>
        </is>
      </c>
      <c r="CZ1" s="129" t="inlineStr">
        <is>
          <t>MD</t>
        </is>
      </c>
      <c r="DA1" s="129" t="inlineStr">
        <is>
          <t>QCMD</t>
        </is>
      </c>
      <c r="DB1" s="129" t="inlineStr">
        <is>
          <t>QCMD</t>
        </is>
      </c>
      <c r="DC1" s="129" t="inlineStr">
        <is>
          <t>MD</t>
        </is>
      </c>
      <c r="DD1" s="129" t="inlineStr">
        <is>
          <t>MD</t>
        </is>
      </c>
      <c r="DE1" s="129" t="inlineStr">
        <is>
          <t>MD</t>
        </is>
      </c>
      <c r="DF1" s="129" t="inlineStr">
        <is>
          <t>MD</t>
        </is>
      </c>
      <c r="DG1" s="129" t="inlineStr">
        <is>
          <t>QCMD</t>
        </is>
      </c>
      <c r="DH1" s="129" t="inlineStr">
        <is>
          <t>MD</t>
        </is>
      </c>
      <c r="DI1" s="129" t="inlineStr">
        <is>
          <t>CONV</t>
        </is>
      </c>
      <c r="DJ1" s="129" t="inlineStr">
        <is>
          <t>MD</t>
        </is>
      </c>
      <c r="DK1" s="129" t="inlineStr">
        <is>
          <t>MD</t>
        </is>
      </c>
      <c r="DL1" s="129" t="inlineStr">
        <is>
          <t>MD</t>
        </is>
      </c>
      <c r="DM1" s="129" t="inlineStr">
        <is>
          <t>MD</t>
        </is>
      </c>
      <c r="DN1" s="129" t="inlineStr">
        <is>
          <t>MD</t>
        </is>
      </c>
      <c r="DO1" s="129" t="inlineStr">
        <is>
          <t>MD</t>
        </is>
      </c>
      <c r="DP1" s="129" t="inlineStr">
        <is>
          <t>MD</t>
        </is>
      </c>
      <c r="DQ1" s="129" t="inlineStr">
        <is>
          <t>MD</t>
        </is>
      </c>
      <c r="DR1" s="129" t="inlineStr">
        <is>
          <t>MD</t>
        </is>
      </c>
      <c r="DS1" s="129" t="inlineStr">
        <is>
          <t>MD</t>
        </is>
      </c>
      <c r="DT1" s="129" t="inlineStr">
        <is>
          <t>PROB</t>
        </is>
      </c>
      <c r="DU1" s="129" t="inlineStr">
        <is>
          <t>MD</t>
        </is>
      </c>
      <c r="DV1" s="129" t="inlineStr">
        <is>
          <t>MD</t>
        </is>
      </c>
      <c r="DW1" s="129" t="inlineStr">
        <is>
          <t>QCMD</t>
        </is>
      </c>
      <c r="DX1" s="129" t="inlineStr">
        <is>
          <t>MD</t>
        </is>
      </c>
      <c r="DY1" s="129" t="inlineStr">
        <is>
          <t>MD</t>
        </is>
      </c>
      <c r="DZ1" s="129" t="inlineStr">
        <is>
          <t>MD</t>
        </is>
      </c>
      <c r="EA1" s="129" t="inlineStr">
        <is>
          <t>MD</t>
        </is>
      </c>
      <c r="EB1" s="129" t="inlineStr">
        <is>
          <t>DEED</t>
        </is>
      </c>
      <c r="EC1" s="129" t="inlineStr">
        <is>
          <t>MD</t>
        </is>
      </c>
      <c r="ED1" s="129" t="inlineStr">
        <is>
          <t>MD</t>
        </is>
      </c>
      <c r="EE1" s="129" t="inlineStr">
        <is>
          <t>MD</t>
        </is>
      </c>
      <c r="EF1" s="129" t="inlineStr">
        <is>
          <t>MD</t>
        </is>
      </c>
      <c r="EG1" s="129" t="inlineStr">
        <is>
          <t>MD</t>
        </is>
      </c>
      <c r="EH1" s="129" t="inlineStr">
        <is>
          <t>MD</t>
        </is>
      </c>
      <c r="EI1" s="129" t="inlineStr">
        <is>
          <t>MD</t>
        </is>
      </c>
      <c r="EJ1" s="129" t="inlineStr">
        <is>
          <t>PROB</t>
        </is>
      </c>
      <c r="EK1" s="129" t="inlineStr">
        <is>
          <t>MD</t>
        </is>
      </c>
      <c r="EL1" s="129" t="inlineStr">
        <is>
          <t>MD</t>
        </is>
      </c>
      <c r="EM1" s="129" t="inlineStr">
        <is>
          <t>MD</t>
        </is>
      </c>
      <c r="EN1" s="129" t="inlineStr">
        <is>
          <t>MD</t>
        </is>
      </c>
      <c r="EO1" s="129" t="inlineStr">
        <is>
          <t>PROB</t>
        </is>
      </c>
      <c r="EP1" s="129" t="inlineStr">
        <is>
          <t>QCMD</t>
        </is>
      </c>
      <c r="EQ1" s="129" t="inlineStr">
        <is>
          <t>QCMD</t>
        </is>
      </c>
      <c r="ER1" s="129" t="inlineStr">
        <is>
          <t>MD</t>
        </is>
      </c>
      <c r="ES1" s="129" t="inlineStr">
        <is>
          <t>MD</t>
        </is>
      </c>
      <c r="ET1" s="129" t="inlineStr">
        <is>
          <t>QCMD</t>
        </is>
      </c>
      <c r="EU1" s="129" t="inlineStr">
        <is>
          <t>MD</t>
        </is>
      </c>
      <c r="EV1" s="129" t="inlineStr">
        <is>
          <t>MD</t>
        </is>
      </c>
      <c r="EW1" s="129" t="inlineStr">
        <is>
          <t>MD</t>
        </is>
      </c>
      <c r="EX1" s="129" t="inlineStr">
        <is>
          <t>MD</t>
        </is>
      </c>
      <c r="EY1" s="129" t="inlineStr">
        <is>
          <t>MD</t>
        </is>
      </c>
      <c r="EZ1" s="129" t="inlineStr">
        <is>
          <t>PROB</t>
        </is>
      </c>
    </row>
    <row r="2" ht="12.75" customFormat="1" customHeight="1" s="110" thickTop="1">
      <c r="A2" s="534" t="inlineStr">
        <is>
          <t>2</t>
        </is>
      </c>
      <c r="B2" s="535" t="inlineStr">
        <is>
          <t>TRACT</t>
        </is>
      </c>
      <c r="C2" s="536" t="n"/>
      <c r="D2" s="537" t="inlineStr">
        <is>
          <t>SW/4 NE/4, W/2 SE/4, SE/4 SE/4, containing 160 acres</t>
        </is>
      </c>
      <c r="E2" s="538" t="inlineStr">
        <is>
          <t>Image Number</t>
        </is>
      </c>
      <c r="F2" s="539" t="n"/>
      <c r="G2" s="111" t="n"/>
      <c r="H2" s="170" t="inlineStr">
        <is>
          <t>I-1907-002036</t>
        </is>
      </c>
      <c r="I2" s="170" t="inlineStr">
        <is>
          <t>1907-000709</t>
        </is>
      </c>
      <c r="J2" s="170" t="inlineStr">
        <is>
          <t>1908-000607</t>
        </is>
      </c>
      <c r="K2" s="170" t="inlineStr">
        <is>
          <t>1919-000971</t>
        </is>
      </c>
      <c r="L2" s="170" t="inlineStr">
        <is>
          <t>1949-000814</t>
        </is>
      </c>
      <c r="M2" s="170" t="inlineStr">
        <is>
          <t>1978-002576</t>
        </is>
      </c>
      <c r="N2" s="170" t="inlineStr">
        <is>
          <t>1978-002579</t>
        </is>
      </c>
      <c r="O2" s="170" t="inlineStr">
        <is>
          <t>1978-002580</t>
        </is>
      </c>
      <c r="P2" s="170" t="inlineStr">
        <is>
          <t>1978-002581</t>
        </is>
      </c>
      <c r="Q2" s="170" t="inlineStr">
        <is>
          <t>1978-002582</t>
        </is>
      </c>
      <c r="R2" s="170" t="inlineStr">
        <is>
          <t>1978-002583</t>
        </is>
      </c>
      <c r="S2" s="170" t="inlineStr">
        <is>
          <t>1978-002585</t>
        </is>
      </c>
      <c r="T2" s="170" t="inlineStr">
        <is>
          <t>1978-002584</t>
        </is>
      </c>
      <c r="U2" s="170" t="inlineStr">
        <is>
          <t>1979-004881</t>
        </is>
      </c>
      <c r="V2" s="170" t="inlineStr">
        <is>
          <t>1979-006593</t>
        </is>
      </c>
      <c r="W2" s="170" t="inlineStr">
        <is>
          <t>1982-011142</t>
        </is>
      </c>
      <c r="X2" s="170" t="inlineStr">
        <is>
          <t>1982-011143</t>
        </is>
      </c>
      <c r="Y2" s="170" t="inlineStr">
        <is>
          <t>1982-011144</t>
        </is>
      </c>
      <c r="Z2" s="170" t="inlineStr">
        <is>
          <t>1983-001668</t>
        </is>
      </c>
      <c r="AA2" s="170" t="inlineStr">
        <is>
          <t>1983-001669</t>
        </is>
      </c>
      <c r="AB2" s="170" t="inlineStr">
        <is>
          <t>1983-001670</t>
        </is>
      </c>
      <c r="AC2" s="170" t="inlineStr">
        <is>
          <t>1983-002348</t>
        </is>
      </c>
      <c r="AD2" s="170" t="inlineStr">
        <is>
          <t>1983-002349</t>
        </is>
      </c>
      <c r="AE2" s="170" t="inlineStr">
        <is>
          <t>1983-002350</t>
        </is>
      </c>
      <c r="AF2" s="170" t="inlineStr">
        <is>
          <t>1983-002351</t>
        </is>
      </c>
      <c r="AG2" s="170" t="inlineStr">
        <is>
          <t>1983-002352</t>
        </is>
      </c>
      <c r="AH2" s="170" t="inlineStr">
        <is>
          <t>1984-003786</t>
        </is>
      </c>
      <c r="AI2" s="170" t="inlineStr">
        <is>
          <t>1985-006556</t>
        </is>
      </c>
      <c r="AJ2" s="220" t="inlineStr">
        <is>
          <t>1985-000060</t>
        </is>
      </c>
      <c r="AK2" s="107" t="inlineStr">
        <is>
          <t>1985-000061</t>
        </is>
      </c>
      <c r="AL2" s="107" t="inlineStr">
        <is>
          <t>1986-003428</t>
        </is>
      </c>
      <c r="AM2" s="107" t="inlineStr">
        <is>
          <t>1986-004476</t>
        </is>
      </c>
      <c r="AN2" s="107" t="inlineStr">
        <is>
          <t>1986-005223</t>
        </is>
      </c>
      <c r="AO2" s="107" t="inlineStr">
        <is>
          <t>1987-002610</t>
        </is>
      </c>
      <c r="AP2" s="107" t="inlineStr">
        <is>
          <t>1987-005625</t>
        </is>
      </c>
      <c r="AQ2" s="107" t="inlineStr">
        <is>
          <t>1987-006731</t>
        </is>
      </c>
      <c r="AR2" s="107" t="inlineStr">
        <is>
          <t>1987-006732</t>
        </is>
      </c>
      <c r="AS2" s="107" t="inlineStr">
        <is>
          <t>1987-007680</t>
        </is>
      </c>
      <c r="AT2" s="107" t="inlineStr">
        <is>
          <t>1988-004480</t>
        </is>
      </c>
      <c r="AU2" s="107" t="inlineStr">
        <is>
          <t>1988-004481</t>
        </is>
      </c>
      <c r="AV2" s="107" t="inlineStr">
        <is>
          <t>1988-004482</t>
        </is>
      </c>
      <c r="AW2" s="107" t="inlineStr">
        <is>
          <t>1988-004483</t>
        </is>
      </c>
      <c r="AX2" s="107" t="inlineStr">
        <is>
          <t>1988-006565</t>
        </is>
      </c>
      <c r="AY2" s="107" t="inlineStr">
        <is>
          <t>1989-002320</t>
        </is>
      </c>
      <c r="AZ2" s="107" t="inlineStr">
        <is>
          <t>1989-002321</t>
        </is>
      </c>
      <c r="BA2" s="107" t="inlineStr">
        <is>
          <t>1989-002322</t>
        </is>
      </c>
      <c r="BB2" s="107" t="inlineStr">
        <is>
          <t>1989-002323</t>
        </is>
      </c>
      <c r="BC2" s="107" t="inlineStr">
        <is>
          <t>1989-004248</t>
        </is>
      </c>
      <c r="BD2" s="107" t="inlineStr">
        <is>
          <t>1989-004249</t>
        </is>
      </c>
      <c r="BE2" s="107" t="inlineStr">
        <is>
          <t>1989-004250</t>
        </is>
      </c>
      <c r="BF2" s="107" t="inlineStr">
        <is>
          <t>1989-004251</t>
        </is>
      </c>
      <c r="BG2" s="107" t="inlineStr">
        <is>
          <t>1989-004252</t>
        </is>
      </c>
      <c r="BH2" s="107" t="inlineStr">
        <is>
          <t>1989-004253</t>
        </is>
      </c>
      <c r="BI2" s="107" t="inlineStr">
        <is>
          <t>1989-004254</t>
        </is>
      </c>
      <c r="BJ2" s="107" t="inlineStr">
        <is>
          <t>1989-004255</t>
        </is>
      </c>
      <c r="BK2" s="107" t="inlineStr">
        <is>
          <t>1989-004256</t>
        </is>
      </c>
      <c r="BL2" s="107" t="inlineStr">
        <is>
          <t>1989-005656</t>
        </is>
      </c>
      <c r="BM2" s="107" t="inlineStr">
        <is>
          <t>1989-007000</t>
        </is>
      </c>
      <c r="BN2" s="107" t="inlineStr">
        <is>
          <t>1989-007001</t>
        </is>
      </c>
      <c r="BO2" s="107" t="inlineStr">
        <is>
          <t>1990-000905</t>
        </is>
      </c>
      <c r="BP2" s="107" t="inlineStr">
        <is>
          <t>1990-000906</t>
        </is>
      </c>
      <c r="BQ2" s="107" t="inlineStr">
        <is>
          <t>1990-000907</t>
        </is>
      </c>
      <c r="BR2" s="107" t="inlineStr">
        <is>
          <t>1990-000908</t>
        </is>
      </c>
      <c r="BS2" s="107" t="inlineStr">
        <is>
          <t>1990-000909</t>
        </is>
      </c>
      <c r="BT2" s="107" t="inlineStr">
        <is>
          <t>1990-000910</t>
        </is>
      </c>
      <c r="BU2" s="107" t="inlineStr">
        <is>
          <t>1990-000911</t>
        </is>
      </c>
      <c r="BV2" s="107" t="inlineStr">
        <is>
          <t>1990-000912</t>
        </is>
      </c>
      <c r="BW2" s="107" t="inlineStr">
        <is>
          <t>1990-000913</t>
        </is>
      </c>
      <c r="BX2" s="107" t="inlineStr">
        <is>
          <t>1990-001592</t>
        </is>
      </c>
      <c r="BY2" s="107" t="inlineStr">
        <is>
          <t>1990-001689</t>
        </is>
      </c>
      <c r="BZ2" s="107" t="inlineStr">
        <is>
          <t>1990-001690</t>
        </is>
      </c>
      <c r="CA2" s="107" t="inlineStr">
        <is>
          <t>1990-001750</t>
        </is>
      </c>
      <c r="CB2" s="107" t="inlineStr">
        <is>
          <t>1990-005848</t>
        </is>
      </c>
      <c r="CC2" s="107" t="inlineStr">
        <is>
          <t>1991-000858</t>
        </is>
      </c>
      <c r="CD2" s="107" t="inlineStr">
        <is>
          <t>1991-005340</t>
        </is>
      </c>
      <c r="CE2" s="107" t="inlineStr">
        <is>
          <t>1992-001861</t>
        </is>
      </c>
      <c r="CF2" s="107" t="inlineStr">
        <is>
          <t>1992-001862</t>
        </is>
      </c>
      <c r="CG2" s="107" t="inlineStr">
        <is>
          <t>1992-001863</t>
        </is>
      </c>
      <c r="CH2" s="107" t="inlineStr">
        <is>
          <t>1992-001865</t>
        </is>
      </c>
      <c r="CI2" s="107" t="inlineStr">
        <is>
          <t>1992-001866</t>
        </is>
      </c>
      <c r="CJ2" s="107" t="inlineStr">
        <is>
          <t>1992-001867</t>
        </is>
      </c>
      <c r="CK2" s="107" t="inlineStr">
        <is>
          <t>1992-003494</t>
        </is>
      </c>
      <c r="CL2" s="107" t="inlineStr">
        <is>
          <t>1995-000396</t>
        </is>
      </c>
      <c r="CM2" s="107" t="inlineStr">
        <is>
          <t>1995-001954</t>
        </is>
      </c>
      <c r="CN2" s="107" t="inlineStr">
        <is>
          <t>1997-006370</t>
        </is>
      </c>
      <c r="CO2" s="107" t="inlineStr">
        <is>
          <t>1997-005183</t>
        </is>
      </c>
      <c r="CP2" s="107" t="inlineStr">
        <is>
          <t>1998-000584</t>
        </is>
      </c>
      <c r="CQ2" s="107" t="inlineStr">
        <is>
          <t>1998-000907</t>
        </is>
      </c>
      <c r="CR2" s="107" t="inlineStr">
        <is>
          <t>1999-002219</t>
        </is>
      </c>
      <c r="CS2" s="107" t="inlineStr">
        <is>
          <t>1999-002220</t>
        </is>
      </c>
      <c r="CT2" s="107" t="inlineStr">
        <is>
          <t>1999-002739</t>
        </is>
      </c>
      <c r="CU2" s="107" t="inlineStr">
        <is>
          <t>1999-003363</t>
        </is>
      </c>
      <c r="CV2" s="107" t="inlineStr">
        <is>
          <t>1999-003364</t>
        </is>
      </c>
      <c r="CW2" s="107" t="inlineStr">
        <is>
          <t>1999-003365</t>
        </is>
      </c>
      <c r="CX2" s="107" t="inlineStr">
        <is>
          <t>1999-003366</t>
        </is>
      </c>
      <c r="CY2" s="107" t="inlineStr">
        <is>
          <t>1999-003367</t>
        </is>
      </c>
      <c r="CZ2" s="107" t="inlineStr">
        <is>
          <t>1999-003368</t>
        </is>
      </c>
      <c r="DA2" s="107" t="inlineStr">
        <is>
          <t>2000-010180</t>
        </is>
      </c>
      <c r="DB2" s="107" t="inlineStr">
        <is>
          <t>2001-000619</t>
        </is>
      </c>
      <c r="DC2" s="107" t="inlineStr">
        <is>
          <t>2001-000103</t>
        </is>
      </c>
      <c r="DD2" s="107" t="inlineStr">
        <is>
          <t>2001-000921</t>
        </is>
      </c>
      <c r="DE2" s="107" t="inlineStr">
        <is>
          <t>2001-000926</t>
        </is>
      </c>
      <c r="DF2" s="107" t="inlineStr">
        <is>
          <t>2001-000927</t>
        </is>
      </c>
      <c r="DG2" s="107" t="inlineStr">
        <is>
          <t>2001-001092</t>
        </is>
      </c>
      <c r="DH2" s="107" t="inlineStr">
        <is>
          <t>2002-004378</t>
        </is>
      </c>
      <c r="DI2" s="107" t="inlineStr">
        <is>
          <t>2005-000347</t>
        </is>
      </c>
      <c r="DJ2" s="107" t="inlineStr">
        <is>
          <t>2005-001909</t>
        </is>
      </c>
      <c r="DK2" s="107" t="inlineStr">
        <is>
          <t>2005-003389</t>
        </is>
      </c>
      <c r="DL2" s="107" t="inlineStr">
        <is>
          <t>2005-007540</t>
        </is>
      </c>
      <c r="DM2" s="107" t="inlineStr">
        <is>
          <t>2005-007117</t>
        </is>
      </c>
      <c r="DN2" s="107" t="inlineStr">
        <is>
          <t>2005-007116</t>
        </is>
      </c>
      <c r="DO2" s="107" t="inlineStr">
        <is>
          <t>2005-007119</t>
        </is>
      </c>
      <c r="DP2" s="107" t="inlineStr">
        <is>
          <t>2005-007120</t>
        </is>
      </c>
      <c r="DQ2" s="107" t="inlineStr">
        <is>
          <t>2005-007541</t>
        </is>
      </c>
      <c r="DR2" s="107" t="inlineStr">
        <is>
          <t>2006-003765</t>
        </is>
      </c>
      <c r="DS2" s="107" t="inlineStr">
        <is>
          <t>2007-001374</t>
        </is>
      </c>
      <c r="DT2" s="107" t="inlineStr">
        <is>
          <t>2007-005167</t>
        </is>
      </c>
      <c r="DU2" s="107" t="inlineStr">
        <is>
          <t>2008-007325</t>
        </is>
      </c>
      <c r="DV2" s="107" t="inlineStr">
        <is>
          <t>2009-000895</t>
        </is>
      </c>
      <c r="DW2" s="107" t="inlineStr">
        <is>
          <t>2010-002337</t>
        </is>
      </c>
      <c r="DX2" s="107" t="inlineStr">
        <is>
          <t>2010-005993</t>
        </is>
      </c>
      <c r="DY2" s="107" t="inlineStr">
        <is>
          <t>2010-007125</t>
        </is>
      </c>
      <c r="DZ2" s="107" t="inlineStr">
        <is>
          <t>2010-008922</t>
        </is>
      </c>
      <c r="EA2" s="107" t="inlineStr">
        <is>
          <t>2011-003023</t>
        </is>
      </c>
      <c r="EB2" s="107" t="inlineStr">
        <is>
          <t>2011-007728</t>
        </is>
      </c>
      <c r="EC2" s="107" t="inlineStr">
        <is>
          <t>2011-007729</t>
        </is>
      </c>
      <c r="ED2" s="107" t="inlineStr">
        <is>
          <t>2011-008134</t>
        </is>
      </c>
      <c r="EE2" s="107" t="inlineStr">
        <is>
          <t>2013-006083</t>
        </is>
      </c>
      <c r="EF2" s="107" t="inlineStr">
        <is>
          <t>2012-002930</t>
        </is>
      </c>
      <c r="EG2" s="107" t="inlineStr">
        <is>
          <t>2012-004060</t>
        </is>
      </c>
      <c r="EH2" s="107" t="inlineStr">
        <is>
          <t>2013-006585</t>
        </is>
      </c>
      <c r="EI2" s="107" t="inlineStr">
        <is>
          <t>2014-002935</t>
        </is>
      </c>
      <c r="EJ2" s="107" t="inlineStr">
        <is>
          <t>2014-004286</t>
        </is>
      </c>
      <c r="EK2" s="107" t="inlineStr">
        <is>
          <t>2015-000877</t>
        </is>
      </c>
      <c r="EL2" s="107" t="inlineStr">
        <is>
          <t>2015-002791</t>
        </is>
      </c>
      <c r="EM2" s="107" t="inlineStr">
        <is>
          <t>2015-003284</t>
        </is>
      </c>
      <c r="EN2" s="107" t="inlineStr">
        <is>
          <t>2019-001747</t>
        </is>
      </c>
      <c r="EO2" s="107" t="inlineStr">
        <is>
          <t>2026-002877</t>
        </is>
      </c>
      <c r="EP2" s="107" t="inlineStr">
        <is>
          <t>2020-001374</t>
        </is>
      </c>
      <c r="EQ2" s="107" t="inlineStr">
        <is>
          <t>2020-001650</t>
        </is>
      </c>
      <c r="ER2" s="107" t="inlineStr">
        <is>
          <t>2021-001774</t>
        </is>
      </c>
      <c r="ES2" s="107" t="inlineStr">
        <is>
          <t>2023-002269</t>
        </is>
      </c>
      <c r="ET2" s="107" t="inlineStr">
        <is>
          <t>2025-001343</t>
        </is>
      </c>
      <c r="EU2" s="107" t="inlineStr">
        <is>
          <t>2025-002463</t>
        </is>
      </c>
      <c r="EV2" s="107" t="inlineStr">
        <is>
          <t>2025-002464</t>
        </is>
      </c>
      <c r="EW2" s="107" t="inlineStr">
        <is>
          <t>2025-005448</t>
        </is>
      </c>
      <c r="EX2" s="107" t="inlineStr">
        <is>
          <t>2025-005451</t>
        </is>
      </c>
      <c r="EY2" s="107" t="inlineStr">
        <is>
          <t>2026-000691</t>
        </is>
      </c>
      <c r="EZ2" s="107" t="inlineStr">
        <is>
          <t>2026-003315</t>
        </is>
      </c>
      <c r="FA2" s="107" t="n"/>
      <c r="FB2" s="107" t="n"/>
      <c r="FC2" s="107" t="n"/>
      <c r="FD2" s="107" t="n"/>
      <c r="FE2" s="107" t="n"/>
      <c r="FF2" s="107" t="n"/>
      <c r="FG2" s="107" t="n"/>
      <c r="FH2" s="107" t="n"/>
      <c r="FI2" s="107" t="n"/>
      <c r="FJ2" s="107" t="n"/>
      <c r="FK2" s="107" t="n"/>
      <c r="FL2" s="107" t="n"/>
      <c r="FM2" s="107" t="n"/>
      <c r="FN2" s="107" t="n"/>
      <c r="FO2" s="107" t="n"/>
      <c r="FP2" s="107" t="n"/>
      <c r="FQ2" s="107" t="n"/>
      <c r="FR2" s="107" t="n"/>
      <c r="FS2" s="107" t="n"/>
      <c r="FT2" s="107" t="n"/>
      <c r="FU2" s="107" t="n"/>
      <c r="FV2" s="107" t="n"/>
      <c r="FW2" s="107" t="n"/>
      <c r="FX2" s="107"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181" t="inlineStr">
        <is>
          <t>FR2/199</t>
        </is>
      </c>
      <c r="I3" s="181" t="inlineStr">
        <is>
          <t>D9/303</t>
        </is>
      </c>
      <c r="J3" s="181" t="inlineStr">
        <is>
          <t>D11/448</t>
        </is>
      </c>
      <c r="K3" s="181" t="inlineStr">
        <is>
          <t>D29/382</t>
        </is>
      </c>
      <c r="L3" s="181" t="inlineStr">
        <is>
          <t>D59/251</t>
        </is>
      </c>
      <c r="M3" s="181" t="inlineStr">
        <is>
          <t>237/367</t>
        </is>
      </c>
      <c r="N3" s="181" t="inlineStr">
        <is>
          <t>237/370</t>
        </is>
      </c>
      <c r="O3" s="181" t="inlineStr">
        <is>
          <t>237/371</t>
        </is>
      </c>
      <c r="P3" s="181" t="inlineStr">
        <is>
          <t>237/372</t>
        </is>
      </c>
      <c r="Q3" s="181" t="inlineStr">
        <is>
          <t>237/373</t>
        </is>
      </c>
      <c r="R3" s="181" t="inlineStr">
        <is>
          <t>237/374</t>
        </is>
      </c>
      <c r="S3" s="181" t="inlineStr">
        <is>
          <t>237/376</t>
        </is>
      </c>
      <c r="T3" s="181" t="inlineStr">
        <is>
          <t>237/375</t>
        </is>
      </c>
      <c r="U3" s="181" t="inlineStr">
        <is>
          <t>274/566</t>
        </is>
      </c>
      <c r="V3" s="181" t="inlineStr">
        <is>
          <t>280/42</t>
        </is>
      </c>
      <c r="W3" s="170" t="inlineStr">
        <is>
          <t>480/70</t>
        </is>
      </c>
      <c r="X3" s="170" t="inlineStr">
        <is>
          <t>480/71</t>
        </is>
      </c>
      <c r="Y3" s="181" t="inlineStr">
        <is>
          <t>480/72</t>
        </is>
      </c>
      <c r="Z3" s="181" t="inlineStr">
        <is>
          <t>512/61</t>
        </is>
      </c>
      <c r="AA3" s="181" t="inlineStr">
        <is>
          <t>512/65</t>
        </is>
      </c>
      <c r="AB3" s="181" t="inlineStr">
        <is>
          <t>512/66</t>
        </is>
      </c>
      <c r="AC3" s="181" t="inlineStr">
        <is>
          <t>517/134</t>
        </is>
      </c>
      <c r="AD3" s="181" t="inlineStr">
        <is>
          <t>517/135</t>
        </is>
      </c>
      <c r="AE3" s="181" t="inlineStr">
        <is>
          <t>517/136</t>
        </is>
      </c>
      <c r="AF3" s="181" t="inlineStr">
        <is>
          <t>517/137</t>
        </is>
      </c>
      <c r="AG3" s="170" t="inlineStr">
        <is>
          <t>517/138</t>
        </is>
      </c>
      <c r="AH3" s="182" t="inlineStr">
        <is>
          <t>611/58</t>
        </is>
      </c>
      <c r="AI3" s="170" t="inlineStr">
        <is>
          <t>751/68</t>
        </is>
      </c>
      <c r="AJ3" s="220" t="inlineStr">
        <is>
          <t>583/234</t>
        </is>
      </c>
      <c r="AK3" s="51" t="inlineStr">
        <is>
          <t>583/236</t>
        </is>
      </c>
      <c r="AL3" s="51" t="inlineStr">
        <is>
          <t>815/191</t>
        </is>
      </c>
      <c r="AM3" s="51" t="inlineStr">
        <is>
          <t>829/7</t>
        </is>
      </c>
      <c r="AN3" s="51" t="inlineStr">
        <is>
          <t>837/199</t>
        </is>
      </c>
      <c r="AO3" s="51" t="inlineStr">
        <is>
          <t>883/168</t>
        </is>
      </c>
      <c r="AP3" s="51" t="inlineStr">
        <is>
          <t>913/261</t>
        </is>
      </c>
      <c r="AQ3" s="51" t="inlineStr">
        <is>
          <t>924/138</t>
        </is>
      </c>
      <c r="AR3" s="57" t="inlineStr">
        <is>
          <t>924/139</t>
        </is>
      </c>
      <c r="AS3" s="51" t="inlineStr">
        <is>
          <t>933/226</t>
        </is>
      </c>
      <c r="AT3" s="51" t="inlineStr">
        <is>
          <t>984/181</t>
        </is>
      </c>
      <c r="AU3" s="107" t="inlineStr">
        <is>
          <t>984/183</t>
        </is>
      </c>
      <c r="AV3" s="107" t="inlineStr">
        <is>
          <t>984/185</t>
        </is>
      </c>
      <c r="AW3" s="107" t="inlineStr">
        <is>
          <t>984/187</t>
        </is>
      </c>
      <c r="AX3" s="107" t="inlineStr">
        <is>
          <t>1009/25</t>
        </is>
      </c>
      <c r="AY3" s="107" t="inlineStr">
        <is>
          <t>1049/289</t>
        </is>
      </c>
      <c r="AZ3" s="107" t="inlineStr">
        <is>
          <t>1049/291</t>
        </is>
      </c>
      <c r="BA3" s="107" t="inlineStr">
        <is>
          <t>1049/293</t>
        </is>
      </c>
      <c r="BB3" s="107" t="inlineStr">
        <is>
          <t>1049/295</t>
        </is>
      </c>
      <c r="BC3" s="107" t="inlineStr">
        <is>
          <t>1070/182</t>
        </is>
      </c>
      <c r="BD3" s="107" t="inlineStr">
        <is>
          <t>1070/185</t>
        </is>
      </c>
      <c r="BE3" s="107" t="inlineStr">
        <is>
          <t>1070/188</t>
        </is>
      </c>
      <c r="BF3" s="107" t="inlineStr">
        <is>
          <t>1070/191</t>
        </is>
      </c>
      <c r="BG3" s="107" t="inlineStr">
        <is>
          <t>1070/194</t>
        </is>
      </c>
      <c r="BH3" s="107" t="inlineStr">
        <is>
          <t>1070/197</t>
        </is>
      </c>
      <c r="BI3" s="107" t="inlineStr">
        <is>
          <t>1070/200</t>
        </is>
      </c>
      <c r="BJ3" s="107" t="inlineStr">
        <is>
          <t>1070/203</t>
        </is>
      </c>
      <c r="BK3" s="107" t="inlineStr">
        <is>
          <t>1070/206</t>
        </is>
      </c>
      <c r="BL3" s="107" t="inlineStr">
        <is>
          <t>1088/5</t>
        </is>
      </c>
      <c r="BM3" s="107" t="inlineStr">
        <is>
          <t>1104/87</t>
        </is>
      </c>
      <c r="BN3" s="107" t="inlineStr">
        <is>
          <t>1104/90</t>
        </is>
      </c>
      <c r="BO3" s="107" t="inlineStr">
        <is>
          <t>1114/222</t>
        </is>
      </c>
      <c r="BP3" s="107" t="inlineStr">
        <is>
          <t>1114/225</t>
        </is>
      </c>
      <c r="BQ3" s="107" t="inlineStr">
        <is>
          <t>1114/228</t>
        </is>
      </c>
      <c r="BR3" s="107" t="inlineStr">
        <is>
          <t>1114/231</t>
        </is>
      </c>
      <c r="BS3" s="107" t="inlineStr">
        <is>
          <t>1114/234</t>
        </is>
      </c>
      <c r="BT3" s="107" t="inlineStr">
        <is>
          <t>1114/237</t>
        </is>
      </c>
      <c r="BU3" s="107" t="inlineStr">
        <is>
          <t>1114/240</t>
        </is>
      </c>
      <c r="BV3" s="107" t="inlineStr">
        <is>
          <t>1114/243</t>
        </is>
      </c>
      <c r="BW3" s="107" t="inlineStr">
        <is>
          <t>1114/246</t>
        </is>
      </c>
      <c r="BX3" s="107" t="inlineStr">
        <is>
          <t>1122/69</t>
        </is>
      </c>
      <c r="BY3" s="107" t="inlineStr">
        <is>
          <t>1122/274</t>
        </is>
      </c>
      <c r="BZ3" s="107" t="inlineStr">
        <is>
          <t>1122/277</t>
        </is>
      </c>
      <c r="CA3" s="107" t="inlineStr">
        <is>
          <t>1123/100</t>
        </is>
      </c>
      <c r="CB3" s="107" t="inlineStr">
        <is>
          <t>1167/200</t>
        </is>
      </c>
      <c r="CC3" s="107" t="inlineStr">
        <is>
          <t>1194/257</t>
        </is>
      </c>
      <c r="CD3" s="107" t="inlineStr">
        <is>
          <t>1249/161</t>
        </is>
      </c>
      <c r="CE3" s="107" t="inlineStr">
        <is>
          <t>1276/267</t>
        </is>
      </c>
      <c r="CF3" s="107" t="inlineStr">
        <is>
          <t>1276/270</t>
        </is>
      </c>
      <c r="CG3" s="107" t="inlineStr">
        <is>
          <t>1276/273</t>
        </is>
      </c>
      <c r="CH3" s="107" t="inlineStr">
        <is>
          <t>1276/279</t>
        </is>
      </c>
      <c r="CI3" s="107" t="inlineStr">
        <is>
          <t>1276/282</t>
        </is>
      </c>
      <c r="CJ3" s="107" t="inlineStr">
        <is>
          <t>1276/285</t>
        </is>
      </c>
      <c r="CK3" s="107" t="inlineStr">
        <is>
          <t>1296/141</t>
        </is>
      </c>
      <c r="CL3" s="107" t="inlineStr">
        <is>
          <t>1470/59</t>
        </is>
      </c>
      <c r="CM3" s="107" t="inlineStr">
        <is>
          <t>1479/191</t>
        </is>
      </c>
      <c r="CN3" s="107" t="inlineStr">
        <is>
          <t>1510/566</t>
        </is>
      </c>
      <c r="CO3" s="107" t="inlineStr">
        <is>
          <t>1511/32</t>
        </is>
      </c>
      <c r="CP3" s="107" t="inlineStr">
        <is>
          <t>1564/310</t>
        </is>
      </c>
      <c r="CQ3" s="107" t="inlineStr">
        <is>
          <t>1567/245</t>
        </is>
      </c>
      <c r="CR3" s="107" t="inlineStr">
        <is>
          <t>1576/219</t>
        </is>
      </c>
      <c r="CS3" s="107" t="inlineStr">
        <is>
          <t>1576/222</t>
        </is>
      </c>
      <c r="CT3" s="107" t="inlineStr">
        <is>
          <t>1579/358</t>
        </is>
      </c>
      <c r="CU3" s="107" t="inlineStr">
        <is>
          <t>1583/391</t>
        </is>
      </c>
      <c r="CV3" s="107" t="inlineStr">
        <is>
          <t>1583/398</t>
        </is>
      </c>
      <c r="CW3" s="107" t="inlineStr">
        <is>
          <t>1583/405</t>
        </is>
      </c>
      <c r="CX3" s="107" t="inlineStr">
        <is>
          <t>1583/412</t>
        </is>
      </c>
      <c r="CY3" s="107" t="inlineStr">
        <is>
          <t>1583/419</t>
        </is>
      </c>
      <c r="CZ3" s="107" t="inlineStr">
        <is>
          <t>1583/426</t>
        </is>
      </c>
      <c r="DA3" s="107" t="inlineStr">
        <is>
          <t>1625/440</t>
        </is>
      </c>
      <c r="DB3" s="107" t="inlineStr">
        <is>
          <t>1634/367</t>
        </is>
      </c>
      <c r="DC3" s="107" t="inlineStr">
        <is>
          <t>1631/416</t>
        </is>
      </c>
      <c r="DD3" s="107" t="inlineStr">
        <is>
          <t>1636/544</t>
        </is>
      </c>
      <c r="DE3" s="107" t="inlineStr">
        <is>
          <t>1636/554</t>
        </is>
      </c>
      <c r="DF3" s="107" t="inlineStr">
        <is>
          <t>1636/556</t>
        </is>
      </c>
      <c r="DG3" s="107" t="inlineStr">
        <is>
          <t>1637/476</t>
        </is>
      </c>
      <c r="DH3" s="107" t="inlineStr">
        <is>
          <t>1694/156</t>
        </is>
      </c>
      <c r="DI3" s="107" t="inlineStr">
        <is>
          <t>1775/296</t>
        </is>
      </c>
      <c r="DJ3" s="107" t="inlineStr">
        <is>
          <t>1783/306</t>
        </is>
      </c>
      <c r="DK3" s="107" t="inlineStr">
        <is>
          <t>1790/386</t>
        </is>
      </c>
      <c r="DL3" s="107" t="inlineStr">
        <is>
          <t>1812/120</t>
        </is>
      </c>
      <c r="DM3" s="107" t="inlineStr">
        <is>
          <t>1810/16</t>
        </is>
      </c>
      <c r="DN3" s="107" t="inlineStr">
        <is>
          <t>1810/15</t>
        </is>
      </c>
      <c r="DO3" s="107" t="inlineStr">
        <is>
          <t>1810/18</t>
        </is>
      </c>
      <c r="DP3" s="107" t="inlineStr">
        <is>
          <t>1810/19</t>
        </is>
      </c>
      <c r="DQ3" s="107" t="inlineStr">
        <is>
          <t>1812/121</t>
        </is>
      </c>
      <c r="DR3" s="107" t="inlineStr">
        <is>
          <t>1838/136</t>
        </is>
      </c>
      <c r="DS3" s="107" t="inlineStr">
        <is>
          <t>1869/351</t>
        </is>
      </c>
      <c r="DT3" s="107" t="inlineStr">
        <is>
          <t>1892/567</t>
        </is>
      </c>
      <c r="DU3" s="107" t="inlineStr">
        <is>
          <t>1941/550</t>
        </is>
      </c>
      <c r="DV3" s="107" t="inlineStr">
        <is>
          <t>1949/217</t>
        </is>
      </c>
      <c r="DW3" s="107" t="inlineStr">
        <is>
          <t>2002/576</t>
        </is>
      </c>
      <c r="DX3" s="107" t="inlineStr">
        <is>
          <t>2022/493</t>
        </is>
      </c>
      <c r="DY3" s="107" t="inlineStr">
        <is>
          <t>2031/5</t>
        </is>
      </c>
      <c r="DZ3" s="107" t="inlineStr">
        <is>
          <t>2041/379</t>
        </is>
      </c>
      <c r="EA3" s="107" t="inlineStr">
        <is>
          <t>2074/536</t>
        </is>
      </c>
      <c r="EB3" s="107" t="inlineStr">
        <is>
          <t>2104/239</t>
        </is>
      </c>
      <c r="EC3" s="107" t="inlineStr">
        <is>
          <t>2104/242</t>
        </is>
      </c>
      <c r="ED3" s="107" t="inlineStr">
        <is>
          <t>2106/387</t>
        </is>
      </c>
      <c r="EE3" s="107" t="inlineStr">
        <is>
          <t>2219/516</t>
        </is>
      </c>
      <c r="EF3" s="107" t="inlineStr">
        <is>
          <t>2131/599</t>
        </is>
      </c>
      <c r="EG3" s="107" t="inlineStr">
        <is>
          <t>2141/3</t>
        </is>
      </c>
      <c r="EH3" s="107" t="inlineStr">
        <is>
          <t>2224/382</t>
        </is>
      </c>
      <c r="EI3" s="107" t="inlineStr">
        <is>
          <t>2251/22</t>
        </is>
      </c>
      <c r="EJ3" s="107" t="inlineStr">
        <is>
          <t>2259/397</t>
        </is>
      </c>
      <c r="EK3" s="107" t="inlineStr">
        <is>
          <t>2290/178</t>
        </is>
      </c>
      <c r="EL3" s="107" t="inlineStr">
        <is>
          <t>2309/236</t>
        </is>
      </c>
      <c r="EM3" s="107" t="inlineStr">
        <is>
          <t>2315/42</t>
        </is>
      </c>
      <c r="EN3" s="107" t="inlineStr">
        <is>
          <t>2425/225</t>
        </is>
      </c>
      <c r="EO3" s="107" t="inlineStr">
        <is>
          <t>2700/395</t>
        </is>
      </c>
      <c r="EP3" s="107" t="inlineStr">
        <is>
          <t>2450/598</t>
        </is>
      </c>
      <c r="EQ3" s="107" t="inlineStr">
        <is>
          <t>2453/219</t>
        </is>
      </c>
      <c r="ER3" s="107" t="inlineStr">
        <is>
          <t>2481/287</t>
        </is>
      </c>
      <c r="ES3" s="107" t="inlineStr">
        <is>
          <t>2529/217</t>
        </is>
      </c>
      <c r="ET3" s="107" t="inlineStr">
        <is>
          <t>2617/228</t>
        </is>
      </c>
      <c r="EU3" s="107" t="inlineStr">
        <is>
          <t>2625/231</t>
        </is>
      </c>
      <c r="EV3" s="107" t="inlineStr">
        <is>
          <t>2625/233</t>
        </is>
      </c>
      <c r="EW3" s="107" t="inlineStr">
        <is>
          <t>2649/286</t>
        </is>
      </c>
      <c r="EX3" s="107" t="inlineStr">
        <is>
          <t>2649/298</t>
        </is>
      </c>
      <c r="EY3" s="107" t="inlineStr">
        <is>
          <t>2682/183</t>
        </is>
      </c>
      <c r="EZ3" s="107" t="inlineStr">
        <is>
          <t>2704/142</t>
        </is>
      </c>
      <c r="FA3" s="107" t="n"/>
      <c r="FB3" s="107" t="n"/>
      <c r="FC3" s="107" t="n"/>
      <c r="FD3" s="107" t="n"/>
      <c r="FE3" s="107" t="n"/>
      <c r="FF3" s="107" t="n"/>
      <c r="FG3" s="107" t="n"/>
      <c r="FH3" s="107" t="n"/>
      <c r="FI3" s="107" t="n"/>
      <c r="FJ3" s="107" t="n"/>
      <c r="FK3" s="107" t="n"/>
      <c r="FL3" s="107" t="n"/>
      <c r="FM3" s="107" t="n"/>
      <c r="FN3" s="107" t="n"/>
      <c r="FO3" s="107" t="n"/>
      <c r="FP3" s="107" t="n"/>
      <c r="FQ3" s="107" t="n"/>
      <c r="FR3" s="107" t="n"/>
      <c r="FS3" s="107" t="n"/>
      <c r="FT3" s="107" t="n"/>
      <c r="FU3" s="107" t="n"/>
      <c r="FV3" s="107" t="n"/>
      <c r="FW3" s="107" t="n"/>
      <c r="FX3" s="107" t="n"/>
      <c r="FY3" s="107" t="n"/>
      <c r="FZ3" s="107" t="n"/>
      <c r="GA3" s="107" t="n"/>
    </row>
    <row r="4" ht="12.75" customFormat="1" customHeight="1" s="110">
      <c r="A4" s="540" t="n"/>
      <c r="B4" s="544" t="n"/>
      <c r="C4" s="536" t="n"/>
      <c r="D4" s="545" t="n"/>
      <c r="E4" s="312" t="inlineStr">
        <is>
          <t xml:space="preserve">Date </t>
        </is>
      </c>
      <c r="F4" s="539" t="n"/>
      <c r="G4" s="111" t="n"/>
      <c r="H4" s="182" t="n">
        <v>2534</v>
      </c>
      <c r="I4" s="182" t="n">
        <v>2592</v>
      </c>
      <c r="J4" s="182" t="n">
        <v>3073</v>
      </c>
      <c r="K4" s="182" t="n">
        <v>7303</v>
      </c>
      <c r="L4" s="182" t="n">
        <v>17950</v>
      </c>
      <c r="M4" s="182" t="n">
        <v>28583</v>
      </c>
      <c r="N4" s="182" t="n">
        <v>28583</v>
      </c>
      <c r="O4" s="182" t="n">
        <v>28583</v>
      </c>
      <c r="P4" s="182" t="n">
        <v>28583</v>
      </c>
      <c r="Q4" s="182" t="n">
        <v>28583</v>
      </c>
      <c r="R4" s="182" t="n">
        <v>28583</v>
      </c>
      <c r="S4" s="182" t="n">
        <v>28583</v>
      </c>
      <c r="T4" s="182" t="n">
        <v>28584</v>
      </c>
      <c r="U4" s="182" t="n">
        <v>29094</v>
      </c>
      <c r="V4" s="182" t="n">
        <v>29172</v>
      </c>
      <c r="W4" s="171" t="n">
        <v>30250</v>
      </c>
      <c r="X4" s="171" t="n">
        <v>30250</v>
      </c>
      <c r="Y4" s="182" t="n">
        <v>30250</v>
      </c>
      <c r="Z4" s="182" t="n">
        <v>30369</v>
      </c>
      <c r="AA4" s="182" t="n">
        <v>30369</v>
      </c>
      <c r="AB4" s="182" t="n">
        <v>30369</v>
      </c>
      <c r="AC4" s="182" t="n">
        <v>30388</v>
      </c>
      <c r="AD4" s="182" t="n">
        <v>30388</v>
      </c>
      <c r="AE4" s="182" t="n">
        <v>30388</v>
      </c>
      <c r="AF4" s="182" t="n">
        <v>30388</v>
      </c>
      <c r="AG4" s="171" t="n">
        <v>30388</v>
      </c>
      <c r="AH4" s="182" t="n">
        <v>30791</v>
      </c>
      <c r="AI4" s="171" t="n">
        <v>31308</v>
      </c>
      <c r="AJ4" s="222" t="n">
        <v>31408</v>
      </c>
      <c r="AK4" s="53" t="n">
        <v>31408</v>
      </c>
      <c r="AL4" s="53" t="n">
        <v>31582</v>
      </c>
      <c r="AM4" s="53" t="n">
        <v>31657</v>
      </c>
      <c r="AN4" s="53" t="n">
        <v>31684</v>
      </c>
      <c r="AO4" s="53" t="n">
        <v>31917</v>
      </c>
      <c r="AP4" s="53" t="n">
        <v>32031</v>
      </c>
      <c r="AQ4" s="53" t="n">
        <v>32072</v>
      </c>
      <c r="AR4" s="53" t="n">
        <v>32072</v>
      </c>
      <c r="AS4" s="53" t="n">
        <v>32118</v>
      </c>
      <c r="AT4" s="53" t="n">
        <v>32344</v>
      </c>
      <c r="AU4" s="106" t="n">
        <v>32344</v>
      </c>
      <c r="AV4" s="106" t="n">
        <v>32344</v>
      </c>
      <c r="AW4" s="106" t="n">
        <v>32344</v>
      </c>
      <c r="AX4" s="106" t="n">
        <v>32449</v>
      </c>
      <c r="AY4" s="106" t="n">
        <v>32612</v>
      </c>
      <c r="AZ4" s="106" t="n">
        <v>32612</v>
      </c>
      <c r="BA4" s="106" t="n">
        <v>32612</v>
      </c>
      <c r="BB4" s="106" t="n">
        <v>32612</v>
      </c>
      <c r="BC4" s="106" t="n">
        <v>32706</v>
      </c>
      <c r="BD4" s="106" t="n">
        <v>32706</v>
      </c>
      <c r="BE4" s="106" t="n">
        <v>32706</v>
      </c>
      <c r="BF4" s="106" t="n">
        <v>32706</v>
      </c>
      <c r="BG4" s="106" t="n">
        <v>32706</v>
      </c>
      <c r="BH4" s="106" t="n">
        <v>32706</v>
      </c>
      <c r="BI4" s="106" t="n">
        <v>32706</v>
      </c>
      <c r="BJ4" s="106" t="n">
        <v>32706</v>
      </c>
      <c r="BK4" s="106" t="n">
        <v>32706</v>
      </c>
      <c r="BL4" s="106" t="n">
        <v>32794</v>
      </c>
      <c r="BM4" s="106" t="n">
        <v>32869</v>
      </c>
      <c r="BN4" s="106" t="n">
        <v>32869</v>
      </c>
      <c r="BO4" s="106" t="n">
        <v>32920</v>
      </c>
      <c r="BP4" s="106" t="n">
        <v>32920</v>
      </c>
      <c r="BQ4" s="106" t="n">
        <v>32920</v>
      </c>
      <c r="BR4" s="106" t="n">
        <v>32920</v>
      </c>
      <c r="BS4" s="106" t="n">
        <v>32920</v>
      </c>
      <c r="BT4" s="106" t="n">
        <v>32920</v>
      </c>
      <c r="BU4" s="106" t="n">
        <v>32920</v>
      </c>
      <c r="BV4" s="106" t="n">
        <v>32920</v>
      </c>
      <c r="BW4" s="106" t="n">
        <v>32920</v>
      </c>
      <c r="BX4" s="106" t="n">
        <v>32952</v>
      </c>
      <c r="BY4" s="106" t="n">
        <v>32957</v>
      </c>
      <c r="BZ4" s="106" t="n">
        <v>32957</v>
      </c>
      <c r="CA4" s="106" t="n">
        <v>32960</v>
      </c>
      <c r="CB4" s="106" t="n">
        <v>33158</v>
      </c>
      <c r="CC4" s="106" t="n">
        <v>33277</v>
      </c>
      <c r="CD4" s="106" t="n">
        <v>33574</v>
      </c>
      <c r="CE4" s="106" t="n">
        <v>33750</v>
      </c>
      <c r="CF4" s="106" t="n">
        <v>33750</v>
      </c>
      <c r="CG4" s="106" t="n">
        <v>33750</v>
      </c>
      <c r="CH4" s="106" t="n">
        <v>33750</v>
      </c>
      <c r="CI4" s="106" t="n">
        <v>33750</v>
      </c>
      <c r="CJ4" s="106" t="n">
        <v>33750</v>
      </c>
      <c r="CK4" s="106" t="n">
        <v>33868</v>
      </c>
      <c r="CL4" s="106" t="n">
        <v>34920</v>
      </c>
      <c r="CM4" s="106" t="n">
        <v>35038</v>
      </c>
      <c r="CN4" s="106" t="n">
        <v>35430</v>
      </c>
      <c r="CO4" s="106" t="n">
        <v>35432</v>
      </c>
      <c r="CP4" s="106" t="n">
        <v>36026</v>
      </c>
      <c r="CQ4" s="106" t="n">
        <v>36043</v>
      </c>
      <c r="CR4" s="106" t="n">
        <v>36175</v>
      </c>
      <c r="CS4" s="106" t="n">
        <v>36175</v>
      </c>
      <c r="CT4" s="106" t="n">
        <v>36215</v>
      </c>
      <c r="CU4" s="106" t="n">
        <v>36270</v>
      </c>
      <c r="CV4" s="106" t="n">
        <v>36270</v>
      </c>
      <c r="CW4" s="106" t="n">
        <v>36270</v>
      </c>
      <c r="CX4" s="106" t="n">
        <v>36270</v>
      </c>
      <c r="CY4" s="106" t="n">
        <v>36270</v>
      </c>
      <c r="CZ4" s="106" t="n">
        <v>36270</v>
      </c>
      <c r="DA4" s="106" t="n">
        <v>36802</v>
      </c>
      <c r="DB4" s="106" t="n">
        <v>36881</v>
      </c>
      <c r="DC4" s="106" t="n">
        <v>36896</v>
      </c>
      <c r="DD4" s="106" t="n">
        <v>36921</v>
      </c>
      <c r="DE4" s="106" t="n">
        <v>36921</v>
      </c>
      <c r="DF4" s="106" t="n">
        <v>36921</v>
      </c>
      <c r="DG4" s="106" t="n">
        <v>36955</v>
      </c>
      <c r="DH4" s="106" t="n">
        <v>37536</v>
      </c>
      <c r="DI4" s="106" t="n">
        <v>38338</v>
      </c>
      <c r="DJ4" s="106" t="n">
        <v>38446</v>
      </c>
      <c r="DK4" s="106" t="n">
        <v>38483</v>
      </c>
      <c r="DL4" s="106" t="n">
        <v>38608</v>
      </c>
      <c r="DM4" s="106" t="n">
        <v>38624</v>
      </c>
      <c r="DN4" s="106" t="n">
        <v>38625</v>
      </c>
      <c r="DO4" s="106" t="n">
        <v>38626</v>
      </c>
      <c r="DP4" s="106" t="n">
        <v>38626</v>
      </c>
      <c r="DQ4" s="106" t="n">
        <v>38655</v>
      </c>
      <c r="DR4" s="106" t="n">
        <v>38855</v>
      </c>
      <c r="DS4" s="106" t="n">
        <v>39160</v>
      </c>
      <c r="DT4" s="106" t="n">
        <v>39400</v>
      </c>
      <c r="DU4" s="106" t="n">
        <v>39751</v>
      </c>
      <c r="DV4" s="106" t="n">
        <v>39871</v>
      </c>
      <c r="DW4" s="106" t="n">
        <v>40067</v>
      </c>
      <c r="DX4" s="106" t="n">
        <v>40333</v>
      </c>
      <c r="DY4" s="106" t="n">
        <v>40357</v>
      </c>
      <c r="DZ4" s="106" t="n">
        <v>40416</v>
      </c>
      <c r="EA4" s="106" t="n">
        <v>40661</v>
      </c>
      <c r="EB4" s="106" t="n">
        <v>40839</v>
      </c>
      <c r="EC4" s="106" t="n">
        <v>40839</v>
      </c>
      <c r="ED4" s="106" t="n">
        <v>40876</v>
      </c>
      <c r="EE4" s="106" t="n">
        <v>40876</v>
      </c>
      <c r="EF4" s="106" t="n">
        <v>41011</v>
      </c>
      <c r="EG4" s="106" t="n">
        <v>41059</v>
      </c>
      <c r="EH4" s="106" t="n">
        <v>41486</v>
      </c>
      <c r="EI4" s="106" t="n">
        <v>41734</v>
      </c>
      <c r="EJ4" s="106" t="n">
        <v>41821</v>
      </c>
      <c r="EK4" s="106" t="n">
        <v>42061</v>
      </c>
      <c r="EL4" s="106" t="n">
        <v>42242</v>
      </c>
      <c r="EM4" s="106" t="n">
        <v>42305</v>
      </c>
      <c r="EN4" s="106" t="n">
        <v>43423</v>
      </c>
      <c r="EO4" s="106" t="n">
        <v>43500</v>
      </c>
      <c r="EP4" s="106" t="n">
        <v>44071</v>
      </c>
      <c r="EQ4" s="106" t="n">
        <v>44126</v>
      </c>
      <c r="ER4" s="106" t="n">
        <v>44489</v>
      </c>
      <c r="ES4" s="106" t="n">
        <v>45061</v>
      </c>
      <c r="ET4" s="106" t="n">
        <v>45726</v>
      </c>
      <c r="EU4" s="106" t="n">
        <v>45747</v>
      </c>
      <c r="EV4" s="106" t="n">
        <v>45747</v>
      </c>
      <c r="EW4" s="106" t="n">
        <v>45896</v>
      </c>
      <c r="EX4" s="106" t="n">
        <v>45897</v>
      </c>
      <c r="EY4" s="106" t="n">
        <v>45971</v>
      </c>
      <c r="EZ4" s="106" t="n">
        <v>46175</v>
      </c>
      <c r="FA4" s="106" t="n"/>
      <c r="FB4" s="106" t="n"/>
      <c r="FC4" s="106" t="n"/>
      <c r="FD4" s="106" t="n"/>
      <c r="FE4" s="106" t="n"/>
      <c r="FF4" s="106" t="n"/>
      <c r="FG4" s="106" t="n"/>
      <c r="FH4" s="106" t="n"/>
      <c r="FI4" s="106" t="n"/>
      <c r="FJ4" s="106" t="n"/>
      <c r="FK4" s="106" t="n"/>
      <c r="FL4" s="106" t="n"/>
      <c r="FM4" s="106" t="n"/>
      <c r="FN4" s="106" t="n"/>
      <c r="FO4" s="106" t="n"/>
      <c r="FP4" s="106" t="n"/>
      <c r="FQ4" s="106" t="n"/>
      <c r="FR4" s="106" t="n"/>
      <c r="FS4" s="106" t="n"/>
      <c r="FT4" s="106" t="n"/>
      <c r="FU4" s="106" t="n"/>
      <c r="FV4" s="106" t="n"/>
      <c r="FW4" s="106" t="n"/>
      <c r="FX4" s="106" t="n"/>
      <c r="FY4" s="106" t="n"/>
      <c r="FZ4" s="106" t="n"/>
      <c r="GA4" s="106" t="n"/>
    </row>
    <row r="5" ht="27.75" customFormat="1" customHeight="1" s="105">
      <c r="A5" s="540" t="n"/>
      <c r="B5" s="546" t="inlineStr">
        <is>
          <t>TRACT ACRES</t>
        </is>
      </c>
      <c r="C5" s="547" t="n"/>
      <c r="D5" s="548" t="n">
        <v>160</v>
      </c>
      <c r="E5" s="549" t="inlineStr">
        <is>
          <t xml:space="preserve">Conveyance </t>
        </is>
      </c>
      <c r="F5" s="550" t="n"/>
      <c r="G5" s="108" t="n"/>
      <c r="H5" s="170" t="inlineStr">
        <is>
          <t>ARTI</t>
        </is>
      </c>
      <c r="I5" s="170" t="inlineStr">
        <is>
          <t>ARTI</t>
        </is>
      </c>
      <c r="J5" s="170" t="inlineStr">
        <is>
          <t>ARTI</t>
        </is>
      </c>
      <c r="K5" s="170" t="inlineStr">
        <is>
          <t>ARTI</t>
        </is>
      </c>
      <c r="L5" s="170" t="inlineStr">
        <is>
          <t>UND 1/2</t>
        </is>
      </c>
      <c r="M5" s="170" t="inlineStr">
        <is>
          <t>UND 40/791.47</t>
        </is>
      </c>
      <c r="N5" s="170" t="inlineStr">
        <is>
          <t>UND 40/791.47</t>
        </is>
      </c>
      <c r="O5" s="170" t="inlineStr">
        <is>
          <t>UND 40/791.47</t>
        </is>
      </c>
      <c r="P5" s="170" t="inlineStr">
        <is>
          <t>UND 40/791.47</t>
        </is>
      </c>
      <c r="Q5" s="170" t="inlineStr">
        <is>
          <t>UND 40/791.47</t>
        </is>
      </c>
      <c r="R5" s="170" t="inlineStr">
        <is>
          <t>UND 40/791.47</t>
        </is>
      </c>
      <c r="S5" s="170" t="inlineStr">
        <is>
          <t>UND 40/791.47</t>
        </is>
      </c>
      <c r="T5" s="170" t="inlineStr">
        <is>
          <t>UND 40/791.47</t>
        </is>
      </c>
      <c r="U5" s="170" t="inlineStr">
        <is>
          <t>UND 10/791.47</t>
        </is>
      </c>
      <c r="V5" s="170" t="inlineStr">
        <is>
          <t>UND 40/260</t>
        </is>
      </c>
      <c r="W5" s="170" t="inlineStr">
        <is>
          <t>UND 1/791.47</t>
        </is>
      </c>
      <c r="X5" s="170" t="inlineStr">
        <is>
          <t>UND 1/791.47</t>
        </is>
      </c>
      <c r="Y5" s="170" t="inlineStr">
        <is>
          <t>UND 1/791.47</t>
        </is>
      </c>
      <c r="Z5" s="170" t="inlineStr">
        <is>
          <t>ARTI</t>
        </is>
      </c>
      <c r="AA5" s="170" t="inlineStr">
        <is>
          <t>UND 3/791.47</t>
        </is>
      </c>
      <c r="AB5" s="170" t="inlineStr">
        <is>
          <t>UND 3/791.47</t>
        </is>
      </c>
      <c r="AC5" s="170" t="inlineStr">
        <is>
          <t>UND 1/791.47</t>
        </is>
      </c>
      <c r="AD5" s="170" t="inlineStr">
        <is>
          <t>UND 1/791.47</t>
        </is>
      </c>
      <c r="AE5" s="170" t="inlineStr">
        <is>
          <t>UND 1/791.47</t>
        </is>
      </c>
      <c r="AF5" s="170" t="inlineStr">
        <is>
          <t>UND 1/791.47</t>
        </is>
      </c>
      <c r="AG5" s="170" t="inlineStr">
        <is>
          <t>UND 2/791.47</t>
        </is>
      </c>
      <c r="AH5" s="170" t="inlineStr">
        <is>
          <t>UND 1/791.47</t>
        </is>
      </c>
      <c r="AI5" s="170" t="inlineStr">
        <is>
          <t>UND 1/791.47</t>
        </is>
      </c>
      <c r="AJ5" s="220" t="inlineStr">
        <is>
          <t>UND 2/791.47</t>
        </is>
      </c>
      <c r="AK5" s="107" t="inlineStr">
        <is>
          <t>UND 1/791.47</t>
        </is>
      </c>
      <c r="AL5" s="107" t="inlineStr">
        <is>
          <t>UND 2/791.47</t>
        </is>
      </c>
      <c r="AM5" s="107" t="inlineStr">
        <is>
          <t>UND 3/791.47</t>
        </is>
      </c>
      <c r="AN5" s="107" t="inlineStr">
        <is>
          <t>UND 5/791.47</t>
        </is>
      </c>
      <c r="AO5" s="107" t="inlineStr">
        <is>
          <t>UND 2/791.47</t>
        </is>
      </c>
      <c r="AP5" s="107" t="inlineStr">
        <is>
          <t>UND 1/791.47</t>
        </is>
      </c>
      <c r="AQ5" s="107" t="inlineStr">
        <is>
          <t>UND 6/791.47</t>
        </is>
      </c>
      <c r="AR5" s="107" t="inlineStr">
        <is>
          <t>UND 1/791.47</t>
        </is>
      </c>
      <c r="AS5" s="580" t="inlineStr">
        <is>
          <t>UND 3/791.47</t>
        </is>
      </c>
      <c r="AT5" s="107" t="inlineStr">
        <is>
          <t>UND 2/791.47</t>
        </is>
      </c>
      <c r="AU5" s="107" t="inlineStr">
        <is>
          <t>UND 2/791.47</t>
        </is>
      </c>
      <c r="AV5" s="107" t="inlineStr">
        <is>
          <t>UND 2/791.47</t>
        </is>
      </c>
      <c r="AW5" s="107" t="inlineStr">
        <is>
          <t>UND 2/791.47</t>
        </is>
      </c>
      <c r="AX5" s="107" t="inlineStr">
        <is>
          <t>ARTI</t>
        </is>
      </c>
      <c r="AY5" s="107" t="inlineStr">
        <is>
          <t>UND 3/791.47</t>
        </is>
      </c>
      <c r="AZ5" s="107" t="inlineStr">
        <is>
          <t>UND 3/791.47</t>
        </is>
      </c>
      <c r="BA5" s="107" t="inlineStr">
        <is>
          <t>UND 3/791.47</t>
        </is>
      </c>
      <c r="BB5" s="107" t="inlineStr">
        <is>
          <t>UND 3/791.47</t>
        </is>
      </c>
      <c r="BC5" s="107" t="inlineStr">
        <is>
          <t>8.79309 NMA</t>
        </is>
      </c>
      <c r="BD5" s="107" t="inlineStr">
        <is>
          <t>UND 43.496666/791.47</t>
        </is>
      </c>
      <c r="BE5" s="107" t="inlineStr">
        <is>
          <t>UND 43.496666/791.47</t>
        </is>
      </c>
      <c r="BF5" s="107" t="inlineStr">
        <is>
          <t>UND 43.496666/791.47</t>
        </is>
      </c>
      <c r="BG5" s="107" t="inlineStr">
        <is>
          <t>UND 43.496666/791.47</t>
        </is>
      </c>
      <c r="BH5" s="107" t="inlineStr">
        <is>
          <t>UND 43.496666/791.47</t>
        </is>
      </c>
      <c r="BI5" s="107" t="inlineStr">
        <is>
          <t>UND 43.496666/791.47</t>
        </is>
      </c>
      <c r="BJ5" s="107" t="inlineStr">
        <is>
          <t>UND 43.496666/791.47</t>
        </is>
      </c>
      <c r="BK5" s="107" t="inlineStr">
        <is>
          <t>UND 43.496666/791.47</t>
        </is>
      </c>
      <c r="BL5" s="107" t="inlineStr">
        <is>
          <t>ARTI</t>
        </is>
      </c>
      <c r="BM5" s="107" t="inlineStr">
        <is>
          <t>UND 2/160</t>
        </is>
      </c>
      <c r="BN5" s="107" t="inlineStr">
        <is>
          <t>2/160</t>
        </is>
      </c>
      <c r="BO5" s="107" t="inlineStr">
        <is>
          <t>UND 3.33333/791.47</t>
        </is>
      </c>
      <c r="BP5" s="107" t="inlineStr">
        <is>
          <t>UND 3.33333/791.47</t>
        </is>
      </c>
      <c r="BQ5" s="107" t="inlineStr">
        <is>
          <t>UND 3.33333/791.47</t>
        </is>
      </c>
      <c r="BR5" s="107" t="inlineStr">
        <is>
          <t>UND 3.33333/791.47</t>
        </is>
      </c>
      <c r="BS5" s="107" t="inlineStr">
        <is>
          <t>UND 3.33333/791.47</t>
        </is>
      </c>
      <c r="BT5" s="107" t="inlineStr">
        <is>
          <t>UND 3.33333/791.47</t>
        </is>
      </c>
      <c r="BU5" s="107" t="inlineStr">
        <is>
          <t>UND 3.33333/791.47</t>
        </is>
      </c>
      <c r="BV5" s="107" t="inlineStr">
        <is>
          <t>UND 3.33333/791.47</t>
        </is>
      </c>
      <c r="BW5" s="107" t="inlineStr">
        <is>
          <t>UND 3.33333/791.47</t>
        </is>
      </c>
      <c r="BX5" s="107" t="inlineStr">
        <is>
          <t>ARTI</t>
        </is>
      </c>
      <c r="BY5" s="107" t="inlineStr">
        <is>
          <t>2/160</t>
        </is>
      </c>
      <c r="BZ5" s="107" t="inlineStr">
        <is>
          <t>2/160</t>
        </is>
      </c>
      <c r="CA5" s="107" t="inlineStr">
        <is>
          <t>ARTI</t>
        </is>
      </c>
      <c r="CB5" s="107" t="inlineStr">
        <is>
          <t>ARTI</t>
        </is>
      </c>
      <c r="CC5" s="107" t="inlineStr">
        <is>
          <t>ARTI</t>
        </is>
      </c>
      <c r="CD5" s="107" t="inlineStr">
        <is>
          <t>ARTI</t>
        </is>
      </c>
      <c r="CE5" s="107" t="inlineStr">
        <is>
          <t>UND 4.8329635/791.47</t>
        </is>
      </c>
      <c r="CF5" s="107" t="inlineStr">
        <is>
          <t>UND 4.8329635/791.47</t>
        </is>
      </c>
      <c r="CG5" s="107" t="inlineStr">
        <is>
          <t>UND 4.8329635/791.47</t>
        </is>
      </c>
      <c r="CH5" s="107" t="inlineStr">
        <is>
          <t>UND 4.8329635/791.47</t>
        </is>
      </c>
      <c r="CI5" s="107" t="inlineStr">
        <is>
          <t>UND 4.8329635/791.47</t>
        </is>
      </c>
      <c r="CJ5" s="107" t="inlineStr">
        <is>
          <t>UND 4.8329635/791.47</t>
        </is>
      </c>
      <c r="CK5" s="107" t="inlineStr">
        <is>
          <t>UND 5/791.47</t>
        </is>
      </c>
      <c r="CL5" s="107" t="inlineStr">
        <is>
          <t>ARTI</t>
        </is>
      </c>
      <c r="CM5" s="580" t="inlineStr">
        <is>
          <t>ARTI</t>
        </is>
      </c>
      <c r="CN5" s="107" t="inlineStr">
        <is>
          <t>ARTI</t>
        </is>
      </c>
      <c r="CO5" s="107" t="inlineStr">
        <is>
          <t>ARTI</t>
        </is>
      </c>
      <c r="CP5" s="107" t="inlineStr">
        <is>
          <t>ARTI</t>
        </is>
      </c>
      <c r="CQ5" s="107" t="inlineStr">
        <is>
          <t>ARTI</t>
        </is>
      </c>
      <c r="CR5" s="107" t="inlineStr">
        <is>
          <t>1.212933 NMA</t>
        </is>
      </c>
      <c r="CS5" s="107" t="inlineStr">
        <is>
          <t>0.202155 NMA</t>
        </is>
      </c>
      <c r="CT5" s="107" t="inlineStr">
        <is>
          <t>ARTI</t>
        </is>
      </c>
      <c r="CU5" s="107" t="inlineStr">
        <is>
          <t>2.316271 NMA</t>
        </is>
      </c>
      <c r="CV5" s="107" t="inlineStr">
        <is>
          <t>1.158136 NMA</t>
        </is>
      </c>
      <c r="CW5" s="107" t="inlineStr">
        <is>
          <t>4.632543 NMA</t>
        </is>
      </c>
      <c r="CX5" s="107" t="inlineStr">
        <is>
          <t>4.632543 NMA</t>
        </is>
      </c>
      <c r="CY5" s="107" t="inlineStr">
        <is>
          <t>5.790678 NMA</t>
        </is>
      </c>
      <c r="CZ5" s="107" t="inlineStr">
        <is>
          <t>0.97701 NMA</t>
        </is>
      </c>
      <c r="DA5" s="107" t="inlineStr">
        <is>
          <t>ARTI</t>
        </is>
      </c>
      <c r="DB5" s="107" t="inlineStr">
        <is>
          <t>ARTI</t>
        </is>
      </c>
      <c r="DC5" s="107" t="inlineStr">
        <is>
          <t>ARTI</t>
        </is>
      </c>
      <c r="DD5" s="107" t="inlineStr">
        <is>
          <t>0.673851 NMA</t>
        </is>
      </c>
      <c r="DE5" s="107" t="inlineStr">
        <is>
          <t>ARTI</t>
        </is>
      </c>
      <c r="DF5" s="107" t="inlineStr">
        <is>
          <t>ARTI</t>
        </is>
      </c>
      <c r="DG5" s="107" t="inlineStr">
        <is>
          <t>ARTI</t>
        </is>
      </c>
      <c r="DH5" s="107" t="inlineStr">
        <is>
          <t>8.793091 NMA</t>
        </is>
      </c>
      <c r="DI5" s="107" t="inlineStr">
        <is>
          <t>ARTI</t>
        </is>
      </c>
      <c r="DJ5" s="107" t="inlineStr">
        <is>
          <t>ARTI</t>
        </is>
      </c>
      <c r="DK5" s="107" t="inlineStr">
        <is>
          <t>0.404311 NMA</t>
        </is>
      </c>
      <c r="DL5" s="107" t="inlineStr">
        <is>
          <t>ARTI</t>
        </is>
      </c>
      <c r="DM5" s="498" t="inlineStr">
        <is>
          <t>1.5442 NMA</t>
        </is>
      </c>
      <c r="DN5" s="498" t="inlineStr">
        <is>
          <t>1.5442 NMA</t>
        </is>
      </c>
      <c r="DO5" s="498" t="inlineStr">
        <is>
          <t>1.5442 NMA</t>
        </is>
      </c>
      <c r="DP5" s="498" t="inlineStr">
        <is>
          <t>1.5442 NMA</t>
        </is>
      </c>
      <c r="DQ5" s="107" t="inlineStr">
        <is>
          <t>2.754558 NMA</t>
        </is>
      </c>
      <c r="DR5" s="107" t="inlineStr">
        <is>
          <t>ARTI</t>
        </is>
      </c>
      <c r="DS5" s="107" t="inlineStr">
        <is>
          <t>ARTI</t>
        </is>
      </c>
      <c r="DT5" s="107" t="inlineStr">
        <is>
          <t>ARTI</t>
        </is>
      </c>
      <c r="DU5" s="107" t="inlineStr">
        <is>
          <t>ARTI</t>
        </is>
      </c>
      <c r="DV5" s="107" t="inlineStr">
        <is>
          <t>4.632543 NMA</t>
        </is>
      </c>
      <c r="DW5" s="107" t="inlineStr">
        <is>
          <t>ARTI</t>
        </is>
      </c>
      <c r="DX5" s="107" t="inlineStr">
        <is>
          <t>ARTI</t>
        </is>
      </c>
      <c r="DY5" s="107" t="inlineStr">
        <is>
          <t>ARTI</t>
        </is>
      </c>
      <c r="DZ5" s="107" t="inlineStr">
        <is>
          <t>ARTI</t>
        </is>
      </c>
      <c r="EA5" s="107" t="inlineStr">
        <is>
          <t>ARTI</t>
        </is>
      </c>
      <c r="EB5" s="107" t="inlineStr">
        <is>
          <t>ARTI</t>
        </is>
      </c>
      <c r="EC5" s="107" t="inlineStr">
        <is>
          <t>ARTI</t>
        </is>
      </c>
      <c r="ED5" s="107" t="inlineStr">
        <is>
          <t>0.252694 NMA</t>
        </is>
      </c>
      <c r="EE5" s="107" t="inlineStr">
        <is>
          <t>0.202155 NMA</t>
        </is>
      </c>
      <c r="EF5" s="107" t="inlineStr">
        <is>
          <t>3 NMA</t>
        </is>
      </c>
      <c r="EG5" s="107" t="inlineStr">
        <is>
          <t>ARTI</t>
        </is>
      </c>
      <c r="EH5" s="498" t="inlineStr">
        <is>
          <t>2.0 NMA</t>
        </is>
      </c>
      <c r="EI5" s="107" t="inlineStr">
        <is>
          <t>4.632543 NMA</t>
        </is>
      </c>
      <c r="EJ5" s="107" t="inlineStr">
        <is>
          <t>ARTI</t>
        </is>
      </c>
      <c r="EK5" s="107" t="inlineStr">
        <is>
          <t>ARTI</t>
        </is>
      </c>
      <c r="EL5" s="107" t="inlineStr">
        <is>
          <t>6.948814 NMA</t>
        </is>
      </c>
      <c r="EM5" s="107" t="inlineStr">
        <is>
          <t>3600 NMA</t>
        </is>
      </c>
      <c r="EN5" s="107" t="inlineStr">
        <is>
          <t>ARTI</t>
        </is>
      </c>
      <c r="EO5" s="107" t="inlineStr">
        <is>
          <t>ARTI</t>
        </is>
      </c>
      <c r="EP5" s="107" t="inlineStr">
        <is>
          <t>ARTI</t>
        </is>
      </c>
      <c r="EQ5" s="107" t="inlineStr">
        <is>
          <t>ARTI</t>
        </is>
      </c>
      <c r="ER5" s="107" t="inlineStr">
        <is>
          <t>3600 NMA</t>
        </is>
      </c>
      <c r="ES5" s="107" t="inlineStr">
        <is>
          <t>ARTI</t>
        </is>
      </c>
      <c r="ET5" s="107" t="inlineStr">
        <is>
          <t>ARTI</t>
        </is>
      </c>
      <c r="EU5" s="498" t="inlineStr">
        <is>
          <t>0.75 NMA</t>
        </is>
      </c>
      <c r="EV5" s="498" t="inlineStr">
        <is>
          <t>0.75 NMA</t>
        </is>
      </c>
      <c r="EW5" s="107" t="inlineStr">
        <is>
          <t>ARTI</t>
        </is>
      </c>
      <c r="EX5" s="107" t="inlineStr">
        <is>
          <t>ARTI</t>
        </is>
      </c>
      <c r="EY5" s="107" t="inlineStr">
        <is>
          <t>ARTI</t>
        </is>
      </c>
      <c r="EZ5" s="107" t="inlineStr">
        <is>
          <t>ARTI</t>
        </is>
      </c>
      <c r="FA5" s="107" t="n"/>
      <c r="FB5" s="107" t="n"/>
      <c r="FC5" s="107" t="n"/>
      <c r="FD5" s="107" t="n"/>
      <c r="FE5" s="107" t="n"/>
      <c r="FF5" s="107" t="n"/>
      <c r="FG5" s="107" t="n"/>
      <c r="FH5" s="107" t="n"/>
      <c r="FI5" s="107" t="n"/>
      <c r="FJ5" s="107" t="n"/>
      <c r="FK5" s="107" t="n"/>
      <c r="FL5" s="107" t="n"/>
      <c r="FM5" s="107" t="n"/>
      <c r="FN5" s="107" t="n"/>
      <c r="FO5" s="107" t="n"/>
      <c r="FP5" s="107" t="n"/>
      <c r="FQ5" s="107" t="n"/>
      <c r="FR5" s="107" t="n"/>
      <c r="FS5" s="107" t="n"/>
      <c r="FT5" s="107" t="n"/>
      <c r="FU5" s="107" t="n"/>
      <c r="FV5" s="107" t="n"/>
      <c r="FW5" s="107" t="n"/>
      <c r="FX5" s="107" t="n"/>
      <c r="FY5" s="107" t="n"/>
      <c r="FZ5" s="107" t="n"/>
      <c r="GA5" s="107" t="n"/>
    </row>
    <row r="6" ht="14.25" customFormat="1" customHeight="1" s="103" thickBot="1">
      <c r="A6" s="551" t="n"/>
      <c r="B6" s="552" t="inlineStr">
        <is>
          <t>BASE OGL</t>
        </is>
      </c>
      <c r="C6" s="553" t="inlineStr">
        <is>
          <t>289, 292, 294</t>
        </is>
      </c>
      <c r="D6" s="554" t="inlineStr">
        <is>
          <t>Tract 2</t>
        </is>
      </c>
      <c r="E6" s="553">
        <f>SUBTOTAL(9,E9:E205)</f>
        <v/>
      </c>
      <c r="F6" s="295" t="inlineStr">
        <is>
          <t>SURFACE</t>
        </is>
      </c>
      <c r="G6" s="112" t="n"/>
      <c r="H6" s="112" t="n"/>
      <c r="I6" s="112">
        <f>IF(I7=0,"","RECHECK")</f>
        <v/>
      </c>
      <c r="J6" s="112" t="n"/>
      <c r="K6" s="112">
        <f>IF(K7=0,"","RECHECK")</f>
        <v/>
      </c>
      <c r="L6" s="112" t="n"/>
      <c r="M6" s="112">
        <f>IF(M7=0,"","RECHECK")</f>
        <v/>
      </c>
      <c r="N6" s="112">
        <f>IF(N7=0,"","RECHECK")</f>
        <v/>
      </c>
      <c r="O6" s="112">
        <f>IF(O7=0,"","RECHECK")</f>
        <v/>
      </c>
      <c r="P6" s="112" t="n"/>
      <c r="Q6" s="172">
        <f>IF(Q7=0,"","RECHECK")</f>
        <v/>
      </c>
      <c r="R6" s="112">
        <f>IF(R7=0,"","RECHECK")</f>
        <v/>
      </c>
      <c r="S6" s="112">
        <f>IF(S7=0,"","RECHECK")</f>
        <v/>
      </c>
      <c r="T6" s="112">
        <f>IF(T7=0,"","RECHECK")</f>
        <v/>
      </c>
      <c r="U6" s="112">
        <f>IF(U7=0,"","RECHECK")</f>
        <v/>
      </c>
      <c r="V6" s="112">
        <f>IF(V7=0,"","RECHECK")</f>
        <v/>
      </c>
      <c r="W6" s="112">
        <f>IF(W7=0,"","RECHECK")</f>
        <v/>
      </c>
      <c r="X6" s="112">
        <f>IF(X7=0,"","RECHECK")</f>
        <v/>
      </c>
      <c r="Y6" s="112">
        <f>IF(Y7=0,"","RECHECK")</f>
        <v/>
      </c>
      <c r="Z6" s="172">
        <f>IF(Z7=0,"","RECHECK")</f>
        <v/>
      </c>
      <c r="AA6" s="172">
        <f>IF(AA7=0,"","RECHECK")</f>
        <v/>
      </c>
      <c r="AB6" s="172" t="n"/>
      <c r="AC6" s="172" t="n"/>
      <c r="AD6" s="172">
        <f>IF(AD7=0,"","RECHECK")</f>
        <v/>
      </c>
      <c r="AE6" s="172">
        <f>IF(ROUND(AE7,9)=0,"","RECHECK")</f>
        <v/>
      </c>
      <c r="AF6" s="172">
        <f>IF(AF7=0,"","RECHECK")</f>
        <v/>
      </c>
      <c r="AG6" s="112">
        <f>IF(AG7=0,"","RECHECK")</f>
        <v/>
      </c>
      <c r="AH6" s="172">
        <f>IF(AH7=0,"","RECHECK")</f>
        <v/>
      </c>
      <c r="AI6" s="112">
        <f>IF(AI7=0,"","RECHECK")</f>
        <v/>
      </c>
      <c r="AJ6" s="17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487" t="inlineStr">
        <is>
          <t>SOURCE REVIEW</t>
        </is>
      </c>
      <c r="BD6" s="112">
        <f>IF(BD7=0,"","RECHECK")</f>
        <v/>
      </c>
      <c r="BE6" s="112">
        <f>IF(BE7=0,"","RECHECK")</f>
        <v/>
      </c>
      <c r="BF6" s="487" t="inlineStr">
        <is>
          <t>SOURCE REVIEW</t>
        </is>
      </c>
      <c r="BG6" s="112">
        <f>IF(BG7=0,"","RECHECK")</f>
        <v/>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487" t="inlineStr">
        <is>
          <t>SOURCE REVIEW</t>
        </is>
      </c>
      <c r="CO6" s="487" t="inlineStr">
        <is>
          <t>SOURCE REVIEW</t>
        </is>
      </c>
      <c r="CP6" s="487" t="inlineStr">
        <is>
          <t>SOURCE REVIEW</t>
        </is>
      </c>
      <c r="CQ6" s="487" t="inlineStr">
        <is>
          <t>SOURCE REVIEW</t>
        </is>
      </c>
      <c r="CR6" s="112">
        <f>IF(CR7=0,"","RECHECK")</f>
        <v/>
      </c>
      <c r="CS6" s="112">
        <f>IF(CS7=0,"","RECHECK")</f>
        <v/>
      </c>
      <c r="CT6" s="487" t="inlineStr">
        <is>
          <t>SOURCE REVIEW</t>
        </is>
      </c>
      <c r="CU6" s="487" t="inlineStr">
        <is>
          <t>SOURCE REVIEW</t>
        </is>
      </c>
      <c r="CV6" s="487" t="inlineStr">
        <is>
          <t>SOURCE REVIEW</t>
        </is>
      </c>
      <c r="CW6" s="487" t="inlineStr">
        <is>
          <t>SOURCE REVIEW</t>
        </is>
      </c>
      <c r="CX6" s="487" t="inlineStr">
        <is>
          <t>SOURCE REVIEW</t>
        </is>
      </c>
      <c r="CY6" s="487" t="inlineStr">
        <is>
          <t>SOURCE REVIEW</t>
        </is>
      </c>
      <c r="CZ6" s="487" t="inlineStr">
        <is>
          <t>SOURCE REVIEW</t>
        </is>
      </c>
      <c r="DA6" s="487" t="inlineStr">
        <is>
          <t>SOURCE REVIEW</t>
        </is>
      </c>
      <c r="DB6" s="487" t="inlineStr">
        <is>
          <t>SOURCE REVIEW</t>
        </is>
      </c>
      <c r="DC6" s="487" t="inlineStr">
        <is>
          <t>SOURCE REVIEW</t>
        </is>
      </c>
      <c r="DD6" s="487" t="inlineStr">
        <is>
          <t>SOURCE REVIEW</t>
        </is>
      </c>
      <c r="DE6" s="487" t="inlineStr">
        <is>
          <t>SOURCE REVIEW</t>
        </is>
      </c>
      <c r="DF6" s="487" t="inlineStr">
        <is>
          <t>SOURCE REVIEW</t>
        </is>
      </c>
      <c r="DG6" s="487" t="inlineStr">
        <is>
          <t>SOURCE REVIEW</t>
        </is>
      </c>
      <c r="DH6" s="487" t="inlineStr">
        <is>
          <t>SOURCE REVIEW</t>
        </is>
      </c>
      <c r="DI6" s="487" t="inlineStr">
        <is>
          <t>SOURCE REVIEW</t>
        </is>
      </c>
      <c r="DJ6" s="487" t="inlineStr">
        <is>
          <t>SOURCE REVIEW</t>
        </is>
      </c>
      <c r="DK6" s="487" t="inlineStr">
        <is>
          <t>SOURCE REVIEW</t>
        </is>
      </c>
      <c r="DL6" s="487" t="inlineStr">
        <is>
          <t>SOURCE REVIEW</t>
        </is>
      </c>
      <c r="DM6" s="112">
        <f>IF(DM7=0,"","RECHECK")</f>
        <v/>
      </c>
      <c r="DN6" s="112">
        <f>IF(DN7=0,"","RECHECK")</f>
        <v/>
      </c>
      <c r="DO6" s="112">
        <f>IF(DO7=0,"","RECHECK")</f>
        <v/>
      </c>
      <c r="DP6" s="112">
        <f>IF(DP7=0,"","RECHECK")</f>
        <v/>
      </c>
      <c r="DQ6" s="487" t="inlineStr">
        <is>
          <t>SOURCE REVIEW</t>
        </is>
      </c>
      <c r="DR6" s="487" t="inlineStr">
        <is>
          <t>SOURCE REVIEW</t>
        </is>
      </c>
      <c r="DS6" s="487" t="inlineStr">
        <is>
          <t>SOURCE REVIEW</t>
        </is>
      </c>
      <c r="DT6" s="487" t="inlineStr">
        <is>
          <t>SOURCE REVIEW</t>
        </is>
      </c>
      <c r="DU6" s="487" t="inlineStr">
        <is>
          <t>SOURCE REVIEW</t>
        </is>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487" t="inlineStr">
        <is>
          <t>SOURCE REVIEW</t>
        </is>
      </c>
      <c r="ED6" s="487" t="inlineStr">
        <is>
          <t>SOURCE REVIEW</t>
        </is>
      </c>
      <c r="EE6" s="487" t="inlineStr">
        <is>
          <t>SOURCE REVIEW</t>
        </is>
      </c>
      <c r="EF6" s="487" t="inlineStr">
        <is>
          <t>SOURCE REVIEW</t>
        </is>
      </c>
      <c r="EG6" s="487" t="inlineStr">
        <is>
          <t>SOURCE REVIEW</t>
        </is>
      </c>
      <c r="EH6" s="112">
        <f>IF(EH7=0,"","RECHECK")</f>
        <v/>
      </c>
      <c r="EI6" s="487" t="inlineStr">
        <is>
          <t>SOURCE REVIEW</t>
        </is>
      </c>
      <c r="EJ6" s="487" t="inlineStr">
        <is>
          <t>SOURCE REVIEW</t>
        </is>
      </c>
      <c r="EK6" s="487" t="inlineStr">
        <is>
          <t>SOURCE REVIEW</t>
        </is>
      </c>
      <c r="EL6" s="487" t="inlineStr">
        <is>
          <t>SOURCE REVIEW</t>
        </is>
      </c>
      <c r="EM6" s="487" t="inlineStr">
        <is>
          <t>SOURCE REVIEW</t>
        </is>
      </c>
      <c r="EN6" s="487" t="inlineStr">
        <is>
          <t>SOURCE REVIEW</t>
        </is>
      </c>
      <c r="EO6" s="487" t="inlineStr">
        <is>
          <t>SOURCE REVIEW</t>
        </is>
      </c>
      <c r="EP6" s="487" t="inlineStr">
        <is>
          <t>SOURCE REVIEW</t>
        </is>
      </c>
      <c r="EQ6" s="487" t="inlineStr">
        <is>
          <t>SOURCE REVIEW</t>
        </is>
      </c>
      <c r="ER6" s="487" t="inlineStr">
        <is>
          <t>SOURCE REVIEW</t>
        </is>
      </c>
      <c r="ES6" s="487" t="inlineStr">
        <is>
          <t>SOURCE REVIEW</t>
        </is>
      </c>
      <c r="ET6" s="487" t="inlineStr">
        <is>
          <t>SOURCE REVIEW</t>
        </is>
      </c>
      <c r="EU6" s="112">
        <f>IF(EU7=0,"","RECHECK")</f>
        <v/>
      </c>
      <c r="EV6" s="112">
        <f>IF(EV7=0,"","RECHECK")</f>
        <v/>
      </c>
      <c r="EW6" s="487" t="inlineStr">
        <is>
          <t>SOURCE REVIEW</t>
        </is>
      </c>
      <c r="EX6" s="487" t="inlineStr">
        <is>
          <t>SOURCE REVIEW</t>
        </is>
      </c>
      <c r="EY6" s="487" t="inlineStr">
        <is>
          <t>SOURCE REVIEW</t>
        </is>
      </c>
      <c r="EZ6" s="487" t="inlineStr">
        <is>
          <t>SOURCE REVIEW</t>
        </is>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7">
        <f>SUBTOTAL(9,M10:M206)</f>
        <v/>
      </c>
      <c r="N7" s="557">
        <f>SUBTOTAL(9,N10:N206)</f>
        <v/>
      </c>
      <c r="O7" s="557">
        <f>SUBTOTAL(9,O10:O206)</f>
        <v/>
      </c>
      <c r="P7" s="557">
        <f>SUBTOTAL(9,P10:P206)</f>
        <v/>
      </c>
      <c r="Q7" s="558">
        <f>SUBTOTAL(9,Q10:Q210)</f>
        <v/>
      </c>
      <c r="R7" s="557">
        <f>SUBTOTAL(9,R10:R206)</f>
        <v/>
      </c>
      <c r="S7" s="557">
        <f>SUBTOTAL(9,S10:S206)</f>
        <v/>
      </c>
      <c r="T7" s="557">
        <f>SUBTOTAL(9,T10:T206)</f>
        <v/>
      </c>
      <c r="U7" s="557">
        <f>SUBTOTAL(9,U10:U206)</f>
        <v/>
      </c>
      <c r="V7" s="557">
        <f>SUBTOTAL(9,V10:V206)</f>
        <v/>
      </c>
      <c r="W7" s="557">
        <f>SUBTOTAL(9,W10:W206)</f>
        <v/>
      </c>
      <c r="X7" s="557">
        <f>SUBTOTAL(9,X10:X206)</f>
        <v/>
      </c>
      <c r="Y7" s="557">
        <f>SUBTOTAL(9,Y10:Y206)</f>
        <v/>
      </c>
      <c r="Z7" s="558" t="n">
        <v>0</v>
      </c>
      <c r="AA7" s="558">
        <f>SUBTOTAL(9,AA10:AA210)</f>
        <v/>
      </c>
      <c r="AB7" s="558">
        <f>SUBTOTAL(9,AB10:AB207)</f>
        <v/>
      </c>
      <c r="AC7" s="558">
        <f>SUBTOTAL(9,AC10:AC201)</f>
        <v/>
      </c>
      <c r="AD7" s="558">
        <f>SUBTOTAL(9,AD10:AD201)</f>
        <v/>
      </c>
      <c r="AE7" s="558">
        <f>SUBTOTAL(9,AE10:AE201)</f>
        <v/>
      </c>
      <c r="AF7" s="558">
        <f>SUBTOTAL(9,AF10:AF201)</f>
        <v/>
      </c>
      <c r="AG7" s="557">
        <f>SUBTOTAL(9,AG10:AG206)</f>
        <v/>
      </c>
      <c r="AH7" s="558">
        <f>SUBTOTAL(9,AH10:AH202)</f>
        <v/>
      </c>
      <c r="AI7" s="557">
        <f>SUBTOTAL(9,AI10:AI206)</f>
        <v/>
      </c>
      <c r="AJ7" s="558">
        <f>SUBTOTAL(9,AJ10:AJ206)</f>
        <v/>
      </c>
      <c r="AK7" s="557">
        <f>SUBTOTAL(9,AK10:AK206)</f>
        <v/>
      </c>
      <c r="AL7" s="557">
        <f>SUBTOTAL(9,AL10:AL206)</f>
        <v/>
      </c>
      <c r="AM7" s="557">
        <f>SUBTOTAL(9,AM10:AM206)</f>
        <v/>
      </c>
      <c r="AN7" s="557">
        <f>SUBTOTAL(9,AN10:AN206)</f>
        <v/>
      </c>
      <c r="AO7" s="557">
        <f>SUBTOTAL(9,AO10:AO206)</f>
        <v/>
      </c>
      <c r="AP7" s="557">
        <f>SUBTOTAL(9,AP10:AP206)</f>
        <v/>
      </c>
      <c r="AQ7" s="557">
        <f>SUBTOTAL(9,AQ10:AQ206)</f>
        <v/>
      </c>
      <c r="AR7" s="557">
        <f>SUBTOTAL(9,AR10:AR206)</f>
        <v/>
      </c>
      <c r="AS7" s="557">
        <f>SUBTOTAL(9,AS10:AS206)</f>
        <v/>
      </c>
      <c r="AT7" s="557">
        <f>SUBTOTAL(9,AT10:AT206)</f>
        <v/>
      </c>
      <c r="AU7" s="557">
        <f>SUBTOTAL(9,AU10:AU206)</f>
        <v/>
      </c>
      <c r="AV7" s="557">
        <f>SUBTOTAL(9,AV10:AV206)</f>
        <v/>
      </c>
      <c r="AW7" s="557">
        <f>SUBTOTAL(9,AW10:AW206)</f>
        <v/>
      </c>
      <c r="AX7" s="557">
        <f>SUBTOTAL(9,AX10:AX206)</f>
        <v/>
      </c>
      <c r="AY7" s="557">
        <f>SUBTOTAL(9,AY10:AY206)</f>
        <v/>
      </c>
      <c r="AZ7" s="557">
        <f>SUBTOTAL(9,AZ10:AZ206)</f>
        <v/>
      </c>
      <c r="BA7" s="557">
        <f>SUBTOTAL(9,BA10:BA206)</f>
        <v/>
      </c>
      <c r="BB7" s="557">
        <f>SUBTOTAL(9,BB10:BB206)</f>
        <v/>
      </c>
      <c r="BC7" s="557">
        <f>SUBTOTAL(9,BC10:BC206)</f>
        <v/>
      </c>
      <c r="BD7" s="557">
        <f>SUBTOTAL(9,BD10:BD206)</f>
        <v/>
      </c>
      <c r="BE7" s="557">
        <f>SUBTOTAL(9,BE10:BE206)</f>
        <v/>
      </c>
      <c r="BF7" s="557">
        <f>SUBTOTAL(9,BF10:BF206)</f>
        <v/>
      </c>
      <c r="BG7" s="557">
        <f>SUBTOTAL(9,BG10:BG206)</f>
        <v/>
      </c>
      <c r="BH7" s="557">
        <f>SUBTOTAL(9,BH10:BH206)</f>
        <v/>
      </c>
      <c r="BI7" s="557">
        <f>SUBTOTAL(9,BI10:BI206)</f>
        <v/>
      </c>
      <c r="BJ7" s="557">
        <f>SUBTOTAL(9,BJ10:BJ206)</f>
        <v/>
      </c>
      <c r="BK7" s="557">
        <f>SUBTOTAL(9,BK10:BK206)</f>
        <v/>
      </c>
      <c r="BL7" s="557">
        <f>SUBTOTAL(9,BL10:BL206)</f>
        <v/>
      </c>
      <c r="BM7" s="557">
        <f>SUBTOTAL(9,BM10:BM206)</f>
        <v/>
      </c>
      <c r="BN7" s="557">
        <f>SUBTOTAL(9,BN10:BN206)</f>
        <v/>
      </c>
      <c r="BO7" s="557">
        <f>SUBTOTAL(9,BO10:BO206)</f>
        <v/>
      </c>
      <c r="BP7" s="557">
        <f>SUBTOTAL(9,BP10:BP206)</f>
        <v/>
      </c>
      <c r="BQ7" s="557">
        <f>SUBTOTAL(9,BQ10:BQ206)</f>
        <v/>
      </c>
      <c r="BR7" s="557">
        <f>SUBTOTAL(9,BR10:BR206)</f>
        <v/>
      </c>
      <c r="BS7" s="557">
        <f>SUBTOTAL(9,BS10:BS206)</f>
        <v/>
      </c>
      <c r="BT7" s="557">
        <f>SUBTOTAL(9,BT10:BT206)</f>
        <v/>
      </c>
      <c r="BU7" s="557">
        <f>SUBTOTAL(9,BU10:BU206)</f>
        <v/>
      </c>
      <c r="BV7" s="557">
        <f>SUBTOTAL(9,BV10:BV206)</f>
        <v/>
      </c>
      <c r="BW7" s="557">
        <f>SUBTOTAL(9,BW10:BW206)</f>
        <v/>
      </c>
      <c r="BX7" s="557">
        <f>SUBTOTAL(9,BX10:BX206)</f>
        <v/>
      </c>
      <c r="BY7" s="557">
        <f>SUBTOTAL(9,BY10:BY206)</f>
        <v/>
      </c>
      <c r="BZ7" s="557">
        <f>SUBTOTAL(9,BZ10:BZ206)</f>
        <v/>
      </c>
      <c r="CA7" s="557">
        <f>SUBTOTAL(9,CA10:CA206)</f>
        <v/>
      </c>
      <c r="CB7" s="557">
        <f>SUBTOTAL(9,CB10:CB206)</f>
        <v/>
      </c>
      <c r="CC7" s="557">
        <f>SUBTOTAL(9,CC10:CC206)</f>
        <v/>
      </c>
      <c r="CD7" s="557">
        <f>SUBTOTAL(9,CD10:CD206)</f>
        <v/>
      </c>
      <c r="CE7" s="557">
        <f>SUBTOTAL(9,CE10:CE206)</f>
        <v/>
      </c>
      <c r="CF7" s="557">
        <f>SUBTOTAL(9,CF10:CF206)</f>
        <v/>
      </c>
      <c r="CG7" s="557">
        <f>SUBTOTAL(9,CG10:CG206)</f>
        <v/>
      </c>
      <c r="CH7" s="557">
        <f>SUBTOTAL(9,CH10:CH206)</f>
        <v/>
      </c>
      <c r="CI7" s="557">
        <f>SUBTOTAL(9,CI10:CI206)</f>
        <v/>
      </c>
      <c r="CJ7" s="557">
        <f>SUBTOTAL(9,CJ10:CJ206)</f>
        <v/>
      </c>
      <c r="CK7" s="557">
        <f>SUBTOTAL(9,CK10:CK206)</f>
        <v/>
      </c>
      <c r="CL7" s="557">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6" t="n"/>
      <c r="R9" s="565" t="n"/>
      <c r="S9" s="565" t="n"/>
      <c r="T9" s="565" t="n"/>
      <c r="U9" s="565" t="n"/>
      <c r="V9" s="565" t="n"/>
      <c r="W9" s="565" t="n"/>
      <c r="X9" s="565" t="n"/>
      <c r="Y9" s="565" t="n"/>
      <c r="Z9" s="566" t="n"/>
      <c r="AA9" s="566" t="n"/>
      <c r="AB9" s="566" t="n"/>
      <c r="AC9" s="566" t="n"/>
      <c r="AD9" s="566" t="n"/>
      <c r="AE9" s="566" t="n"/>
      <c r="AF9" s="566" t="n"/>
      <c r="AG9" s="565" t="n"/>
      <c r="AH9" s="566" t="n"/>
      <c r="AI9" s="565" t="n"/>
      <c r="AJ9" s="566"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81" t="n"/>
      <c r="CN9" s="581" t="n"/>
      <c r="CO9" s="581" t="n"/>
      <c r="CP9" s="581" t="n"/>
      <c r="CQ9" s="581" t="n"/>
      <c r="CR9" s="581" t="n"/>
      <c r="CS9" s="581" t="n"/>
      <c r="CT9" s="581" t="n"/>
      <c r="CU9" s="581" t="n"/>
      <c r="CV9" s="581" t="n"/>
      <c r="CW9" s="581" t="n"/>
      <c r="CX9" s="581" t="n"/>
      <c r="CY9" s="581" t="n"/>
      <c r="CZ9" s="581" t="n"/>
      <c r="DA9" s="581" t="n"/>
      <c r="DB9" s="581" t="n"/>
      <c r="DC9" s="581" t="n"/>
      <c r="DD9" s="581" t="n"/>
      <c r="DE9" s="581" t="n"/>
      <c r="DF9" s="581" t="n"/>
      <c r="DG9" s="581" t="n"/>
      <c r="DH9" s="581" t="n"/>
      <c r="DI9" s="581" t="n"/>
      <c r="DJ9" s="581" t="n"/>
      <c r="DK9" s="581" t="n"/>
      <c r="DL9" s="581" t="n"/>
      <c r="DM9" s="581" t="n"/>
      <c r="DN9" s="581" t="n"/>
      <c r="DO9" s="581" t="n"/>
      <c r="DP9" s="581" t="n"/>
      <c r="DQ9" s="581" t="n"/>
      <c r="DR9" s="581" t="n"/>
      <c r="DS9" s="581" t="n"/>
      <c r="DT9" s="581" t="n"/>
      <c r="DU9" s="581" t="n"/>
      <c r="DV9" s="581" t="n"/>
      <c r="DW9" s="581" t="n"/>
      <c r="DX9" s="581" t="n"/>
      <c r="DY9" s="581" t="n"/>
      <c r="DZ9" s="581" t="n"/>
      <c r="EA9" s="581" t="n"/>
      <c r="EB9" s="581" t="n"/>
      <c r="EC9" s="581" t="n"/>
      <c r="ED9" s="581" t="n"/>
      <c r="EE9" s="581" t="n"/>
      <c r="EF9" s="581" t="n"/>
      <c r="EG9" s="581" t="n"/>
      <c r="EH9" s="581" t="n"/>
      <c r="EI9" s="581" t="n"/>
      <c r="EJ9" s="581" t="n"/>
      <c r="EK9" s="581" t="n"/>
      <c r="EL9" s="581" t="n"/>
      <c r="EM9" s="581" t="n"/>
      <c r="EN9" s="581" t="n"/>
      <c r="EO9" s="581" t="n"/>
      <c r="EP9" s="581" t="n"/>
      <c r="EQ9" s="581" t="n"/>
      <c r="ER9" s="581" t="n"/>
      <c r="ES9" s="581" t="n"/>
      <c r="ET9" s="581" t="n"/>
      <c r="EU9" s="581" t="n"/>
      <c r="EV9" s="581" t="n"/>
      <c r="EW9" s="581" t="n"/>
      <c r="EX9" s="581" t="n"/>
      <c r="EY9" s="581" t="n"/>
      <c r="EZ9" s="581" t="n"/>
      <c r="FA9" s="581" t="n"/>
      <c r="FB9" s="581" t="n"/>
      <c r="FC9" s="581" t="n"/>
      <c r="FD9" s="581" t="n"/>
      <c r="FE9" s="581" t="n"/>
      <c r="FF9" s="581" t="n"/>
      <c r="FG9" s="581" t="n"/>
      <c r="FH9" s="581" t="n"/>
      <c r="FI9" s="581" t="n"/>
      <c r="FJ9" s="581" t="n"/>
      <c r="FK9" s="581" t="n"/>
      <c r="FL9" s="581" t="n"/>
      <c r="FM9" s="581" t="n"/>
      <c r="FN9" s="581" t="n"/>
      <c r="FO9" s="581" t="n"/>
      <c r="FP9" s="581" t="n"/>
      <c r="FQ9" s="581" t="n"/>
      <c r="FR9" s="581" t="n"/>
      <c r="FS9" s="581" t="n"/>
      <c r="FT9" s="581" t="n"/>
      <c r="FU9" s="581" t="n"/>
      <c r="FV9" s="581" t="n"/>
      <c r="FW9" s="581" t="n"/>
      <c r="FX9" s="581" t="n"/>
      <c r="FY9" s="581" t="n"/>
      <c r="FZ9" s="581" t="n"/>
      <c r="GA9" s="581" t="n"/>
    </row>
    <row r="10" customFormat="1" s="568">
      <c r="A10" s="227" t="n"/>
      <c r="B10" s="87" t="n"/>
      <c r="C10" s="84">
        <f>E10*D$5</f>
        <v/>
      </c>
      <c r="D10" s="177" t="inlineStr">
        <is>
          <t>United States of America</t>
        </is>
      </c>
      <c r="E10" s="84">
        <f>SUM(G10:HT10)</f>
        <v/>
      </c>
      <c r="F10" s="582">
        <f>IFERROR(IF($E10&gt;0.0000005,$E10/SUMIF($E$11:$E$140,"&gt;0.0000005"),""),"")</f>
        <v/>
      </c>
      <c r="G10" s="570" t="n">
        <v>1</v>
      </c>
      <c r="H10" s="570" t="n">
        <v>-1</v>
      </c>
      <c r="I10" s="571" t="n"/>
      <c r="J10" s="570" t="n"/>
      <c r="K10" s="570" t="n"/>
      <c r="L10" s="570" t="n"/>
      <c r="M10" s="570" t="n"/>
      <c r="N10" s="570" t="n"/>
      <c r="O10" s="570" t="n"/>
      <c r="P10" s="570" t="n"/>
      <c r="Q10" s="572" t="n"/>
      <c r="R10" s="570" t="n"/>
      <c r="S10" s="570" t="n"/>
      <c r="T10" s="570" t="n"/>
      <c r="U10" s="570" t="n"/>
      <c r="V10" s="570" t="n"/>
      <c r="W10" s="570" t="n"/>
      <c r="X10" s="570" t="n"/>
      <c r="Y10" s="570" t="n"/>
      <c r="Z10" s="572" t="n"/>
      <c r="AA10" s="572" t="n"/>
      <c r="AB10" s="572" t="n"/>
      <c r="AC10" s="572" t="n"/>
      <c r="AD10" s="572" t="n"/>
      <c r="AE10" s="572" t="n"/>
      <c r="AF10" s="572" t="n"/>
      <c r="AG10" s="570" t="n"/>
      <c r="AH10" s="572" t="n"/>
      <c r="AI10" s="570" t="n"/>
      <c r="AJ10" s="572" t="n"/>
      <c r="AK10" s="570" t="n"/>
      <c r="AL10" s="570" t="n"/>
      <c r="AM10" s="570" t="n"/>
      <c r="AN10" s="570" t="n"/>
      <c r="AO10" s="570" t="n"/>
      <c r="AP10" s="570" t="n"/>
      <c r="AQ10" s="570" t="n"/>
      <c r="AR10" s="570"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83" t="n"/>
      <c r="CN10" s="583" t="n"/>
      <c r="CO10" s="583" t="n"/>
      <c r="CP10" s="583" t="n"/>
      <c r="CQ10" s="583" t="n"/>
      <c r="CR10" s="583" t="n"/>
      <c r="CS10" s="583" t="n"/>
      <c r="CT10" s="583" t="n"/>
      <c r="CU10" s="583" t="n"/>
      <c r="CV10" s="583" t="n"/>
      <c r="CW10" s="583" t="n"/>
      <c r="CX10" s="583" t="n"/>
      <c r="CY10" s="583" t="n"/>
      <c r="CZ10" s="583" t="n"/>
      <c r="DA10" s="583" t="n"/>
      <c r="DB10" s="583" t="n"/>
      <c r="DC10" s="583" t="n"/>
      <c r="DD10" s="583" t="n"/>
      <c r="DE10" s="583" t="n"/>
      <c r="DF10" s="583" t="n"/>
      <c r="DG10" s="583" t="n"/>
      <c r="DH10" s="583" t="n"/>
      <c r="DI10" s="583" t="n"/>
      <c r="DJ10" s="583" t="n"/>
      <c r="DK10" s="583" t="n"/>
      <c r="DL10" s="583" t="n"/>
      <c r="DM10" s="583" t="n"/>
      <c r="DN10" s="583" t="n"/>
      <c r="DO10" s="583" t="n"/>
      <c r="DP10" s="583" t="n"/>
      <c r="DQ10" s="583" t="n"/>
      <c r="DR10" s="583" t="n"/>
      <c r="DS10" s="583" t="n"/>
      <c r="DT10" s="583" t="n"/>
      <c r="DU10" s="583" t="n"/>
      <c r="DV10" s="583" t="n"/>
      <c r="DW10" s="583" t="n"/>
      <c r="DX10" s="583" t="n"/>
      <c r="DY10" s="583" t="n"/>
      <c r="DZ10" s="583" t="n"/>
      <c r="EA10" s="583" t="n"/>
      <c r="EB10" s="583" t="n"/>
      <c r="EC10" s="583" t="n"/>
      <c r="ED10" s="583" t="n"/>
      <c r="EE10" s="583" t="n"/>
      <c r="EF10" s="583" t="n"/>
      <c r="EG10" s="583" t="n"/>
      <c r="EH10" s="583" t="n"/>
      <c r="EI10" s="583" t="n"/>
      <c r="EJ10" s="583" t="n"/>
      <c r="EK10" s="583" t="n"/>
      <c r="EL10" s="583" t="n"/>
      <c r="EM10" s="583" t="n"/>
      <c r="EN10" s="583" t="n"/>
      <c r="EO10" s="583" t="n"/>
      <c r="EP10" s="583" t="n"/>
      <c r="EQ10" s="583" t="n"/>
      <c r="ER10" s="583" t="n"/>
      <c r="ES10" s="583" t="n"/>
      <c r="ET10" s="583" t="n"/>
      <c r="EU10" s="583" t="n"/>
      <c r="EV10" s="583" t="n"/>
      <c r="EW10" s="583" t="n"/>
      <c r="EX10" s="583" t="n"/>
      <c r="EY10" s="583" t="n"/>
      <c r="EZ10" s="583" t="n"/>
      <c r="FA10" s="583" t="n"/>
      <c r="FB10" s="583" t="n"/>
      <c r="FC10" s="583" t="n"/>
      <c r="FD10" s="583" t="n"/>
      <c r="FE10" s="583" t="n"/>
      <c r="FF10" s="583" t="n"/>
      <c r="FG10" s="583" t="n"/>
      <c r="FH10" s="583" t="n"/>
      <c r="FI10" s="583" t="n"/>
      <c r="FJ10" s="583" t="n"/>
      <c r="FK10" s="583" t="n"/>
      <c r="FL10" s="583" t="n"/>
      <c r="FM10" s="583" t="n"/>
      <c r="FN10" s="583" t="n"/>
      <c r="FO10" s="583" t="n"/>
      <c r="FP10" s="583" t="n"/>
      <c r="FQ10" s="583" t="n"/>
      <c r="FR10" s="583" t="n"/>
      <c r="FS10" s="583" t="n"/>
      <c r="FT10" s="583" t="n"/>
      <c r="FU10" s="583" t="n"/>
      <c r="FV10" s="583" t="n"/>
      <c r="FW10" s="583" t="n"/>
      <c r="FX10" s="583" t="n"/>
      <c r="FY10" s="583" t="n"/>
      <c r="FZ10" s="583" t="n"/>
      <c r="GA10" s="583" t="n"/>
    </row>
    <row r="11" customFormat="1" s="568">
      <c r="A11" s="114" t="n"/>
      <c r="B11" s="87" t="n"/>
      <c r="C11" s="137">
        <f>E11*D$5</f>
        <v/>
      </c>
      <c r="D11" s="177" t="inlineStr">
        <is>
          <t>Charles T. Kennett and Sadie N. Kennett, HW</t>
        </is>
      </c>
      <c r="E11" s="137">
        <f>SUM(G11:HT11)</f>
        <v/>
      </c>
      <c r="F11" s="582">
        <f>IFERROR(IF($E11&gt;0.0000005,$E11/SUMIF($E$11:$E$140,"&gt;0.0000005"),""),"")</f>
        <v/>
      </c>
      <c r="G11" s="570" t="n"/>
      <c r="H11" s="570" t="n">
        <v>1</v>
      </c>
      <c r="I11" s="570" t="n">
        <v>-1</v>
      </c>
      <c r="J11" s="570" t="n"/>
      <c r="K11" s="570" t="n"/>
      <c r="L11" s="570" t="n"/>
      <c r="M11" s="570" t="n"/>
      <c r="N11" s="570" t="n"/>
      <c r="O11" s="570" t="n"/>
      <c r="P11" s="570" t="n"/>
      <c r="Q11" s="572" t="n"/>
      <c r="R11" s="570" t="n"/>
      <c r="S11" s="570" t="n"/>
      <c r="T11" s="570" t="n"/>
      <c r="U11" s="570" t="n"/>
      <c r="V11" s="570" t="n"/>
      <c r="W11" s="570" t="n"/>
      <c r="X11" s="570" t="n"/>
      <c r="Y11" s="570" t="n"/>
      <c r="Z11" s="573" t="n"/>
      <c r="AA11" s="572" t="n"/>
      <c r="AB11" s="572" t="n"/>
      <c r="AC11" s="572" t="n"/>
      <c r="AD11" s="572" t="n"/>
      <c r="AE11" s="572" t="n"/>
      <c r="AF11" s="572" t="n"/>
      <c r="AG11" s="570" t="n"/>
      <c r="AH11" s="572" t="n"/>
      <c r="AI11" s="570" t="n"/>
      <c r="AJ11" s="572" t="n"/>
      <c r="AK11" s="570" t="n"/>
      <c r="AL11" s="570" t="n"/>
      <c r="AM11" s="570" t="n"/>
      <c r="AN11" s="570" t="n"/>
      <c r="AO11" s="570" t="n"/>
      <c r="AP11" s="570" t="n"/>
      <c r="AQ11" s="570" t="n"/>
      <c r="AR11" s="570"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83" t="n"/>
      <c r="CN11" s="583" t="n"/>
      <c r="CO11" s="583" t="n"/>
      <c r="CP11" s="583" t="n"/>
      <c r="CQ11" s="583" t="n"/>
      <c r="CR11" s="583" t="n"/>
      <c r="CS11" s="583" t="n"/>
      <c r="CT11" s="583" t="n"/>
      <c r="CU11" s="583" t="n"/>
      <c r="CV11" s="583" t="n"/>
      <c r="CW11" s="583" t="n"/>
      <c r="CX11" s="583" t="n"/>
      <c r="CY11" s="583" t="n"/>
      <c r="CZ11" s="583" t="n"/>
      <c r="DA11" s="583" t="n"/>
      <c r="DB11" s="583" t="n"/>
      <c r="DC11" s="583" t="n"/>
      <c r="DD11" s="583" t="n"/>
      <c r="DE11" s="583" t="n"/>
      <c r="DF11" s="583" t="n"/>
      <c r="DG11" s="583" t="n"/>
      <c r="DH11" s="583" t="n"/>
      <c r="DI11" s="583" t="n"/>
      <c r="DJ11" s="583" t="n"/>
      <c r="DK11" s="583" t="n"/>
      <c r="DL11" s="583" t="n"/>
      <c r="DM11" s="583" t="n"/>
      <c r="DN11" s="583" t="n"/>
      <c r="DO11" s="583" t="n"/>
      <c r="DP11" s="583" t="n"/>
      <c r="DQ11" s="583" t="n"/>
      <c r="DR11" s="583" t="n"/>
      <c r="DS11" s="583" t="n"/>
      <c r="DT11" s="583" t="n"/>
      <c r="DU11" s="583" t="n"/>
      <c r="DV11" s="583" t="n"/>
      <c r="DW11" s="583" t="n"/>
      <c r="DX11" s="583" t="n"/>
      <c r="DY11" s="583" t="n"/>
      <c r="DZ11" s="583" t="n"/>
      <c r="EA11" s="583" t="n"/>
      <c r="EB11" s="583" t="n"/>
      <c r="EC11" s="583" t="n"/>
      <c r="ED11" s="583" t="n"/>
      <c r="EE11" s="583" t="n"/>
      <c r="EF11" s="583" t="n"/>
      <c r="EG11" s="583" t="n"/>
      <c r="EH11" s="583" t="n"/>
      <c r="EI11" s="583" t="n"/>
      <c r="EJ11" s="583" t="n"/>
      <c r="EK11" s="583" t="n"/>
      <c r="EL11" s="583" t="n"/>
      <c r="EM11" s="583" t="n"/>
      <c r="EN11" s="583" t="n"/>
      <c r="EO11" s="583" t="n"/>
      <c r="EP11" s="583" t="n"/>
      <c r="EQ11" s="583" t="n"/>
      <c r="ER11" s="583" t="n"/>
      <c r="ES11" s="583" t="n"/>
      <c r="ET11" s="583" t="n"/>
      <c r="EU11" s="583" t="n"/>
      <c r="EV11" s="583" t="n"/>
      <c r="EW11" s="583" t="n"/>
      <c r="EX11" s="583" t="n"/>
      <c r="EY11" s="583" t="n"/>
      <c r="EZ11" s="583" t="n"/>
      <c r="FA11" s="583" t="n"/>
      <c r="FB11" s="583" t="n"/>
      <c r="FC11" s="583" t="n"/>
      <c r="FD11" s="583" t="n"/>
      <c r="FE11" s="583" t="n"/>
      <c r="FF11" s="583" t="n"/>
      <c r="FG11" s="583" t="n"/>
      <c r="FH11" s="583" t="n"/>
      <c r="FI11" s="583" t="n"/>
      <c r="FJ11" s="583" t="n"/>
      <c r="FK11" s="583" t="n"/>
      <c r="FL11" s="583" t="n"/>
      <c r="FM11" s="583" t="n"/>
      <c r="FN11" s="583" t="n"/>
      <c r="FO11" s="583" t="n"/>
      <c r="FP11" s="583" t="n"/>
      <c r="FQ11" s="583" t="n"/>
      <c r="FR11" s="583" t="n"/>
      <c r="FS11" s="583" t="n"/>
      <c r="FT11" s="583" t="n"/>
      <c r="FU11" s="583" t="n"/>
      <c r="FV11" s="583" t="n"/>
      <c r="FW11" s="583" t="n"/>
      <c r="FX11" s="583" t="n"/>
      <c r="FY11" s="583" t="n"/>
      <c r="FZ11" s="583" t="n"/>
      <c r="GA11" s="583" t="n"/>
    </row>
    <row r="12" customFormat="1" s="568">
      <c r="A12" s="114" t="n"/>
      <c r="B12" s="87" t="n"/>
      <c r="C12" s="137">
        <f>E12*D$5</f>
        <v/>
      </c>
      <c r="D12" s="177" t="inlineStr">
        <is>
          <t>John G. Lancaster</t>
        </is>
      </c>
      <c r="E12" s="137">
        <f>SUM(G12:HT12)</f>
        <v/>
      </c>
      <c r="F12" s="582">
        <f>IFERROR(IF($E12&gt;0.0000005,$E12/SUMIF($E$11:$E$140,"&gt;0.0000005"),""),"")</f>
        <v/>
      </c>
      <c r="G12" s="570" t="n"/>
      <c r="H12" s="570" t="n"/>
      <c r="I12" s="570" t="n">
        <v>1</v>
      </c>
      <c r="J12" s="570" t="n">
        <v>-1</v>
      </c>
      <c r="K12" s="570" t="n"/>
      <c r="L12" s="570" t="n"/>
      <c r="M12" s="570" t="n"/>
      <c r="N12" s="570" t="n"/>
      <c r="O12" s="570" t="n"/>
      <c r="P12" s="570" t="n"/>
      <c r="Q12" s="572" t="n"/>
      <c r="R12" s="570" t="n"/>
      <c r="S12" s="570" t="n"/>
      <c r="T12" s="570" t="n"/>
      <c r="U12" s="570" t="n"/>
      <c r="V12" s="570" t="n"/>
      <c r="W12" s="570" t="n"/>
      <c r="X12" s="570" t="n"/>
      <c r="Y12" s="570" t="n"/>
      <c r="Z12" s="573" t="n"/>
      <c r="AA12" s="572" t="n"/>
      <c r="AB12" s="572" t="n"/>
      <c r="AC12" s="572" t="n"/>
      <c r="AD12" s="572" t="n"/>
      <c r="AE12" s="572" t="n"/>
      <c r="AF12" s="572" t="n"/>
      <c r="AG12" s="570" t="n"/>
      <c r="AH12" s="573" t="n"/>
      <c r="AI12" s="570" t="n"/>
      <c r="AJ12" s="572" t="n"/>
      <c r="AK12" s="570" t="n"/>
      <c r="AL12" s="570" t="n"/>
      <c r="AM12" s="570" t="n"/>
      <c r="AN12" s="570" t="n"/>
      <c r="AO12" s="570" t="n"/>
      <c r="AP12" s="570" t="n"/>
      <c r="AQ12" s="570" t="n"/>
      <c r="AR12" s="570"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83" t="n"/>
      <c r="CN12" s="583" t="n"/>
      <c r="CO12" s="583" t="n"/>
      <c r="CP12" s="583" t="n"/>
      <c r="CQ12" s="583" t="n"/>
      <c r="CR12" s="583" t="n"/>
      <c r="CS12" s="583" t="n"/>
      <c r="CT12" s="583" t="n"/>
      <c r="CU12" s="583" t="n"/>
      <c r="CV12" s="583" t="n"/>
      <c r="CW12" s="583" t="n"/>
      <c r="CX12" s="583" t="n"/>
      <c r="CY12" s="583" t="n"/>
      <c r="CZ12" s="583" t="n"/>
      <c r="DA12" s="583" t="n"/>
      <c r="DB12" s="583" t="n"/>
      <c r="DC12" s="583" t="n"/>
      <c r="DD12" s="583" t="n"/>
      <c r="DE12" s="583" t="n"/>
      <c r="DF12" s="583" t="n"/>
      <c r="DG12" s="583" t="n"/>
      <c r="DH12" s="583" t="n"/>
      <c r="DI12" s="583" t="n"/>
      <c r="DJ12" s="583" t="n"/>
      <c r="DK12" s="583" t="n"/>
      <c r="DL12" s="583" t="n"/>
      <c r="DM12" s="583" t="n"/>
      <c r="DN12" s="583" t="n"/>
      <c r="DO12" s="583" t="n"/>
      <c r="DP12" s="583" t="n"/>
      <c r="DQ12" s="583" t="n"/>
      <c r="DR12" s="583" t="n"/>
      <c r="DS12" s="583" t="n"/>
      <c r="DT12" s="583" t="n"/>
      <c r="DU12" s="583" t="n"/>
      <c r="DV12" s="583" t="n"/>
      <c r="DW12" s="583" t="n"/>
      <c r="DX12" s="583" t="n"/>
      <c r="DY12" s="583" t="n"/>
      <c r="DZ12" s="583" t="n"/>
      <c r="EA12" s="583" t="n"/>
      <c r="EB12" s="583" t="n"/>
      <c r="EC12" s="583" t="n"/>
      <c r="ED12" s="583" t="n"/>
      <c r="EE12" s="583" t="n"/>
      <c r="EF12" s="583" t="n"/>
      <c r="EG12" s="583" t="n"/>
      <c r="EH12" s="583" t="n"/>
      <c r="EI12" s="583" t="n"/>
      <c r="EJ12" s="583" t="n"/>
      <c r="EK12" s="583" t="n"/>
      <c r="EL12" s="583" t="n"/>
      <c r="EM12" s="583" t="n"/>
      <c r="EN12" s="583" t="n"/>
      <c r="EO12" s="583" t="n"/>
      <c r="EP12" s="583" t="n"/>
      <c r="EQ12" s="583" t="n"/>
      <c r="ER12" s="583" t="n"/>
      <c r="ES12" s="583" t="n"/>
      <c r="ET12" s="583" t="n"/>
      <c r="EU12" s="583" t="n"/>
      <c r="EV12" s="583" t="n"/>
      <c r="EW12" s="583" t="n"/>
      <c r="EX12" s="583" t="n"/>
      <c r="EY12" s="583" t="n"/>
      <c r="EZ12" s="583" t="n"/>
      <c r="FA12" s="583" t="n"/>
      <c r="FB12" s="583" t="n"/>
      <c r="FC12" s="583" t="n"/>
      <c r="FD12" s="583" t="n"/>
      <c r="FE12" s="583" t="n"/>
      <c r="FF12" s="583" t="n"/>
      <c r="FG12" s="583" t="n"/>
      <c r="FH12" s="583" t="n"/>
      <c r="FI12" s="583" t="n"/>
      <c r="FJ12" s="583" t="n"/>
      <c r="FK12" s="583" t="n"/>
      <c r="FL12" s="583" t="n"/>
      <c r="FM12" s="583" t="n"/>
      <c r="FN12" s="583" t="n"/>
      <c r="FO12" s="583" t="n"/>
      <c r="FP12" s="583" t="n"/>
      <c r="FQ12" s="583" t="n"/>
      <c r="FR12" s="583" t="n"/>
      <c r="FS12" s="583" t="n"/>
      <c r="FT12" s="583" t="n"/>
      <c r="FU12" s="583" t="n"/>
      <c r="FV12" s="583" t="n"/>
      <c r="FW12" s="583" t="n"/>
      <c r="FX12" s="583" t="n"/>
      <c r="FY12" s="583" t="n"/>
      <c r="FZ12" s="583" t="n"/>
      <c r="GA12" s="583" t="n"/>
    </row>
    <row r="13" customFormat="1" s="568">
      <c r="A13" s="571" t="n"/>
      <c r="B13" s="584" t="n"/>
      <c r="C13" s="84">
        <f>E13*D$5</f>
        <v/>
      </c>
      <c r="D13" s="177" t="inlineStr">
        <is>
          <t>Eugene S. Repass</t>
        </is>
      </c>
      <c r="E13" s="84">
        <f>SUM(G13:HT13)</f>
        <v/>
      </c>
      <c r="F13" s="582">
        <f>IFERROR(IF($E13&gt;0.0000005,$E13/SUMIF($E$11:$E$140,"&gt;0.0000005"),""),"")</f>
        <v/>
      </c>
      <c r="G13" s="570" t="n"/>
      <c r="H13" s="571" t="n"/>
      <c r="I13" s="570" t="n"/>
      <c r="J13" s="570" t="n">
        <v>1</v>
      </c>
      <c r="K13" s="570" t="n">
        <v>-1</v>
      </c>
      <c r="L13" s="570" t="n"/>
      <c r="M13" s="570" t="n"/>
      <c r="N13" s="570" t="n"/>
      <c r="O13" s="570" t="n"/>
      <c r="P13" s="570" t="n"/>
      <c r="Q13" s="572" t="n"/>
      <c r="R13" s="570" t="n"/>
      <c r="S13" s="570" t="n"/>
      <c r="T13" s="570" t="n"/>
      <c r="U13" s="570" t="n"/>
      <c r="V13" s="570" t="n"/>
      <c r="W13" s="570" t="n"/>
      <c r="X13" s="570" t="n"/>
      <c r="Y13" s="570" t="n"/>
      <c r="Z13" s="572" t="n"/>
      <c r="AA13" s="572" t="n"/>
      <c r="AB13" s="573" t="n"/>
      <c r="AC13" s="572" t="n"/>
      <c r="AD13" s="572" t="n"/>
      <c r="AE13" s="572" t="n"/>
      <c r="AF13" s="572" t="n"/>
      <c r="AG13" s="570" t="n"/>
      <c r="AH13" s="572" t="n"/>
      <c r="AI13" s="570" t="n"/>
      <c r="AJ13" s="572" t="n"/>
      <c r="AK13" s="570" t="n"/>
      <c r="AL13" s="570" t="n"/>
      <c r="AM13" s="570" t="n"/>
      <c r="AN13" s="570" t="n"/>
      <c r="AO13" s="570" t="n"/>
      <c r="AP13" s="570" t="n"/>
      <c r="AQ13" s="570" t="n"/>
      <c r="AR13" s="570"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83" t="n"/>
      <c r="CN13" s="583" t="n"/>
      <c r="CO13" s="583" t="n"/>
      <c r="CP13" s="583" t="n"/>
      <c r="CQ13" s="583" t="n"/>
      <c r="CR13" s="583" t="n"/>
      <c r="CS13" s="583" t="n"/>
      <c r="CT13" s="583" t="n"/>
      <c r="CU13" s="583" t="n"/>
      <c r="CV13" s="583" t="n"/>
      <c r="CW13" s="583" t="n"/>
      <c r="CX13" s="583" t="n"/>
      <c r="CY13" s="583" t="n"/>
      <c r="CZ13" s="583" t="n"/>
      <c r="DA13" s="583" t="n"/>
      <c r="DB13" s="583" t="n"/>
      <c r="DC13" s="583" t="n"/>
      <c r="DD13" s="583" t="n"/>
      <c r="DE13" s="583" t="n"/>
      <c r="DF13" s="583" t="n"/>
      <c r="DG13" s="583" t="n"/>
      <c r="DH13" s="583" t="n"/>
      <c r="DI13" s="583" t="n"/>
      <c r="DJ13" s="583" t="n"/>
      <c r="DK13" s="583" t="n"/>
      <c r="DL13" s="583" t="n"/>
      <c r="DM13" s="583" t="n"/>
      <c r="DN13" s="583" t="n"/>
      <c r="DO13" s="583" t="n"/>
      <c r="DP13" s="583" t="n"/>
      <c r="DQ13" s="583" t="n"/>
      <c r="DR13" s="583" t="n"/>
      <c r="DS13" s="583" t="n"/>
      <c r="DT13" s="583" t="n"/>
      <c r="DU13" s="583" t="n"/>
      <c r="DV13" s="583" t="n"/>
      <c r="DW13" s="583" t="n"/>
      <c r="DX13" s="583" t="n"/>
      <c r="DY13" s="583" t="n"/>
      <c r="DZ13" s="583" t="n"/>
      <c r="EA13" s="583" t="n"/>
      <c r="EB13" s="583" t="n"/>
      <c r="EC13" s="583" t="n"/>
      <c r="ED13" s="583" t="n"/>
      <c r="EE13" s="583" t="n"/>
      <c r="EF13" s="583" t="n"/>
      <c r="EG13" s="583" t="n"/>
      <c r="EH13" s="583" t="n"/>
      <c r="EI13" s="583" t="n"/>
      <c r="EJ13" s="583" t="n"/>
      <c r="EK13" s="583" t="n"/>
      <c r="EL13" s="583" t="n"/>
      <c r="EM13" s="583" t="n"/>
      <c r="EN13" s="583" t="n"/>
      <c r="EO13" s="583" t="n"/>
      <c r="EP13" s="583" t="n"/>
      <c r="EQ13" s="583" t="n"/>
      <c r="ER13" s="583" t="n"/>
      <c r="ES13" s="583" t="n"/>
      <c r="ET13" s="583" t="n"/>
      <c r="EU13" s="583" t="n"/>
      <c r="EV13" s="583" t="n"/>
      <c r="EW13" s="583" t="n"/>
      <c r="EX13" s="583" t="n"/>
      <c r="EY13" s="583" t="n"/>
      <c r="EZ13" s="583" t="n"/>
      <c r="FA13" s="583" t="n"/>
      <c r="FB13" s="583" t="n"/>
      <c r="FC13" s="583" t="n"/>
      <c r="FD13" s="583" t="n"/>
      <c r="FE13" s="583" t="n"/>
      <c r="FF13" s="583" t="n"/>
      <c r="FG13" s="583" t="n"/>
      <c r="FH13" s="583" t="n"/>
      <c r="FI13" s="583" t="n"/>
      <c r="FJ13" s="583" t="n"/>
      <c r="FK13" s="583" t="n"/>
      <c r="FL13" s="583" t="n"/>
      <c r="FM13" s="583" t="n"/>
      <c r="FN13" s="583" t="n"/>
      <c r="FO13" s="583" t="n"/>
      <c r="FP13" s="583" t="n"/>
      <c r="FQ13" s="583" t="n"/>
      <c r="FR13" s="583" t="n"/>
      <c r="FS13" s="583" t="n"/>
      <c r="FT13" s="583" t="n"/>
      <c r="FU13" s="583" t="n"/>
      <c r="FV13" s="583" t="n"/>
      <c r="FW13" s="583" t="n"/>
      <c r="FX13" s="583" t="n"/>
      <c r="FY13" s="583" t="n"/>
      <c r="FZ13" s="583" t="n"/>
      <c r="GA13" s="583" t="n"/>
    </row>
    <row r="14" customFormat="1" s="568">
      <c r="A14" s="87" t="n"/>
      <c r="B14" s="87" t="n"/>
      <c r="C14" s="84">
        <f>E14*D$5</f>
        <v/>
      </c>
      <c r="D14" s="177" t="inlineStr">
        <is>
          <t>William C. Bain</t>
        </is>
      </c>
      <c r="E14" s="84">
        <f>SUM(G14:HT14)</f>
        <v/>
      </c>
      <c r="F14" s="582">
        <f>IFERROR(IF($E14&gt;0.0000005,$E14/SUMIF($E$11:$E$140,"&gt;0.0000005"),""),"")</f>
        <v/>
      </c>
      <c r="G14" s="570" t="n"/>
      <c r="H14" s="570" t="n"/>
      <c r="I14" s="570" t="n"/>
      <c r="J14" s="570" t="n"/>
      <c r="K14" s="585" t="n">
        <v>1</v>
      </c>
      <c r="L14" s="572" t="n"/>
      <c r="M14" s="572" t="n">
        <v>-0.050538870708934</v>
      </c>
      <c r="N14" s="586" t="n">
        <v>-0.050538870708934</v>
      </c>
      <c r="O14" s="570" t="n">
        <v>-0.050538870708934</v>
      </c>
      <c r="P14" s="570" t="n">
        <v>-0.050538870708934</v>
      </c>
      <c r="Q14" s="572" t="n">
        <v>-0.050538870708934</v>
      </c>
      <c r="R14" s="570" t="n">
        <v>-0.050538870708934</v>
      </c>
      <c r="S14" s="570" t="n">
        <v>-0.050538870708934</v>
      </c>
      <c r="T14" s="570" t="n">
        <v>-0.050538870708934</v>
      </c>
      <c r="U14" s="570" t="n"/>
      <c r="V14" s="570" t="n"/>
      <c r="W14" s="570" t="n"/>
      <c r="X14" s="570" t="n"/>
      <c r="Y14" s="570" t="n"/>
      <c r="Z14" s="572" t="n"/>
      <c r="AA14" s="572" t="n"/>
      <c r="AB14" s="573" t="n"/>
      <c r="AC14" s="571" t="n"/>
      <c r="AD14" s="571" t="n"/>
      <c r="AE14" s="571" t="n"/>
      <c r="AF14" s="571" t="n"/>
      <c r="AG14" s="570" t="n"/>
      <c r="AH14" s="572" t="n"/>
      <c r="AI14" s="570" t="n"/>
      <c r="AJ14" s="572" t="n"/>
      <c r="AK14" s="570" t="n"/>
      <c r="AL14" s="570" t="n"/>
      <c r="AM14" s="570" t="n"/>
      <c r="AN14" s="570" t="n"/>
      <c r="AO14" s="570" t="n"/>
      <c r="AP14" s="570" t="n"/>
      <c r="AQ14" s="570" t="n"/>
      <c r="AR14" s="570"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83" t="n"/>
      <c r="CN14" s="583" t="n"/>
      <c r="CO14" s="583" t="n"/>
      <c r="CP14" s="583" t="n"/>
      <c r="CQ14" s="583" t="n"/>
      <c r="CR14" s="583" t="n"/>
      <c r="CS14" s="583" t="n"/>
      <c r="CT14" s="583" t="n"/>
      <c r="CU14" s="583" t="n"/>
      <c r="CV14" s="583" t="n"/>
      <c r="CW14" s="583" t="n"/>
      <c r="CX14" s="583" t="n"/>
      <c r="CY14" s="583" t="n"/>
      <c r="CZ14" s="583" t="n"/>
      <c r="DA14" s="583" t="n"/>
      <c r="DB14" s="583" t="n"/>
      <c r="DC14" s="583" t="n"/>
      <c r="DD14" s="583" t="n"/>
      <c r="DE14" s="583" t="n"/>
      <c r="DF14" s="583" t="n"/>
      <c r="DG14" s="583" t="n"/>
      <c r="DH14" s="583" t="n"/>
      <c r="DI14" s="583" t="n"/>
      <c r="DJ14" s="583" t="n"/>
      <c r="DK14" s="583" t="n"/>
      <c r="DL14" s="583" t="n"/>
      <c r="DM14" s="583" t="n"/>
      <c r="DN14" s="583" t="n"/>
      <c r="DO14" s="583" t="n"/>
      <c r="DP14" s="583" t="n"/>
      <c r="DQ14" s="583" t="n"/>
      <c r="DR14" s="583" t="n"/>
      <c r="DS14" s="583" t="n"/>
      <c r="DT14" s="583" t="n"/>
      <c r="DU14" s="583" t="n"/>
      <c r="DV14" s="583" t="n"/>
      <c r="DW14" s="583" t="n"/>
      <c r="DX14" s="583" t="n"/>
      <c r="DY14" s="583" t="n"/>
      <c r="DZ14" s="583" t="n"/>
      <c r="EA14" s="583" t="n"/>
      <c r="EB14" s="583" t="n"/>
      <c r="EC14" s="583" t="n"/>
      <c r="ED14" s="583" t="n"/>
      <c r="EE14" s="583" t="n"/>
      <c r="EF14" s="583" t="n"/>
      <c r="EG14" s="583" t="n"/>
      <c r="EH14" s="583" t="n"/>
      <c r="EI14" s="583" t="n"/>
      <c r="EJ14" s="583" t="n"/>
      <c r="EK14" s="583" t="n"/>
      <c r="EL14" s="583" t="n"/>
      <c r="EM14" s="583" t="n"/>
      <c r="EN14" s="583" t="n"/>
      <c r="EO14" s="583" t="n"/>
      <c r="EP14" s="583" t="n"/>
      <c r="EQ14" s="583" t="n"/>
      <c r="ER14" s="583" t="n"/>
      <c r="ES14" s="583" t="n"/>
      <c r="ET14" s="583" t="n"/>
      <c r="EU14" s="583" t="n"/>
      <c r="EV14" s="583" t="n"/>
      <c r="EW14" s="583" t="n"/>
      <c r="EX14" s="583" t="n"/>
      <c r="EY14" s="583" t="n"/>
      <c r="EZ14" s="583" t="n"/>
      <c r="FA14" s="583" t="n"/>
      <c r="FB14" s="583" t="n"/>
      <c r="FC14" s="583" t="n"/>
      <c r="FD14" s="583" t="n"/>
      <c r="FE14" s="583" t="n"/>
      <c r="FF14" s="583" t="n"/>
      <c r="FG14" s="583" t="n"/>
      <c r="FH14" s="583" t="n"/>
      <c r="FI14" s="583" t="n"/>
      <c r="FJ14" s="583" t="n"/>
      <c r="FK14" s="583" t="n"/>
      <c r="FL14" s="583" t="n"/>
      <c r="FM14" s="583" t="n"/>
      <c r="FN14" s="583" t="n"/>
      <c r="FO14" s="583" t="n"/>
      <c r="FP14" s="583" t="n"/>
      <c r="FQ14" s="583" t="n"/>
      <c r="FR14" s="583" t="n"/>
      <c r="FS14" s="583" t="n"/>
      <c r="FT14" s="583" t="n"/>
      <c r="FU14" s="583" t="n"/>
      <c r="FV14" s="583" t="n"/>
      <c r="FW14" s="583" t="n"/>
      <c r="FX14" s="583" t="n"/>
      <c r="FY14" s="583" t="n"/>
      <c r="FZ14" s="583" t="n"/>
      <c r="GA14" s="583" t="n"/>
    </row>
    <row r="15" customFormat="1" s="568">
      <c r="A15" s="227" t="n"/>
      <c r="B15" s="87" t="n"/>
      <c r="C15" s="84">
        <f>E15*D$5</f>
        <v/>
      </c>
      <c r="D15" s="178" t="inlineStr">
        <is>
          <t>Marvin G. Mitchell and Carrie Lou Mitchell, HW, JTWROS</t>
        </is>
      </c>
      <c r="E15" s="84">
        <f>SUM(G15:HT15)</f>
        <v/>
      </c>
      <c r="F15" s="582">
        <f>IFERROR(IF($E15&gt;0.0000005,$E15/SUMIF($E$11:$E$140,"&gt;0.0000005"),""),"")</f>
        <v/>
      </c>
      <c r="G15" s="570" t="n"/>
      <c r="H15" s="571" t="n"/>
      <c r="I15" s="570" t="n"/>
      <c r="J15" s="570" t="n"/>
      <c r="K15" s="585" t="n"/>
      <c r="L15" s="585" t="n">
        <v>0</v>
      </c>
      <c r="M15" s="572" t="n"/>
      <c r="N15" s="586" t="n"/>
      <c r="O15" s="570" t="n"/>
      <c r="P15" s="570" t="n"/>
      <c r="Q15" s="570" t="n"/>
      <c r="R15" s="570" t="n"/>
      <c r="S15" s="570" t="n"/>
      <c r="T15" s="570" t="n"/>
      <c r="U15" s="570" t="n"/>
      <c r="V15" s="570" t="n"/>
      <c r="W15" s="570" t="n"/>
      <c r="X15" s="570" t="n"/>
      <c r="Y15" s="570" t="n"/>
      <c r="Z15" s="572" t="n"/>
      <c r="AA15" s="572" t="n"/>
      <c r="AB15" s="572" t="n"/>
      <c r="AC15" s="571" t="n"/>
      <c r="AD15" s="571" t="n"/>
      <c r="AE15" s="571" t="n"/>
      <c r="AF15" s="571" t="n"/>
      <c r="AG15" s="570" t="n"/>
      <c r="AH15" s="572" t="n"/>
      <c r="AI15" s="570" t="n"/>
      <c r="AJ15" s="572" t="n"/>
      <c r="AK15" s="570" t="n"/>
      <c r="AL15" s="570" t="n"/>
      <c r="AM15" s="570" t="n"/>
      <c r="AN15" s="570" t="n"/>
      <c r="AO15" s="570" t="n"/>
      <c r="AP15" s="570" t="n"/>
      <c r="AQ15" s="570" t="n"/>
      <c r="AR15" s="570"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83" t="n"/>
      <c r="CN15" s="583" t="n"/>
      <c r="CO15" s="583" t="n"/>
      <c r="CP15" s="583" t="n"/>
      <c r="CQ15" s="583" t="n"/>
      <c r="CR15" s="583" t="n"/>
      <c r="CS15" s="583" t="n"/>
      <c r="CT15" s="583" t="n"/>
      <c r="CU15" s="583" t="n"/>
      <c r="CV15" s="583" t="n"/>
      <c r="CW15" s="583" t="n"/>
      <c r="CX15" s="583" t="n"/>
      <c r="CY15" s="583" t="n"/>
      <c r="CZ15" s="583" t="n"/>
      <c r="DA15" s="583" t="n"/>
      <c r="DB15" s="583" t="n"/>
      <c r="DC15" s="583" t="n"/>
      <c r="DD15" s="583" t="n"/>
      <c r="DE15" s="583" t="n"/>
      <c r="DF15" s="583" t="n"/>
      <c r="DG15" s="583" t="n"/>
      <c r="DH15" s="583" t="n"/>
      <c r="DI15" s="583" t="n"/>
      <c r="DJ15" s="583" t="n"/>
      <c r="DK15" s="583" t="n"/>
      <c r="DL15" s="583" t="n"/>
      <c r="DM15" s="583" t="n"/>
      <c r="DN15" s="583" t="n"/>
      <c r="DO15" s="583" t="n"/>
      <c r="DP15" s="583" t="n"/>
      <c r="DQ15" s="583" t="n"/>
      <c r="DR15" s="583" t="n"/>
      <c r="DS15" s="583" t="n"/>
      <c r="DT15" s="583" t="n"/>
      <c r="DU15" s="583" t="n"/>
      <c r="DV15" s="583" t="n"/>
      <c r="DW15" s="583" t="n"/>
      <c r="DX15" s="583" t="n"/>
      <c r="DY15" s="583" t="n"/>
      <c r="DZ15" s="583" t="n"/>
      <c r="EA15" s="583" t="n"/>
      <c r="EB15" s="583" t="n"/>
      <c r="EC15" s="583" t="n"/>
      <c r="ED15" s="583" t="n"/>
      <c r="EE15" s="583" t="n"/>
      <c r="EF15" s="583" t="n"/>
      <c r="EG15" s="583" t="n"/>
      <c r="EH15" s="583" t="n"/>
      <c r="EI15" s="583" t="n"/>
      <c r="EJ15" s="583" t="n"/>
      <c r="EK15" s="583" t="n"/>
      <c r="EL15" s="583" t="n"/>
      <c r="EM15" s="583" t="n"/>
      <c r="EN15" s="583" t="n"/>
      <c r="EO15" s="583" t="n"/>
      <c r="EP15" s="583" t="n"/>
      <c r="EQ15" s="583" t="n"/>
      <c r="ER15" s="583" t="n"/>
      <c r="ES15" s="583" t="n"/>
      <c r="ET15" s="583" t="n"/>
      <c r="EU15" s="583" t="n"/>
      <c r="EV15" s="583" t="n"/>
      <c r="EW15" s="583" t="n"/>
      <c r="EX15" s="583" t="n"/>
      <c r="EY15" s="583" t="n"/>
      <c r="EZ15" s="583" t="n"/>
      <c r="FA15" s="583" t="n"/>
      <c r="FB15" s="583" t="n"/>
      <c r="FC15" s="583" t="n"/>
      <c r="FD15" s="583" t="n"/>
      <c r="FE15" s="583" t="n"/>
      <c r="FF15" s="583" t="n"/>
      <c r="FG15" s="583" t="n"/>
      <c r="FH15" s="583" t="n"/>
      <c r="FI15" s="583" t="n"/>
      <c r="FJ15" s="583" t="n"/>
      <c r="FK15" s="583" t="n"/>
      <c r="FL15" s="583" t="n"/>
      <c r="FM15" s="583" t="n"/>
      <c r="FN15" s="583" t="n"/>
      <c r="FO15" s="583" t="n"/>
      <c r="FP15" s="583" t="n"/>
      <c r="FQ15" s="583" t="n"/>
      <c r="FR15" s="583" t="n"/>
      <c r="FS15" s="583" t="n"/>
      <c r="FT15" s="583" t="n"/>
      <c r="FU15" s="583" t="n"/>
      <c r="FV15" s="583" t="n"/>
      <c r="FW15" s="583" t="n"/>
      <c r="FX15" s="583" t="n"/>
      <c r="FY15" s="583" t="n"/>
      <c r="FZ15" s="583" t="n"/>
      <c r="GA15" s="583" t="n"/>
    </row>
    <row r="16" customFormat="1" s="568">
      <c r="A16" s="227" t="n"/>
      <c r="B16" s="87" t="n"/>
      <c r="C16" s="84">
        <f>E16*D$5</f>
        <v/>
      </c>
      <c r="D16" s="178" t="inlineStr">
        <is>
          <t>Hazel A. Hamilton</t>
        </is>
      </c>
      <c r="E16" s="84">
        <f>SUM(G16:HT16)</f>
        <v/>
      </c>
      <c r="F16" s="582">
        <f>IFERROR(IF($E16&gt;0.0000005,$E16/SUMIF($E$11:$E$140,"&gt;0.0000005"),""),"")</f>
        <v/>
      </c>
      <c r="G16" s="570" t="n"/>
      <c r="H16" s="571" t="n"/>
      <c r="I16" s="570" t="n"/>
      <c r="J16" s="570" t="n"/>
      <c r="K16" s="585" t="n"/>
      <c r="L16" s="585" t="n"/>
      <c r="M16" s="572" t="n">
        <v>0.05053887070893401</v>
      </c>
      <c r="N16" s="586" t="n"/>
      <c r="O16" s="570" t="n"/>
      <c r="P16" s="586" t="n"/>
      <c r="Q16" s="572" t="n"/>
      <c r="R16" s="570" t="n"/>
      <c r="S16" s="570" t="n"/>
      <c r="T16" s="570" t="n"/>
      <c r="U16" s="570" t="n"/>
      <c r="V16" s="570" t="n"/>
      <c r="W16" s="571" t="n"/>
      <c r="X16" s="570" t="n"/>
      <c r="Y16" s="570" t="n"/>
      <c r="Z16" s="572" t="n">
        <v>-0.050538870708934</v>
      </c>
      <c r="AA16" s="572" t="n"/>
      <c r="AB16" s="572" t="n"/>
      <c r="AC16" s="571" t="n"/>
      <c r="AD16" s="571" t="n"/>
      <c r="AE16" s="571" t="n"/>
      <c r="AF16" s="571" t="n"/>
      <c r="AG16" s="570" t="n"/>
      <c r="AH16" s="572" t="n"/>
      <c r="AI16" s="570" t="n"/>
      <c r="AJ16" s="572" t="n"/>
      <c r="AK16" s="570" t="n"/>
      <c r="AL16" s="570" t="n"/>
      <c r="AM16" s="570" t="n"/>
      <c r="AN16" s="570" t="n"/>
      <c r="AO16" s="570" t="n"/>
      <c r="AP16" s="570" t="n"/>
      <c r="AQ16" s="570" t="n"/>
      <c r="AR16" s="570" t="n"/>
      <c r="AS16" s="579" t="n"/>
      <c r="AT16" s="579" t="n"/>
      <c r="AU16" s="579" t="n"/>
      <c r="AV16" s="579" t="n"/>
      <c r="AW16" s="579" t="n"/>
      <c r="AX16" s="579" t="n"/>
      <c r="AY16" s="579" t="n"/>
      <c r="AZ16" s="579" t="n"/>
      <c r="BA16" s="579" t="n"/>
      <c r="BB16" s="579" t="n"/>
      <c r="BC16" s="579" t="n"/>
      <c r="BD16" s="579" t="n"/>
      <c r="BE16" s="579" t="n"/>
      <c r="BF16" s="579" t="n"/>
      <c r="BG16" s="579" t="n"/>
      <c r="BH16" s="579" t="n">
        <v>0</v>
      </c>
      <c r="BI16" s="579" t="n"/>
      <c r="BJ16" s="579" t="n"/>
      <c r="BK16" s="579" t="n"/>
      <c r="BL16" s="579" t="n"/>
      <c r="BM16" s="579" t="n"/>
      <c r="BN16" s="579" t="n"/>
      <c r="BO16" s="579" t="n"/>
      <c r="BP16" s="579" t="n"/>
      <c r="BQ16" s="579" t="n"/>
      <c r="BR16" s="579" t="n"/>
      <c r="BS16" s="579" t="n">
        <v>0.004211568347505275</v>
      </c>
      <c r="BT16" s="579" t="n"/>
      <c r="BU16" s="579" t="n"/>
      <c r="BV16" s="579" t="n"/>
      <c r="BW16" s="579" t="n"/>
      <c r="BX16" s="579" t="n"/>
      <c r="BY16" s="579" t="n"/>
      <c r="BZ16" s="579" t="n"/>
      <c r="CA16" s="579" t="n">
        <v>-0.00421156834750528</v>
      </c>
      <c r="CB16" s="579" t="n"/>
      <c r="CC16" s="579" t="n"/>
      <c r="CD16" s="579" t="n"/>
      <c r="CE16" s="579" t="n"/>
      <c r="CF16" s="579" t="n"/>
      <c r="CG16" s="579" t="n"/>
      <c r="CH16" s="579" t="n"/>
      <c r="CI16" s="579" t="n"/>
      <c r="CJ16" s="579" t="n"/>
      <c r="CK16" s="579" t="n"/>
      <c r="CL16" s="579" t="n"/>
      <c r="CM16" s="583" t="n"/>
      <c r="CN16" s="583" t="n"/>
      <c r="CO16" s="583" t="n"/>
      <c r="CP16" s="583" t="n"/>
      <c r="CQ16" s="583" t="n"/>
      <c r="CR16" s="583" t="n"/>
      <c r="CS16" s="583" t="n"/>
      <c r="CT16" s="583" t="n"/>
      <c r="CU16" s="583" t="n"/>
      <c r="CV16" s="583" t="n"/>
      <c r="CW16" s="583" t="n"/>
      <c r="CX16" s="583" t="n"/>
      <c r="CY16" s="583" t="n"/>
      <c r="CZ16" s="583" t="n"/>
      <c r="DA16" s="583" t="n"/>
      <c r="DB16" s="583" t="n"/>
      <c r="DC16" s="583" t="n"/>
      <c r="DD16" s="583" t="n"/>
      <c r="DE16" s="583" t="n"/>
      <c r="DF16" s="583" t="n"/>
      <c r="DG16" s="583" t="n"/>
      <c r="DH16" s="583" t="n"/>
      <c r="DI16" s="583" t="n"/>
      <c r="DJ16" s="583" t="n"/>
      <c r="DK16" s="583" t="n"/>
      <c r="DL16" s="583" t="n"/>
      <c r="DM16" s="583" t="n"/>
      <c r="DN16" s="583" t="n"/>
      <c r="DO16" s="583" t="n"/>
      <c r="DP16" s="583" t="n"/>
      <c r="DQ16" s="583" t="n"/>
      <c r="DR16" s="583" t="n"/>
      <c r="DS16" s="583" t="n"/>
      <c r="DT16" s="583" t="n"/>
      <c r="DU16" s="583" t="n"/>
      <c r="DV16" s="583" t="n"/>
      <c r="DW16" s="583" t="n"/>
      <c r="DX16" s="583" t="n"/>
      <c r="DY16" s="583" t="n"/>
      <c r="DZ16" s="583" t="n"/>
      <c r="EA16" s="583" t="n"/>
      <c r="EB16" s="583" t="n"/>
      <c r="EC16" s="583" t="n"/>
      <c r="ED16" s="583" t="n"/>
      <c r="EE16" s="583" t="n"/>
      <c r="EF16" s="583" t="n"/>
      <c r="EG16" s="583" t="n"/>
      <c r="EH16" s="583" t="n"/>
      <c r="EI16" s="583" t="n"/>
      <c r="EJ16" s="583" t="n"/>
      <c r="EK16" s="583" t="n"/>
      <c r="EL16" s="583" t="n"/>
      <c r="EM16" s="583" t="n"/>
      <c r="EN16" s="583" t="n"/>
      <c r="EO16" s="583" t="n"/>
      <c r="EP16" s="583" t="n"/>
      <c r="EQ16" s="583" t="n"/>
      <c r="ER16" s="583" t="n"/>
      <c r="ES16" s="583" t="n"/>
      <c r="ET16" s="583" t="n"/>
      <c r="EU16" s="583" t="n"/>
      <c r="EV16" s="583" t="n"/>
      <c r="EW16" s="583" t="n"/>
      <c r="EX16" s="583" t="n"/>
      <c r="EY16" s="583" t="n"/>
      <c r="EZ16" s="583" t="n"/>
      <c r="FA16" s="583" t="n"/>
      <c r="FB16" s="583" t="n"/>
      <c r="FC16" s="583" t="n"/>
      <c r="FD16" s="583" t="n"/>
      <c r="FE16" s="583" t="n"/>
      <c r="FF16" s="583" t="n"/>
      <c r="FG16" s="583" t="n"/>
      <c r="FH16" s="583" t="n"/>
      <c r="FI16" s="583" t="n"/>
      <c r="FJ16" s="583" t="n"/>
      <c r="FK16" s="583" t="n"/>
      <c r="FL16" s="583" t="n"/>
      <c r="FM16" s="583" t="n"/>
      <c r="FN16" s="583" t="n"/>
      <c r="FO16" s="583" t="n"/>
      <c r="FP16" s="583" t="n"/>
      <c r="FQ16" s="583" t="n"/>
      <c r="FR16" s="583" t="n"/>
      <c r="FS16" s="583" t="n"/>
      <c r="FT16" s="583" t="n"/>
      <c r="FU16" s="583" t="n"/>
      <c r="FV16" s="583" t="n"/>
      <c r="FW16" s="583" t="n"/>
      <c r="FX16" s="583" t="n"/>
      <c r="FY16" s="583" t="n"/>
      <c r="FZ16" s="583" t="n"/>
      <c r="GA16" s="583" t="n"/>
    </row>
    <row r="17" customFormat="1" s="568">
      <c r="A17" s="227" t="n"/>
      <c r="B17" s="87" t="n"/>
      <c r="C17" s="137">
        <f>E17*D$5</f>
        <v/>
      </c>
      <c r="D17" s="177" t="inlineStr">
        <is>
          <t>Opal L. Fuchs</t>
        </is>
      </c>
      <c r="E17" s="137">
        <f>SUM(G17:HT17)</f>
        <v/>
      </c>
      <c r="F17" s="582">
        <f>IFERROR(IF($E17&gt;0.0000005,$E17/SUMIF($E$11:$E$140,"&gt;0.0000005"),""),"")</f>
        <v/>
      </c>
      <c r="G17" s="570" t="n"/>
      <c r="H17" s="571" t="n"/>
      <c r="I17" s="570" t="n"/>
      <c r="J17" s="570" t="n"/>
      <c r="K17" s="585" t="n"/>
      <c r="L17" s="585" t="n"/>
      <c r="M17" s="572" t="n"/>
      <c r="N17" s="586" t="n">
        <v>0.05053887070893401</v>
      </c>
      <c r="O17" s="570" t="n"/>
      <c r="P17" s="570" t="n"/>
      <c r="Q17" s="572" t="n"/>
      <c r="R17" s="570" t="n"/>
      <c r="S17" s="570" t="n"/>
      <c r="T17" s="570" t="n"/>
      <c r="U17" s="570" t="n"/>
      <c r="V17" s="570" t="n"/>
      <c r="W17" s="570" t="n"/>
      <c r="X17" s="570" t="n"/>
      <c r="Y17" s="570" t="n"/>
      <c r="Z17" s="572" t="n"/>
      <c r="AA17" s="572" t="n"/>
      <c r="AB17" s="572" t="n"/>
      <c r="AC17" s="571" t="n"/>
      <c r="AD17" s="571" t="n"/>
      <c r="AE17" s="571" t="n"/>
      <c r="AF17" s="571" t="n"/>
      <c r="AG17" s="570" t="n"/>
      <c r="AH17" s="572" t="n"/>
      <c r="AI17" s="570" t="n"/>
      <c r="AJ17" s="572" t="n"/>
      <c r="AK17" s="570" t="n"/>
      <c r="AL17" s="570" t="n"/>
      <c r="AM17" s="570" t="n"/>
      <c r="AN17" s="570" t="n"/>
      <c r="AO17" s="570" t="n"/>
      <c r="AP17" s="570" t="n"/>
      <c r="AQ17" s="570" t="n"/>
      <c r="AR17" s="570" t="n"/>
      <c r="AS17" s="579" t="n"/>
      <c r="AT17" s="579" t="n"/>
      <c r="AU17" s="579" t="n"/>
      <c r="AV17" s="579" t="n"/>
      <c r="AW17" s="579" t="n"/>
      <c r="AX17" s="579" t="n"/>
      <c r="AY17" s="579" t="n"/>
      <c r="AZ17" s="579" t="n"/>
      <c r="BA17" s="579" t="n"/>
      <c r="BB17" s="579" t="n"/>
      <c r="BC17" s="579" t="n"/>
      <c r="BD17" s="579" t="n"/>
      <c r="BE17" s="579" t="n"/>
      <c r="BF17" s="579" t="n"/>
      <c r="BG17" s="579" t="n"/>
      <c r="BH17" s="579" t="n"/>
      <c r="BI17" s="579" t="n">
        <v>0</v>
      </c>
      <c r="BJ17" s="579" t="n"/>
      <c r="BK17" s="579" t="n"/>
      <c r="BL17" s="579" t="n"/>
      <c r="BM17" s="579" t="n"/>
      <c r="BN17" s="579" t="n"/>
      <c r="BO17" s="579" t="n"/>
      <c r="BP17" s="579" t="n"/>
      <c r="BQ17" s="579" t="n">
        <v>0.004211568347505275</v>
      </c>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83" t="n"/>
      <c r="CN17" s="583" t="n"/>
      <c r="CO17" s="583" t="n"/>
      <c r="CP17" s="583" t="n"/>
      <c r="CQ17" s="583" t="n"/>
      <c r="CR17" s="583" t="n"/>
      <c r="CS17" s="583" t="n"/>
      <c r="CT17" s="583" t="n"/>
      <c r="CU17" s="583" t="n"/>
      <c r="CV17" s="583" t="n"/>
      <c r="CW17" s="583" t="n"/>
      <c r="CX17" s="583" t="n"/>
      <c r="CY17" s="583" t="n"/>
      <c r="CZ17" s="583" t="n"/>
      <c r="DA17" s="583" t="n"/>
      <c r="DB17" s="583" t="n"/>
      <c r="DC17" s="583" t="n"/>
      <c r="DD17" s="583" t="n"/>
      <c r="DE17" s="583" t="n"/>
      <c r="DF17" s="583" t="n"/>
      <c r="DG17" s="583" t="n"/>
      <c r="DH17" s="583" t="n"/>
      <c r="DI17" s="583" t="n"/>
      <c r="DJ17" s="583" t="n"/>
      <c r="DK17" s="583" t="n"/>
      <c r="DL17" s="583" t="n"/>
      <c r="DM17" s="583" t="n"/>
      <c r="DN17" s="583" t="n"/>
      <c r="DO17" s="583" t="n"/>
      <c r="DP17" s="583" t="n"/>
      <c r="DQ17" s="583" t="n"/>
      <c r="DR17" s="583" t="n"/>
      <c r="DS17" s="583" t="n"/>
      <c r="DT17" s="583" t="n"/>
      <c r="DU17" s="583" t="n"/>
      <c r="DV17" s="583" t="n"/>
      <c r="DW17" s="583" t="n"/>
      <c r="DX17" s="583" t="n"/>
      <c r="DY17" s="583" t="n"/>
      <c r="DZ17" s="583" t="n"/>
      <c r="EA17" s="583" t="n"/>
      <c r="EB17" s="583" t="n"/>
      <c r="EC17" s="583" t="n"/>
      <c r="ED17" s="583" t="n"/>
      <c r="EE17" s="583" t="n"/>
      <c r="EF17" s="583" t="n"/>
      <c r="EG17" s="583" t="n"/>
      <c r="EH17" s="583" t="n"/>
      <c r="EI17" s="583" t="n"/>
      <c r="EJ17" s="583" t="n"/>
      <c r="EK17" s="583" t="n"/>
      <c r="EL17" s="583" t="n"/>
      <c r="EM17" s="583" t="n"/>
      <c r="EN17" s="583" t="n"/>
      <c r="EO17" s="583" t="n"/>
      <c r="EP17" s="583" t="n"/>
      <c r="EQ17" s="583" t="n"/>
      <c r="ER17" s="583" t="n"/>
      <c r="ES17" s="583" t="n"/>
      <c r="ET17" s="583" t="n"/>
      <c r="EU17" s="583" t="n"/>
      <c r="EV17" s="583" t="n"/>
      <c r="EW17" s="583" t="n"/>
      <c r="EX17" s="583" t="n"/>
      <c r="EY17" s="583" t="n"/>
      <c r="EZ17" s="583" t="n"/>
      <c r="FA17" s="583" t="n"/>
      <c r="FB17" s="583" t="n"/>
      <c r="FC17" s="583" t="n"/>
      <c r="FD17" s="583" t="n"/>
      <c r="FE17" s="583" t="n"/>
      <c r="FF17" s="583" t="n"/>
      <c r="FG17" s="583" t="n"/>
      <c r="FH17" s="583" t="n"/>
      <c r="FI17" s="583" t="n"/>
      <c r="FJ17" s="583" t="n"/>
      <c r="FK17" s="583" t="n"/>
      <c r="FL17" s="583" t="n"/>
      <c r="FM17" s="583" t="n"/>
      <c r="FN17" s="583" t="n"/>
      <c r="FO17" s="583" t="n"/>
      <c r="FP17" s="583" t="n"/>
      <c r="FQ17" s="583" t="n"/>
      <c r="FR17" s="583" t="n"/>
      <c r="FS17" s="583" t="n"/>
      <c r="FT17" s="583" t="n"/>
      <c r="FU17" s="583" t="n"/>
      <c r="FV17" s="583" t="n"/>
      <c r="FW17" s="583" t="n"/>
      <c r="FX17" s="583" t="n"/>
      <c r="FY17" s="583" t="n"/>
      <c r="FZ17" s="583" t="n"/>
      <c r="GA17" s="583" t="n"/>
    </row>
    <row r="18" customFormat="1" s="568">
      <c r="A18" s="227" t="n"/>
      <c r="B18" s="87" t="n"/>
      <c r="C18" s="84">
        <f>E18*D$5</f>
        <v/>
      </c>
      <c r="D18" s="177" t="inlineStr">
        <is>
          <t>Carl L. Bain</t>
        </is>
      </c>
      <c r="E18" s="84">
        <f>SUM(G18:HT18)</f>
        <v/>
      </c>
      <c r="F18" s="582">
        <f>IFERROR(IF($E18&gt;0.0000005,$E18/SUMIF($E$11:$E$140,"&gt;0.0000005"),""),"")</f>
        <v/>
      </c>
      <c r="G18" s="570" t="n"/>
      <c r="H18" s="570" t="n"/>
      <c r="I18" s="570" t="n"/>
      <c r="J18" s="570" t="n"/>
      <c r="K18" s="585" t="n"/>
      <c r="L18" s="585" t="n"/>
      <c r="M18" s="572" t="n"/>
      <c r="N18" s="586" t="n"/>
      <c r="O18" s="586" t="n">
        <v>0.05053887070893401</v>
      </c>
      <c r="P18" s="570" t="n"/>
      <c r="Q18" s="572" t="n"/>
      <c r="R18" s="570" t="n"/>
      <c r="S18" s="570" t="n"/>
      <c r="T18" s="570" t="n"/>
      <c r="U18" s="570" t="n"/>
      <c r="V18" s="570" t="n"/>
      <c r="W18" s="570" t="n"/>
      <c r="X18" s="570" t="n"/>
      <c r="Y18" s="570" t="n"/>
      <c r="Z18" s="572" t="n"/>
      <c r="AA18" s="572" t="n"/>
      <c r="AB18" s="572" t="n"/>
      <c r="AC18" s="571" t="n"/>
      <c r="AD18" s="571" t="n"/>
      <c r="AE18" s="571" t="n"/>
      <c r="AF18" s="571" t="n"/>
      <c r="AG18" s="570" t="n"/>
      <c r="AH18" s="573" t="n"/>
      <c r="AI18" s="570" t="n"/>
      <c r="AJ18" s="572" t="n"/>
      <c r="AK18" s="570" t="n"/>
      <c r="AL18" s="570" t="n"/>
      <c r="AM18" s="570" t="n"/>
      <c r="AN18" s="570" t="n"/>
      <c r="AO18" s="570" t="n"/>
      <c r="AP18" s="570" t="n"/>
      <c r="AQ18" s="570" t="n"/>
      <c r="AR18" s="570"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83" t="n"/>
      <c r="CN18" s="583" t="n"/>
      <c r="CO18" s="583" t="n"/>
      <c r="CP18" s="583" t="n"/>
      <c r="CQ18" s="583" t="n"/>
      <c r="CR18" s="583" t="n"/>
      <c r="CS18" s="583" t="n"/>
      <c r="CT18" s="583" t="n"/>
      <c r="CU18" s="583" t="n"/>
      <c r="CV18" s="583" t="n"/>
      <c r="CW18" s="583" t="n"/>
      <c r="CX18" s="583" t="n"/>
      <c r="CY18" s="583" t="n"/>
      <c r="CZ18" s="583" t="n"/>
      <c r="DA18" s="583" t="n"/>
      <c r="DB18" s="583" t="n"/>
      <c r="DC18" s="583" t="n"/>
      <c r="DD18" s="583" t="n"/>
      <c r="DE18" s="583" t="n"/>
      <c r="DF18" s="583" t="n"/>
      <c r="DG18" s="583" t="n"/>
      <c r="DH18" s="583" t="n"/>
      <c r="DI18" s="583" t="n"/>
      <c r="DJ18" s="583" t="n"/>
      <c r="DK18" s="583" t="n"/>
      <c r="DL18" s="583" t="n"/>
      <c r="DM18" s="583" t="n"/>
      <c r="DN18" s="583" t="n"/>
      <c r="DO18" s="583" t="n"/>
      <c r="DP18" s="583" t="n"/>
      <c r="DQ18" s="583" t="n"/>
      <c r="DR18" s="583" t="n"/>
      <c r="DS18" s="583" t="n"/>
      <c r="DT18" s="583" t="n"/>
      <c r="DU18" s="583" t="n"/>
      <c r="DV18" s="583" t="n"/>
      <c r="DW18" s="583" t="n"/>
      <c r="DX18" s="583" t="n"/>
      <c r="DY18" s="583" t="n"/>
      <c r="DZ18" s="583" t="n"/>
      <c r="EA18" s="583" t="n"/>
      <c r="EB18" s="583" t="n"/>
      <c r="EC18" s="583" t="n"/>
      <c r="ED18" s="583" t="n"/>
      <c r="EE18" s="583" t="n"/>
      <c r="EF18" s="583" t="n"/>
      <c r="EG18" s="583" t="n"/>
      <c r="EH18" s="583" t="n"/>
      <c r="EI18" s="583" t="n"/>
      <c r="EJ18" s="583" t="n"/>
      <c r="EK18" s="583" t="n"/>
      <c r="EL18" s="583" t="n"/>
      <c r="EM18" s="583" t="n"/>
      <c r="EN18" s="583" t="n"/>
      <c r="EO18" s="583" t="n"/>
      <c r="EP18" s="583" t="n"/>
      <c r="EQ18" s="583" t="n"/>
      <c r="ER18" s="583" t="n"/>
      <c r="ES18" s="583" t="n"/>
      <c r="ET18" s="583" t="n"/>
      <c r="EU18" s="583" t="n"/>
      <c r="EV18" s="583" t="n"/>
      <c r="EW18" s="583" t="n"/>
      <c r="EX18" s="583" t="n"/>
      <c r="EY18" s="583" t="n"/>
      <c r="EZ18" s="583" t="n"/>
      <c r="FA18" s="583" t="n"/>
      <c r="FB18" s="583" t="n"/>
      <c r="FC18" s="583" t="n"/>
      <c r="FD18" s="583" t="n"/>
      <c r="FE18" s="583" t="n"/>
      <c r="FF18" s="583" t="n"/>
      <c r="FG18" s="583" t="n"/>
      <c r="FH18" s="583" t="n"/>
      <c r="FI18" s="583" t="n"/>
      <c r="FJ18" s="583" t="n"/>
      <c r="FK18" s="583" t="n"/>
      <c r="FL18" s="583" t="n"/>
      <c r="FM18" s="583" t="n"/>
      <c r="FN18" s="583" t="n"/>
      <c r="FO18" s="583" t="n"/>
      <c r="FP18" s="583" t="n"/>
      <c r="FQ18" s="583" t="n"/>
      <c r="FR18" s="583" t="n"/>
      <c r="FS18" s="583" t="n"/>
      <c r="FT18" s="583" t="n"/>
      <c r="FU18" s="583" t="n"/>
      <c r="FV18" s="583" t="n"/>
      <c r="FW18" s="583" t="n"/>
      <c r="FX18" s="583" t="n"/>
      <c r="FY18" s="583" t="n"/>
      <c r="FZ18" s="583" t="n"/>
      <c r="GA18" s="583" t="n"/>
    </row>
    <row r="19" customFormat="1" s="568">
      <c r="A19" s="227" t="n"/>
      <c r="B19" s="87" t="n"/>
      <c r="C19" s="84">
        <f>E19*D$5</f>
        <v/>
      </c>
      <c r="D19" s="177" t="inlineStr">
        <is>
          <t>Dow C. Bain</t>
        </is>
      </c>
      <c r="E19" s="84">
        <f>SUM(G19:HP19)</f>
        <v/>
      </c>
      <c r="F19" s="582">
        <f>IFERROR(IF($E19&gt;0.0000005,$E19/SUMIF($E$11:$E$140,"&gt;0.0000005"),""),"")</f>
        <v/>
      </c>
      <c r="G19" s="570" t="n"/>
      <c r="H19" s="570" t="n"/>
      <c r="I19" s="570" t="n"/>
      <c r="J19" s="570" t="n"/>
      <c r="K19" s="570" t="n"/>
      <c r="L19" s="570" t="n"/>
      <c r="M19" s="570" t="n"/>
      <c r="N19" s="570" t="n"/>
      <c r="O19" s="586" t="n"/>
      <c r="P19" s="570" t="n">
        <v>0.05053887070893401</v>
      </c>
      <c r="Q19" s="570" t="n"/>
      <c r="R19" s="586" t="n"/>
      <c r="S19" s="586" t="n"/>
      <c r="T19" s="570" t="n"/>
      <c r="U19" s="570" t="n"/>
      <c r="V19" s="570" t="n"/>
      <c r="W19" s="570" t="n"/>
      <c r="X19" s="570" t="n"/>
      <c r="Y19" s="570" t="n"/>
      <c r="Z19" s="572" t="n"/>
      <c r="AA19" s="570" t="n"/>
      <c r="AB19" s="572" t="n"/>
      <c r="AC19" s="571" t="n"/>
      <c r="AD19" s="571" t="n"/>
      <c r="AE19" s="571" t="n"/>
      <c r="AF19" s="571" t="n"/>
      <c r="AG19" s="570" t="n"/>
      <c r="AH19" s="572" t="n"/>
      <c r="AI19" s="570" t="n"/>
      <c r="AJ19" s="572" t="n"/>
      <c r="AK19" s="572" t="n"/>
      <c r="AL19" s="570" t="n"/>
      <c r="AM19" s="571" t="n"/>
      <c r="AN19" s="570" t="n"/>
      <c r="AO19" s="570" t="n"/>
      <c r="AP19" s="570" t="n"/>
      <c r="AQ19" s="570" t="n"/>
      <c r="AR19" s="570" t="n"/>
      <c r="AS19" s="579" t="n"/>
      <c r="AT19" s="579" t="n"/>
      <c r="AU19" s="579" t="n"/>
      <c r="AV19" s="579" t="n"/>
      <c r="AW19" s="579" t="n"/>
      <c r="AX19" s="579" t="n">
        <v>-0.050538870708934</v>
      </c>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v>0.004211568347505275</v>
      </c>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83" t="n"/>
      <c r="CN19" s="583" t="n"/>
      <c r="CO19" s="583" t="n"/>
      <c r="CP19" s="583" t="n"/>
      <c r="CQ19" s="583" t="n"/>
      <c r="CR19" s="583" t="n"/>
      <c r="CS19" s="583" t="n"/>
      <c r="CT19" s="583" t="n"/>
      <c r="CU19" s="583" t="n"/>
      <c r="CV19" s="583" t="n"/>
      <c r="CW19" s="583" t="n"/>
      <c r="CX19" s="583" t="n"/>
      <c r="CY19" s="583" t="n"/>
      <c r="CZ19" s="583" t="n"/>
      <c r="DA19" s="583" t="n"/>
      <c r="DB19" s="583" t="n"/>
      <c r="DC19" s="583" t="n"/>
      <c r="DD19" s="583" t="n"/>
      <c r="DE19" s="583" t="n"/>
      <c r="DF19" s="583" t="n"/>
      <c r="DG19" s="583" t="n"/>
      <c r="DH19" s="583" t="n"/>
      <c r="DI19" s="583" t="n"/>
      <c r="DJ19" s="583" t="n"/>
      <c r="DK19" s="583" t="n"/>
      <c r="DL19" s="583" t="n"/>
      <c r="DM19" s="583" t="n"/>
      <c r="DN19" s="583" t="n"/>
      <c r="DO19" s="583" t="n"/>
      <c r="DP19" s="583" t="n"/>
      <c r="DQ19" s="583" t="n"/>
      <c r="DR19" s="583" t="n"/>
      <c r="DS19" s="583" t="n"/>
      <c r="DT19" s="583" t="n"/>
      <c r="DU19" s="583" t="n"/>
      <c r="DV19" s="583" t="n"/>
      <c r="DW19" s="583" t="n"/>
      <c r="DX19" s="583" t="n"/>
      <c r="DY19" s="583" t="n"/>
      <c r="DZ19" s="583" t="n"/>
      <c r="EA19" s="583" t="n"/>
      <c r="EB19" s="583" t="n"/>
      <c r="EC19" s="583" t="n"/>
      <c r="ED19" s="583" t="n"/>
      <c r="EE19" s="583" t="n"/>
      <c r="EF19" s="583" t="n"/>
      <c r="EG19" s="583" t="n"/>
      <c r="EH19" s="583" t="n"/>
      <c r="EI19" s="583" t="n"/>
      <c r="EJ19" s="583" t="n"/>
      <c r="EK19" s="583" t="n"/>
      <c r="EL19" s="583" t="n"/>
      <c r="EM19" s="583" t="n"/>
      <c r="EN19" s="583" t="n"/>
      <c r="EO19" s="583" t="n"/>
      <c r="EP19" s="583" t="n"/>
      <c r="EQ19" s="583" t="n"/>
      <c r="ER19" s="583" t="n"/>
      <c r="ES19" s="583" t="n"/>
      <c r="ET19" s="583" t="n"/>
      <c r="EU19" s="583" t="n"/>
      <c r="EV19" s="583" t="n"/>
      <c r="EW19" s="583" t="n"/>
      <c r="EX19" s="583" t="n"/>
      <c r="EY19" s="583" t="n"/>
      <c r="EZ19" s="583" t="n"/>
      <c r="FA19" s="583" t="n"/>
      <c r="FB19" s="583" t="n"/>
      <c r="FC19" s="583" t="n"/>
      <c r="FD19" s="583" t="n"/>
      <c r="FE19" s="583" t="n"/>
      <c r="FF19" s="583" t="n"/>
      <c r="FG19" s="583" t="n"/>
      <c r="FH19" s="583" t="n"/>
      <c r="FI19" s="583" t="n"/>
      <c r="FJ19" s="583" t="n"/>
      <c r="FK19" s="583" t="n"/>
      <c r="FL19" s="583" t="n"/>
      <c r="FM19" s="583" t="n"/>
      <c r="FN19" s="583" t="n"/>
      <c r="FO19" s="583" t="n"/>
      <c r="FP19" s="583" t="n"/>
      <c r="FQ19" s="583" t="n"/>
      <c r="FR19" s="583" t="n"/>
      <c r="FS19" s="583" t="n"/>
      <c r="FT19" s="583" t="n"/>
      <c r="FU19" s="583" t="n"/>
      <c r="FV19" s="583" t="n"/>
      <c r="FW19" s="583" t="n"/>
      <c r="FX19" s="587" t="n"/>
      <c r="FY19" s="587" t="n"/>
      <c r="FZ19" s="587" t="n"/>
      <c r="GA19" s="587" t="n"/>
    </row>
    <row r="20" customFormat="1" s="568">
      <c r="A20" s="227" t="inlineStr">
        <is>
          <t>Open</t>
        </is>
      </c>
      <c r="B20" s="87" t="n"/>
      <c r="C20" s="137">
        <f>E20*D$5</f>
        <v/>
      </c>
      <c r="D20" s="52" t="inlineStr">
        <is>
          <t>Wilda E. Jensen</t>
        </is>
      </c>
      <c r="E20" s="137">
        <f>SUM(G20:HP20)</f>
        <v/>
      </c>
      <c r="F20" s="582">
        <f>IFERROR(IF($E20&gt;0.0000005,$E20/SUMIF($E$11:$E$140,"&gt;0.0000005"),""),"")</f>
        <v/>
      </c>
      <c r="G20" s="570" t="n"/>
      <c r="H20" s="570" t="n"/>
      <c r="I20" s="570" t="n"/>
      <c r="J20" s="570" t="n"/>
      <c r="K20" s="570" t="n"/>
      <c r="L20" s="570" t="n"/>
      <c r="M20" s="570" t="n"/>
      <c r="N20" s="570" t="n"/>
      <c r="O20" s="586" t="n"/>
      <c r="P20" s="570" t="n"/>
      <c r="Q20" s="570" t="n">
        <v>0.05053887070893401</v>
      </c>
      <c r="R20" s="570" t="n"/>
      <c r="S20" s="586" t="n"/>
      <c r="T20" s="570" t="n"/>
      <c r="U20" s="570" t="n"/>
      <c r="V20" s="570" t="n"/>
      <c r="W20" s="570" t="n"/>
      <c r="X20" s="570" t="n"/>
      <c r="Y20" s="570" t="n"/>
      <c r="Z20" s="572" t="n"/>
      <c r="AA20" s="570" t="n"/>
      <c r="AB20" s="572" t="n"/>
      <c r="AC20" s="572" t="n"/>
      <c r="AD20" s="572" t="n"/>
      <c r="AE20" s="572" t="n"/>
      <c r="AF20" s="572" t="n"/>
      <c r="AG20" s="570" t="n"/>
      <c r="AH20" s="572" t="n"/>
      <c r="AI20" s="570" t="n"/>
      <c r="AJ20" s="572" t="n"/>
      <c r="AK20" s="572" t="n"/>
      <c r="AL20" s="570" t="n"/>
      <c r="AM20" s="570" t="n"/>
      <c r="AN20" s="570" t="n"/>
      <c r="AO20" s="570" t="n"/>
      <c r="AP20" s="570" t="n"/>
      <c r="AQ20" s="570" t="n"/>
      <c r="AR20" s="570"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v>0</v>
      </c>
      <c r="BK20" s="579" t="n"/>
      <c r="BL20" s="579" t="n"/>
      <c r="BM20" s="579" t="n">
        <v>-0.0125</v>
      </c>
      <c r="BN20" s="579" t="n">
        <v>-0.0125</v>
      </c>
      <c r="BO20" s="579" t="n"/>
      <c r="BP20" s="579" t="n"/>
      <c r="BQ20" s="579" t="n"/>
      <c r="BR20" s="579" t="n">
        <v>0.004211568347505275</v>
      </c>
      <c r="BS20" s="579" t="n"/>
      <c r="BT20" s="579" t="n"/>
      <c r="BU20" s="579" t="n"/>
      <c r="BV20" s="579" t="n"/>
      <c r="BW20" s="579" t="n"/>
      <c r="BX20" s="579" t="n"/>
      <c r="BY20" s="579" t="n">
        <v>-0.0125</v>
      </c>
      <c r="BZ20" s="579" t="n">
        <v>-0.0125</v>
      </c>
      <c r="CA20" s="579" t="n"/>
      <c r="CB20" s="579" t="n"/>
      <c r="CC20" s="579" t="n"/>
      <c r="CD20" s="579" t="n"/>
      <c r="CE20" s="579" t="n"/>
      <c r="CF20" s="579" t="n">
        <v>0.00610631293668743</v>
      </c>
      <c r="CG20" s="579" t="n"/>
      <c r="CH20" s="579" t="n"/>
      <c r="CI20" s="579" t="n"/>
      <c r="CJ20" s="579" t="n"/>
      <c r="CK20" s="579" t="n"/>
      <c r="CL20" s="579" t="n"/>
      <c r="CM20" s="583" t="n"/>
      <c r="CN20" s="583" t="n"/>
      <c r="CO20" s="583" t="n"/>
      <c r="CP20" s="583" t="n"/>
      <c r="CQ20" s="583" t="n"/>
      <c r="CR20" s="583" t="n"/>
      <c r="CS20" s="583" t="n"/>
      <c r="CT20" s="583" t="n"/>
      <c r="CU20" s="583" t="n"/>
      <c r="CV20" s="583" t="n"/>
      <c r="CW20" s="583" t="n"/>
      <c r="CX20" s="583" t="n"/>
      <c r="CY20" s="583" t="n"/>
      <c r="CZ20" s="583" t="n"/>
      <c r="DA20" s="583" t="n"/>
      <c r="DB20" s="583" t="n"/>
      <c r="DC20" s="583" t="n"/>
      <c r="DD20" s="583" t="n"/>
      <c r="DE20" s="583" t="n"/>
      <c r="DF20" s="583" t="n"/>
      <c r="DG20" s="583" t="n"/>
      <c r="DH20" s="583" t="n"/>
      <c r="DI20" s="583" t="n"/>
      <c r="DJ20" s="583" t="n"/>
      <c r="DK20" s="583" t="n"/>
      <c r="DL20" s="583" t="n"/>
      <c r="DM20" s="583" t="n"/>
      <c r="DN20" s="583" t="n"/>
      <c r="DO20" s="583" t="n"/>
      <c r="DP20" s="583" t="n"/>
      <c r="DQ20" s="583" t="n"/>
      <c r="DR20" s="583" t="n"/>
      <c r="DS20" s="583" t="n"/>
      <c r="DT20" s="583" t="n"/>
      <c r="DU20" s="583" t="n"/>
      <c r="DV20" s="583" t="n"/>
      <c r="DW20" s="583" t="n"/>
      <c r="DX20" s="583" t="n"/>
      <c r="DY20" s="583" t="n"/>
      <c r="DZ20" s="583" t="n"/>
      <c r="EA20" s="583" t="n"/>
      <c r="EB20" s="583" t="n"/>
      <c r="EC20" s="583" t="n"/>
      <c r="ED20" s="583" t="n"/>
      <c r="EE20" s="583" t="n"/>
      <c r="EF20" s="583" t="n"/>
      <c r="EG20" s="583" t="n"/>
      <c r="EH20" s="583" t="n"/>
      <c r="EI20" s="583" t="n"/>
      <c r="EJ20" s="583" t="n"/>
      <c r="EK20" s="583" t="n"/>
      <c r="EL20" s="583" t="n"/>
      <c r="EM20" s="583" t="n"/>
      <c r="EN20" s="583" t="n"/>
      <c r="EO20" s="583" t="n"/>
      <c r="EP20" s="583" t="n"/>
      <c r="EQ20" s="583" t="n"/>
      <c r="ER20" s="583" t="n"/>
      <c r="ES20" s="583" t="n"/>
      <c r="ET20" s="583" t="n"/>
      <c r="EU20" s="583" t="n"/>
      <c r="EV20" s="583" t="n"/>
      <c r="EW20" s="583" t="n"/>
      <c r="EX20" s="583" t="n"/>
      <c r="EY20" s="583" t="n"/>
      <c r="EZ20" s="583" t="n"/>
      <c r="FA20" s="583" t="n"/>
      <c r="FB20" s="583" t="n"/>
      <c r="FC20" s="583" t="n"/>
      <c r="FD20" s="583" t="n"/>
      <c r="FE20" s="583" t="n"/>
      <c r="FF20" s="583" t="n"/>
      <c r="FG20" s="583" t="n"/>
      <c r="FH20" s="583" t="n"/>
      <c r="FI20" s="583" t="n"/>
      <c r="FJ20" s="583" t="n"/>
      <c r="FK20" s="583" t="n"/>
      <c r="FL20" s="583" t="n"/>
      <c r="FM20" s="583" t="n"/>
      <c r="FN20" s="583" t="n"/>
      <c r="FO20" s="583" t="n"/>
      <c r="FP20" s="583" t="n"/>
      <c r="FQ20" s="583" t="n"/>
      <c r="FR20" s="583" t="n"/>
      <c r="FS20" s="583" t="n"/>
      <c r="FT20" s="583" t="n"/>
      <c r="FU20" s="583" t="n"/>
      <c r="FV20" s="583" t="n"/>
      <c r="FW20" s="583" t="n"/>
      <c r="FX20" s="587" t="n"/>
      <c r="FY20" s="587" t="n"/>
      <c r="FZ20" s="587" t="n"/>
      <c r="GA20" s="587" t="n"/>
    </row>
    <row r="21" ht="24" customFormat="1" customHeight="1" s="568">
      <c r="A21" s="227" t="n"/>
      <c r="B21" s="87" t="n">
        <v>6</v>
      </c>
      <c r="C21" s="84">
        <f>E21*D$5</f>
        <v/>
      </c>
      <c r="D21" s="52" t="inlineStr">
        <is>
          <t>William C. Bain, Jr. (presumed to be a/k/a William Cobal Bain, Jr.)</t>
        </is>
      </c>
      <c r="E21" s="84">
        <f>SUM(G21:HT21)</f>
        <v/>
      </c>
      <c r="F21" s="582">
        <f>IFERROR(IF($E21&gt;0.0000005,$E21/SUMIF($E$11:$E$140,"&gt;0.0000005"),""),"")</f>
        <v/>
      </c>
      <c r="G21" s="570" t="n"/>
      <c r="H21" s="570" t="n"/>
      <c r="I21" s="570" t="n"/>
      <c r="J21" s="570" t="n"/>
      <c r="K21" s="570" t="n"/>
      <c r="L21" s="570" t="n"/>
      <c r="M21" s="570" t="n"/>
      <c r="N21" s="570" t="n"/>
      <c r="O21" s="570" t="n"/>
      <c r="P21" s="586" t="n"/>
      <c r="Q21" s="572" t="n"/>
      <c r="R21" s="570" t="n">
        <v>0.05053887070893401</v>
      </c>
      <c r="S21" s="570" t="n"/>
      <c r="T21" s="570" t="n"/>
      <c r="U21" s="570" t="n"/>
      <c r="V21" s="570" t="n"/>
      <c r="W21" s="570" t="n"/>
      <c r="X21" s="570" t="n"/>
      <c r="Y21" s="570" t="n"/>
      <c r="Z21" s="572" t="n"/>
      <c r="AA21" s="572" t="n"/>
      <c r="AB21" s="572" t="n"/>
      <c r="AC21" s="572" t="n"/>
      <c r="AD21" s="572" t="n"/>
      <c r="AE21" s="572" t="n"/>
      <c r="AF21" s="572" t="n"/>
      <c r="AG21" s="570" t="n"/>
      <c r="AH21" s="572" t="n"/>
      <c r="AI21" s="570" t="n"/>
      <c r="AJ21" s="572" t="n"/>
      <c r="AK21" s="570" t="n"/>
      <c r="AL21" s="570" t="n"/>
      <c r="AM21" s="570" t="n"/>
      <c r="AN21" s="570" t="n"/>
      <c r="AO21" s="570" t="n"/>
      <c r="AP21" s="570" t="n"/>
      <c r="AQ21" s="570" t="n"/>
      <c r="AR21" s="570"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v>0</v>
      </c>
      <c r="BL21" s="579" t="n"/>
      <c r="BM21" s="579" t="n"/>
      <c r="BN21" s="579" t="n"/>
      <c r="BO21" s="579" t="n"/>
      <c r="BP21" s="579" t="n">
        <v>0.004211568347505275</v>
      </c>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83" t="n"/>
      <c r="CN21" s="583" t="n"/>
      <c r="CO21" s="583" t="n"/>
      <c r="CP21" s="583" t="n"/>
      <c r="CQ21" s="583" t="n"/>
      <c r="CR21" s="583" t="n"/>
      <c r="CS21" s="583" t="n"/>
      <c r="CT21" s="583" t="n"/>
      <c r="CU21" s="583" t="n"/>
      <c r="CV21" s="583" t="n"/>
      <c r="CW21" s="583" t="n"/>
      <c r="CX21" s="583" t="n"/>
      <c r="CY21" s="583" t="n"/>
      <c r="CZ21" s="583" t="n"/>
      <c r="DA21" s="583" t="n"/>
      <c r="DB21" s="583" t="n"/>
      <c r="DC21" s="583" t="n"/>
      <c r="DD21" s="583" t="n"/>
      <c r="DE21" s="583" t="n"/>
      <c r="DF21" s="583" t="n"/>
      <c r="DG21" s="583" t="n"/>
      <c r="DH21" s="583" t="n"/>
      <c r="DI21" s="583" t="n"/>
      <c r="DJ21" s="583" t="n"/>
      <c r="DK21" s="583" t="n"/>
      <c r="DL21" s="583" t="n"/>
      <c r="DM21" s="583" t="n"/>
      <c r="DN21" s="583" t="n"/>
      <c r="DO21" s="583" t="n"/>
      <c r="DP21" s="583" t="n"/>
      <c r="DQ21" s="583" t="n"/>
      <c r="DR21" s="583" t="n"/>
      <c r="DS21" s="583" t="n"/>
      <c r="DT21" s="583" t="n"/>
      <c r="DU21" s="583" t="n"/>
      <c r="DV21" s="583" t="n"/>
      <c r="DW21" s="583" t="n"/>
      <c r="DX21" s="583" t="n"/>
      <c r="DY21" s="583" t="n"/>
      <c r="DZ21" s="583" t="n"/>
      <c r="EA21" s="583" t="n"/>
      <c r="EB21" s="583" t="n"/>
      <c r="EC21" s="583" t="n"/>
      <c r="ED21" s="583" t="n"/>
      <c r="EE21" s="583" t="n"/>
      <c r="EF21" s="583" t="n"/>
      <c r="EG21" s="583" t="n"/>
      <c r="EH21" s="583" t="n"/>
      <c r="EI21" s="583" t="n"/>
      <c r="EJ21" s="583" t="n"/>
      <c r="EK21" s="583" t="n"/>
      <c r="EL21" s="583" t="n"/>
      <c r="EM21" s="583" t="n"/>
      <c r="EN21" s="583" t="n"/>
      <c r="EO21" s="583" t="n"/>
      <c r="EP21" s="583" t="n"/>
      <c r="EQ21" s="583" t="n"/>
      <c r="ER21" s="583" t="n"/>
      <c r="ES21" s="583" t="n"/>
      <c r="ET21" s="583" t="n"/>
      <c r="EU21" s="583" t="n"/>
      <c r="EV21" s="583" t="n"/>
      <c r="EW21" s="583" t="n"/>
      <c r="EX21" s="583" t="n"/>
      <c r="EY21" s="583" t="n"/>
      <c r="EZ21" s="583" t="n"/>
      <c r="FA21" s="583" t="n"/>
      <c r="FB21" s="583" t="n"/>
      <c r="FC21" s="583" t="n"/>
      <c r="FD21" s="583" t="n"/>
      <c r="FE21" s="583" t="n"/>
      <c r="FF21" s="583" t="n"/>
      <c r="FG21" s="583" t="n"/>
      <c r="FH21" s="583" t="n"/>
      <c r="FI21" s="583" t="n"/>
      <c r="FJ21" s="583" t="n"/>
      <c r="FK21" s="583" t="n"/>
      <c r="FL21" s="583" t="n"/>
      <c r="FM21" s="583" t="n"/>
      <c r="FN21" s="583" t="n"/>
      <c r="FO21" s="583" t="n"/>
      <c r="FP21" s="583" t="n"/>
      <c r="FQ21" s="583" t="n"/>
      <c r="FR21" s="583" t="n"/>
      <c r="FS21" s="583" t="n"/>
      <c r="FT21" s="583" t="n"/>
      <c r="FU21" s="583" t="n"/>
      <c r="FV21" s="583" t="n"/>
      <c r="FW21" s="583" t="n"/>
      <c r="FX21" s="583" t="n"/>
      <c r="FY21" s="583" t="n"/>
      <c r="FZ21" s="583" t="n"/>
      <c r="GA21" s="583" t="n"/>
    </row>
    <row r="22" customFormat="1" s="568">
      <c r="A22" s="227" t="n"/>
      <c r="B22" s="87" t="n"/>
      <c r="C22" s="137">
        <f>E22*D$5</f>
        <v/>
      </c>
      <c r="D22" s="177" t="inlineStr">
        <is>
          <t>Billy W. Bain (presumed to be a/k/a Billy Wayne Bain)</t>
        </is>
      </c>
      <c r="E22" s="137">
        <f>SUM(G22:HT22)</f>
        <v/>
      </c>
      <c r="F22" s="582">
        <f>IFERROR(IF($E22&gt;0.0000005,$E22/SUMIF($E$11:$E$140,"&gt;0.0000005"),""),"")</f>
        <v/>
      </c>
      <c r="G22" s="570" t="n"/>
      <c r="H22" s="571" t="n"/>
      <c r="I22" s="570" t="n"/>
      <c r="J22" s="570" t="n"/>
      <c r="K22" s="570" t="n"/>
      <c r="L22" s="570" t="n"/>
      <c r="M22" s="570" t="n"/>
      <c r="N22" s="570" t="n"/>
      <c r="O22" s="570" t="n"/>
      <c r="P22" s="586" t="n"/>
      <c r="Q22" s="586" t="n"/>
      <c r="R22" s="570" t="n"/>
      <c r="S22" s="570" t="n">
        <v>0.05053887070893401</v>
      </c>
      <c r="T22" s="570" t="n"/>
      <c r="U22" s="570" t="n"/>
      <c r="V22" s="570" t="n"/>
      <c r="W22" s="570" t="n">
        <v>-0.00126347176772335</v>
      </c>
      <c r="X22" s="570" t="n">
        <v>-0.00126347176772335</v>
      </c>
      <c r="Y22" s="570" t="n">
        <v>-0.00126347176772335</v>
      </c>
      <c r="Z22" s="572" t="n"/>
      <c r="AA22" s="572" t="n"/>
      <c r="AB22" s="572" t="n">
        <v>-0.00379041530317005</v>
      </c>
      <c r="AC22" s="572" t="n"/>
      <c r="AD22" s="572" t="n"/>
      <c r="AE22" s="572" t="n"/>
      <c r="AF22" s="572" t="n"/>
      <c r="AG22" s="570" t="n"/>
      <c r="AH22" s="572" t="n"/>
      <c r="AI22" s="571" t="n">
        <v>-0.00126347176772335</v>
      </c>
      <c r="AJ22" s="572" t="n"/>
      <c r="AK22" s="570" t="n">
        <v>-0.00126347176772335</v>
      </c>
      <c r="AL22" s="570" t="n">
        <v>-0.0025269435354467</v>
      </c>
      <c r="AM22" s="570" t="n">
        <v>-0.00379041530317005</v>
      </c>
      <c r="AN22" s="570" t="n">
        <v>-0.006317358838616751</v>
      </c>
      <c r="AO22" s="570" t="n">
        <v>-0.0025269435354467</v>
      </c>
      <c r="AP22" s="570" t="n">
        <v>-0.00126347176772335</v>
      </c>
      <c r="AQ22" s="570" t="n"/>
      <c r="AR22" s="570" t="n"/>
      <c r="AS22" s="579" t="n">
        <v>0</v>
      </c>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v>0.004211568347505275</v>
      </c>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83" t="n"/>
      <c r="CN22" s="583" t="n"/>
      <c r="CO22" s="583" t="n"/>
      <c r="CP22" s="583" t="n"/>
      <c r="CQ22" s="583" t="n"/>
      <c r="CR22" s="583" t="n"/>
      <c r="CS22" s="583" t="n"/>
      <c r="CT22" s="583" t="n"/>
      <c r="CU22" s="583" t="n"/>
      <c r="CV22" s="583" t="n"/>
      <c r="CW22" s="583" t="n"/>
      <c r="CX22" s="583" t="n"/>
      <c r="CY22" s="583" t="n"/>
      <c r="CZ22" s="583" t="n"/>
      <c r="DA22" s="583" t="n"/>
      <c r="DB22" s="583" t="n"/>
      <c r="DC22" s="583" t="n"/>
      <c r="DD22" s="583" t="n"/>
      <c r="DE22" s="583" t="n"/>
      <c r="DF22" s="583" t="n"/>
      <c r="DG22" s="583" t="n"/>
      <c r="DH22" s="583" t="n"/>
      <c r="DI22" s="583" t="n"/>
      <c r="DJ22" s="583" t="n"/>
      <c r="DK22" s="583" t="n"/>
      <c r="DL22" s="583" t="n"/>
      <c r="DM22" s="583" t="n"/>
      <c r="DN22" s="583" t="n"/>
      <c r="DO22" s="583" t="n"/>
      <c r="DP22" s="583" t="n"/>
      <c r="DQ22" s="583" t="n"/>
      <c r="DR22" s="583" t="n"/>
      <c r="DS22" s="583" t="n"/>
      <c r="DT22" s="583" t="n"/>
      <c r="DU22" s="583" t="n"/>
      <c r="DV22" s="583" t="n"/>
      <c r="DW22" s="583" t="n"/>
      <c r="DX22" s="583" t="n"/>
      <c r="DY22" s="583" t="n"/>
      <c r="DZ22" s="583" t="n"/>
      <c r="EA22" s="583" t="n"/>
      <c r="EB22" s="583" t="n"/>
      <c r="EC22" s="583" t="n"/>
      <c r="ED22" s="583" t="n"/>
      <c r="EE22" s="583" t="n"/>
      <c r="EF22" s="583" t="n"/>
      <c r="EG22" s="583" t="n"/>
      <c r="EH22" s="583" t="n"/>
      <c r="EI22" s="583" t="n"/>
      <c r="EJ22" s="583" t="n"/>
      <c r="EK22" s="583" t="n"/>
      <c r="EL22" s="583" t="n"/>
      <c r="EM22" s="583" t="n"/>
      <c r="EN22" s="583" t="n"/>
      <c r="EO22" s="583" t="n"/>
      <c r="EP22" s="583" t="n"/>
      <c r="EQ22" s="583" t="n"/>
      <c r="ER22" s="583" t="n"/>
      <c r="ES22" s="583" t="n"/>
      <c r="ET22" s="583" t="n"/>
      <c r="EU22" s="583" t="n"/>
      <c r="EV22" s="583" t="n"/>
      <c r="EW22" s="583" t="n"/>
      <c r="EX22" s="583" t="n"/>
      <c r="EY22" s="583" t="n"/>
      <c r="EZ22" s="583" t="n"/>
      <c r="FA22" s="583" t="n"/>
      <c r="FB22" s="583" t="n"/>
      <c r="FC22" s="583" t="n"/>
      <c r="FD22" s="583" t="n"/>
      <c r="FE22" s="583" t="n"/>
      <c r="FF22" s="583" t="n"/>
      <c r="FG22" s="583" t="n"/>
      <c r="FH22" s="583" t="n"/>
      <c r="FI22" s="583" t="n"/>
      <c r="FJ22" s="583" t="n"/>
      <c r="FK22" s="583" t="n"/>
      <c r="FL22" s="583" t="n"/>
      <c r="FM22" s="583" t="n"/>
      <c r="FN22" s="583" t="n"/>
      <c r="FO22" s="583" t="n"/>
      <c r="FP22" s="583" t="n"/>
      <c r="FQ22" s="583" t="n"/>
      <c r="FR22" s="583" t="n"/>
      <c r="FS22" s="583" t="n"/>
      <c r="FT22" s="583" t="n"/>
      <c r="FU22" s="583" t="n"/>
      <c r="FV22" s="583" t="n"/>
      <c r="FW22" s="583" t="n"/>
      <c r="FX22" s="583" t="n"/>
      <c r="FY22" s="583" t="n"/>
      <c r="FZ22" s="583" t="n"/>
      <c r="GA22" s="583" t="n"/>
    </row>
    <row r="23" customFormat="1" s="568">
      <c r="A23" s="227" t="n"/>
      <c r="B23" s="87" t="n"/>
      <c r="C23" s="84">
        <f>E23*D$5</f>
        <v/>
      </c>
      <c r="D23" s="177" t="inlineStr">
        <is>
          <t>Juanita M. Wolff</t>
        </is>
      </c>
      <c r="E23" s="84">
        <f>SUM(G23:HT23)</f>
        <v/>
      </c>
      <c r="F23" s="582">
        <f>IFERROR(IF($E23&gt;0.0000005,$E23/SUMIF($E$11:$E$140,"&gt;0.0000005"),""),"")</f>
        <v/>
      </c>
      <c r="G23" s="570" t="n"/>
      <c r="H23" s="570" t="n"/>
      <c r="I23" s="570" t="n"/>
      <c r="J23" s="570" t="n"/>
      <c r="K23" s="570" t="n"/>
      <c r="L23" s="570" t="n"/>
      <c r="M23" s="570" t="n"/>
      <c r="N23" s="570" t="n"/>
      <c r="O23" s="586" t="n"/>
      <c r="P23" s="586" t="n"/>
      <c r="Q23" s="586" t="n"/>
      <c r="R23" s="570" t="n"/>
      <c r="S23" s="570" t="n"/>
      <c r="T23" s="570" t="n">
        <v>0.05053887070893401</v>
      </c>
      <c r="U23" s="570" t="n">
        <v>-0.0126347176772335</v>
      </c>
      <c r="V23" s="570" t="n"/>
      <c r="W23" s="570" t="n"/>
      <c r="X23" s="570" t="n"/>
      <c r="Y23" s="570" t="n"/>
      <c r="Z23" s="572" t="n"/>
      <c r="AA23" s="572" t="n"/>
      <c r="AB23" s="572" t="n"/>
      <c r="AC23" s="572" t="n"/>
      <c r="AD23" s="572" t="n"/>
      <c r="AE23" s="572" t="n"/>
      <c r="AF23" s="572" t="n"/>
      <c r="AG23" s="570" t="n"/>
      <c r="AH23" s="572" t="n">
        <v>-0.00126347176772335</v>
      </c>
      <c r="AI23" s="570" t="n"/>
      <c r="AJ23" s="572" t="n">
        <v>-0.0025269435354467</v>
      </c>
      <c r="AK23" s="570" t="n"/>
      <c r="AL23" s="570" t="n"/>
      <c r="AM23" s="570" t="n"/>
      <c r="AN23" s="571" t="n"/>
      <c r="AO23" s="570" t="n"/>
      <c r="AP23" s="570" t="n"/>
      <c r="AQ23" s="570" t="n"/>
      <c r="AR23" s="570" t="n"/>
      <c r="AS23" s="579" t="n"/>
      <c r="AT23" s="579" t="n"/>
      <c r="AU23" s="579" t="n"/>
      <c r="AV23" s="579" t="n"/>
      <c r="AW23" s="579" t="n"/>
      <c r="AX23" s="579" t="n"/>
      <c r="AY23" s="579" t="n"/>
      <c r="AZ23" s="579" t="n"/>
      <c r="BA23" s="579" t="n"/>
      <c r="BB23" s="579" t="n"/>
      <c r="BC23" s="579" t="n"/>
      <c r="BD23" s="579" t="n"/>
      <c r="BE23" s="579" t="n"/>
      <c r="BF23" s="579" t="n"/>
      <c r="BG23" s="579" t="n">
        <v>0</v>
      </c>
      <c r="BH23" s="579" t="n"/>
      <c r="BI23" s="579" t="n"/>
      <c r="BJ23" s="579" t="n"/>
      <c r="BK23" s="579" t="n"/>
      <c r="BL23" s="579" t="n"/>
      <c r="BM23" s="579" t="n"/>
      <c r="BN23" s="579" t="n"/>
      <c r="BO23" s="579" t="n">
        <v>0.004211568347505275</v>
      </c>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v>0.00610631293668743</v>
      </c>
      <c r="CK23" s="579" t="n"/>
      <c r="CL23" s="579" t="n"/>
      <c r="CM23" s="583" t="n"/>
      <c r="CN23" s="583" t="n"/>
      <c r="CO23" s="583" t="n"/>
      <c r="CP23" s="583" t="n"/>
      <c r="CQ23" s="583" t="n"/>
      <c r="CR23" s="583" t="n"/>
      <c r="CS23" s="583" t="n"/>
      <c r="CT23" s="583" t="n"/>
      <c r="CU23" s="583" t="n"/>
      <c r="CV23" s="583" t="n"/>
      <c r="CW23" s="583" t="n"/>
      <c r="CX23" s="583" t="n"/>
      <c r="CY23" s="583" t="n"/>
      <c r="CZ23" s="583" t="n"/>
      <c r="DA23" s="583" t="n"/>
      <c r="DB23" s="583" t="n"/>
      <c r="DC23" s="583" t="n"/>
      <c r="DD23" s="583" t="n"/>
      <c r="DE23" s="583" t="n"/>
      <c r="DF23" s="583" t="n"/>
      <c r="DG23" s="583" t="n"/>
      <c r="DH23" s="583" t="n"/>
      <c r="DI23" s="583" t="n"/>
      <c r="DJ23" s="583" t="n"/>
      <c r="DK23" s="583" t="n"/>
      <c r="DL23" s="583" t="n"/>
      <c r="DM23" s="583" t="n"/>
      <c r="DN23" s="583" t="n"/>
      <c r="DO23" s="583" t="n"/>
      <c r="DP23" s="583" t="n"/>
      <c r="DQ23" s="583" t="n"/>
      <c r="DR23" s="583" t="n"/>
      <c r="DS23" s="583" t="n"/>
      <c r="DT23" s="583" t="n"/>
      <c r="DU23" s="583" t="n"/>
      <c r="DV23" s="583" t="n"/>
      <c r="DW23" s="583" t="n"/>
      <c r="DX23" s="583" t="n"/>
      <c r="DY23" s="583" t="n"/>
      <c r="DZ23" s="583" t="n"/>
      <c r="EA23" s="583" t="n"/>
      <c r="EB23" s="583" t="n"/>
      <c r="EC23" s="583" t="n"/>
      <c r="ED23" s="583" t="n"/>
      <c r="EE23" s="583" t="n"/>
      <c r="EF23" s="583" t="n"/>
      <c r="EG23" s="583" t="n"/>
      <c r="EH23" s="583" t="n"/>
      <c r="EI23" s="583" t="n"/>
      <c r="EJ23" s="583" t="n"/>
      <c r="EK23" s="583" t="n"/>
      <c r="EL23" s="583" t="n"/>
      <c r="EM23" s="583" t="n"/>
      <c r="EN23" s="583" t="n"/>
      <c r="EO23" s="583" t="n"/>
      <c r="EP23" s="583" t="n"/>
      <c r="EQ23" s="583" t="n"/>
      <c r="ER23" s="583" t="n"/>
      <c r="ES23" s="583" t="n"/>
      <c r="ET23" s="583" t="n"/>
      <c r="EU23" s="583" t="n"/>
      <c r="EV23" s="583" t="n"/>
      <c r="EW23" s="583" t="n"/>
      <c r="EX23" s="583" t="n"/>
      <c r="EY23" s="583" t="n"/>
      <c r="EZ23" s="583" t="n"/>
      <c r="FA23" s="583" t="n"/>
      <c r="FB23" s="583" t="n"/>
      <c r="FC23" s="583" t="n"/>
      <c r="FD23" s="583" t="n"/>
      <c r="FE23" s="583" t="n"/>
      <c r="FF23" s="583" t="n"/>
      <c r="FG23" s="583" t="n"/>
      <c r="FH23" s="583" t="n"/>
      <c r="FI23" s="583" t="n"/>
      <c r="FJ23" s="583" t="n"/>
      <c r="FK23" s="583" t="n"/>
      <c r="FL23" s="583" t="n"/>
      <c r="FM23" s="583" t="n"/>
      <c r="FN23" s="583" t="n"/>
      <c r="FO23" s="583" t="n"/>
      <c r="FP23" s="583" t="n"/>
      <c r="FQ23" s="583" t="n"/>
      <c r="FR23" s="583" t="n"/>
      <c r="FS23" s="583" t="n"/>
      <c r="FT23" s="583" t="n"/>
      <c r="FU23" s="583" t="n"/>
      <c r="FV23" s="583" t="n"/>
      <c r="FW23" s="583" t="n"/>
      <c r="FX23" s="583" t="n"/>
      <c r="FY23" s="583" t="n"/>
      <c r="FZ23" s="583" t="n"/>
      <c r="GA23" s="583" t="n"/>
    </row>
    <row r="24" customFormat="1" s="568">
      <c r="A24" s="227" t="n"/>
      <c r="B24" s="87" t="n"/>
      <c r="C24" s="137">
        <f>E24*D$5</f>
        <v/>
      </c>
      <c r="D24" s="177" t="inlineStr">
        <is>
          <t>Alpine Oil &amp; Royalty Company Incorporated</t>
        </is>
      </c>
      <c r="E24" s="137">
        <f>SUM(G24:HT24)</f>
        <v/>
      </c>
      <c r="F24" s="582">
        <f>IFERROR(IF($E24&gt;0.0000005,$E24/SUMIF($E$11:$E$140,"&gt;0.0000005"),""),"")</f>
        <v/>
      </c>
      <c r="G24" s="570" t="n"/>
      <c r="H24" s="570" t="n"/>
      <c r="I24" s="570" t="n"/>
      <c r="J24" s="570" t="n"/>
      <c r="K24" s="570" t="n"/>
      <c r="L24" s="570" t="n"/>
      <c r="M24" s="570" t="n"/>
      <c r="N24" s="570" t="n"/>
      <c r="O24" s="586" t="n"/>
      <c r="P24" s="586" t="n"/>
      <c r="Q24" s="586" t="n"/>
      <c r="R24" s="570" t="n"/>
      <c r="S24" s="570" t="n"/>
      <c r="T24" s="570" t="n"/>
      <c r="U24" s="570" t="n">
        <v>0.0126347176772335</v>
      </c>
      <c r="V24" s="570" t="n"/>
      <c r="W24" s="570" t="n"/>
      <c r="X24" s="570" t="n"/>
      <c r="Y24" s="570" t="n"/>
      <c r="Z24" s="572" t="n"/>
      <c r="AA24" s="572" t="n"/>
      <c r="AB24" s="572" t="n"/>
      <c r="AC24" s="572" t="n"/>
      <c r="AD24" s="572" t="n"/>
      <c r="AE24" s="572" t="n"/>
      <c r="AF24" s="572" t="n"/>
      <c r="AG24" s="570" t="n"/>
      <c r="AH24" s="572" t="n"/>
      <c r="AI24" s="571" t="n"/>
      <c r="AJ24" s="572" t="n"/>
      <c r="AK24" s="570" t="n"/>
      <c r="AL24" s="570" t="n"/>
      <c r="AM24" s="570" t="n"/>
      <c r="AN24" s="571" t="n"/>
      <c r="AO24" s="570" t="n"/>
      <c r="AP24" s="570" t="n"/>
      <c r="AQ24" s="570" t="n"/>
      <c r="AR24" s="570"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v>-0.0126347176772335</v>
      </c>
      <c r="CD24" s="579" t="n">
        <v>0</v>
      </c>
      <c r="CE24" s="579" t="n"/>
      <c r="CF24" s="579" t="n"/>
      <c r="CG24" s="579" t="n"/>
      <c r="CH24" s="579" t="n"/>
      <c r="CI24" s="579" t="n"/>
      <c r="CJ24" s="579" t="n"/>
      <c r="CK24" s="579" t="n"/>
      <c r="CL24" s="579" t="n">
        <v>0</v>
      </c>
      <c r="CM24" s="583" t="n"/>
      <c r="CN24" s="583" t="n"/>
      <c r="CO24" s="583" t="n"/>
      <c r="CP24" s="583" t="n"/>
      <c r="CQ24" s="583" t="n"/>
      <c r="CR24" s="583" t="n"/>
      <c r="CS24" s="583" t="n"/>
      <c r="CT24" s="583" t="n"/>
      <c r="CU24" s="583" t="n"/>
      <c r="CV24" s="583" t="n"/>
      <c r="CW24" s="583" t="n"/>
      <c r="CX24" s="583" t="n"/>
      <c r="CY24" s="583" t="n"/>
      <c r="CZ24" s="583" t="n"/>
      <c r="DA24" s="583" t="n"/>
      <c r="DB24" s="583" t="n"/>
      <c r="DC24" s="583" t="n"/>
      <c r="DD24" s="583" t="n"/>
      <c r="DE24" s="583" t="n"/>
      <c r="DF24" s="583" t="n"/>
      <c r="DG24" s="583" t="n"/>
      <c r="DH24" s="583" t="n"/>
      <c r="DI24" s="583" t="n"/>
      <c r="DJ24" s="583" t="n"/>
      <c r="DK24" s="583" t="n"/>
      <c r="DL24" s="583" t="n"/>
      <c r="DM24" s="583" t="n"/>
      <c r="DN24" s="583" t="n"/>
      <c r="DO24" s="583" t="n"/>
      <c r="DP24" s="583" t="n"/>
      <c r="DQ24" s="583" t="n"/>
      <c r="DR24" s="583" t="n"/>
      <c r="DS24" s="583" t="n"/>
      <c r="DT24" s="583" t="n"/>
      <c r="DU24" s="583" t="n"/>
      <c r="DV24" s="583" t="n"/>
      <c r="DW24" s="583" t="n"/>
      <c r="DX24" s="583" t="n"/>
      <c r="DY24" s="583" t="n"/>
      <c r="DZ24" s="583" t="n"/>
      <c r="EA24" s="583" t="n"/>
      <c r="EB24" s="583" t="n"/>
      <c r="EC24" s="583" t="n"/>
      <c r="ED24" s="583" t="n"/>
      <c r="EE24" s="583" t="n"/>
      <c r="EF24" s="583" t="n"/>
      <c r="EG24" s="583" t="n"/>
      <c r="EH24" s="583" t="n"/>
      <c r="EI24" s="583" t="n"/>
      <c r="EJ24" s="583" t="n"/>
      <c r="EK24" s="583" t="n"/>
      <c r="EL24" s="583" t="n"/>
      <c r="EM24" s="583" t="n"/>
      <c r="EN24" s="583" t="n"/>
      <c r="EO24" s="583" t="n"/>
      <c r="EP24" s="583" t="n"/>
      <c r="EQ24" s="583" t="n"/>
      <c r="ER24" s="583" t="n"/>
      <c r="ES24" s="583" t="n"/>
      <c r="ET24" s="583" t="n"/>
      <c r="EU24" s="583" t="n"/>
      <c r="EV24" s="583" t="n"/>
      <c r="EW24" s="583" t="n"/>
      <c r="EX24" s="583" t="n"/>
      <c r="EY24" s="583" t="n"/>
      <c r="EZ24" s="583" t="n"/>
      <c r="FA24" s="583" t="n"/>
      <c r="FB24" s="583" t="n"/>
      <c r="FC24" s="583" t="n"/>
      <c r="FD24" s="583" t="n"/>
      <c r="FE24" s="583" t="n"/>
      <c r="FF24" s="583" t="n"/>
      <c r="FG24" s="583" t="n"/>
      <c r="FH24" s="583" t="n"/>
      <c r="FI24" s="583" t="n"/>
      <c r="FJ24" s="583" t="n"/>
      <c r="FK24" s="583" t="n"/>
      <c r="FL24" s="583" t="n"/>
      <c r="FM24" s="583" t="n"/>
      <c r="FN24" s="583" t="n"/>
      <c r="FO24" s="583" t="n"/>
      <c r="FP24" s="583" t="n"/>
      <c r="FQ24" s="583" t="n"/>
      <c r="FR24" s="583" t="n"/>
      <c r="FS24" s="583" t="n"/>
      <c r="FT24" s="583" t="n"/>
      <c r="FU24" s="583" t="n"/>
      <c r="FV24" s="583" t="n"/>
      <c r="FW24" s="583" t="n"/>
      <c r="FX24" s="583" t="n"/>
      <c r="FY24" s="583" t="n"/>
      <c r="FZ24" s="583" t="n"/>
      <c r="GA24" s="583" t="n"/>
    </row>
    <row r="25" customFormat="1" s="568">
      <c r="A25" s="227" t="n"/>
      <c r="B25" s="87" t="n">
        <v>20</v>
      </c>
      <c r="C25" s="137">
        <f>E25*D$5</f>
        <v/>
      </c>
      <c r="D25" s="51" t="inlineStr">
        <is>
          <t>Myron V. Slobin</t>
        </is>
      </c>
      <c r="E25" s="137">
        <f>SUM(G25:HT25)</f>
        <v/>
      </c>
      <c r="F25" s="582">
        <f>IFERROR(IF($E25&gt;0.0000005,$E25/SUMIF($E$11:$E$140,"&gt;0.0000005"),""),"")</f>
        <v/>
      </c>
      <c r="G25" s="570" t="n"/>
      <c r="H25" s="570" t="n"/>
      <c r="I25" s="570" t="n"/>
      <c r="J25" s="570" t="n"/>
      <c r="K25" s="570" t="n"/>
      <c r="L25" s="570" t="n"/>
      <c r="M25" s="570" t="n"/>
      <c r="N25" s="570" t="n"/>
      <c r="O25" s="570" t="n"/>
      <c r="P25" s="570" t="n"/>
      <c r="Q25" s="572" t="n"/>
      <c r="R25" s="586" t="n"/>
      <c r="S25" s="570" t="n"/>
      <c r="T25" s="570" t="n"/>
      <c r="U25" s="570" t="n"/>
      <c r="V25" s="570" t="n"/>
      <c r="W25" s="570" t="n">
        <v>0.00126347176772335</v>
      </c>
      <c r="X25" s="570" t="n"/>
      <c r="Y25" s="570" t="n"/>
      <c r="Z25" s="572" t="n"/>
      <c r="AA25" s="572" t="n"/>
      <c r="AB25" s="572" t="n"/>
      <c r="AC25" s="572" t="n"/>
      <c r="AD25" s="572" t="n"/>
      <c r="AE25" s="54" t="n"/>
      <c r="AF25" s="572" t="n"/>
      <c r="AG25" s="570" t="n"/>
      <c r="AH25" s="572" t="n"/>
      <c r="AI25" s="570" t="n"/>
      <c r="AJ25" s="572" t="n"/>
      <c r="AK25" s="570" t="n"/>
      <c r="AL25" s="570" t="n"/>
      <c r="AM25" s="570" t="n"/>
      <c r="AN25" s="571" t="n"/>
      <c r="AO25" s="570" t="n"/>
      <c r="AP25" s="570" t="n"/>
      <c r="AQ25" s="570" t="n">
        <v>-0.007580830606340101</v>
      </c>
      <c r="AR25" s="570" t="n">
        <v>-0.00126347176772335</v>
      </c>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83" t="n"/>
      <c r="CN25" s="583" t="n"/>
      <c r="CO25" s="583" t="n"/>
      <c r="CP25" s="583" t="n"/>
      <c r="CQ25" s="583" t="n"/>
      <c r="CR25" s="583" t="n">
        <v>0.007581</v>
      </c>
      <c r="CS25" s="583" t="n">
        <v>0.001263</v>
      </c>
      <c r="CT25" s="583" t="n"/>
      <c r="CU25" s="583" t="n"/>
      <c r="CV25" s="583" t="n"/>
      <c r="CW25" s="583" t="n"/>
      <c r="CX25" s="583" t="n"/>
      <c r="CY25" s="583" t="n"/>
      <c r="CZ25" s="583" t="n"/>
      <c r="DA25" s="583" t="n"/>
      <c r="DB25" s="583" t="n"/>
      <c r="DC25" s="583" t="n"/>
      <c r="DD25" s="583" t="n"/>
      <c r="DE25" s="583" t="n"/>
      <c r="DF25" s="583" t="n"/>
      <c r="DG25" s="583" t="n"/>
      <c r="DH25" s="583" t="n"/>
      <c r="DI25" s="583" t="n"/>
      <c r="DJ25" s="583" t="n"/>
      <c r="DK25" s="583" t="n"/>
      <c r="DL25" s="583" t="n"/>
      <c r="DM25" s="583" t="n"/>
      <c r="DN25" s="583" t="n"/>
      <c r="DO25" s="583" t="n"/>
      <c r="DP25" s="583" t="n"/>
      <c r="DQ25" s="583" t="n"/>
      <c r="DR25" s="583" t="n"/>
      <c r="DS25" s="583" t="n"/>
      <c r="DT25" s="583" t="n"/>
      <c r="DU25" s="583" t="n"/>
      <c r="DV25" s="583" t="n"/>
      <c r="DW25" s="583" t="n"/>
      <c r="DX25" s="583" t="n"/>
      <c r="DY25" s="583" t="n"/>
      <c r="DZ25" s="583" t="n"/>
      <c r="EA25" s="583" t="n"/>
      <c r="EB25" s="583" t="n"/>
      <c r="EC25" s="583" t="n"/>
      <c r="ED25" s="583" t="n"/>
      <c r="EE25" s="583" t="n"/>
      <c r="EF25" s="583" t="n"/>
      <c r="EG25" s="583" t="n"/>
      <c r="EH25" s="583" t="n"/>
      <c r="EI25" s="583" t="n"/>
      <c r="EJ25" s="583" t="n"/>
      <c r="EK25" s="583" t="n"/>
      <c r="EL25" s="583" t="n"/>
      <c r="EM25" s="583" t="n"/>
      <c r="EN25" s="583" t="n"/>
      <c r="EO25" s="583" t="n"/>
      <c r="EP25" s="583" t="n"/>
      <c r="EQ25" s="583" t="n"/>
      <c r="ER25" s="583" t="n"/>
      <c r="ES25" s="583" t="n"/>
      <c r="ET25" s="583" t="n"/>
      <c r="EU25" s="583" t="n"/>
      <c r="EV25" s="583" t="n"/>
      <c r="EW25" s="583" t="n"/>
      <c r="EX25" s="583" t="n"/>
      <c r="EY25" s="583" t="n"/>
      <c r="EZ25" s="583" t="n"/>
      <c r="FA25" s="583" t="n"/>
      <c r="FB25" s="583" t="n"/>
      <c r="FC25" s="583" t="n"/>
      <c r="FD25" s="583" t="n"/>
      <c r="FE25" s="583" t="n"/>
      <c r="FF25" s="583" t="n"/>
      <c r="FG25" s="583" t="n"/>
      <c r="FH25" s="583" t="n"/>
      <c r="FI25" s="583" t="n"/>
      <c r="FJ25" s="583" t="n"/>
      <c r="FK25" s="583" t="n"/>
      <c r="FL25" s="583" t="n"/>
      <c r="FM25" s="583" t="n"/>
      <c r="FN25" s="583" t="n"/>
      <c r="FO25" s="583" t="n"/>
      <c r="FP25" s="583" t="n"/>
      <c r="FQ25" s="583" t="n"/>
      <c r="FR25" s="583" t="n"/>
      <c r="FS25" s="583" t="n"/>
      <c r="FT25" s="583" t="n"/>
      <c r="FU25" s="583" t="n"/>
      <c r="FV25" s="583" t="n"/>
      <c r="FW25" s="583" t="n"/>
      <c r="FX25" s="583" t="n"/>
      <c r="FY25" s="583" t="n"/>
      <c r="FZ25" s="583" t="n"/>
      <c r="GA25" s="583" t="n"/>
    </row>
    <row r="26" customFormat="1" s="568">
      <c r="A26" s="227" t="n"/>
      <c r="B26" s="87" t="n">
        <v>19</v>
      </c>
      <c r="C26" s="137">
        <f>E26*D$5</f>
        <v/>
      </c>
      <c r="D26" s="51" t="inlineStr">
        <is>
          <t>Gregory J. Winneke</t>
        </is>
      </c>
      <c r="E26" s="137">
        <f>SUM(G26:HT26)</f>
        <v/>
      </c>
      <c r="F26" s="582">
        <f>IFERROR(IF($E26&gt;0.0000005,$E26/SUMIF($E$11:$E$140,"&gt;0.0000005"),""),"")</f>
        <v/>
      </c>
      <c r="G26" s="570" t="n"/>
      <c r="H26" s="570" t="n"/>
      <c r="I26" s="570" t="n"/>
      <c r="J26" s="570" t="n"/>
      <c r="K26" s="570" t="n"/>
      <c r="L26" s="570" t="n"/>
      <c r="M26" s="570" t="n"/>
      <c r="N26" s="570" t="n"/>
      <c r="O26" s="570" t="n"/>
      <c r="P26" s="570" t="n"/>
      <c r="Q26" s="572" t="n"/>
      <c r="R26" s="586" t="n"/>
      <c r="S26" s="570" t="n"/>
      <c r="T26" s="570" t="n"/>
      <c r="U26" s="570" t="n"/>
      <c r="V26" s="570" t="n"/>
      <c r="W26" s="570" t="n"/>
      <c r="X26" s="570" t="n">
        <v>0.00126347176772335</v>
      </c>
      <c r="Y26" s="570" t="n"/>
      <c r="Z26" s="572" t="n"/>
      <c r="AA26" s="572" t="n"/>
      <c r="AB26" s="572" t="n"/>
      <c r="AC26" s="572" t="n"/>
      <c r="AD26" s="572" t="n"/>
      <c r="AE26" s="53" t="n"/>
      <c r="AF26" s="572" t="n"/>
      <c r="AG26" s="570" t="n"/>
      <c r="AH26" s="572" t="n"/>
      <c r="AI26" s="570" t="n"/>
      <c r="AJ26" s="572" t="n"/>
      <c r="AK26" s="570" t="n"/>
      <c r="AL26" s="570" t="n"/>
      <c r="AM26" s="570" t="n"/>
      <c r="AN26" s="571" t="n"/>
      <c r="AO26" s="570" t="n"/>
      <c r="AP26" s="570" t="n"/>
      <c r="AQ26" s="570" t="n"/>
      <c r="AR26" s="570"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83" t="n"/>
      <c r="CN26" s="583" t="n"/>
      <c r="CO26" s="583" t="n"/>
      <c r="CP26" s="583" t="n"/>
      <c r="CQ26" s="583" t="n"/>
      <c r="CR26" s="583" t="n"/>
      <c r="CS26" s="583" t="n"/>
      <c r="CT26" s="583" t="n"/>
      <c r="CU26" s="583" t="n"/>
      <c r="CV26" s="583" t="n"/>
      <c r="CW26" s="583" t="n"/>
      <c r="CX26" s="583" t="n"/>
      <c r="CY26" s="583" t="n"/>
      <c r="CZ26" s="583" t="n"/>
      <c r="DA26" s="583" t="n"/>
      <c r="DB26" s="583" t="n"/>
      <c r="DC26" s="583" t="n"/>
      <c r="DD26" s="583" t="n"/>
      <c r="DE26" s="583" t="n"/>
      <c r="DF26" s="583" t="n"/>
      <c r="DG26" s="583" t="n"/>
      <c r="DH26" s="583" t="n"/>
      <c r="DI26" s="583" t="n"/>
      <c r="DJ26" s="583" t="n"/>
      <c r="DK26" s="583" t="n"/>
      <c r="DL26" s="583" t="n"/>
      <c r="DM26" s="583" t="n"/>
      <c r="DN26" s="583" t="n"/>
      <c r="DO26" s="583" t="n"/>
      <c r="DP26" s="583" t="n"/>
      <c r="DQ26" s="583" t="n"/>
      <c r="DR26" s="583" t="n"/>
      <c r="DS26" s="583" t="n"/>
      <c r="DT26" s="583" t="n"/>
      <c r="DU26" s="583" t="n"/>
      <c r="DV26" s="583" t="n"/>
      <c r="DW26" s="583" t="n"/>
      <c r="DX26" s="583" t="n"/>
      <c r="DY26" s="583" t="n"/>
      <c r="DZ26" s="583" t="n"/>
      <c r="EA26" s="583" t="n"/>
      <c r="EB26" s="583" t="n"/>
      <c r="EC26" s="583" t="n"/>
      <c r="ED26" s="583" t="n"/>
      <c r="EE26" s="583" t="n"/>
      <c r="EF26" s="583" t="n"/>
      <c r="EG26" s="583" t="n"/>
      <c r="EH26" s="583" t="n"/>
      <c r="EI26" s="583" t="n"/>
      <c r="EJ26" s="583" t="n"/>
      <c r="EK26" s="583" t="n"/>
      <c r="EL26" s="583" t="n"/>
      <c r="EM26" s="583" t="n"/>
      <c r="EN26" s="583" t="n"/>
      <c r="EO26" s="583" t="n"/>
      <c r="EP26" s="583" t="n"/>
      <c r="EQ26" s="583" t="n"/>
      <c r="ER26" s="583" t="n"/>
      <c r="ES26" s="583" t="n"/>
      <c r="ET26" s="583" t="n"/>
      <c r="EU26" s="583" t="n"/>
      <c r="EV26" s="583" t="n"/>
      <c r="EW26" s="583" t="n"/>
      <c r="EX26" s="583" t="n"/>
      <c r="EY26" s="583" t="n"/>
      <c r="EZ26" s="583" t="n"/>
      <c r="FA26" s="583" t="n"/>
      <c r="FB26" s="583" t="n"/>
      <c r="FC26" s="583" t="n"/>
      <c r="FD26" s="583" t="n"/>
      <c r="FE26" s="583" t="n"/>
      <c r="FF26" s="583" t="n"/>
      <c r="FG26" s="583" t="n"/>
      <c r="FH26" s="583" t="n"/>
      <c r="FI26" s="583" t="n"/>
      <c r="FJ26" s="583" t="n"/>
      <c r="FK26" s="583" t="n"/>
      <c r="FL26" s="583" t="n"/>
      <c r="FM26" s="583" t="n"/>
      <c r="FN26" s="583" t="n"/>
      <c r="FO26" s="583" t="n"/>
      <c r="FP26" s="583" t="n"/>
      <c r="FQ26" s="583" t="n"/>
      <c r="FR26" s="583" t="n"/>
      <c r="FS26" s="583" t="n"/>
      <c r="FT26" s="583" t="n"/>
      <c r="FU26" s="583" t="n"/>
      <c r="FV26" s="583" t="n"/>
      <c r="FW26" s="583" t="n"/>
      <c r="FX26" s="583" t="n"/>
      <c r="FY26" s="583" t="n"/>
      <c r="FZ26" s="583" t="n"/>
      <c r="GA26" s="583" t="n"/>
    </row>
    <row r="27" customFormat="1" s="568">
      <c r="A27" s="227" t="inlineStr">
        <is>
          <t>Open</t>
        </is>
      </c>
      <c r="B27" s="87" t="n"/>
      <c r="C27" s="137">
        <f>E27*D$5</f>
        <v/>
      </c>
      <c r="D27" s="51" t="inlineStr">
        <is>
          <t>Lyle T. Ibeling</t>
        </is>
      </c>
      <c r="E27" s="137">
        <f>SUM(G27:HT27)</f>
        <v/>
      </c>
      <c r="F27" s="582">
        <f>IFERROR(IF($E27&gt;0.0000005,$E27/SUMIF($E$11:$E$140,"&gt;0.0000005"),""),"")</f>
        <v/>
      </c>
      <c r="G27" s="570" t="n"/>
      <c r="H27" s="570" t="n"/>
      <c r="I27" s="570" t="n"/>
      <c r="J27" s="570" t="n"/>
      <c r="K27" s="570" t="n"/>
      <c r="L27" s="570" t="n"/>
      <c r="M27" s="570" t="n"/>
      <c r="N27" s="570" t="n"/>
      <c r="O27" s="570" t="n"/>
      <c r="P27" s="570" t="n"/>
      <c r="Q27" s="572" t="n"/>
      <c r="R27" s="586" t="n"/>
      <c r="S27" s="570" t="n"/>
      <c r="T27" s="570" t="n"/>
      <c r="U27" s="570" t="n"/>
      <c r="V27" s="570" t="n"/>
      <c r="W27" s="570" t="n"/>
      <c r="X27" s="570" t="n"/>
      <c r="Y27" s="570" t="n">
        <v>0.00126347176772335</v>
      </c>
      <c r="Z27" s="572" t="n"/>
      <c r="AA27" s="572" t="n"/>
      <c r="AB27" s="572" t="n"/>
      <c r="AC27" s="572" t="n"/>
      <c r="AD27" s="572" t="n"/>
      <c r="AE27" s="53" t="n"/>
      <c r="AF27" s="572" t="n"/>
      <c r="AG27" s="570" t="n"/>
      <c r="AH27" s="572" t="n"/>
      <c r="AI27" s="570" t="n"/>
      <c r="AJ27" s="572" t="n"/>
      <c r="AK27" s="570" t="n"/>
      <c r="AL27" s="570" t="n"/>
      <c r="AM27" s="570" t="n"/>
      <c r="AN27" s="571" t="n"/>
      <c r="AO27" s="570" t="n"/>
      <c r="AP27" s="570" t="n"/>
      <c r="AQ27" s="570" t="n"/>
      <c r="AR27" s="570" t="n"/>
      <c r="AS27" s="579" t="n"/>
      <c r="AT27" s="579" t="n"/>
      <c r="AU27" s="579" t="n"/>
      <c r="AV27" s="579" t="n"/>
      <c r="AW27" s="579" t="n"/>
      <c r="AX27" s="579" t="n"/>
      <c r="AY27" s="579" t="n"/>
      <c r="AZ27" s="579" t="n"/>
      <c r="BA27" s="579" t="n"/>
      <c r="BB27" s="579" t="n"/>
      <c r="BC27" s="579" t="n"/>
      <c r="BD27" s="579" t="n"/>
      <c r="BE27" s="579" t="n"/>
      <c r="BF27" s="579" t="n"/>
      <c r="BG27" s="579" t="n"/>
      <c r="BH27" s="579" t="n"/>
      <c r="BI27" s="579" t="n"/>
      <c r="BJ27" s="579" t="n"/>
      <c r="BK27" s="579" t="n"/>
      <c r="BL27" s="579" t="n"/>
      <c r="BM27" s="579" t="n"/>
      <c r="BN27" s="579" t="n"/>
      <c r="BO27" s="579" t="n"/>
      <c r="BP27" s="579" t="n"/>
      <c r="BQ27" s="579" t="n"/>
      <c r="BR27" s="579" t="n"/>
      <c r="BS27" s="579" t="n"/>
      <c r="BT27" s="579" t="n"/>
      <c r="BU27" s="579" t="n"/>
      <c r="BV27" s="579" t="n"/>
      <c r="BW27" s="579" t="n"/>
      <c r="BX27" s="579" t="n"/>
      <c r="BY27" s="579" t="n"/>
      <c r="BZ27" s="579" t="n"/>
      <c r="CA27" s="579" t="n"/>
      <c r="CB27" s="579" t="n"/>
      <c r="CC27" s="579" t="n"/>
      <c r="CD27" s="579" t="n"/>
      <c r="CE27" s="579" t="n"/>
      <c r="CF27" s="579" t="n"/>
      <c r="CG27" s="579" t="n"/>
      <c r="CH27" s="579" t="n"/>
      <c r="CI27" s="579" t="n"/>
      <c r="CJ27" s="579" t="n"/>
      <c r="CK27" s="579" t="n"/>
      <c r="CL27" s="579" t="n"/>
      <c r="CM27" s="583" t="n"/>
      <c r="CN27" s="583" t="n"/>
      <c r="CO27" s="583" t="n"/>
      <c r="CP27" s="583" t="n"/>
      <c r="CQ27" s="583" t="n"/>
      <c r="CR27" s="583" t="n"/>
      <c r="CS27" s="583" t="n"/>
      <c r="CT27" s="583" t="n"/>
      <c r="CU27" s="583" t="n"/>
      <c r="CV27" s="583" t="n"/>
      <c r="CW27" s="583" t="n"/>
      <c r="CX27" s="583" t="n"/>
      <c r="CY27" s="583" t="n"/>
      <c r="CZ27" s="583" t="n"/>
      <c r="DA27" s="583" t="n"/>
      <c r="DB27" s="583" t="n"/>
      <c r="DC27" s="583" t="n"/>
      <c r="DD27" s="583" t="n"/>
      <c r="DE27" s="583" t="n"/>
      <c r="DF27" s="583" t="n"/>
      <c r="DG27" s="583" t="n"/>
      <c r="DH27" s="583" t="n"/>
      <c r="DI27" s="583" t="n"/>
      <c r="DJ27" s="583" t="n"/>
      <c r="DK27" s="583" t="n"/>
      <c r="DL27" s="583" t="n"/>
      <c r="DM27" s="583" t="n"/>
      <c r="DN27" s="583" t="n"/>
      <c r="DO27" s="583" t="n"/>
      <c r="DP27" s="583" t="n"/>
      <c r="DQ27" s="583" t="n"/>
      <c r="DR27" s="583" t="n"/>
      <c r="DS27" s="583" t="n"/>
      <c r="DT27" s="583" t="n"/>
      <c r="DU27" s="583" t="n"/>
      <c r="DV27" s="583" t="n"/>
      <c r="DW27" s="583" t="n"/>
      <c r="DX27" s="583" t="n"/>
      <c r="DY27" s="583" t="n"/>
      <c r="DZ27" s="583" t="n"/>
      <c r="EA27" s="583" t="n"/>
      <c r="EB27" s="583" t="n"/>
      <c r="EC27" s="583" t="n"/>
      <c r="ED27" s="583" t="n"/>
      <c r="EE27" s="583" t="n"/>
      <c r="EF27" s="583" t="n"/>
      <c r="EG27" s="583" t="n"/>
      <c r="EH27" s="583" t="n"/>
      <c r="EI27" s="583" t="n"/>
      <c r="EJ27" s="583" t="n"/>
      <c r="EK27" s="583" t="n"/>
      <c r="EL27" s="583" t="n"/>
      <c r="EM27" s="583" t="n"/>
      <c r="EN27" s="583" t="n"/>
      <c r="EO27" s="583" t="n"/>
      <c r="EP27" s="583" t="n"/>
      <c r="EQ27" s="583" t="n"/>
      <c r="ER27" s="583" t="n"/>
      <c r="ES27" s="583" t="n"/>
      <c r="ET27" s="583" t="n"/>
      <c r="EU27" s="583" t="n"/>
      <c r="EV27" s="583" t="n"/>
      <c r="EW27" s="583" t="n"/>
      <c r="EX27" s="583" t="n"/>
      <c r="EY27" s="583" t="n"/>
      <c r="EZ27" s="583" t="n"/>
      <c r="FA27" s="583" t="n"/>
      <c r="FB27" s="583" t="n"/>
      <c r="FC27" s="583" t="n"/>
      <c r="FD27" s="583" t="n"/>
      <c r="FE27" s="583" t="n"/>
      <c r="FF27" s="583" t="n"/>
      <c r="FG27" s="583" t="n"/>
      <c r="FH27" s="583" t="n"/>
      <c r="FI27" s="583" t="n"/>
      <c r="FJ27" s="583" t="n"/>
      <c r="FK27" s="583" t="n"/>
      <c r="FL27" s="583" t="n"/>
      <c r="FM27" s="583" t="n"/>
      <c r="FN27" s="583" t="n"/>
      <c r="FO27" s="583" t="n"/>
      <c r="FP27" s="583" t="n"/>
      <c r="FQ27" s="583" t="n"/>
      <c r="FR27" s="583" t="n"/>
      <c r="FS27" s="583" t="n"/>
      <c r="FT27" s="583" t="n"/>
      <c r="FU27" s="583" t="n"/>
      <c r="FV27" s="583" t="n"/>
      <c r="FW27" s="583" t="n"/>
      <c r="FX27" s="583" t="n"/>
      <c r="FY27" s="583" t="n"/>
      <c r="FZ27" s="583" t="n"/>
      <c r="GA27" s="583" t="n"/>
    </row>
    <row r="28" customFormat="1" s="568">
      <c r="A28" s="227" t="n"/>
      <c r="B28" s="87" t="n"/>
      <c r="C28" s="137">
        <f>E28*D$5</f>
        <v/>
      </c>
      <c r="D28" s="178" t="inlineStr">
        <is>
          <t>Billy Wayne Bain, Trustee</t>
        </is>
      </c>
      <c r="E28" s="137">
        <f>SUM(G28:HT28)</f>
        <v/>
      </c>
      <c r="F28" s="582">
        <f>IFERROR(IF($E28&gt;0.0000005,$E28/SUMIF($E$11:$E$140,"&gt;0.0000005"),""),"")</f>
        <v/>
      </c>
      <c r="G28" s="570" t="n"/>
      <c r="H28" s="570" t="n"/>
      <c r="I28" s="570" t="n"/>
      <c r="J28" s="570" t="n"/>
      <c r="K28" s="570" t="n"/>
      <c r="L28" s="570" t="n"/>
      <c r="M28" s="570" t="n"/>
      <c r="N28" s="570" t="n"/>
      <c r="O28" s="570" t="n"/>
      <c r="P28" s="570" t="n"/>
      <c r="Q28" s="572" t="n"/>
      <c r="R28" s="570" t="n"/>
      <c r="S28" s="586" t="n"/>
      <c r="T28" s="586" t="n"/>
      <c r="U28" s="586" t="n"/>
      <c r="V28" s="586" t="n"/>
      <c r="W28" s="586" t="n"/>
      <c r="X28" s="570" t="n"/>
      <c r="Y28" s="570" t="n"/>
      <c r="Z28" s="572" t="n">
        <v>0.050538870708934</v>
      </c>
      <c r="AA28" s="572" t="n">
        <v>-0.00379041530317005</v>
      </c>
      <c r="AB28" s="572" t="n"/>
      <c r="AC28" s="572" t="n"/>
      <c r="AD28" s="572" t="n"/>
      <c r="AE28" s="53" t="n"/>
      <c r="AF28" s="572" t="n"/>
      <c r="AG28" s="570" t="n"/>
      <c r="AH28" s="572" t="n"/>
      <c r="AI28" s="570" t="n"/>
      <c r="AJ28" s="572" t="n"/>
      <c r="AK28" s="570" t="n"/>
      <c r="AL28" s="570" t="n"/>
      <c r="AM28" s="570" t="n"/>
      <c r="AN28" s="571" t="n"/>
      <c r="AO28" s="570" t="n"/>
      <c r="AP28" s="570" t="n"/>
      <c r="AQ28" s="570" t="n"/>
      <c r="AR28" s="570" t="n"/>
      <c r="AS28" s="579" t="n"/>
      <c r="AT28" s="579" t="n"/>
      <c r="AU28" s="579" t="n"/>
      <c r="AV28" s="579" t="n"/>
      <c r="AW28" s="579" t="n"/>
      <c r="AX28" s="579" t="n"/>
      <c r="AY28" s="579" t="n"/>
      <c r="AZ28" s="579" t="n"/>
      <c r="BA28" s="579" t="n"/>
      <c r="BB28" s="579" t="n"/>
      <c r="BC28" s="579" t="n"/>
      <c r="BD28" s="579" t="n"/>
      <c r="BE28" s="579" t="n"/>
      <c r="BF28" s="579" t="n"/>
      <c r="BG28" s="579" t="n"/>
      <c r="BH28" s="579" t="n"/>
      <c r="BI28" s="579" t="n"/>
      <c r="BJ28" s="579" t="n"/>
      <c r="BK28" s="579" t="n"/>
      <c r="BL28" s="579" t="n"/>
      <c r="BM28" s="579" t="n"/>
      <c r="BN28" s="579" t="n"/>
      <c r="BO28" s="579" t="n"/>
      <c r="BP28" s="579" t="n"/>
      <c r="BQ28" s="579" t="n"/>
      <c r="BR28" s="579" t="n"/>
      <c r="BS28" s="579" t="n"/>
      <c r="BT28" s="579" t="n"/>
      <c r="BU28" s="579" t="n"/>
      <c r="BV28" s="579" t="n"/>
      <c r="BW28" s="579" t="n"/>
      <c r="BX28" s="579" t="n"/>
      <c r="BY28" s="579" t="n"/>
      <c r="BZ28" s="579" t="n"/>
      <c r="CA28" s="579" t="n"/>
      <c r="CB28" s="579" t="n"/>
      <c r="CC28" s="579" t="n"/>
      <c r="CD28" s="579" t="n"/>
      <c r="CE28" s="579" t="n">
        <v>-0.00610631293668743</v>
      </c>
      <c r="CF28" s="579" t="n">
        <v>-0.00610631293668743</v>
      </c>
      <c r="CG28" s="579" t="n">
        <v>-0.00610631293668743</v>
      </c>
      <c r="CH28" s="579" t="n">
        <v>-0.00610631293668743</v>
      </c>
      <c r="CI28" s="579" t="n">
        <v>-0.00610631293668743</v>
      </c>
      <c r="CJ28" s="579" t="n">
        <v>-0.00610631293668743</v>
      </c>
      <c r="CK28" s="579" t="n"/>
      <c r="CL28" s="579" t="n"/>
      <c r="CM28" s="583" t="n"/>
      <c r="CN28" s="583" t="n"/>
      <c r="CO28" s="583" t="n"/>
      <c r="CP28" s="583" t="n"/>
      <c r="CQ28" s="583" t="n"/>
      <c r="CR28" s="583" t="n"/>
      <c r="CS28" s="583" t="n"/>
      <c r="CT28" s="583" t="n"/>
      <c r="CU28" s="583" t="n"/>
      <c r="CV28" s="583" t="n"/>
      <c r="CW28" s="583" t="n"/>
      <c r="CX28" s="583" t="n"/>
      <c r="CY28" s="583" t="n"/>
      <c r="CZ28" s="583" t="n"/>
      <c r="DA28" s="583" t="n"/>
      <c r="DB28" s="583" t="n"/>
      <c r="DC28" s="583" t="n"/>
      <c r="DD28" s="583" t="n"/>
      <c r="DE28" s="583" t="n"/>
      <c r="DF28" s="583" t="n"/>
      <c r="DG28" s="583" t="n"/>
      <c r="DH28" s="583" t="n"/>
      <c r="DI28" s="583" t="n"/>
      <c r="DJ28" s="583" t="n"/>
      <c r="DK28" s="583" t="n"/>
      <c r="DL28" s="583" t="n"/>
      <c r="DM28" s="583" t="n"/>
      <c r="DN28" s="583" t="n"/>
      <c r="DO28" s="583" t="n"/>
      <c r="DP28" s="583" t="n"/>
      <c r="DQ28" s="583" t="n"/>
      <c r="DR28" s="583" t="n"/>
      <c r="DS28" s="583" t="n"/>
      <c r="DT28" s="583" t="n"/>
      <c r="DU28" s="583" t="n"/>
      <c r="DV28" s="583" t="n"/>
      <c r="DW28" s="583" t="n"/>
      <c r="DX28" s="583" t="n"/>
      <c r="DY28" s="583" t="n"/>
      <c r="DZ28" s="583" t="n"/>
      <c r="EA28" s="583" t="n"/>
      <c r="EB28" s="583" t="n"/>
      <c r="EC28" s="583" t="n"/>
      <c r="ED28" s="583" t="n"/>
      <c r="EE28" s="583" t="n"/>
      <c r="EF28" s="583" t="n"/>
      <c r="EG28" s="583" t="n"/>
      <c r="EH28" s="583" t="n"/>
      <c r="EI28" s="583" t="n"/>
      <c r="EJ28" s="583" t="n"/>
      <c r="EK28" s="583" t="n"/>
      <c r="EL28" s="583" t="n"/>
      <c r="EM28" s="583" t="n"/>
      <c r="EN28" s="583" t="n"/>
      <c r="EO28" s="583" t="n"/>
      <c r="EP28" s="583" t="n"/>
      <c r="EQ28" s="583" t="n"/>
      <c r="ER28" s="583" t="n"/>
      <c r="ES28" s="583" t="n"/>
      <c r="ET28" s="583" t="n"/>
      <c r="EU28" s="583" t="n"/>
      <c r="EV28" s="583" t="n"/>
      <c r="EW28" s="583" t="n"/>
      <c r="EX28" s="583" t="n"/>
      <c r="EY28" s="583" t="n"/>
      <c r="EZ28" s="583" t="n"/>
      <c r="FA28" s="583" t="n"/>
      <c r="FB28" s="583" t="n"/>
      <c r="FC28" s="583" t="n"/>
      <c r="FD28" s="583" t="n"/>
      <c r="FE28" s="583" t="n"/>
      <c r="FF28" s="583" t="n"/>
      <c r="FG28" s="583" t="n"/>
      <c r="FH28" s="583" t="n"/>
      <c r="FI28" s="583" t="n"/>
      <c r="FJ28" s="583" t="n"/>
      <c r="FK28" s="583" t="n"/>
      <c r="FL28" s="583" t="n"/>
      <c r="FM28" s="583" t="n"/>
      <c r="FN28" s="583" t="n"/>
      <c r="FO28" s="583" t="n"/>
      <c r="FP28" s="583" t="n"/>
      <c r="FQ28" s="583" t="n"/>
      <c r="FR28" s="583" t="n"/>
      <c r="FS28" s="583" t="n"/>
      <c r="FT28" s="583" t="n"/>
      <c r="FU28" s="583" t="n"/>
      <c r="FV28" s="583" t="n"/>
      <c r="FW28" s="583" t="n"/>
      <c r="FX28" s="583" t="n"/>
      <c r="FY28" s="583" t="n"/>
      <c r="FZ28" s="583" t="n"/>
      <c r="GA28" s="583" t="n"/>
    </row>
    <row r="29" customFormat="1" s="568">
      <c r="A29" s="227" t="n"/>
      <c r="B29" s="87" t="n"/>
      <c r="C29" s="84">
        <f>E29*D$5</f>
        <v/>
      </c>
      <c r="D29" s="177" t="inlineStr">
        <is>
          <t>O. K. Oil Venture</t>
        </is>
      </c>
      <c r="E29" s="84">
        <f>SUM(G29:HT29)</f>
        <v/>
      </c>
      <c r="F29" s="582">
        <f>IFERROR(IF($E29&gt;0.0000005,$E29/SUMIF($E$11:$E$140,"&gt;0.0000005"),""),"")</f>
        <v/>
      </c>
      <c r="G29" s="570" t="n"/>
      <c r="H29" s="570" t="n"/>
      <c r="I29" s="570" t="n"/>
      <c r="J29" s="570" t="n"/>
      <c r="K29" s="570" t="n"/>
      <c r="L29" s="570" t="n"/>
      <c r="M29" s="570" t="n"/>
      <c r="N29" s="570" t="n"/>
      <c r="O29" s="572" t="n"/>
      <c r="P29" s="570" t="n"/>
      <c r="Q29" s="572" t="n"/>
      <c r="R29" s="586" t="n"/>
      <c r="S29" s="586" t="n"/>
      <c r="T29" s="586" t="n"/>
      <c r="U29" s="570" t="n"/>
      <c r="V29" s="570" t="n"/>
      <c r="W29" s="570" t="n"/>
      <c r="X29" s="570" t="n"/>
      <c r="Y29" s="570" t="n"/>
      <c r="Z29" s="572" t="n"/>
      <c r="AA29" s="572" t="n">
        <v>0.00379041530317005</v>
      </c>
      <c r="AB29" s="572" t="n">
        <v>0.00379041530317005</v>
      </c>
      <c r="AC29" s="572" t="n">
        <v>-0.00126347176772335</v>
      </c>
      <c r="AD29" s="572" t="n">
        <v>-0.00126347176772335</v>
      </c>
      <c r="AE29" s="53" t="n">
        <v>-0.001263472222222228</v>
      </c>
      <c r="AF29" s="572" t="n">
        <v>-0.00126347176772335</v>
      </c>
      <c r="AG29" s="570" t="n">
        <v>-0.0025269435354467</v>
      </c>
      <c r="AH29" s="572" t="n"/>
      <c r="AI29" s="570" t="n"/>
      <c r="AJ29" s="572" t="n"/>
      <c r="AK29" s="570" t="n"/>
      <c r="AL29" s="570" t="n"/>
      <c r="AM29" s="570" t="n"/>
      <c r="AN29" s="570" t="n"/>
      <c r="AO29" s="570" t="n"/>
      <c r="AP29" s="570" t="n"/>
      <c r="AQ29" s="570" t="n"/>
      <c r="AR29" s="570" t="n"/>
      <c r="AS29" s="579" t="n"/>
      <c r="AT29" s="579" t="n"/>
      <c r="CM29" s="587" t="n"/>
      <c r="CN29" s="587" t="n"/>
      <c r="CO29" s="587" t="n"/>
      <c r="CP29" s="587" t="n"/>
      <c r="CQ29" s="587" t="n"/>
      <c r="CR29" s="587" t="n"/>
      <c r="CS29" s="587" t="n"/>
      <c r="CT29" s="587" t="n"/>
      <c r="CU29" s="587" t="n"/>
      <c r="CV29" s="587" t="n"/>
      <c r="CW29" s="587" t="n"/>
      <c r="CX29" s="587" t="n"/>
      <c r="CY29" s="587" t="n"/>
      <c r="CZ29" s="587" t="n"/>
      <c r="DA29" s="587" t="n"/>
      <c r="DB29" s="587" t="n"/>
      <c r="DC29" s="587" t="n"/>
      <c r="DD29" s="587" t="n"/>
      <c r="DE29" s="587" t="n"/>
      <c r="DF29" s="587" t="n"/>
      <c r="DG29" s="587" t="n"/>
      <c r="DH29" s="587" t="n"/>
      <c r="DI29" s="587" t="n"/>
      <c r="DJ29" s="587" t="n"/>
      <c r="DK29" s="587" t="n"/>
      <c r="DL29" s="587" t="n"/>
      <c r="DM29" s="587" t="n"/>
      <c r="DN29" s="587" t="n"/>
      <c r="DO29" s="587" t="n"/>
      <c r="DP29" s="587" t="n"/>
      <c r="DQ29" s="587" t="n"/>
      <c r="DR29" s="587" t="n"/>
      <c r="DS29" s="587" t="n"/>
      <c r="DT29" s="587" t="n"/>
      <c r="DU29" s="587" t="n"/>
      <c r="DV29" s="587" t="n"/>
      <c r="DW29" s="587" t="n"/>
      <c r="DX29" s="587" t="n"/>
      <c r="DY29" s="587" t="n"/>
      <c r="DZ29" s="587" t="n"/>
      <c r="EA29" s="587" t="n"/>
      <c r="EB29" s="587" t="n"/>
      <c r="EC29" s="587" t="n"/>
      <c r="ED29" s="587" t="n"/>
      <c r="EE29" s="587" t="n"/>
      <c r="EF29" s="587" t="n"/>
      <c r="EG29" s="587" t="n"/>
      <c r="EH29" s="587" t="n"/>
      <c r="EI29" s="587" t="n"/>
      <c r="EJ29" s="587" t="n"/>
      <c r="EK29" s="587" t="n"/>
      <c r="EL29" s="587" t="n"/>
      <c r="EM29" s="587" t="n"/>
      <c r="EN29" s="587" t="n"/>
      <c r="EO29" s="587" t="n"/>
      <c r="EP29" s="587" t="n"/>
      <c r="EQ29" s="587" t="n"/>
      <c r="ER29" s="587" t="n"/>
      <c r="ES29" s="587" t="n"/>
      <c r="ET29" s="587" t="n"/>
      <c r="EU29" s="587" t="n"/>
      <c r="EV29" s="587" t="n"/>
      <c r="EW29" s="587" t="n"/>
      <c r="EX29" s="587" t="n"/>
      <c r="EY29" s="587" t="n"/>
      <c r="EZ29" s="587" t="n"/>
      <c r="FA29" s="587" t="n"/>
      <c r="FB29" s="587" t="n"/>
      <c r="FC29" s="587" t="n"/>
      <c r="FD29" s="587" t="n"/>
      <c r="FE29" s="587" t="n"/>
      <c r="FF29" s="587" t="n"/>
      <c r="FG29" s="587" t="n"/>
      <c r="FH29" s="587" t="n"/>
      <c r="FI29" s="587" t="n"/>
      <c r="FJ29" s="587" t="n"/>
      <c r="FK29" s="587" t="n"/>
      <c r="FL29" s="587" t="n"/>
      <c r="FM29" s="587" t="n"/>
      <c r="FN29" s="587" t="n"/>
      <c r="FO29" s="587" t="n"/>
      <c r="FP29" s="587" t="n"/>
      <c r="FQ29" s="587" t="n"/>
      <c r="FR29" s="587" t="n"/>
      <c r="FS29" s="587" t="n"/>
      <c r="FT29" s="587" t="n"/>
      <c r="FU29" s="587" t="n"/>
      <c r="FV29" s="587" t="n"/>
      <c r="FW29" s="587" t="n"/>
      <c r="FX29" s="587" t="n"/>
      <c r="FY29" s="587" t="n"/>
      <c r="FZ29" s="587" t="n"/>
      <c r="GA29" s="587" t="n"/>
    </row>
    <row r="30" customFormat="1" s="568">
      <c r="A30" s="227" t="n"/>
      <c r="B30" s="87" t="n"/>
      <c r="C30" s="84">
        <f>E30*D$5</f>
        <v/>
      </c>
      <c r="D30" s="177" t="inlineStr">
        <is>
          <t>Jonathan E. Jensen</t>
        </is>
      </c>
      <c r="E30" s="84">
        <f>SUM(G30:HT30)</f>
        <v/>
      </c>
      <c r="F30" s="582">
        <f>IFERROR(IF($E30&gt;0.0000005,$E30/SUMIF($E$11:$E$140,"&gt;0.0000005"),""),"")</f>
        <v/>
      </c>
      <c r="G30" s="570" t="n"/>
      <c r="H30" s="570" t="n"/>
      <c r="I30" s="570" t="n"/>
      <c r="J30" s="570" t="n"/>
      <c r="K30" s="570" t="n"/>
      <c r="L30" s="570" t="n"/>
      <c r="M30" s="570" t="n"/>
      <c r="N30" s="570" t="n"/>
      <c r="O30" s="572" t="n"/>
      <c r="P30" s="570" t="n"/>
      <c r="Q30" s="572" t="n"/>
      <c r="R30" s="586" t="n"/>
      <c r="S30" s="586" t="n"/>
      <c r="T30" s="570" t="n"/>
      <c r="U30" s="586" t="n"/>
      <c r="V30" s="570" t="n"/>
      <c r="W30" s="570" t="n"/>
      <c r="X30" s="570" t="n"/>
      <c r="Y30" s="570" t="n"/>
      <c r="Z30" s="572" t="n"/>
      <c r="AA30" s="572" t="n"/>
      <c r="AB30" s="572" t="n"/>
      <c r="AC30" s="572" t="n">
        <v>0.00126347176772335</v>
      </c>
      <c r="AD30" s="572" t="n"/>
      <c r="AE30" s="220" t="n"/>
      <c r="AF30" s="572" t="n"/>
      <c r="AG30" s="570" t="n"/>
      <c r="AH30" s="572" t="n"/>
      <c r="AI30" s="570" t="n"/>
      <c r="AJ30" s="572" t="n"/>
      <c r="AK30" s="570" t="n"/>
      <c r="AL30" s="570" t="n"/>
      <c r="AM30" s="570" t="n"/>
      <c r="AN30" s="570" t="n"/>
      <c r="AO30" s="570" t="n"/>
      <c r="AP30" s="570" t="n"/>
      <c r="AQ30" s="570" t="n"/>
      <c r="AR30" s="570" t="n"/>
      <c r="AS30" s="579" t="n"/>
      <c r="AT30" s="579" t="n"/>
      <c r="CM30" s="587" t="n"/>
      <c r="CN30" s="587" t="n"/>
      <c r="CO30" s="587" t="n"/>
      <c r="CP30" s="587" t="n"/>
      <c r="CQ30" s="587" t="n"/>
      <c r="CR30" s="587" t="n"/>
      <c r="CS30" s="587" t="n"/>
      <c r="CT30" s="587" t="n"/>
      <c r="CU30" s="587" t="n"/>
      <c r="CV30" s="587" t="n"/>
      <c r="CW30" s="587" t="n"/>
      <c r="CX30" s="587" t="n"/>
      <c r="CY30" s="587" t="n"/>
      <c r="CZ30" s="587" t="n"/>
      <c r="DA30" s="587" t="n"/>
      <c r="DB30" s="587" t="n"/>
      <c r="DC30" s="587" t="n"/>
      <c r="DD30" s="587" t="n"/>
      <c r="DE30" s="587" t="n"/>
      <c r="DF30" s="587" t="n"/>
      <c r="DG30" s="587" t="n"/>
      <c r="DH30" s="587" t="n"/>
      <c r="DI30" s="587" t="n"/>
      <c r="DJ30" s="587" t="n"/>
      <c r="DK30" s="587" t="n"/>
      <c r="DL30" s="587" t="n"/>
      <c r="DM30" s="587" t="n"/>
      <c r="DN30" s="587" t="n"/>
      <c r="DO30" s="587" t="n"/>
      <c r="DP30" s="587" t="n"/>
      <c r="DQ30" s="587" t="n"/>
      <c r="DR30" s="587" t="n"/>
      <c r="DS30" s="587" t="n"/>
      <c r="DT30" s="587" t="n"/>
      <c r="DU30" s="587" t="n"/>
      <c r="DV30" s="587" t="n"/>
      <c r="DW30" s="587" t="n"/>
      <c r="DX30" s="587" t="n"/>
      <c r="DY30" s="587" t="n"/>
      <c r="DZ30" s="587" t="n"/>
      <c r="EA30" s="587" t="n"/>
      <c r="EB30" s="587" t="n"/>
      <c r="EC30" s="587" t="n"/>
      <c r="ED30" s="587" t="n"/>
      <c r="EE30" s="587" t="n"/>
      <c r="EF30" s="587" t="n"/>
      <c r="EG30" s="587" t="n"/>
      <c r="EH30" s="587" t="n"/>
      <c r="EI30" s="587" t="n"/>
      <c r="EJ30" s="587" t="n"/>
      <c r="EK30" s="587" t="n"/>
      <c r="EL30" s="587" t="n"/>
      <c r="EM30" s="587" t="n"/>
      <c r="EN30" s="587" t="n"/>
      <c r="EO30" s="587" t="n"/>
      <c r="EP30" s="587" t="n"/>
      <c r="EQ30" s="587" t="n"/>
      <c r="ER30" s="587" t="n"/>
      <c r="ES30" s="587" t="n"/>
      <c r="ET30" s="587" t="n"/>
      <c r="EU30" s="587" t="n"/>
      <c r="EV30" s="587" t="n"/>
      <c r="EW30" s="587" t="n"/>
      <c r="EX30" s="587" t="n"/>
      <c r="EY30" s="587" t="n"/>
      <c r="EZ30" s="587" t="n"/>
      <c r="FA30" s="587" t="n"/>
      <c r="FB30" s="587" t="n"/>
      <c r="FC30" s="587" t="n"/>
      <c r="FD30" s="587" t="n"/>
      <c r="FE30" s="587" t="n"/>
      <c r="FF30" s="587" t="n"/>
      <c r="FG30" s="587" t="n"/>
      <c r="FH30" s="587" t="n"/>
      <c r="FI30" s="587" t="n"/>
      <c r="FJ30" s="587" t="n"/>
      <c r="FK30" s="587" t="n"/>
      <c r="FL30" s="587" t="n"/>
      <c r="FM30" s="587" t="n"/>
      <c r="FN30" s="587" t="n"/>
      <c r="FO30" s="587" t="n"/>
      <c r="FP30" s="587" t="n"/>
      <c r="FQ30" s="587" t="n"/>
      <c r="FR30" s="587" t="n"/>
      <c r="FS30" s="587" t="n"/>
      <c r="FT30" s="587" t="n"/>
      <c r="FU30" s="587" t="n"/>
      <c r="FV30" s="587" t="n"/>
      <c r="FW30" s="587" t="n"/>
      <c r="FX30" s="587" t="n"/>
      <c r="FY30" s="587" t="n"/>
      <c r="FZ30" s="587" t="n"/>
      <c r="GA30" s="587" t="n"/>
    </row>
    <row r="31" customFormat="1" s="568">
      <c r="A31" s="227" t="n"/>
      <c r="B31" s="87" t="n"/>
      <c r="C31" s="137">
        <f>E31*D$5</f>
        <v/>
      </c>
      <c r="D31" s="178" t="inlineStr">
        <is>
          <t>John R. Bringle</t>
        </is>
      </c>
      <c r="E31" s="137">
        <f>SUM(G31:HT31)</f>
        <v/>
      </c>
      <c r="F31" s="582">
        <f>IFERROR(IF($E31&gt;0.0000005,$E31/SUMIF($E$11:$E$140,"&gt;0.0000005"),""),"")</f>
        <v/>
      </c>
      <c r="G31" s="570" t="n"/>
      <c r="H31" s="570" t="n"/>
      <c r="I31" s="570" t="n"/>
      <c r="J31" s="570" t="n"/>
      <c r="K31" s="570" t="n"/>
      <c r="L31" s="570" t="n"/>
      <c r="M31" s="570" t="n"/>
      <c r="N31" s="570" t="n"/>
      <c r="O31" s="572" t="n"/>
      <c r="P31" s="570" t="n"/>
      <c r="Q31" s="572" t="n"/>
      <c r="R31" s="586" t="n"/>
      <c r="S31" s="586" t="n"/>
      <c r="T31" s="570" t="n"/>
      <c r="U31" s="570" t="n"/>
      <c r="V31" s="586" t="n"/>
      <c r="W31" s="570" t="n"/>
      <c r="X31" s="570" t="n"/>
      <c r="Y31" s="570" t="n"/>
      <c r="Z31" s="572" t="n"/>
      <c r="AA31" s="572" t="n"/>
      <c r="AB31" s="572" t="n"/>
      <c r="AC31" s="572" t="n"/>
      <c r="AD31" s="572" t="n">
        <v>0.00126347176772335</v>
      </c>
      <c r="AE31" s="220" t="n"/>
      <c r="AF31" s="572" t="n"/>
      <c r="AG31" s="570" t="n"/>
      <c r="AH31" s="572" t="n"/>
      <c r="AI31" s="570" t="n"/>
      <c r="AJ31" s="572" t="n"/>
      <c r="AK31" s="570" t="n"/>
      <c r="AL31" s="570" t="n"/>
      <c r="AM31" s="570" t="n"/>
      <c r="AN31" s="570" t="n"/>
      <c r="AO31" s="570" t="n"/>
      <c r="AP31" s="570" t="n"/>
      <c r="AQ31" s="570" t="n"/>
      <c r="AR31" s="570" t="n"/>
      <c r="AS31" s="579" t="n"/>
      <c r="AT31" s="579" t="n"/>
      <c r="CM31" s="587" t="n"/>
      <c r="CN31" s="587" t="n"/>
      <c r="CO31" s="587" t="n"/>
      <c r="CP31" s="587" t="n"/>
      <c r="CQ31" s="587" t="n"/>
      <c r="CR31" s="587" t="n"/>
      <c r="CS31" s="587" t="n"/>
      <c r="CT31" s="587" t="n"/>
      <c r="CU31" s="587" t="n"/>
      <c r="CV31" s="587" t="n"/>
      <c r="CW31" s="587" t="n"/>
      <c r="CX31" s="587" t="n"/>
      <c r="CY31" s="587" t="n"/>
      <c r="CZ31" s="587" t="n"/>
      <c r="DA31" s="587" t="n"/>
      <c r="DB31" s="587" t="n"/>
      <c r="DC31" s="587" t="n"/>
      <c r="DD31" s="587" t="n"/>
      <c r="DE31" s="587" t="n"/>
      <c r="DF31" s="587" t="n"/>
      <c r="DG31" s="587" t="n"/>
      <c r="DH31" s="587" t="n"/>
      <c r="DI31" s="587" t="n"/>
      <c r="DJ31" s="587" t="n"/>
      <c r="DK31" s="587" t="n"/>
      <c r="DL31" s="587" t="n"/>
      <c r="DM31" s="587" t="n"/>
      <c r="DN31" s="587" t="n"/>
      <c r="DO31" s="587" t="n"/>
      <c r="DP31" s="587" t="n"/>
      <c r="DQ31" s="587" t="n"/>
      <c r="DR31" s="587" t="n"/>
      <c r="DS31" s="587" t="n"/>
      <c r="DT31" s="587" t="n"/>
      <c r="DU31" s="587" t="n"/>
      <c r="DV31" s="587" t="n"/>
      <c r="DW31" s="587" t="n"/>
      <c r="DX31" s="587" t="n"/>
      <c r="DY31" s="587" t="n"/>
      <c r="DZ31" s="587" t="n"/>
      <c r="EA31" s="587" t="n"/>
      <c r="EB31" s="587" t="n"/>
      <c r="EC31" s="587" t="n"/>
      <c r="ED31" s="587" t="n"/>
      <c r="EE31" s="587" t="n"/>
      <c r="EF31" s="587" t="n"/>
      <c r="EG31" s="587" t="n"/>
      <c r="EH31" s="587" t="n"/>
      <c r="EI31" s="587" t="n"/>
      <c r="EJ31" s="587" t="n"/>
      <c r="EK31" s="587" t="n"/>
      <c r="EL31" s="587" t="n"/>
      <c r="EM31" s="587" t="n"/>
      <c r="EN31" s="587" t="n"/>
      <c r="EO31" s="587" t="n"/>
      <c r="EP31" s="587" t="n"/>
      <c r="EQ31" s="587" t="n"/>
      <c r="ER31" s="587" t="n"/>
      <c r="ES31" s="587" t="n"/>
      <c r="ET31" s="587" t="n"/>
      <c r="EU31" s="587" t="n"/>
      <c r="EV31" s="587" t="n"/>
      <c r="EW31" s="587" t="n"/>
      <c r="EX31" s="587" t="n"/>
      <c r="EY31" s="587" t="n"/>
      <c r="EZ31" s="587" t="n"/>
      <c r="FA31" s="587" t="n"/>
      <c r="FB31" s="587" t="n"/>
      <c r="FC31" s="587" t="n"/>
      <c r="FD31" s="587" t="n"/>
      <c r="FE31" s="587" t="n"/>
      <c r="FF31" s="587" t="n"/>
      <c r="FG31" s="587" t="n"/>
      <c r="FH31" s="587" t="n"/>
      <c r="FI31" s="587" t="n"/>
      <c r="FJ31" s="587" t="n"/>
      <c r="FK31" s="587" t="n"/>
      <c r="FL31" s="587" t="n"/>
      <c r="FM31" s="587" t="n"/>
      <c r="FN31" s="587" t="n"/>
      <c r="FO31" s="587" t="n"/>
      <c r="FP31" s="587" t="n"/>
      <c r="FQ31" s="587" t="n"/>
      <c r="FR31" s="587" t="n"/>
      <c r="FS31" s="587" t="n"/>
      <c r="FT31" s="587" t="n"/>
      <c r="FU31" s="587" t="n"/>
      <c r="FV31" s="587" t="n"/>
      <c r="FW31" s="587" t="n"/>
      <c r="FX31" s="587" t="n"/>
      <c r="FY31" s="587" t="n"/>
      <c r="FZ31" s="587" t="n"/>
      <c r="GA31" s="587" t="n"/>
    </row>
    <row r="32" customFormat="1" s="568">
      <c r="A32" s="227" t="n"/>
      <c r="B32" s="87" t="n"/>
      <c r="C32" s="84">
        <f>E32*D$5</f>
        <v/>
      </c>
      <c r="D32" s="177" t="inlineStr">
        <is>
          <t>James F. Menehan</t>
        </is>
      </c>
      <c r="E32" s="84">
        <f>SUM(G32:HT32)</f>
        <v/>
      </c>
      <c r="F32" s="582">
        <f>IFERROR(IF($E32&gt;0.0000005,$E32/SUMIF($E$11:$E$140,"&gt;0.0000005"),""),"")</f>
        <v/>
      </c>
      <c r="G32" s="570" t="n"/>
      <c r="H32" s="570" t="n"/>
      <c r="I32" s="570" t="n"/>
      <c r="J32" s="570" t="n"/>
      <c r="K32" s="570" t="n"/>
      <c r="L32" s="570" t="n"/>
      <c r="M32" s="570" t="n"/>
      <c r="N32" s="570" t="n"/>
      <c r="O32" s="570" t="n"/>
      <c r="P32" s="570" t="n"/>
      <c r="Q32" s="572" t="n"/>
      <c r="R32" s="570" t="n"/>
      <c r="S32" s="586" t="n"/>
      <c r="T32" s="570" t="n"/>
      <c r="U32" s="570" t="n"/>
      <c r="V32" s="570" t="n"/>
      <c r="W32" s="586" t="n"/>
      <c r="X32" s="570" t="n"/>
      <c r="Y32" s="570" t="n"/>
      <c r="Z32" s="572" t="n"/>
      <c r="AA32" s="572" t="n"/>
      <c r="AB32" s="572" t="n"/>
      <c r="AC32" s="572" t="n"/>
      <c r="AD32" s="572" t="n"/>
      <c r="AE32" s="220" t="n">
        <v>0.00126347176772335</v>
      </c>
      <c r="AF32" s="572" t="n"/>
      <c r="AG32" s="570" t="n"/>
      <c r="AH32" s="572" t="n"/>
      <c r="AI32" s="570" t="n"/>
      <c r="AJ32" s="572" t="n"/>
      <c r="AK32" s="570" t="n"/>
      <c r="AL32" s="570" t="n"/>
      <c r="AM32" s="570" t="n"/>
      <c r="AN32" s="570" t="n"/>
      <c r="AO32" s="570" t="n"/>
      <c r="AP32" s="570" t="n"/>
      <c r="AQ32" s="570" t="n"/>
      <c r="AR32" s="570" t="n"/>
      <c r="AS32" s="579" t="n"/>
      <c r="AT32" s="579" t="n"/>
      <c r="CM32" s="587" t="n"/>
      <c r="CN32" s="587" t="n"/>
      <c r="CO32" s="587" t="n"/>
      <c r="CP32" s="587" t="n"/>
      <c r="CQ32" s="587" t="n"/>
      <c r="CR32" s="587" t="n"/>
      <c r="CS32" s="587" t="n"/>
      <c r="CT32" s="587" t="n"/>
      <c r="CU32" s="587" t="n"/>
      <c r="CV32" s="587" t="n"/>
      <c r="CW32" s="587" t="n"/>
      <c r="CX32" s="587" t="n"/>
      <c r="CY32" s="587" t="n"/>
      <c r="CZ32" s="587" t="n"/>
      <c r="DA32" s="587" t="n"/>
      <c r="DB32" s="587" t="n"/>
      <c r="DC32" s="587" t="n"/>
      <c r="DD32" s="587" t="n"/>
      <c r="DE32" s="587" t="n"/>
      <c r="DF32" s="587" t="n"/>
      <c r="DG32" s="587" t="n"/>
      <c r="DH32" s="587" t="n"/>
      <c r="DI32" s="587" t="n"/>
      <c r="DJ32" s="587" t="n"/>
      <c r="DK32" s="587" t="n"/>
      <c r="DL32" s="587" t="n"/>
      <c r="DM32" s="587" t="n"/>
      <c r="DN32" s="587" t="n"/>
      <c r="DO32" s="587" t="n"/>
      <c r="DP32" s="587" t="n"/>
      <c r="DQ32" s="587" t="n"/>
      <c r="DR32" s="587" t="n"/>
      <c r="DS32" s="587" t="n"/>
      <c r="DT32" s="587" t="n"/>
      <c r="DU32" s="587" t="n"/>
      <c r="DV32" s="587" t="n"/>
      <c r="DW32" s="587" t="n"/>
      <c r="DX32" s="587" t="n"/>
      <c r="DY32" s="587" t="n"/>
      <c r="DZ32" s="587" t="n"/>
      <c r="EA32" s="587" t="n"/>
      <c r="EB32" s="587" t="n"/>
      <c r="EC32" s="587" t="n"/>
      <c r="ED32" s="587" t="n"/>
      <c r="EE32" s="587" t="n"/>
      <c r="EF32" s="587" t="n"/>
      <c r="EG32" s="587" t="n"/>
      <c r="EH32" s="587" t="n"/>
      <c r="EI32" s="587" t="n"/>
      <c r="EJ32" s="587" t="n"/>
      <c r="EK32" s="587" t="n"/>
      <c r="EL32" s="587" t="n"/>
      <c r="EM32" s="587" t="n"/>
      <c r="EN32" s="587" t="n"/>
      <c r="EO32" s="587" t="n"/>
      <c r="EP32" s="587" t="n"/>
      <c r="EQ32" s="587" t="n"/>
      <c r="ER32" s="587" t="n"/>
      <c r="ES32" s="587" t="n"/>
      <c r="ET32" s="587" t="n"/>
      <c r="EU32" s="587" t="n"/>
      <c r="EV32" s="587" t="n"/>
      <c r="EW32" s="587" t="n"/>
      <c r="EX32" s="587" t="n"/>
      <c r="EY32" s="587" t="n"/>
      <c r="EZ32" s="587" t="n"/>
      <c r="FA32" s="587" t="n"/>
      <c r="FB32" s="587" t="n"/>
      <c r="FC32" s="587" t="n"/>
      <c r="FD32" s="587" t="n"/>
      <c r="FE32" s="587" t="n"/>
      <c r="FF32" s="587" t="n"/>
      <c r="FG32" s="587" t="n"/>
      <c r="FH32" s="587" t="n"/>
      <c r="FI32" s="587" t="n"/>
      <c r="FJ32" s="587" t="n"/>
      <c r="FK32" s="587" t="n"/>
      <c r="FL32" s="587" t="n"/>
      <c r="FM32" s="587" t="n"/>
      <c r="FN32" s="587" t="n"/>
      <c r="FO32" s="587" t="n"/>
      <c r="FP32" s="587" t="n"/>
      <c r="FQ32" s="587" t="n"/>
      <c r="FR32" s="587" t="n"/>
      <c r="FS32" s="587" t="n"/>
      <c r="FT32" s="587" t="n"/>
      <c r="FU32" s="587" t="n"/>
      <c r="FV32" s="587" t="n"/>
      <c r="FW32" s="587" t="n"/>
      <c r="FX32" s="587" t="n"/>
      <c r="FY32" s="587" t="n"/>
      <c r="FZ32" s="587" t="n"/>
      <c r="GA32" s="587" t="n"/>
    </row>
    <row r="33" customFormat="1" s="568">
      <c r="A33" s="227" t="n"/>
      <c r="B33" s="87" t="n"/>
      <c r="C33" s="137">
        <f>E33*D$5</f>
        <v/>
      </c>
      <c r="D33" s="177" t="inlineStr">
        <is>
          <t>L. A. Persicke</t>
        </is>
      </c>
      <c r="E33" s="137">
        <f>SUM(G33:HT33)</f>
        <v/>
      </c>
      <c r="F33" s="582">
        <f>IFERROR(IF($E33&gt;0.0000005,$E33/SUMIF($E$11:$E$140,"&gt;0.0000005"),""),"")</f>
        <v/>
      </c>
      <c r="G33" s="570" t="n"/>
      <c r="H33" s="570" t="n"/>
      <c r="I33" s="570" t="n"/>
      <c r="J33" s="570" t="n"/>
      <c r="K33" s="570" t="n"/>
      <c r="L33" s="570" t="n"/>
      <c r="M33" s="570" t="n"/>
      <c r="N33" s="570" t="n"/>
      <c r="O33" s="570" t="n"/>
      <c r="P33" s="570" t="n"/>
      <c r="Q33" s="572" t="n"/>
      <c r="R33" s="570" t="n"/>
      <c r="S33" s="586" t="n"/>
      <c r="T33" s="570" t="n"/>
      <c r="U33" s="570" t="n"/>
      <c r="V33" s="570" t="n"/>
      <c r="W33" s="570" t="n"/>
      <c r="X33" s="570" t="n"/>
      <c r="Y33" s="570" t="n"/>
      <c r="Z33" s="572" t="n"/>
      <c r="AA33" s="572" t="n"/>
      <c r="AB33" s="572" t="n"/>
      <c r="AC33" s="572" t="n"/>
      <c r="AD33" s="572" t="n"/>
      <c r="AE33" s="572" t="n"/>
      <c r="AF33" s="572" t="n">
        <v>0.00126347176772335</v>
      </c>
      <c r="AG33" s="570" t="n"/>
      <c r="AH33" s="572" t="n"/>
      <c r="AI33" s="570" t="n"/>
      <c r="AJ33" s="572" t="n"/>
      <c r="AK33" s="570" t="n"/>
      <c r="AL33" s="570" t="n"/>
      <c r="AM33" s="570" t="n"/>
      <c r="AN33" s="570" t="n"/>
      <c r="AO33" s="570" t="n"/>
      <c r="AP33" s="570" t="n"/>
      <c r="AQ33" s="570" t="n"/>
      <c r="AR33" s="570" t="n"/>
      <c r="AS33" s="579" t="n"/>
      <c r="AT33" s="579" t="n"/>
      <c r="CM33" s="587" t="n"/>
      <c r="CN33" s="587" t="n"/>
      <c r="CO33" s="587" t="n"/>
      <c r="CP33" s="587" t="n"/>
      <c r="CQ33" s="587" t="n"/>
      <c r="CR33" s="587" t="n"/>
      <c r="CS33" s="587" t="n"/>
      <c r="CT33" s="587" t="n"/>
      <c r="CU33" s="587" t="n"/>
      <c r="CV33" s="587" t="n"/>
      <c r="CW33" s="587" t="n"/>
      <c r="CX33" s="587" t="n"/>
      <c r="CY33" s="587" t="n"/>
      <c r="CZ33" s="587" t="n"/>
      <c r="DA33" s="587" t="n"/>
      <c r="DB33" s="587" t="n"/>
      <c r="DC33" s="587" t="n"/>
      <c r="DD33" s="587" t="n"/>
      <c r="DE33" s="587" t="n"/>
      <c r="DF33" s="587" t="n"/>
      <c r="DG33" s="587" t="n"/>
      <c r="DH33" s="587" t="n"/>
      <c r="DI33" s="587" t="n"/>
      <c r="DJ33" s="587" t="n"/>
      <c r="DK33" s="587" t="n"/>
      <c r="DL33" s="587" t="n"/>
      <c r="DM33" s="587" t="n"/>
      <c r="DN33" s="587" t="n"/>
      <c r="DO33" s="587" t="n"/>
      <c r="DP33" s="587" t="n"/>
      <c r="DQ33" s="587" t="n"/>
      <c r="DR33" s="587" t="n"/>
      <c r="DS33" s="587" t="n"/>
      <c r="DT33" s="587" t="n"/>
      <c r="DU33" s="587" t="n"/>
      <c r="DV33" s="587" t="n"/>
      <c r="DW33" s="587" t="n"/>
      <c r="DX33" s="587" t="n"/>
      <c r="DY33" s="587" t="n"/>
      <c r="DZ33" s="587" t="n"/>
      <c r="EA33" s="587" t="n"/>
      <c r="EB33" s="587" t="n"/>
      <c r="EC33" s="587" t="n"/>
      <c r="ED33" s="587" t="n"/>
      <c r="EE33" s="587" t="n"/>
      <c r="EF33" s="587" t="n"/>
      <c r="EG33" s="587" t="n"/>
      <c r="EH33" s="587" t="n"/>
      <c r="EI33" s="587" t="n"/>
      <c r="EJ33" s="587" t="n"/>
      <c r="EK33" s="587" t="n"/>
      <c r="EL33" s="587" t="n"/>
      <c r="EM33" s="587" t="n"/>
      <c r="EN33" s="587" t="n"/>
      <c r="EO33" s="587" t="n"/>
      <c r="EP33" s="587" t="n"/>
      <c r="EQ33" s="587" t="n"/>
      <c r="ER33" s="587" t="n"/>
      <c r="ES33" s="587" t="n"/>
      <c r="ET33" s="587" t="n"/>
      <c r="EU33" s="587" t="n"/>
      <c r="EV33" s="587" t="n"/>
      <c r="EW33" s="587" t="n"/>
      <c r="EX33" s="587" t="n"/>
      <c r="EY33" s="587" t="n"/>
      <c r="EZ33" s="587" t="n"/>
      <c r="FA33" s="587" t="n"/>
      <c r="FB33" s="587" t="n"/>
      <c r="FC33" s="587" t="n"/>
      <c r="FD33" s="587" t="n"/>
      <c r="FE33" s="587" t="n"/>
      <c r="FF33" s="587" t="n"/>
      <c r="FG33" s="587" t="n"/>
      <c r="FH33" s="587" t="n"/>
      <c r="FI33" s="587" t="n"/>
      <c r="FJ33" s="587" t="n"/>
      <c r="FK33" s="587" t="n"/>
      <c r="FL33" s="587" t="n"/>
      <c r="FM33" s="587" t="n"/>
      <c r="FN33" s="587" t="n"/>
      <c r="FO33" s="587" t="n"/>
      <c r="FP33" s="587" t="n"/>
      <c r="FQ33" s="587" t="n"/>
      <c r="FR33" s="587" t="n"/>
      <c r="FS33" s="587" t="n"/>
      <c r="FT33" s="587" t="n"/>
      <c r="FU33" s="587" t="n"/>
      <c r="FV33" s="587" t="n"/>
      <c r="FW33" s="587" t="n"/>
      <c r="FX33" s="587" t="n"/>
      <c r="FY33" s="587" t="n"/>
      <c r="FZ33" s="587" t="n"/>
      <c r="GA33" s="587" t="n"/>
    </row>
    <row r="34" customFormat="1" s="568">
      <c r="A34" s="227" t="n"/>
      <c r="B34" s="87" t="n"/>
      <c r="C34" s="137">
        <f>E34*D$5</f>
        <v/>
      </c>
      <c r="D34" s="177" t="inlineStr">
        <is>
          <t>Richard M. Heins</t>
        </is>
      </c>
      <c r="E34" s="137">
        <f>SUM(G34:HT34)</f>
        <v/>
      </c>
      <c r="F34" s="582">
        <f>IFERROR(IF($E34&gt;0.0000005,$E34/SUMIF($E$11:$E$140,"&gt;0.0000005"),""),"")</f>
        <v/>
      </c>
      <c r="G34" s="570" t="n"/>
      <c r="H34" s="570" t="n"/>
      <c r="I34" s="570" t="n"/>
      <c r="J34" s="570" t="n"/>
      <c r="K34" s="570" t="n"/>
      <c r="L34" s="570" t="n"/>
      <c r="M34" s="570" t="n"/>
      <c r="N34" s="570" t="n"/>
      <c r="O34" s="570" t="n"/>
      <c r="P34" s="570" t="n"/>
      <c r="Q34" s="572" t="n"/>
      <c r="R34" s="570" t="n"/>
      <c r="S34" s="586" t="n"/>
      <c r="T34" s="570" t="n"/>
      <c r="U34" s="570" t="n"/>
      <c r="V34" s="570" t="n"/>
      <c r="W34" s="570" t="n"/>
      <c r="X34" s="570" t="n"/>
      <c r="Y34" s="570" t="n"/>
      <c r="Z34" s="570" t="n"/>
      <c r="AA34" s="572" t="n"/>
      <c r="AB34" s="572" t="n"/>
      <c r="AC34" s="572" t="n"/>
      <c r="AD34" s="572" t="n"/>
      <c r="AE34" s="572" t="n"/>
      <c r="AF34" s="572" t="n"/>
      <c r="AG34" s="570" t="n">
        <v>0.0025269435354467</v>
      </c>
      <c r="AH34" s="572" t="n"/>
      <c r="AI34" s="570" t="n"/>
      <c r="AJ34" s="572" t="n"/>
      <c r="AK34" s="570" t="n"/>
      <c r="AL34" s="570" t="n"/>
      <c r="AM34" s="570" t="n"/>
      <c r="AN34" s="570" t="n"/>
      <c r="AO34" s="570" t="n"/>
      <c r="AP34" s="570" t="n"/>
      <c r="AQ34" s="570" t="n"/>
      <c r="AR34" s="570" t="n"/>
      <c r="AS34" s="579" t="n"/>
      <c r="AT34" s="579" t="n"/>
      <c r="CM34" s="587" t="n"/>
      <c r="CN34" s="587" t="n"/>
      <c r="CO34" s="587" t="n"/>
      <c r="CP34" s="587" t="n"/>
      <c r="CQ34" s="587" t="n"/>
      <c r="CR34" s="587" t="n"/>
      <c r="CS34" s="587" t="n"/>
      <c r="CT34" s="587" t="n"/>
      <c r="CU34" s="587" t="n"/>
      <c r="CV34" s="587" t="n"/>
      <c r="CW34" s="587" t="n"/>
      <c r="CX34" s="587" t="n"/>
      <c r="CY34" s="587" t="n"/>
      <c r="CZ34" s="587" t="n"/>
      <c r="DA34" s="587" t="n"/>
      <c r="DB34" s="587" t="n"/>
      <c r="DC34" s="587" t="n"/>
      <c r="DD34" s="587" t="n"/>
      <c r="DE34" s="587" t="n"/>
      <c r="DF34" s="587" t="n"/>
      <c r="DG34" s="587" t="n"/>
      <c r="DH34" s="587" t="n"/>
      <c r="DI34" s="587" t="n"/>
      <c r="DJ34" s="587" t="n"/>
      <c r="DK34" s="587" t="n"/>
      <c r="DL34" s="587" t="n"/>
      <c r="DM34" s="587" t="n"/>
      <c r="DN34" s="587" t="n"/>
      <c r="DO34" s="587" t="n"/>
      <c r="DP34" s="587" t="n"/>
      <c r="DQ34" s="587" t="n"/>
      <c r="DR34" s="587" t="n"/>
      <c r="DS34" s="587" t="n"/>
      <c r="DT34" s="587" t="n"/>
      <c r="DU34" s="587" t="n"/>
      <c r="DV34" s="587" t="n"/>
      <c r="DW34" s="587" t="n"/>
      <c r="DX34" s="587" t="n"/>
      <c r="DY34" s="587" t="n"/>
      <c r="DZ34" s="587" t="n"/>
      <c r="EA34" s="587" t="n"/>
      <c r="EB34" s="587" t="n"/>
      <c r="EC34" s="587" t="n"/>
      <c r="ED34" s="587" t="n"/>
      <c r="EE34" s="587" t="n"/>
      <c r="EF34" s="587" t="n"/>
      <c r="EG34" s="587" t="n"/>
      <c r="EH34" s="587" t="n"/>
      <c r="EI34" s="587" t="n"/>
      <c r="EJ34" s="587" t="n"/>
      <c r="EK34" s="587" t="n"/>
      <c r="EL34" s="587" t="n"/>
      <c r="EM34" s="587" t="n"/>
      <c r="EN34" s="587" t="n"/>
      <c r="EO34" s="587" t="n"/>
      <c r="EP34" s="587" t="n"/>
      <c r="EQ34" s="587" t="n"/>
      <c r="ER34" s="587" t="n"/>
      <c r="ES34" s="587" t="n"/>
      <c r="ET34" s="587" t="n"/>
      <c r="EU34" s="587" t="n"/>
      <c r="EV34" s="587" t="n"/>
      <c r="EW34" s="587" t="n"/>
      <c r="EX34" s="587" t="n"/>
      <c r="EY34" s="587" t="n"/>
      <c r="EZ34" s="587" t="n"/>
      <c r="FA34" s="587" t="n"/>
      <c r="FB34" s="587" t="n"/>
      <c r="FC34" s="587" t="n"/>
      <c r="FD34" s="587" t="n"/>
      <c r="FE34" s="587" t="n"/>
      <c r="FF34" s="587" t="n"/>
      <c r="FG34" s="587" t="n"/>
      <c r="FH34" s="587" t="n"/>
      <c r="FI34" s="587" t="n"/>
      <c r="FJ34" s="587" t="n"/>
      <c r="FK34" s="587" t="n"/>
      <c r="FL34" s="587" t="n"/>
      <c r="FM34" s="587" t="n"/>
      <c r="FN34" s="587" t="n"/>
      <c r="FO34" s="587" t="n"/>
      <c r="FP34" s="587" t="n"/>
      <c r="FQ34" s="587" t="n"/>
      <c r="FR34" s="587" t="n"/>
      <c r="FS34" s="587" t="n"/>
      <c r="FT34" s="587" t="n"/>
      <c r="FU34" s="587" t="n"/>
      <c r="FV34" s="587" t="n"/>
      <c r="FW34" s="587" t="n"/>
      <c r="FX34" s="587" t="n"/>
      <c r="FY34" s="587" t="n"/>
      <c r="FZ34" s="587" t="n"/>
      <c r="GA34" s="587" t="n"/>
    </row>
    <row r="35" customFormat="1" s="568">
      <c r="A35" s="227" t="n"/>
      <c r="B35" s="87" t="n"/>
      <c r="C35" s="137">
        <f>E35*D$5</f>
        <v/>
      </c>
      <c r="D35" s="177" t="inlineStr">
        <is>
          <t>David S. Silverberry</t>
        </is>
      </c>
      <c r="E35" s="137">
        <f>SUM(G35:HY35)</f>
        <v/>
      </c>
      <c r="F35" s="582">
        <f>IFERROR(IF($E35&gt;0.0000005,$E35/SUMIF($E$11:$E$140,"&gt;0.0000005"),""),"")</f>
        <v/>
      </c>
      <c r="G35" s="570" t="n"/>
      <c r="H35" s="570" t="n"/>
      <c r="I35" s="571" t="n"/>
      <c r="J35" s="570" t="n"/>
      <c r="K35" s="571" t="n"/>
      <c r="L35" s="571" t="n"/>
      <c r="M35" s="572" t="n"/>
      <c r="N35" s="572" t="n"/>
      <c r="O35" s="572" t="n"/>
      <c r="P35" s="572" t="n"/>
      <c r="Q35" s="572" t="n"/>
      <c r="R35" s="572" t="n"/>
      <c r="S35" s="572" t="n"/>
      <c r="T35" s="572" t="n"/>
      <c r="U35" s="572" t="n"/>
      <c r="V35" s="572" t="n"/>
      <c r="W35" s="572" t="n"/>
      <c r="X35" s="572" t="n"/>
      <c r="Y35" s="572" t="n"/>
      <c r="Z35" s="570" t="n"/>
      <c r="AA35" s="572" t="n"/>
      <c r="AB35" s="572" t="n"/>
      <c r="AC35" s="572" t="n"/>
      <c r="AD35" s="572" t="n"/>
      <c r="AE35" s="572" t="n"/>
      <c r="AF35" s="572" t="n"/>
      <c r="AG35" s="572" t="n"/>
      <c r="AH35" s="570" t="n">
        <v>0.00126347176772335</v>
      </c>
      <c r="AI35" s="572" t="n">
        <v>0.00126347176772335</v>
      </c>
      <c r="AJ35" s="572" t="n"/>
      <c r="AK35" s="572" t="n"/>
      <c r="AL35" s="572" t="n"/>
      <c r="AM35" s="572" t="n"/>
      <c r="AN35" s="572" t="n"/>
      <c r="AO35" s="572" t="n"/>
      <c r="AP35" s="572" t="n"/>
      <c r="AQ35" s="572" t="n"/>
      <c r="AR35" s="572" t="n"/>
      <c r="AS35" s="574" t="n"/>
      <c r="AT35" s="574" t="n"/>
      <c r="AU35" s="574" t="n"/>
      <c r="AV35" s="574" t="n"/>
      <c r="AW35" s="574" t="n"/>
      <c r="AX35" s="574" t="n"/>
      <c r="AY35" s="574" t="n"/>
      <c r="AZ35" s="574" t="n"/>
      <c r="BA35" s="574" t="n"/>
      <c r="BB35" s="574" t="n"/>
      <c r="BC35" s="574" t="n"/>
      <c r="BD35" s="574" t="n"/>
      <c r="BE35" s="574" t="n"/>
      <c r="BF35" s="574" t="n"/>
      <c r="BG35" s="574" t="n"/>
      <c r="BH35" s="574"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v>16</v>
      </c>
      <c r="C36" s="137">
        <f>E36*D$5</f>
        <v/>
      </c>
      <c r="D36" s="52" t="inlineStr">
        <is>
          <t>Laura L. Snyder</t>
        </is>
      </c>
      <c r="E36" s="137">
        <f>SUM(G36:HT36)</f>
        <v/>
      </c>
      <c r="F36" s="582">
        <f>IFERROR(IF($E36&gt;0.0000005,$E36/SUMIF($E$11:$E$140,"&gt;0.0000005"),""),"")</f>
        <v/>
      </c>
      <c r="G36" s="570" t="n"/>
      <c r="H36" s="570" t="n"/>
      <c r="I36" s="570" t="n"/>
      <c r="J36" s="570" t="n"/>
      <c r="K36" s="570" t="n"/>
      <c r="L36" s="570" t="n"/>
      <c r="M36" s="570" t="n"/>
      <c r="N36" s="570" t="n"/>
      <c r="O36" s="570" t="n"/>
      <c r="P36" s="570" t="n"/>
      <c r="Q36" s="572" t="n"/>
      <c r="R36" s="570" t="n"/>
      <c r="S36" s="586" t="n"/>
      <c r="T36" s="570" t="n"/>
      <c r="U36" s="570" t="n"/>
      <c r="V36" s="570" t="n"/>
      <c r="W36" s="570" t="n"/>
      <c r="X36" s="570" t="n"/>
      <c r="Y36" s="570" t="n"/>
      <c r="Z36" s="572" t="n"/>
      <c r="AA36" s="572" t="n"/>
      <c r="AB36" s="573" t="n"/>
      <c r="AC36" s="572" t="n"/>
      <c r="AD36" s="572" t="n"/>
      <c r="AE36" s="572" t="n"/>
      <c r="AF36" s="572" t="n"/>
      <c r="AG36" s="570" t="n"/>
      <c r="AH36" s="572" t="n"/>
      <c r="AI36" s="570" t="n"/>
      <c r="AJ36" s="573" t="n">
        <v>0.0025269435354467</v>
      </c>
      <c r="AK36" s="570" t="n"/>
      <c r="AL36" s="570" t="n"/>
      <c r="AM36" s="570" t="n"/>
      <c r="AN36" s="570" t="n"/>
      <c r="AO36" s="570" t="n"/>
      <c r="AP36" s="570" t="n"/>
      <c r="AQ36" s="570" t="n"/>
      <c r="AR36" s="570" t="n"/>
      <c r="AS36" s="579" t="n"/>
      <c r="AT36" s="579" t="n"/>
      <c r="CM36" s="587" t="n"/>
      <c r="CN36" s="587" t="n"/>
      <c r="CO36" s="587" t="n"/>
      <c r="CP36" s="587" t="n"/>
      <c r="CQ36" s="587" t="n"/>
      <c r="CR36" s="587" t="n"/>
      <c r="CS36" s="587" t="n"/>
      <c r="CT36" s="587" t="n"/>
      <c r="CU36" s="587" t="n"/>
      <c r="CV36" s="587" t="n"/>
      <c r="CW36" s="587" t="n"/>
      <c r="CX36" s="587" t="n"/>
      <c r="CY36" s="587" t="n"/>
      <c r="CZ36" s="587" t="n"/>
      <c r="DA36" s="587" t="n"/>
      <c r="DB36" s="587" t="n"/>
      <c r="DC36" s="587" t="n"/>
      <c r="DD36" s="587" t="n"/>
      <c r="DE36" s="587" t="n"/>
      <c r="DF36" s="587" t="n"/>
      <c r="DG36" s="587" t="n"/>
      <c r="DH36" s="587" t="n"/>
      <c r="DI36" s="587" t="n"/>
      <c r="DJ36" s="587" t="n"/>
      <c r="DK36" s="587" t="n"/>
      <c r="DL36" s="587" t="n"/>
      <c r="DM36" s="587" t="n"/>
      <c r="DN36" s="587" t="n"/>
      <c r="DO36" s="587" t="n"/>
      <c r="DP36" s="587" t="n"/>
      <c r="DQ36" s="587" t="n"/>
      <c r="DR36" s="587" t="n"/>
      <c r="DS36" s="587" t="n"/>
      <c r="DT36" s="587" t="n"/>
      <c r="DU36" s="587" t="n"/>
      <c r="DV36" s="587" t="n"/>
      <c r="DW36" s="587" t="n"/>
      <c r="DX36" s="587" t="n"/>
      <c r="DY36" s="587" t="n"/>
      <c r="DZ36" s="587" t="n"/>
      <c r="EA36" s="587" t="n"/>
      <c r="EB36" s="587" t="n"/>
      <c r="EC36" s="587" t="n"/>
      <c r="ED36" s="587" t="n"/>
      <c r="EE36" s="587" t="n"/>
      <c r="EF36" s="587" t="n"/>
      <c r="EG36" s="587" t="n"/>
      <c r="EH36" s="587" t="n"/>
      <c r="EI36" s="587" t="n"/>
      <c r="EJ36" s="587" t="n"/>
      <c r="EK36" s="587" t="n"/>
      <c r="EL36" s="587" t="n"/>
      <c r="EM36" s="587" t="n"/>
      <c r="EN36" s="587" t="n"/>
      <c r="EO36" s="587" t="n"/>
      <c r="EP36" s="587" t="n"/>
      <c r="EQ36" s="587" t="n"/>
      <c r="ER36" s="587" t="n"/>
      <c r="ES36" s="587" t="n"/>
      <c r="ET36" s="587" t="n"/>
      <c r="EU36" s="587" t="n"/>
      <c r="EV36" s="587" t="n"/>
      <c r="EW36" s="587" t="n"/>
      <c r="EX36" s="587" t="n"/>
      <c r="EY36" s="587" t="n"/>
      <c r="EZ36" s="587" t="n"/>
      <c r="FA36" s="587" t="n"/>
      <c r="FB36" s="587" t="n"/>
      <c r="FC36" s="587" t="n"/>
      <c r="FD36" s="587" t="n"/>
      <c r="FE36" s="587" t="n"/>
      <c r="FF36" s="587" t="n"/>
      <c r="FG36" s="587" t="n"/>
      <c r="FH36" s="587" t="n"/>
      <c r="FI36" s="587" t="n"/>
      <c r="FJ36" s="587" t="n"/>
      <c r="FK36" s="587" t="n"/>
      <c r="FL36" s="587" t="n"/>
      <c r="FM36" s="587" t="n"/>
      <c r="FN36" s="587" t="n"/>
      <c r="FO36" s="587" t="n"/>
      <c r="FP36" s="587" t="n"/>
      <c r="FQ36" s="587" t="n"/>
      <c r="FR36" s="587" t="n"/>
      <c r="FS36" s="587" t="n"/>
      <c r="FT36" s="587" t="n"/>
      <c r="FU36" s="587" t="n"/>
      <c r="FV36" s="587" t="n"/>
      <c r="FW36" s="587" t="n"/>
      <c r="FX36" s="587" t="n"/>
      <c r="FY36" s="587" t="n"/>
      <c r="FZ36" s="587" t="n"/>
      <c r="GA36" s="587" t="n"/>
    </row>
    <row r="37" customFormat="1" s="568">
      <c r="A37" s="227" t="n"/>
      <c r="B37" s="87" t="n"/>
      <c r="C37" s="84">
        <f>E37*D$5</f>
        <v/>
      </c>
      <c r="D37" s="177" t="inlineStr">
        <is>
          <t>Paul R. and/or Deborah A. Deutsch</t>
        </is>
      </c>
      <c r="E37" s="84">
        <f>SUM(G37:HH37)</f>
        <v/>
      </c>
      <c r="F37" s="582">
        <f>IFERROR(IF($E37&gt;0.0000005,$E37/SUMIF($E$11:$E$140,"&gt;0.0000005"),""),"")</f>
        <v/>
      </c>
      <c r="G37" s="570" t="n"/>
      <c r="H37" s="571" t="n"/>
      <c r="I37" s="571" t="n"/>
      <c r="J37" s="571" t="n"/>
      <c r="K37" s="571" t="n"/>
      <c r="L37" s="571" t="n"/>
      <c r="M37" s="572" t="n"/>
      <c r="N37" s="572" t="n"/>
      <c r="O37" s="572" t="n"/>
      <c r="P37" s="572" t="n"/>
      <c r="Q37" s="572" t="n"/>
      <c r="R37" s="572" t="n"/>
      <c r="S37" s="572" t="n"/>
      <c r="T37" s="572" t="n"/>
      <c r="U37" s="572" t="n"/>
      <c r="V37" s="572" t="n"/>
      <c r="W37" s="572" t="n"/>
      <c r="X37" s="572" t="n"/>
      <c r="Y37" s="572" t="n"/>
      <c r="Z37" s="572" t="n"/>
      <c r="AA37" s="572" t="n"/>
      <c r="AB37" s="573" t="n"/>
      <c r="AC37" s="573" t="n"/>
      <c r="AD37" s="573" t="n"/>
      <c r="AE37" s="572" t="n"/>
      <c r="AF37" s="572" t="n"/>
      <c r="AG37" s="572" t="n"/>
      <c r="AH37" s="572" t="n"/>
      <c r="AI37" s="572" t="n"/>
      <c r="AJ37" s="572" t="n"/>
      <c r="AK37" s="572" t="n">
        <v>0.00126347176772335</v>
      </c>
      <c r="AL37" s="572" t="n">
        <v>0.0025269435354467</v>
      </c>
      <c r="AM37" s="572" t="n"/>
      <c r="AN37" s="572" t="n"/>
      <c r="AO37" s="572" t="n"/>
      <c r="AP37" s="572" t="n"/>
      <c r="AQ37" s="572" t="n"/>
      <c r="AR37" s="572"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87" t="n"/>
      <c r="FQ37" s="587" t="n"/>
      <c r="FR37" s="587" t="n"/>
      <c r="FS37" s="587" t="n"/>
      <c r="FT37" s="587" t="n"/>
      <c r="FU37" s="587" t="n"/>
      <c r="FV37" s="587" t="n"/>
      <c r="FW37" s="587" t="n"/>
      <c r="FX37" s="587" t="n"/>
      <c r="FY37" s="587" t="n"/>
      <c r="FZ37" s="587" t="n"/>
      <c r="GA37" s="587" t="n"/>
    </row>
    <row r="38" customFormat="1" s="568">
      <c r="A38" s="227" t="n"/>
      <c r="B38" s="87" t="n"/>
      <c r="C38" s="488">
        <f>E38*D$5</f>
        <v/>
      </c>
      <c r="D38" s="489" t="inlineStr">
        <is>
          <t>Clarence C. Bain</t>
        </is>
      </c>
      <c r="E38" s="488">
        <f>SUM(G38:HH38)</f>
        <v/>
      </c>
      <c r="F38" s="582">
        <f>IFERROR(IF($E38&gt;0.0000005,$E38/SUMIF($E$11:$E$140,"&gt;0.0000005"),""),"")</f>
        <v/>
      </c>
      <c r="G38" s="570" t="n"/>
      <c r="H38" s="571" t="n"/>
      <c r="I38" s="571" t="n"/>
      <c r="J38" s="571" t="n"/>
      <c r="K38" s="571" t="n"/>
      <c r="L38" s="571" t="n"/>
      <c r="M38" s="572" t="n"/>
      <c r="N38" s="572" t="n"/>
      <c r="O38" s="572" t="n"/>
      <c r="P38" s="572" t="n"/>
      <c r="Q38" s="572" t="n"/>
      <c r="R38" s="572" t="n"/>
      <c r="S38" s="572" t="n"/>
      <c r="T38" s="572" t="n"/>
      <c r="U38" s="572" t="n"/>
      <c r="V38" s="572" t="n"/>
      <c r="W38" s="572" t="n"/>
      <c r="X38" s="572" t="n"/>
      <c r="Y38" s="572" t="n"/>
      <c r="Z38" s="572" t="n"/>
      <c r="AA38" s="572" t="n"/>
      <c r="AB38" s="572" t="n"/>
      <c r="AC38" s="573" t="n"/>
      <c r="AD38" s="572" t="n"/>
      <c r="AE38" s="572" t="n"/>
      <c r="AF38" s="573" t="n"/>
      <c r="AG38" s="572" t="n"/>
      <c r="AH38" s="572" t="n"/>
      <c r="AI38" s="572" t="n"/>
      <c r="AJ38" s="572" t="n"/>
      <c r="AK38" s="572" t="n"/>
      <c r="AL38" s="572" t="n"/>
      <c r="AM38" s="572" t="n">
        <v>0.00379041530317005</v>
      </c>
      <c r="AN38" s="572" t="n"/>
      <c r="AO38" s="572" t="n"/>
      <c r="AP38" s="572" t="n"/>
      <c r="AQ38" s="572" t="n"/>
      <c r="AR38" s="572" t="n"/>
      <c r="AS38" s="574" t="n">
        <v>-0.00379041530317005</v>
      </c>
      <c r="AT38" s="574" t="n">
        <v>-0.0025269435354467</v>
      </c>
      <c r="AU38" s="574" t="n">
        <v>-0.0025269435354467</v>
      </c>
      <c r="AV38" s="574" t="n">
        <v>-0.0025269435354467</v>
      </c>
      <c r="AW38" s="574" t="n">
        <v>-0.0025269435354467</v>
      </c>
      <c r="AX38" s="574" t="n"/>
      <c r="AY38" s="574" t="n">
        <v>-0.00379041530317005</v>
      </c>
      <c r="AZ38" s="574" t="n">
        <v>-0.00379041530317005</v>
      </c>
      <c r="BA38" s="574" t="n">
        <v>-0.00379041530317005</v>
      </c>
      <c r="BB38" s="574" t="n">
        <v>-0.00379041530317005</v>
      </c>
      <c r="BC38" s="574" t="n"/>
      <c r="BD38" s="574" t="n"/>
      <c r="BE38" s="574" t="n"/>
      <c r="BF38" s="574" t="n"/>
      <c r="BG38" s="574" t="n"/>
      <c r="BH38" s="574" t="n"/>
      <c r="BI38" s="574" t="n"/>
      <c r="BJ38" s="574" t="n"/>
      <c r="BK38" s="574" t="n"/>
      <c r="BL38" s="574" t="n"/>
      <c r="BM38" s="574" t="n"/>
      <c r="BN38" s="574" t="n"/>
      <c r="BO38" s="574" t="n"/>
      <c r="BP38" s="574" t="n"/>
      <c r="BQ38" s="574" t="n"/>
      <c r="BR38" s="574" t="n"/>
      <c r="BS38" s="574" t="n"/>
      <c r="BT38" s="574" t="n"/>
      <c r="BU38" s="574" t="n"/>
      <c r="BV38" s="574" t="n">
        <v>0.004211568347505275</v>
      </c>
      <c r="BW38" s="574" t="n"/>
      <c r="BX38" s="574" t="n"/>
      <c r="BY38" s="574" t="n"/>
      <c r="BZ38" s="574" t="n"/>
      <c r="CA38" s="574" t="n"/>
      <c r="CB38" s="574" t="n"/>
      <c r="CC38" s="574" t="n"/>
      <c r="CD38" s="574" t="n"/>
      <c r="CE38" s="574" t="n"/>
      <c r="CF38" s="574" t="n"/>
      <c r="CG38" s="574" t="n"/>
      <c r="CH38" s="574" t="n"/>
      <c r="CI38" s="574" t="n"/>
      <c r="CJ38" s="574" t="n"/>
      <c r="CK38" s="574" t="n">
        <v>0.006317358838616751</v>
      </c>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87" t="n"/>
      <c r="FQ38" s="587" t="n"/>
      <c r="FR38" s="587" t="n"/>
      <c r="FS38" s="587" t="n"/>
      <c r="FT38" s="587" t="n"/>
      <c r="FU38" s="587" t="n"/>
      <c r="FV38" s="587" t="n"/>
      <c r="FW38" s="587" t="n"/>
      <c r="FX38" s="587" t="n"/>
      <c r="FY38" s="587" t="n"/>
      <c r="FZ38" s="587" t="n"/>
      <c r="GA38" s="587" t="n"/>
    </row>
    <row r="39" customFormat="1" s="568">
      <c r="A39" s="227" t="n"/>
      <c r="B39" s="87" t="n">
        <v>13</v>
      </c>
      <c r="C39" s="84">
        <f>E39*D$5</f>
        <v/>
      </c>
      <c r="D39" s="52" t="inlineStr">
        <is>
          <t>Ted L. Herbold</t>
        </is>
      </c>
      <c r="E39" s="84">
        <f>SUM(G39:HH39)</f>
        <v/>
      </c>
      <c r="F39" s="582">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3" t="n"/>
      <c r="AF39" s="572" t="n"/>
      <c r="AG39" s="572" t="n"/>
      <c r="AH39" s="572" t="n"/>
      <c r="AI39" s="572" t="n"/>
      <c r="AJ39" s="572" t="n"/>
      <c r="AK39" s="572" t="n"/>
      <c r="AL39" s="572" t="n"/>
      <c r="AM39" s="572" t="n"/>
      <c r="AN39" s="572" t="n">
        <v>0.006317358838616751</v>
      </c>
      <c r="AO39" s="572" t="n"/>
      <c r="AP39" s="572" t="n"/>
      <c r="AQ39" s="572" t="n"/>
      <c r="AR39" s="572"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87" t="n"/>
      <c r="FQ39" s="587" t="n"/>
      <c r="FR39" s="587" t="n"/>
      <c r="FS39" s="587" t="n"/>
      <c r="FT39" s="587" t="n"/>
      <c r="FU39" s="587" t="n"/>
      <c r="FV39" s="587" t="n"/>
      <c r="FW39" s="587" t="n"/>
      <c r="FX39" s="587" t="n"/>
      <c r="FY39" s="587" t="n"/>
      <c r="FZ39" s="587" t="n"/>
      <c r="GA39" s="587" t="n"/>
    </row>
    <row r="40" customFormat="1" s="568">
      <c r="A40" s="227" t="n"/>
      <c r="B40" s="87" t="n">
        <v>14</v>
      </c>
      <c r="C40" s="137">
        <f>E40*D$5</f>
        <v/>
      </c>
      <c r="D40" s="51" t="inlineStr">
        <is>
          <t>Theodore L. Herbold</t>
        </is>
      </c>
      <c r="E40" s="137">
        <f>SUM(G40:HH40)</f>
        <v/>
      </c>
      <c r="F40" s="582">
        <f>IFERROR(IF($E40&gt;0.0000005,$E40/SUMIF($E$11:$E$140,"&gt;0.0000005"),""),"")</f>
        <v/>
      </c>
      <c r="G40" s="570" t="n"/>
      <c r="H40" s="571" t="n"/>
      <c r="I40" s="571" t="n"/>
      <c r="J40" s="571" t="n"/>
      <c r="K40" s="571" t="n"/>
      <c r="L40" s="571" t="n"/>
      <c r="M40" s="572" t="n"/>
      <c r="N40" s="572" t="n"/>
      <c r="O40" s="572" t="n"/>
      <c r="P40" s="572" t="n"/>
      <c r="Q40" s="572" t="n"/>
      <c r="R40" s="572" t="n"/>
      <c r="S40" s="572" t="n"/>
      <c r="T40" s="573" t="n"/>
      <c r="U40" s="573" t="n"/>
      <c r="V40" s="572" t="n"/>
      <c r="W40" s="572" t="n"/>
      <c r="X40" s="572" t="n"/>
      <c r="Y40" s="572" t="n"/>
      <c r="Z40" s="572" t="n"/>
      <c r="AA40" s="572" t="n"/>
      <c r="AB40" s="572" t="n"/>
      <c r="AC40" s="572" t="n"/>
      <c r="AD40" s="572" t="n"/>
      <c r="AE40" s="572" t="n"/>
      <c r="AF40" s="573" t="n"/>
      <c r="AG40" s="572" t="n"/>
      <c r="AH40" s="572" t="n"/>
      <c r="AI40" s="572" t="n"/>
      <c r="AJ40" s="572" t="n"/>
      <c r="AK40" s="572" t="n"/>
      <c r="AL40" s="572" t="n"/>
      <c r="AM40" s="572" t="n"/>
      <c r="AN40" s="572" t="n"/>
      <c r="AO40" s="572" t="n">
        <v>0.0025269435354467</v>
      </c>
      <c r="AP40" s="572" t="n"/>
      <c r="AQ40" s="572" t="n"/>
      <c r="AR40" s="572"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87" t="n"/>
      <c r="FQ40" s="587" t="n"/>
      <c r="FR40" s="587" t="n"/>
      <c r="FS40" s="587" t="n"/>
      <c r="FT40" s="587" t="n"/>
      <c r="FU40" s="587" t="n"/>
      <c r="FV40" s="587" t="n"/>
      <c r="FW40" s="587" t="n"/>
      <c r="FX40" s="587" t="n"/>
      <c r="FY40" s="587" t="n"/>
      <c r="FZ40" s="587" t="n"/>
      <c r="GA40" s="587" t="n"/>
    </row>
    <row r="41" customFormat="1" s="568">
      <c r="A41" s="227" t="n"/>
      <c r="B41" s="87" t="n">
        <v>12</v>
      </c>
      <c r="C41" s="137">
        <f>E41*D$5</f>
        <v/>
      </c>
      <c r="D41" s="51" t="inlineStr">
        <is>
          <t>Bary Ellen Sitzman</t>
        </is>
      </c>
      <c r="E41" s="137">
        <f>SUM(G41:HH41)</f>
        <v/>
      </c>
      <c r="F41" s="582">
        <f>IFERROR(IF($E41&gt;0.0000005,$E41/SUMIF($E$11:$E$140,"&gt;0.0000005"),""),"")</f>
        <v/>
      </c>
      <c r="G41" s="570" t="n"/>
      <c r="H41" s="571" t="n"/>
      <c r="I41" s="571" t="n"/>
      <c r="J41" s="571" t="n"/>
      <c r="K41" s="571" t="n"/>
      <c r="L41" s="571" t="n"/>
      <c r="M41" s="572" t="n"/>
      <c r="N41" s="572" t="n"/>
      <c r="O41" s="572" t="n"/>
      <c r="P41" s="573" t="n"/>
      <c r="Q41" s="572" t="n"/>
      <c r="R41" s="572" t="n"/>
      <c r="S41" s="572" t="n"/>
      <c r="T41" s="572" t="n"/>
      <c r="U41" s="572" t="n"/>
      <c r="V41" s="572" t="n"/>
      <c r="W41" s="572" t="n"/>
      <c r="X41" s="572" t="n"/>
      <c r="Y41" s="572" t="n"/>
      <c r="Z41" s="572" t="n"/>
      <c r="AA41" s="572" t="n"/>
      <c r="AB41" s="572" t="n"/>
      <c r="AC41" s="572" t="n"/>
      <c r="AD41" s="572" t="n"/>
      <c r="AE41" s="572" t="n"/>
      <c r="AF41" s="573" t="n"/>
      <c r="AG41" s="572" t="n"/>
      <c r="AH41" s="572" t="n"/>
      <c r="AI41" s="572" t="n"/>
      <c r="AJ41" s="572" t="n"/>
      <c r="AK41" s="572" t="n"/>
      <c r="AL41" s="572" t="n"/>
      <c r="AM41" s="572" t="n"/>
      <c r="AN41" s="572" t="n"/>
      <c r="AO41" s="572" t="n"/>
      <c r="AP41" s="572" t="n">
        <v>0.00126347176772335</v>
      </c>
      <c r="AQ41" s="572" t="n"/>
      <c r="AR41" s="572"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87" t="n"/>
      <c r="FQ41" s="587" t="n"/>
      <c r="FR41" s="587" t="n"/>
      <c r="FS41" s="587" t="n"/>
      <c r="FT41" s="587" t="n"/>
      <c r="FU41" s="587" t="n"/>
      <c r="FV41" s="587" t="n"/>
      <c r="FW41" s="587" t="n"/>
      <c r="FX41" s="587" t="n"/>
      <c r="FY41" s="587" t="n"/>
      <c r="FZ41" s="587" t="n"/>
      <c r="GA41" s="587" t="n"/>
    </row>
    <row r="42" customFormat="1" s="568">
      <c r="A42" s="227" t="n"/>
      <c r="B42" s="87" t="n">
        <v>7</v>
      </c>
      <c r="C42" s="84">
        <f>E42*D$5</f>
        <v/>
      </c>
      <c r="D42" s="52" t="inlineStr">
        <is>
          <t>David Slobin</t>
        </is>
      </c>
      <c r="E42" s="84">
        <f>SUM(G42:HT42)</f>
        <v/>
      </c>
      <c r="F42" s="582">
        <f>IFERROR(IF($E42&gt;0.0000005,$E42/SUMIF($E$11:$E$140,"&gt;0.0000005"),""),"")</f>
        <v/>
      </c>
      <c r="G42" s="570" t="n"/>
      <c r="H42" s="570" t="n"/>
      <c r="I42" s="570" t="n"/>
      <c r="J42" s="570" t="n"/>
      <c r="K42" s="570" t="n"/>
      <c r="L42" s="570" t="n"/>
      <c r="M42" s="570" t="n"/>
      <c r="N42" s="570" t="n"/>
      <c r="O42" s="570" t="n"/>
      <c r="P42" s="570" t="n"/>
      <c r="Q42" s="572" t="n"/>
      <c r="R42" s="570" t="n"/>
      <c r="S42" s="586" t="n"/>
      <c r="T42" s="571" t="n"/>
      <c r="U42" s="571" t="n"/>
      <c r="V42" s="571" t="n"/>
      <c r="W42" s="571" t="n"/>
      <c r="X42" s="571" t="n"/>
      <c r="Y42" s="571" t="n"/>
      <c r="Z42" s="572" t="n"/>
      <c r="AA42" s="572" t="n"/>
      <c r="AB42" s="572" t="n"/>
      <c r="AC42" s="572" t="n"/>
      <c r="AD42" s="572" t="n"/>
      <c r="AE42" s="572" t="n"/>
      <c r="AF42" s="572" t="n"/>
      <c r="AG42" s="570" t="n"/>
      <c r="AH42" s="572" t="n"/>
      <c r="AI42" s="570" t="n"/>
      <c r="AJ42" s="572" t="n"/>
      <c r="AK42" s="570" t="n"/>
      <c r="AL42" s="570" t="n"/>
      <c r="AM42" s="570" t="n"/>
      <c r="AN42" s="570" t="n"/>
      <c r="AO42" s="570" t="n"/>
      <c r="AP42" s="570" t="n"/>
      <c r="AQ42" s="570" t="n">
        <v>0.007580830606340101</v>
      </c>
      <c r="AR42" s="570" t="n">
        <v>0.00126347176772335</v>
      </c>
      <c r="AS42" s="579" t="n"/>
      <c r="AT42" s="579" t="n"/>
      <c r="CM42" s="587" t="n"/>
      <c r="CN42" s="587" t="n"/>
      <c r="CO42" s="587" t="n"/>
      <c r="CP42" s="587" t="n"/>
      <c r="CQ42" s="587" t="n"/>
      <c r="CR42" s="587" t="n">
        <v>-0.007581</v>
      </c>
      <c r="CS42" s="587" t="n">
        <v>-0.001263</v>
      </c>
      <c r="CT42" s="587" t="n"/>
      <c r="CU42" s="587" t="n"/>
      <c r="CV42" s="587" t="n"/>
      <c r="CW42" s="587" t="n"/>
      <c r="CX42" s="587" t="n"/>
      <c r="CY42" s="587" t="n"/>
      <c r="CZ42" s="587" t="n"/>
      <c r="DA42" s="587" t="n"/>
      <c r="DB42" s="587" t="n"/>
      <c r="DC42" s="587" t="n"/>
      <c r="DD42" s="587" t="n"/>
      <c r="DE42" s="587" t="n"/>
      <c r="DF42" s="587" t="n"/>
      <c r="DG42" s="587" t="n"/>
      <c r="DH42" s="587" t="n"/>
      <c r="DI42" s="587" t="n"/>
      <c r="DJ42" s="587" t="n"/>
      <c r="DK42" s="587" t="n"/>
      <c r="DL42" s="587" t="n"/>
      <c r="DM42" s="587" t="n"/>
      <c r="DN42" s="587" t="n"/>
      <c r="DO42" s="587" t="n"/>
      <c r="DP42" s="587" t="n"/>
      <c r="DQ42" s="587" t="n"/>
      <c r="DR42" s="587" t="n"/>
      <c r="DS42" s="587" t="n"/>
      <c r="DT42" s="587" t="n"/>
      <c r="DU42" s="587" t="n"/>
      <c r="DV42" s="587" t="n"/>
      <c r="DW42" s="587" t="n"/>
      <c r="DX42" s="587" t="n"/>
      <c r="DY42" s="587" t="n"/>
      <c r="DZ42" s="587" t="n"/>
      <c r="EA42" s="587" t="n"/>
      <c r="EB42" s="587" t="n"/>
      <c r="EC42" s="587" t="n"/>
      <c r="ED42" s="587" t="n"/>
      <c r="EE42" s="587" t="n"/>
      <c r="EF42" s="587" t="n"/>
      <c r="EG42" s="587" t="n"/>
      <c r="EH42" s="587" t="n"/>
      <c r="EI42" s="587" t="n"/>
      <c r="EJ42" s="587" t="n"/>
      <c r="EK42" s="587" t="n"/>
      <c r="EL42" s="587" t="n"/>
      <c r="EM42" s="587" t="n"/>
      <c r="EN42" s="587" t="n"/>
      <c r="EO42" s="587" t="n"/>
      <c r="EP42" s="587" t="n"/>
      <c r="EQ42" s="587" t="n"/>
      <c r="ER42" s="587" t="n"/>
      <c r="ES42" s="587" t="n"/>
      <c r="ET42" s="587" t="n"/>
      <c r="EU42" s="587" t="n"/>
      <c r="EV42" s="587" t="n"/>
      <c r="EW42" s="587" t="n"/>
      <c r="EX42" s="587" t="n"/>
      <c r="EY42" s="587" t="n"/>
      <c r="EZ42" s="587" t="n"/>
      <c r="FA42" s="587" t="n"/>
      <c r="FB42" s="587" t="n"/>
      <c r="FC42" s="587" t="n"/>
      <c r="FD42" s="587" t="n"/>
      <c r="FE42" s="587" t="n"/>
      <c r="FF42" s="587" t="n"/>
      <c r="FG42" s="587" t="n"/>
      <c r="FH42" s="587" t="n"/>
      <c r="FI42" s="587" t="n"/>
      <c r="FJ42" s="587" t="n"/>
      <c r="FK42" s="587" t="n"/>
      <c r="FL42" s="587" t="n"/>
      <c r="FM42" s="587" t="n"/>
      <c r="FN42" s="587" t="n"/>
      <c r="FO42" s="587" t="n"/>
      <c r="FP42" s="587" t="n"/>
      <c r="FQ42" s="587" t="n"/>
      <c r="FR42" s="587" t="n"/>
      <c r="FS42" s="587" t="n"/>
      <c r="FT42" s="587" t="n"/>
      <c r="FU42" s="587" t="n"/>
      <c r="FV42" s="587" t="n"/>
      <c r="FW42" s="587" t="n"/>
      <c r="FX42" s="587" t="n"/>
      <c r="FY42" s="587" t="n"/>
      <c r="FZ42" s="587" t="n"/>
      <c r="GA42" s="587" t="n"/>
    </row>
    <row r="43" customFormat="1" s="568">
      <c r="A43" s="227" t="inlineStr">
        <is>
          <t>Open</t>
        </is>
      </c>
      <c r="B43" s="87" t="n"/>
      <c r="C43" s="137">
        <f>E43*D$5</f>
        <v/>
      </c>
      <c r="D43" s="51" t="inlineStr">
        <is>
          <t>William Clifton Bain</t>
        </is>
      </c>
      <c r="E43" s="137">
        <f>SUM(G43:HP43)</f>
        <v/>
      </c>
      <c r="F43" s="582">
        <f>IFERROR(IF($E43&gt;0.0000005,$E43/SUMIF($E$11:$E$140,"&gt;0.0000005"),""),"")</f>
        <v/>
      </c>
      <c r="G43" s="570" t="n"/>
      <c r="H43" s="572" t="n"/>
      <c r="I43" s="572" t="n"/>
      <c r="J43" s="572" t="n"/>
      <c r="K43" s="572" t="n"/>
      <c r="L43" s="572" t="n"/>
      <c r="M43" s="572" t="n"/>
      <c r="N43" s="573" t="n"/>
      <c r="O43" s="573" t="n"/>
      <c r="P43" s="572" t="n"/>
      <c r="Q43" s="572" t="n"/>
      <c r="R43" s="572" t="n"/>
      <c r="S43" s="572" t="n"/>
      <c r="T43" s="572" t="n"/>
      <c r="U43" s="572" t="n"/>
      <c r="V43" s="572" t="n"/>
      <c r="W43" s="572" t="n"/>
      <c r="X43" s="572" t="n"/>
      <c r="Y43" s="572" t="n"/>
      <c r="Z43" s="572" t="n"/>
      <c r="AA43" s="572" t="n"/>
      <c r="AB43" s="572" t="n"/>
      <c r="AC43" s="572" t="n"/>
      <c r="AD43" s="572" t="n"/>
      <c r="AE43" s="572" t="n"/>
      <c r="AF43" s="572" t="n"/>
      <c r="AG43" s="572" t="n"/>
      <c r="AH43" s="570" t="n"/>
      <c r="AI43" s="572" t="n"/>
      <c r="AJ43" s="572" t="n"/>
      <c r="AK43" s="572" t="n"/>
      <c r="AL43" s="572" t="n"/>
      <c r="AM43" s="572" t="n"/>
      <c r="AN43" s="572" t="n"/>
      <c r="AO43" s="572" t="n"/>
      <c r="AP43" s="572" t="n"/>
      <c r="AQ43" s="572" t="n"/>
      <c r="AR43" s="572" t="n"/>
      <c r="AS43" s="574" t="n"/>
      <c r="AT43" s="574" t="n">
        <v>0.0025269435354467</v>
      </c>
      <c r="AU43" s="574" t="n"/>
      <c r="AV43" s="574" t="n"/>
      <c r="AW43" s="574" t="n"/>
      <c r="AX43" s="574" t="n"/>
      <c r="AY43" s="574" t="n">
        <v>0.00379041530317005</v>
      </c>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87" t="n"/>
      <c r="FY43" s="587" t="n"/>
      <c r="FZ43" s="587" t="n"/>
      <c r="GA43" s="587" t="n"/>
    </row>
    <row r="44" customFormat="1" s="568">
      <c r="A44" s="227" t="n"/>
      <c r="B44" s="87" t="n">
        <v>4</v>
      </c>
      <c r="C44" s="84">
        <f>E44*D$5</f>
        <v/>
      </c>
      <c r="D44" s="52" t="inlineStr">
        <is>
          <t>Michael Lee Bain</t>
        </is>
      </c>
      <c r="E44" s="84">
        <f>SUM(G44:HT44)</f>
        <v/>
      </c>
      <c r="F44" s="582">
        <f>IFERROR(IF($E44&gt;0.0000005,$E44/SUMIF($E$11:$E$140,"&gt;0.0000005"),""),"")</f>
        <v/>
      </c>
      <c r="G44" s="570" t="n"/>
      <c r="H44" s="570" t="n"/>
      <c r="I44" s="570" t="n"/>
      <c r="J44" s="570" t="n"/>
      <c r="K44" s="570" t="n"/>
      <c r="L44" s="570" t="n"/>
      <c r="M44" s="570" t="n"/>
      <c r="N44" s="570" t="n"/>
      <c r="O44" s="570" t="n"/>
      <c r="P44" s="570" t="n"/>
      <c r="Q44" s="572" t="n"/>
      <c r="R44" s="570" t="n"/>
      <c r="S44" s="586" t="n"/>
      <c r="T44" s="571" t="n"/>
      <c r="U44" s="571" t="n"/>
      <c r="V44" s="571" t="n"/>
      <c r="W44" s="571" t="n"/>
      <c r="X44" s="571" t="n"/>
      <c r="Y44" s="571" t="n"/>
      <c r="Z44" s="572" t="n"/>
      <c r="AA44" s="572" t="n"/>
      <c r="AB44" s="572" t="n"/>
      <c r="AC44" s="572" t="n"/>
      <c r="AD44" s="572" t="n"/>
      <c r="AE44" s="572" t="n"/>
      <c r="AF44" s="572" t="n"/>
      <c r="AG44" s="570" t="n"/>
      <c r="AH44" s="572" t="n"/>
      <c r="AI44" s="586" t="n"/>
      <c r="AJ44" s="572" t="n"/>
      <c r="AK44" s="570" t="n"/>
      <c r="AL44" s="570" t="n"/>
      <c r="AM44" s="570" t="n"/>
      <c r="AN44" s="570" t="n"/>
      <c r="AO44" s="570" t="n"/>
      <c r="AP44" s="570" t="n"/>
      <c r="AQ44" s="570" t="n"/>
      <c r="AR44" s="570" t="n"/>
      <c r="AS44" s="579" t="n"/>
      <c r="AT44" s="579" t="n"/>
      <c r="AU44" s="568" t="n">
        <v>0.0025269435354467</v>
      </c>
      <c r="BA44" s="568" t="n">
        <v>0.00379041530317005</v>
      </c>
      <c r="CM44" s="587" t="n"/>
      <c r="CN44" s="587" t="n"/>
      <c r="CO44" s="587" t="n"/>
      <c r="CP44" s="587" t="n"/>
      <c r="CQ44" s="587" t="n"/>
      <c r="CR44" s="587" t="n"/>
      <c r="CS44" s="587" t="n"/>
      <c r="CT44" s="587" t="n"/>
      <c r="CU44" s="587" t="n"/>
      <c r="CV44" s="587" t="n"/>
      <c r="CW44" s="587" t="n"/>
      <c r="CX44" s="587" t="n"/>
      <c r="CY44" s="587" t="n"/>
      <c r="CZ44" s="587" t="n"/>
      <c r="DA44" s="587" t="n"/>
      <c r="DB44" s="587" t="n"/>
      <c r="DC44" s="587" t="n"/>
      <c r="DD44" s="587" t="n"/>
      <c r="DE44" s="587" t="n"/>
      <c r="DF44" s="587" t="n"/>
      <c r="DG44" s="587" t="n"/>
      <c r="DH44" s="587" t="n"/>
      <c r="DI44" s="587" t="n"/>
      <c r="DJ44" s="587" t="n"/>
      <c r="DK44" s="587" t="n"/>
      <c r="DL44" s="587" t="n"/>
      <c r="DM44" s="587" t="n"/>
      <c r="DN44" s="587" t="n"/>
      <c r="DO44" s="587" t="n"/>
      <c r="DP44" s="587" t="n"/>
      <c r="DQ44" s="587" t="n"/>
      <c r="DR44" s="587" t="n"/>
      <c r="DS44" s="587" t="n"/>
      <c r="DT44" s="587" t="n"/>
      <c r="DU44" s="587" t="n"/>
      <c r="DV44" s="587" t="n"/>
      <c r="DW44" s="587" t="n"/>
      <c r="DX44" s="587" t="n"/>
      <c r="DY44" s="587" t="n"/>
      <c r="DZ44" s="587" t="n"/>
      <c r="EA44" s="587" t="n"/>
      <c r="EB44" s="587" t="n"/>
      <c r="EC44" s="587" t="n"/>
      <c r="ED44" s="587" t="n"/>
      <c r="EE44" s="587" t="n"/>
      <c r="EF44" s="587" t="n"/>
      <c r="EG44" s="587" t="n"/>
      <c r="EH44" s="587" t="n"/>
      <c r="EI44" s="587" t="n"/>
      <c r="EJ44" s="587" t="n"/>
      <c r="EK44" s="587" t="n"/>
      <c r="EL44" s="587" t="n"/>
      <c r="EM44" s="587" t="n"/>
      <c r="EN44" s="587" t="n"/>
      <c r="EO44" s="587" t="n"/>
      <c r="EP44" s="587" t="n"/>
      <c r="EQ44" s="587" t="n"/>
      <c r="ER44" s="587" t="n"/>
      <c r="ES44" s="587" t="n"/>
      <c r="ET44" s="587" t="n"/>
      <c r="EU44" s="587" t="n"/>
      <c r="EV44" s="587" t="n"/>
      <c r="EW44" s="587" t="n"/>
      <c r="EX44" s="587" t="n"/>
      <c r="EY44" s="587" t="n"/>
      <c r="EZ44" s="587" t="n"/>
      <c r="FA44" s="587" t="n"/>
      <c r="FB44" s="587" t="n"/>
      <c r="FC44" s="587" t="n"/>
      <c r="FD44" s="587" t="n"/>
      <c r="FE44" s="587" t="n"/>
      <c r="FF44" s="587" t="n"/>
      <c r="FG44" s="587" t="n"/>
      <c r="FH44" s="587" t="n"/>
      <c r="FI44" s="587" t="n"/>
      <c r="FJ44" s="587" t="n"/>
      <c r="FK44" s="587" t="n"/>
      <c r="FL44" s="587" t="n"/>
      <c r="FM44" s="587" t="n"/>
      <c r="FN44" s="587" t="n"/>
      <c r="FO44" s="587" t="n"/>
      <c r="FP44" s="587" t="n"/>
      <c r="FQ44" s="587" t="n"/>
      <c r="FR44" s="587" t="n"/>
      <c r="FS44" s="587" t="n"/>
      <c r="FT44" s="587" t="n"/>
      <c r="FU44" s="587" t="n"/>
      <c r="FV44" s="587" t="n"/>
      <c r="FW44" s="587" t="n"/>
      <c r="FX44" s="587" t="n"/>
      <c r="FY44" s="587" t="n"/>
      <c r="FZ44" s="587" t="n"/>
      <c r="GA44" s="587" t="n"/>
    </row>
    <row r="45" customFormat="1" s="568">
      <c r="A45" s="227" t="n"/>
      <c r="B45" s="87" t="n">
        <v>2</v>
      </c>
      <c r="C45" s="84">
        <f>E45*D$5</f>
        <v/>
      </c>
      <c r="D45" s="51" t="inlineStr">
        <is>
          <t>Paul Milton Bain</t>
        </is>
      </c>
      <c r="E45" s="84">
        <f>SUM(G45:HT45)</f>
        <v/>
      </c>
      <c r="F45" s="582">
        <f>IFERROR(IF($E45&gt;0.0000005,$E45/SUMIF($E$11:$E$140,"&gt;0.0000005"),""),"")</f>
        <v/>
      </c>
      <c r="G45" s="570" t="n"/>
      <c r="H45" s="570" t="n"/>
      <c r="I45" s="570" t="n"/>
      <c r="J45" s="570" t="n"/>
      <c r="K45" s="570" t="n"/>
      <c r="L45" s="570" t="n"/>
      <c r="M45" s="570" t="n"/>
      <c r="N45" s="570" t="n"/>
      <c r="O45" s="570" t="n"/>
      <c r="P45" s="570" t="n"/>
      <c r="Q45" s="572" t="n"/>
      <c r="R45" s="570" t="n"/>
      <c r="S45" s="586" t="n"/>
      <c r="T45" s="571" t="n"/>
      <c r="U45" s="571" t="n"/>
      <c r="V45" s="571" t="n"/>
      <c r="W45" s="571" t="n"/>
      <c r="X45" s="571" t="n"/>
      <c r="Y45" s="571" t="n"/>
      <c r="Z45" s="572" t="n"/>
      <c r="AA45" s="572" t="n"/>
      <c r="AB45" s="572" t="n"/>
      <c r="AC45" s="572" t="n"/>
      <c r="AD45" s="572" t="n"/>
      <c r="AE45" s="572" t="n"/>
      <c r="AF45" s="572" t="n"/>
      <c r="AG45" s="570" t="n"/>
      <c r="AH45" s="572" t="n"/>
      <c r="AI45" s="586" t="n"/>
      <c r="AJ45" s="572" t="n"/>
      <c r="AK45" s="570" t="n"/>
      <c r="AL45" s="570" t="n"/>
      <c r="AM45" s="570" t="n"/>
      <c r="AN45" s="570" t="n"/>
      <c r="AO45" s="570" t="n"/>
      <c r="AP45" s="570" t="n"/>
      <c r="AQ45" s="570" t="n"/>
      <c r="AR45" s="570" t="n"/>
      <c r="AS45" s="579" t="n"/>
      <c r="AT45" s="579" t="n"/>
      <c r="AV45" s="568" t="n">
        <v>0.0025269435354467</v>
      </c>
      <c r="AZ45" s="568" t="n">
        <v>0.00379041530317005</v>
      </c>
      <c r="CM45" s="587" t="n"/>
      <c r="CN45" s="587" t="n"/>
      <c r="CO45" s="587" t="n"/>
      <c r="CP45" s="587" t="n"/>
      <c r="CQ45" s="587" t="n"/>
      <c r="CR45" s="587" t="n"/>
      <c r="CS45" s="587" t="n"/>
      <c r="CT45" s="587" t="n"/>
      <c r="CU45" s="587" t="n"/>
      <c r="CV45" s="587" t="n"/>
      <c r="CW45" s="587" t="n"/>
      <c r="CX45" s="587" t="n"/>
      <c r="CY45" s="587" t="n"/>
      <c r="CZ45" s="587" t="n"/>
      <c r="DA45" s="587" t="n"/>
      <c r="DB45" s="587" t="n"/>
      <c r="DC45" s="587" t="n"/>
      <c r="DD45" s="587" t="n"/>
      <c r="DE45" s="587" t="n"/>
      <c r="DF45" s="587" t="n"/>
      <c r="DG45" s="587" t="n"/>
      <c r="DH45" s="587" t="n"/>
      <c r="DI45" s="587" t="n"/>
      <c r="DJ45" s="587" t="n"/>
      <c r="DK45" s="587" t="n"/>
      <c r="DL45" s="587" t="n"/>
      <c r="DM45" s="587" t="n"/>
      <c r="DN45" s="587" t="n"/>
      <c r="DO45" s="587" t="n"/>
      <c r="DP45" s="587" t="n"/>
      <c r="DQ45" s="587" t="n"/>
      <c r="DR45" s="587" t="n"/>
      <c r="DS45" s="587" t="n"/>
      <c r="DT45" s="587" t="n"/>
      <c r="DU45" s="587" t="n"/>
      <c r="DV45" s="587" t="n"/>
      <c r="DW45" s="587" t="n"/>
      <c r="DX45" s="587" t="n"/>
      <c r="DY45" s="587" t="n"/>
      <c r="DZ45" s="587" t="n"/>
      <c r="EA45" s="587" t="n"/>
      <c r="EB45" s="587" t="n"/>
      <c r="EC45" s="587" t="n"/>
      <c r="ED45" s="587" t="n"/>
      <c r="EE45" s="587" t="n"/>
      <c r="EF45" s="587" t="n"/>
      <c r="EG45" s="587" t="n"/>
      <c r="EH45" s="587" t="n"/>
      <c r="EI45" s="587" t="n"/>
      <c r="EJ45" s="587" t="n"/>
      <c r="EK45" s="587" t="n"/>
      <c r="EL45" s="587" t="n"/>
      <c r="EM45" s="587" t="n"/>
      <c r="EN45" s="587" t="n"/>
      <c r="EO45" s="587" t="n"/>
      <c r="EP45" s="587" t="n"/>
      <c r="EQ45" s="587" t="n"/>
      <c r="ER45" s="587" t="n"/>
      <c r="ES45" s="587" t="n"/>
      <c r="ET45" s="587" t="n"/>
      <c r="EU45" s="587" t="n"/>
      <c r="EV45" s="587" t="n"/>
      <c r="EW45" s="587" t="n"/>
      <c r="EX45" s="587" t="n"/>
      <c r="EY45" s="587" t="n"/>
      <c r="EZ45" s="587" t="n"/>
      <c r="FA45" s="587" t="n"/>
      <c r="FB45" s="587" t="n"/>
      <c r="FC45" s="587" t="n"/>
      <c r="FD45" s="587" t="n"/>
      <c r="FE45" s="587" t="n"/>
      <c r="FF45" s="587" t="n"/>
      <c r="FG45" s="587" t="n"/>
      <c r="FH45" s="587" t="n"/>
      <c r="FI45" s="587" t="n"/>
      <c r="FJ45" s="587" t="n"/>
      <c r="FK45" s="587" t="n"/>
      <c r="FL45" s="587" t="n"/>
      <c r="FM45" s="587" t="n"/>
      <c r="FN45" s="587" t="n"/>
      <c r="FO45" s="587" t="n"/>
      <c r="FP45" s="587" t="n"/>
      <c r="FQ45" s="587" t="n"/>
      <c r="FR45" s="587" t="n"/>
      <c r="FS45" s="587" t="n"/>
      <c r="FT45" s="587" t="n"/>
      <c r="FU45" s="587" t="n"/>
      <c r="FV45" s="587" t="n"/>
      <c r="FW45" s="587" t="n"/>
      <c r="FX45" s="587" t="n"/>
      <c r="FY45" s="587" t="n"/>
      <c r="FZ45" s="587" t="n"/>
      <c r="GA45" s="587" t="n"/>
    </row>
    <row r="46" customFormat="1" s="568">
      <c r="A46" s="227" t="n"/>
      <c r="B46" s="87" t="n">
        <v>3</v>
      </c>
      <c r="C46" s="84">
        <f>E46*D$5</f>
        <v/>
      </c>
      <c r="D46" s="52" t="inlineStr">
        <is>
          <t>Ronald Dean Bain</t>
        </is>
      </c>
      <c r="E46" s="84">
        <f>SUM(G46:HT46)</f>
        <v/>
      </c>
      <c r="F46" s="582">
        <f>IFERROR(IF($E46&gt;0.0000005,$E46/SUMIF($E$11:$E$140,"&gt;0.0000005"),""),"")</f>
        <v/>
      </c>
      <c r="G46" s="570" t="n"/>
      <c r="H46" s="570" t="n"/>
      <c r="I46" s="570" t="n"/>
      <c r="J46" s="570" t="n"/>
      <c r="K46" s="570" t="n"/>
      <c r="L46" s="570" t="n"/>
      <c r="M46" s="570" t="n"/>
      <c r="N46" s="570" t="n"/>
      <c r="O46" s="570" t="n"/>
      <c r="P46" s="570" t="n"/>
      <c r="Q46" s="572" t="n"/>
      <c r="R46" s="570" t="n"/>
      <c r="S46" s="570" t="n"/>
      <c r="T46" s="571" t="n"/>
      <c r="U46" s="571" t="n"/>
      <c r="V46" s="571" t="n"/>
      <c r="W46" s="571" t="n"/>
      <c r="X46" s="571" t="n"/>
      <c r="Y46" s="571" t="n"/>
      <c r="Z46" s="572" t="n"/>
      <c r="AA46" s="572" t="n"/>
      <c r="AB46" s="572" t="n"/>
      <c r="AC46" s="572" t="n"/>
      <c r="AD46" s="572" t="n"/>
      <c r="AE46" s="572" t="n"/>
      <c r="AF46" s="572" t="n"/>
      <c r="AG46" s="570" t="n"/>
      <c r="AH46" s="572" t="n"/>
      <c r="AI46" s="586" t="n"/>
      <c r="AJ46" s="572" t="n"/>
      <c r="AK46" s="570" t="n"/>
      <c r="AL46" s="570" t="n"/>
      <c r="AM46" s="570" t="n"/>
      <c r="AN46" s="570" t="n"/>
      <c r="AO46" s="570" t="n"/>
      <c r="AP46" s="570" t="n"/>
      <c r="AQ46" s="570" t="n"/>
      <c r="AR46" s="570" t="n"/>
      <c r="AS46" s="579" t="n"/>
      <c r="AT46" s="579" t="n"/>
      <c r="AW46" s="568" t="n">
        <v>0.0025269435354467</v>
      </c>
      <c r="BB46" s="568" t="n">
        <v>0.00379041530317005</v>
      </c>
      <c r="CK46" s="568" t="n">
        <v>-0.006317358838616751</v>
      </c>
      <c r="CM46" s="587" t="n"/>
      <c r="CN46" s="587" t="n"/>
      <c r="CO46" s="587" t="n"/>
      <c r="CP46" s="587" t="n"/>
      <c r="CQ46" s="587" t="n"/>
      <c r="CR46" s="587" t="n"/>
      <c r="CS46" s="587" t="n"/>
      <c r="CT46" s="587" t="n"/>
      <c r="CU46" s="587" t="n"/>
      <c r="CV46" s="587" t="n"/>
      <c r="CW46" s="587" t="n"/>
      <c r="CX46" s="587" t="n"/>
      <c r="CY46" s="587" t="n"/>
      <c r="CZ46" s="587" t="n"/>
      <c r="DA46" s="587" t="n"/>
      <c r="DB46" s="587" t="n"/>
      <c r="DC46" s="587" t="n"/>
      <c r="DD46" s="587" t="n"/>
      <c r="DE46" s="587" t="n"/>
      <c r="DF46" s="587" t="n"/>
      <c r="DG46" s="587" t="n"/>
      <c r="DH46" s="587" t="n"/>
      <c r="DI46" s="587" t="n"/>
      <c r="DJ46" s="587" t="n"/>
      <c r="DK46" s="587" t="n"/>
      <c r="DL46" s="587" t="n"/>
      <c r="DM46" s="587" t="n"/>
      <c r="DN46" s="587" t="n"/>
      <c r="DO46" s="587" t="n"/>
      <c r="DP46" s="587" t="n"/>
      <c r="DQ46" s="587" t="n"/>
      <c r="DR46" s="587" t="n"/>
      <c r="DS46" s="587" t="n"/>
      <c r="DT46" s="587" t="n"/>
      <c r="DU46" s="587" t="n"/>
      <c r="DV46" s="587" t="n"/>
      <c r="DW46" s="587" t="n"/>
      <c r="DX46" s="587" t="n"/>
      <c r="DY46" s="587" t="n"/>
      <c r="DZ46" s="587" t="n"/>
      <c r="EA46" s="587" t="n"/>
      <c r="EB46" s="587" t="n"/>
      <c r="EC46" s="587" t="n"/>
      <c r="ED46" s="587" t="n"/>
      <c r="EE46" s="587" t="n"/>
      <c r="EF46" s="587" t="n"/>
      <c r="EG46" s="587" t="n"/>
      <c r="EH46" s="587" t="n"/>
      <c r="EI46" s="587" t="n"/>
      <c r="EJ46" s="587" t="n"/>
      <c r="EK46" s="587" t="n"/>
      <c r="EL46" s="587" t="n"/>
      <c r="EM46" s="587" t="n"/>
      <c r="EN46" s="587" t="n"/>
      <c r="EO46" s="587" t="n"/>
      <c r="EP46" s="587" t="n"/>
      <c r="EQ46" s="587" t="n"/>
      <c r="ER46" s="587" t="n"/>
      <c r="ES46" s="587" t="n"/>
      <c r="ET46" s="587" t="n"/>
      <c r="EU46" s="587" t="n"/>
      <c r="EV46" s="587" t="n"/>
      <c r="EW46" s="587" t="n"/>
      <c r="EX46" s="587" t="n"/>
      <c r="EY46" s="587" t="n"/>
      <c r="EZ46" s="587" t="n"/>
      <c r="FA46" s="587" t="n"/>
      <c r="FB46" s="587" t="n"/>
      <c r="FC46" s="587" t="n"/>
      <c r="FD46" s="587" t="n"/>
      <c r="FE46" s="587" t="n"/>
      <c r="FF46" s="587" t="n"/>
      <c r="FG46" s="587" t="n"/>
      <c r="FH46" s="587" t="n"/>
      <c r="FI46" s="587" t="n"/>
      <c r="FJ46" s="587" t="n"/>
      <c r="FK46" s="587" t="n"/>
      <c r="FL46" s="587" t="n"/>
      <c r="FM46" s="587" t="n"/>
      <c r="FN46" s="587" t="n"/>
      <c r="FO46" s="587" t="n"/>
      <c r="FP46" s="587" t="n"/>
      <c r="FQ46" s="587" t="n"/>
      <c r="FR46" s="587" t="n"/>
      <c r="FS46" s="587" t="n"/>
      <c r="FT46" s="587" t="n"/>
      <c r="FU46" s="587" t="n"/>
      <c r="FV46" s="587" t="n"/>
      <c r="FW46" s="587" t="n"/>
      <c r="FX46" s="587" t="n"/>
      <c r="FY46" s="587" t="n"/>
      <c r="FZ46" s="587" t="n"/>
      <c r="GA46" s="587" t="n"/>
    </row>
    <row r="47" customFormat="1" s="568">
      <c r="A47" s="227" t="n"/>
      <c r="B47" s="87" t="n">
        <v>16</v>
      </c>
      <c r="C47" s="137">
        <f>E47*D$5</f>
        <v/>
      </c>
      <c r="D47" s="51" t="inlineStr">
        <is>
          <t>Dow C. Bain, (and OR) Edris O. Bain, JTWROS</t>
        </is>
      </c>
      <c r="E47" s="137">
        <f>SUM(G47:HT47)</f>
        <v/>
      </c>
      <c r="F47" s="582">
        <f>IFERROR(IF($E47&gt;0.0000005,$E47/SUMIF($E$11:$E$140,"&gt;0.0000005"),""),"")</f>
        <v/>
      </c>
      <c r="G47" s="570" t="n"/>
      <c r="H47" s="570" t="n"/>
      <c r="I47" s="570" t="n"/>
      <c r="J47" s="570" t="n"/>
      <c r="K47" s="570" t="n"/>
      <c r="L47" s="570" t="n"/>
      <c r="M47" s="570" t="n"/>
      <c r="N47" s="570" t="n"/>
      <c r="O47" s="570" t="n"/>
      <c r="P47" s="570" t="n"/>
      <c r="Q47" s="572" t="n"/>
      <c r="R47" s="570" t="n"/>
      <c r="S47" s="570" t="n"/>
      <c r="T47" s="570" t="n"/>
      <c r="U47" s="570" t="n"/>
      <c r="V47" s="570" t="n"/>
      <c r="W47" s="570" t="n"/>
      <c r="X47" s="570" t="n"/>
      <c r="Y47" s="570" t="n"/>
      <c r="Z47" s="572" t="n"/>
      <c r="AA47" s="572" t="n"/>
      <c r="AB47" s="572" t="n"/>
      <c r="AC47" s="572" t="n"/>
      <c r="AD47" s="572" t="n"/>
      <c r="AE47" s="572" t="n"/>
      <c r="AF47" s="572" t="n"/>
      <c r="AG47" s="570" t="n"/>
      <c r="AH47" s="572" t="n"/>
      <c r="AI47" s="570" t="n"/>
      <c r="AJ47" s="573" t="n"/>
      <c r="AK47" s="570" t="n"/>
      <c r="AL47" s="570" t="n"/>
      <c r="AM47" s="570" t="n"/>
      <c r="AN47" s="570" t="n"/>
      <c r="AO47" s="570" t="n"/>
      <c r="AP47" s="570" t="n"/>
      <c r="AQ47" s="570" t="n"/>
      <c r="AR47" s="570" t="n"/>
      <c r="AS47" s="579" t="n"/>
      <c r="AT47" s="579" t="n"/>
      <c r="AX47" s="568" t="n">
        <v>0.050538870708934</v>
      </c>
      <c r="CM47" s="587" t="n"/>
      <c r="CN47" s="587" t="n"/>
      <c r="CO47" s="587" t="n"/>
      <c r="CP47" s="587" t="n"/>
      <c r="CQ47" s="587" t="n"/>
      <c r="CR47" s="587" t="n"/>
      <c r="CS47" s="587" t="n"/>
      <c r="CT47" s="587" t="n"/>
      <c r="CU47" s="587" t="n"/>
      <c r="CV47" s="587" t="n"/>
      <c r="CW47" s="587" t="n"/>
      <c r="CX47" s="587" t="n"/>
      <c r="CY47" s="587" t="n"/>
      <c r="CZ47" s="587" t="n"/>
      <c r="DA47" s="587" t="n"/>
      <c r="DB47" s="587" t="n"/>
      <c r="DC47" s="587" t="n"/>
      <c r="DD47" s="587" t="n"/>
      <c r="DE47" s="587" t="n"/>
      <c r="DF47" s="587" t="n"/>
      <c r="DG47" s="587" t="n"/>
      <c r="DH47" s="587" t="n"/>
      <c r="DI47" s="587" t="n"/>
      <c r="DJ47" s="587" t="n"/>
      <c r="DK47" s="587" t="n"/>
      <c r="DL47" s="587" t="n"/>
      <c r="DM47" s="587" t="n"/>
      <c r="DN47" s="587" t="n"/>
      <c r="DO47" s="587" t="n"/>
      <c r="DP47" s="587" t="n"/>
      <c r="DQ47" s="587" t="n"/>
      <c r="DR47" s="587" t="n"/>
      <c r="DS47" s="587" t="n"/>
      <c r="DT47" s="587" t="n"/>
      <c r="DU47" s="587" t="n"/>
      <c r="DV47" s="587" t="n"/>
      <c r="DW47" s="587" t="n"/>
      <c r="DX47" s="587" t="n"/>
      <c r="DY47" s="587" t="n"/>
      <c r="DZ47" s="587" t="n"/>
      <c r="EA47" s="587" t="n"/>
      <c r="EB47" s="587" t="n"/>
      <c r="EC47" s="587" t="n"/>
      <c r="ED47" s="587" t="n"/>
      <c r="EE47" s="587" t="n"/>
      <c r="EF47" s="587" t="n"/>
      <c r="EG47" s="587" t="n"/>
      <c r="EH47" s="587" t="n"/>
      <c r="EI47" s="587" t="n"/>
      <c r="EJ47" s="587" t="n"/>
      <c r="EK47" s="587" t="n"/>
      <c r="EL47" s="587" t="n"/>
      <c r="EM47" s="587" t="n"/>
      <c r="EN47" s="587" t="n"/>
      <c r="EO47" s="587" t="n"/>
      <c r="EP47" s="587" t="n"/>
      <c r="EQ47" s="587" t="n"/>
      <c r="ER47" s="587" t="n"/>
      <c r="ES47" s="587" t="n"/>
      <c r="ET47" s="587" t="n"/>
      <c r="EU47" s="587" t="n"/>
      <c r="EV47" s="587" t="n"/>
      <c r="EW47" s="587" t="n"/>
      <c r="EX47" s="587" t="n"/>
      <c r="EY47" s="587" t="n"/>
      <c r="EZ47" s="587" t="n"/>
      <c r="FA47" s="587" t="n"/>
      <c r="FB47" s="587" t="n"/>
      <c r="FC47" s="587" t="n"/>
      <c r="FD47" s="587" t="n"/>
      <c r="FE47" s="587" t="n"/>
      <c r="FF47" s="587" t="n"/>
      <c r="FG47" s="587" t="n"/>
      <c r="FH47" s="587" t="n"/>
      <c r="FI47" s="587" t="n"/>
      <c r="FJ47" s="587" t="n"/>
      <c r="FK47" s="587" t="n"/>
      <c r="FL47" s="587" t="n"/>
      <c r="FM47" s="587" t="n"/>
      <c r="FN47" s="587" t="n"/>
      <c r="FO47" s="587" t="n"/>
      <c r="FP47" s="587" t="n"/>
      <c r="FQ47" s="587" t="n"/>
      <c r="FR47" s="587" t="n"/>
      <c r="FS47" s="587" t="n"/>
      <c r="FT47" s="587" t="n"/>
      <c r="FU47" s="587" t="n"/>
      <c r="FV47" s="587" t="n"/>
      <c r="FW47" s="587" t="n"/>
      <c r="FX47" s="587" t="n"/>
      <c r="FY47" s="587" t="n"/>
      <c r="FZ47" s="587" t="n"/>
      <c r="GA47" s="587" t="n"/>
    </row>
    <row r="48" customFormat="1" s="568">
      <c r="A48" s="227" t="n"/>
      <c r="B48" s="87" t="n"/>
      <c r="C48" s="137">
        <f>E48*D$5</f>
        <v/>
      </c>
      <c r="D48" s="52" t="inlineStr">
        <is>
          <t>Clarence Bain</t>
        </is>
      </c>
      <c r="E48" s="137">
        <f>SUM(G48:HT48)</f>
        <v/>
      </c>
      <c r="F48" s="568">
        <f>IFERROR(IF($E48&gt;0.0000005,$E48/SUMIF($E$11:$E$140,"&gt;0.0000005"),""),"")</f>
        <v/>
      </c>
      <c r="H48" s="570" t="n"/>
      <c r="I48" s="570" t="n"/>
      <c r="J48" s="570" t="n"/>
      <c r="K48" s="570" t="n"/>
      <c r="L48" s="570" t="n"/>
      <c r="M48" s="570" t="n"/>
      <c r="N48" s="570" t="n"/>
      <c r="O48" s="570" t="n"/>
      <c r="P48" s="570" t="n"/>
      <c r="Q48" s="573" t="n"/>
      <c r="R48" s="570" t="n"/>
      <c r="S48" s="570" t="n"/>
      <c r="T48" s="570" t="n"/>
      <c r="U48" s="570" t="n"/>
      <c r="V48" s="570" t="n"/>
      <c r="W48" s="570" t="n"/>
      <c r="X48" s="570" t="n"/>
      <c r="Y48" s="570" t="n"/>
      <c r="Z48" s="572" t="n"/>
      <c r="AA48" s="572" t="n"/>
      <c r="AB48" s="572" t="n"/>
      <c r="AC48" s="572" t="n"/>
      <c r="AD48" s="572" t="n"/>
      <c r="AE48" s="572" t="n"/>
      <c r="AF48" s="572" t="n"/>
      <c r="AG48" s="570" t="n"/>
      <c r="AH48" s="572" t="n"/>
      <c r="AI48" s="586" t="n"/>
      <c r="AJ48" s="573" t="n"/>
      <c r="AK48" s="570" t="n"/>
      <c r="AL48" s="570" t="n"/>
      <c r="AM48" s="570" t="n"/>
      <c r="AN48" s="570" t="n"/>
      <c r="AO48" s="570" t="n"/>
      <c r="AP48" s="570" t="n"/>
      <c r="AQ48" s="570" t="n"/>
      <c r="AR48" s="570" t="n"/>
      <c r="AS48" s="579" t="n"/>
      <c r="AT48" s="579" t="n"/>
      <c r="BD48" s="568" t="n">
        <v>0</v>
      </c>
      <c r="CG48" s="568" t="n">
        <v>0.00610631293668743</v>
      </c>
      <c r="CM48" s="587" t="n"/>
      <c r="CN48" s="587" t="n"/>
      <c r="CO48" s="587" t="n"/>
      <c r="CP48" s="587" t="n"/>
      <c r="CQ48" s="587" t="n"/>
      <c r="CR48" s="587" t="n"/>
      <c r="CS48" s="587" t="n"/>
      <c r="CT48" s="587" t="n"/>
      <c r="CU48" s="587" t="n"/>
      <c r="CV48" s="587" t="n"/>
      <c r="CW48" s="587" t="n"/>
      <c r="CX48" s="587" t="n"/>
      <c r="CY48" s="587" t="n"/>
      <c r="CZ48" s="587" t="n"/>
      <c r="DA48" s="587" t="n"/>
      <c r="DB48" s="587" t="n"/>
      <c r="DC48" s="587" t="n"/>
      <c r="DD48" s="587" t="n"/>
      <c r="DE48" s="587" t="n"/>
      <c r="DF48" s="587" t="n"/>
      <c r="DG48" s="587" t="n"/>
      <c r="DH48" s="587" t="n"/>
      <c r="DI48" s="587" t="n"/>
      <c r="DJ48" s="587" t="n"/>
      <c r="DK48" s="587" t="n"/>
      <c r="DL48" s="587" t="n"/>
      <c r="DM48" s="587" t="n"/>
      <c r="DN48" s="587" t="n"/>
      <c r="DO48" s="587" t="n"/>
      <c r="DP48" s="587" t="n"/>
      <c r="DQ48" s="587" t="n"/>
      <c r="DR48" s="587" t="n"/>
      <c r="DS48" s="587" t="n"/>
      <c r="DT48" s="587" t="n"/>
      <c r="DU48" s="587" t="n"/>
      <c r="DV48" s="587" t="n"/>
      <c r="DW48" s="587" t="n"/>
      <c r="DX48" s="587" t="n"/>
      <c r="DY48" s="587" t="n"/>
      <c r="DZ48" s="587" t="n"/>
      <c r="EA48" s="587" t="n"/>
      <c r="EB48" s="587" t="n"/>
      <c r="EC48" s="587" t="n"/>
      <c r="ED48" s="587" t="n"/>
      <c r="EE48" s="587" t="n"/>
      <c r="EF48" s="587" t="n"/>
      <c r="EG48" s="587" t="n"/>
      <c r="EH48" s="587" t="n"/>
      <c r="EI48" s="587" t="n"/>
      <c r="EJ48" s="587" t="n"/>
      <c r="EK48" s="587" t="n"/>
      <c r="EL48" s="587" t="n"/>
      <c r="EM48" s="587" t="n"/>
      <c r="EN48" s="587" t="n"/>
      <c r="EO48" s="587" t="n"/>
      <c r="EP48" s="587" t="n"/>
      <c r="EQ48" s="587" t="n"/>
      <c r="ER48" s="587" t="n"/>
      <c r="ES48" s="587" t="n"/>
      <c r="ET48" s="587" t="n"/>
      <c r="EU48" s="587" t="n"/>
      <c r="EV48" s="587" t="n"/>
      <c r="EW48" s="587" t="n"/>
      <c r="EX48" s="587" t="n"/>
      <c r="EY48" s="587" t="n"/>
      <c r="EZ48" s="587" t="n"/>
      <c r="FA48" s="587" t="n"/>
      <c r="FB48" s="587" t="n"/>
      <c r="FC48" s="587" t="n"/>
      <c r="FD48" s="587" t="n"/>
      <c r="FE48" s="587" t="n"/>
      <c r="FF48" s="587" t="n"/>
      <c r="FG48" s="587" t="n"/>
      <c r="FH48" s="587" t="n"/>
      <c r="FI48" s="587" t="n"/>
      <c r="FJ48" s="587" t="n"/>
      <c r="FK48" s="587" t="n"/>
      <c r="FL48" s="587" t="n"/>
      <c r="FM48" s="587" t="n"/>
      <c r="FN48" s="587" t="n"/>
      <c r="FO48" s="587" t="n"/>
      <c r="FP48" s="587" t="n"/>
      <c r="FQ48" s="587" t="n"/>
      <c r="FR48" s="587" t="n"/>
      <c r="FS48" s="587" t="n"/>
      <c r="FT48" s="587" t="n"/>
      <c r="FU48" s="587" t="n"/>
      <c r="FV48" s="587" t="n"/>
      <c r="FW48" s="587" t="n"/>
      <c r="FX48" s="587" t="n"/>
      <c r="FY48" s="587" t="n"/>
      <c r="FZ48" s="587" t="n"/>
      <c r="GA48" s="587" t="n"/>
    </row>
    <row r="49" customFormat="1" s="568">
      <c r="A49" s="227" t="n"/>
      <c r="B49" s="87" t="n"/>
      <c r="C49" s="137">
        <f>E49*D$5</f>
        <v/>
      </c>
      <c r="D49" s="51" t="inlineStr">
        <is>
          <t>Carl Leon Bain</t>
        </is>
      </c>
      <c r="E49" s="137">
        <f>SUM(G49:HT49)</f>
        <v/>
      </c>
      <c r="F49" s="568">
        <f>IFERROR(IF($E49&gt;0.0000005,$E49/SUMIF($E$11:$E$140,"&gt;0.0000005"),""),"")</f>
        <v/>
      </c>
      <c r="H49" s="570" t="n"/>
      <c r="I49" s="570" t="n"/>
      <c r="J49" s="570" t="n"/>
      <c r="K49" s="570" t="n"/>
      <c r="L49" s="570" t="n"/>
      <c r="M49" s="570" t="n"/>
      <c r="N49" s="570" t="n"/>
      <c r="O49" s="570" t="n"/>
      <c r="P49" s="570" t="n"/>
      <c r="Q49" s="573" t="n"/>
      <c r="R49" s="570" t="n"/>
      <c r="S49" s="570" t="n"/>
      <c r="T49" s="570" t="n"/>
      <c r="U49" s="570" t="n"/>
      <c r="V49" s="570" t="n"/>
      <c r="W49" s="570" t="n"/>
      <c r="X49" s="570" t="n"/>
      <c r="Y49" s="570" t="n"/>
      <c r="Z49" s="572" t="n"/>
      <c r="AA49" s="572" t="n"/>
      <c r="AB49" s="572" t="n"/>
      <c r="AC49" s="572" t="n"/>
      <c r="AD49" s="572" t="n"/>
      <c r="AE49" s="572" t="n"/>
      <c r="AF49" s="572" t="n"/>
      <c r="AG49" s="570" t="n"/>
      <c r="AH49" s="572" t="n"/>
      <c r="AI49" s="586" t="n"/>
      <c r="AJ49" s="572" t="n"/>
      <c r="AK49" s="570" t="n"/>
      <c r="AL49" s="570" t="n"/>
      <c r="AM49" s="570" t="n"/>
      <c r="AN49" s="570" t="n"/>
      <c r="AO49" s="570" t="n"/>
      <c r="AP49" s="570" t="n"/>
      <c r="AQ49" s="570" t="n"/>
      <c r="AR49" s="570" t="n"/>
      <c r="AS49" s="579" t="n"/>
      <c r="AT49" s="579" t="n"/>
      <c r="BE49" s="568" t="n">
        <v>0</v>
      </c>
      <c r="BW49" s="568" t="n">
        <v>0.004211568347505275</v>
      </c>
      <c r="CH49" s="568" t="n">
        <v>0.00610631293668743</v>
      </c>
      <c r="CM49" s="587" t="n"/>
      <c r="CN49" s="587" t="n"/>
      <c r="CO49" s="587" t="n"/>
      <c r="CP49" s="587" t="n"/>
      <c r="CQ49" s="587" t="n"/>
      <c r="CR49" s="587" t="n"/>
      <c r="CS49" s="587" t="n"/>
      <c r="CT49" s="587" t="n"/>
      <c r="CU49" s="587" t="n"/>
      <c r="CV49" s="587" t="n"/>
      <c r="CW49" s="587" t="n"/>
      <c r="CX49" s="587" t="n"/>
      <c r="CY49" s="587" t="n"/>
      <c r="CZ49" s="587" t="n"/>
      <c r="DA49" s="587" t="n"/>
      <c r="DB49" s="587" t="n"/>
      <c r="DC49" s="587" t="n"/>
      <c r="DD49" s="587" t="n"/>
      <c r="DE49" s="587" t="n"/>
      <c r="DF49" s="587" t="n"/>
      <c r="DG49" s="587" t="n"/>
      <c r="DH49" s="587" t="n"/>
      <c r="DI49" s="587" t="n"/>
      <c r="DJ49" s="587" t="n"/>
      <c r="DK49" s="587" t="n"/>
      <c r="DL49" s="587" t="n"/>
      <c r="DM49" s="587" t="n"/>
      <c r="DN49" s="587" t="n"/>
      <c r="DO49" s="587" t="n"/>
      <c r="DP49" s="587" t="n"/>
      <c r="DQ49" s="587" t="n"/>
      <c r="DR49" s="587" t="n"/>
      <c r="DS49" s="587" t="n"/>
      <c r="DT49" s="587" t="n"/>
      <c r="DU49" s="587" t="n"/>
      <c r="DV49" s="587" t="n"/>
      <c r="DW49" s="587" t="n"/>
      <c r="DX49" s="587" t="n"/>
      <c r="DY49" s="587" t="n"/>
      <c r="DZ49" s="587" t="n"/>
      <c r="EA49" s="587" t="n"/>
      <c r="EB49" s="587" t="n"/>
      <c r="EC49" s="587" t="n"/>
      <c r="ED49" s="587" t="n"/>
      <c r="EE49" s="587" t="n"/>
      <c r="EF49" s="587" t="n"/>
      <c r="EG49" s="587" t="n"/>
      <c r="EH49" s="587" t="n"/>
      <c r="EI49" s="587" t="n"/>
      <c r="EJ49" s="587" t="n"/>
      <c r="EK49" s="587" t="n"/>
      <c r="EL49" s="587" t="n"/>
      <c r="EM49" s="587" t="n"/>
      <c r="EN49" s="587" t="n"/>
      <c r="EO49" s="587" t="n"/>
      <c r="EP49" s="587" t="n"/>
      <c r="EQ49" s="587" t="n"/>
      <c r="ER49" s="587" t="n"/>
      <c r="ES49" s="587" t="n"/>
      <c r="ET49" s="587" t="n"/>
      <c r="EU49" s="587" t="n"/>
      <c r="EV49" s="587" t="n"/>
      <c r="EW49" s="587" t="n"/>
      <c r="EX49" s="587" t="n"/>
      <c r="EY49" s="587" t="n"/>
      <c r="EZ49" s="587" t="n"/>
      <c r="FA49" s="587" t="n"/>
      <c r="FB49" s="587" t="n"/>
      <c r="FC49" s="587" t="n"/>
      <c r="FD49" s="587" t="n"/>
      <c r="FE49" s="587" t="n"/>
      <c r="FF49" s="587" t="n"/>
      <c r="FG49" s="587" t="n"/>
      <c r="FH49" s="587" t="n"/>
      <c r="FI49" s="587" t="n"/>
      <c r="FJ49" s="587" t="n"/>
      <c r="FK49" s="587" t="n"/>
      <c r="FL49" s="587" t="n"/>
      <c r="FM49" s="587" t="n"/>
      <c r="FN49" s="587" t="n"/>
      <c r="FO49" s="587" t="n"/>
      <c r="FP49" s="587" t="n"/>
      <c r="FQ49" s="587" t="n"/>
      <c r="FR49" s="587" t="n"/>
      <c r="FS49" s="587" t="n"/>
      <c r="FT49" s="587" t="n"/>
      <c r="FU49" s="587" t="n"/>
      <c r="FV49" s="587" t="n"/>
      <c r="FW49" s="587" t="n"/>
      <c r="FX49" s="587" t="n"/>
      <c r="FY49" s="587" t="n"/>
      <c r="FZ49" s="587" t="n"/>
      <c r="GA49" s="587" t="n"/>
    </row>
    <row r="50" customFormat="1" s="568">
      <c r="A50" s="227" t="n"/>
      <c r="B50" s="87" t="n"/>
      <c r="C50" s="485">
        <f>E50*D$5</f>
        <v/>
      </c>
      <c r="D50" s="490" t="inlineStr">
        <is>
          <t>Crystal Pallo</t>
        </is>
      </c>
      <c r="E50" s="485">
        <f>SUM(G50:HT50)</f>
        <v/>
      </c>
      <c r="F50" s="568">
        <f>IFERROR(IF($E50&gt;0.0000005,$E50/SUMIF($E$11:$E$140,"&gt;0.0000005"),""),"")</f>
        <v/>
      </c>
      <c r="H50" s="570" t="n"/>
      <c r="I50" s="570" t="n"/>
      <c r="J50" s="570" t="n"/>
      <c r="K50" s="570" t="n"/>
      <c r="L50" s="570" t="n"/>
      <c r="M50" s="570" t="n"/>
      <c r="N50" s="570" t="n"/>
      <c r="O50" s="570" t="n"/>
      <c r="P50" s="570" t="n"/>
      <c r="Q50" s="572" t="n"/>
      <c r="R50" s="570" t="n"/>
      <c r="S50" s="570" t="n"/>
      <c r="T50" s="570" t="n"/>
      <c r="U50" s="570" t="n"/>
      <c r="V50" s="570" t="n">
        <v>-0.153846153846154</v>
      </c>
      <c r="W50" s="570" t="n"/>
      <c r="X50" s="570" t="n"/>
      <c r="Y50" s="570" t="n"/>
      <c r="Z50" s="572" t="n"/>
      <c r="AA50" s="572" t="n"/>
      <c r="AB50" s="572" t="n"/>
      <c r="AC50" s="572" t="n"/>
      <c r="AD50" s="572" t="n"/>
      <c r="AE50" s="572" t="n"/>
      <c r="AF50" s="572" t="n"/>
      <c r="AG50" s="570" t="n"/>
      <c r="AH50" s="572" t="n"/>
      <c r="AI50" s="586" t="n"/>
      <c r="AJ50" s="572" t="n"/>
      <c r="AK50" s="570" t="n"/>
      <c r="AL50" s="570" t="n"/>
      <c r="AM50" s="570" t="n"/>
      <c r="AN50" s="570" t="n"/>
      <c r="AO50" s="570" t="n"/>
      <c r="AP50" s="570" t="n"/>
      <c r="AQ50" s="570" t="n"/>
      <c r="AR50" s="570" t="n"/>
      <c r="AS50" s="579" t="n"/>
      <c r="AT50" s="579" t="n"/>
      <c r="BK50" s="568" t="n">
        <v>0</v>
      </c>
      <c r="CM50" s="587" t="n"/>
      <c r="CN50" s="587" t="n"/>
      <c r="CO50" s="587" t="n"/>
      <c r="CP50" s="587" t="n"/>
      <c r="CQ50" s="587" t="n"/>
      <c r="CR50" s="587" t="n"/>
      <c r="CS50" s="587" t="n"/>
      <c r="CT50" s="587" t="n"/>
      <c r="CU50" s="587" t="n"/>
      <c r="CV50" s="587" t="n"/>
      <c r="CW50" s="587" t="n"/>
      <c r="CX50" s="587" t="n"/>
      <c r="CY50" s="587" t="n"/>
      <c r="CZ50" s="587" t="n"/>
      <c r="DA50" s="587" t="n"/>
      <c r="DB50" s="587" t="n"/>
      <c r="DC50" s="587" t="n"/>
      <c r="DD50" s="587" t="n"/>
      <c r="DE50" s="587" t="n"/>
      <c r="DF50" s="587" t="n"/>
      <c r="DG50" s="587" t="n"/>
      <c r="DH50" s="587" t="n"/>
      <c r="DI50" s="587" t="n"/>
      <c r="DJ50" s="587" t="n"/>
      <c r="DK50" s="587" t="n"/>
      <c r="DL50" s="587" t="n"/>
      <c r="DM50" s="587" t="n"/>
      <c r="DN50" s="587" t="n"/>
      <c r="DO50" s="587" t="n"/>
      <c r="DP50" s="587" t="n"/>
      <c r="DQ50" s="587" t="n"/>
      <c r="DR50" s="587" t="n"/>
      <c r="DS50" s="587" t="n"/>
      <c r="DT50" s="587" t="n"/>
      <c r="DU50" s="587" t="n"/>
      <c r="DV50" s="587" t="n"/>
      <c r="DW50" s="587" t="n"/>
      <c r="DX50" s="587" t="n"/>
      <c r="DY50" s="587" t="n"/>
      <c r="DZ50" s="587" t="n"/>
      <c r="EA50" s="587" t="n"/>
      <c r="EB50" s="587" t="n"/>
      <c r="EC50" s="587" t="n"/>
      <c r="ED50" s="587" t="n"/>
      <c r="EE50" s="587" t="n"/>
      <c r="EF50" s="587" t="n"/>
      <c r="EG50" s="587" t="n"/>
      <c r="EH50" s="587" t="n"/>
      <c r="EI50" s="587" t="n"/>
      <c r="EJ50" s="587" t="n"/>
      <c r="EK50" s="587" t="n"/>
      <c r="EL50" s="587" t="n"/>
      <c r="EM50" s="587" t="n"/>
      <c r="EN50" s="587" t="n"/>
      <c r="EO50" s="587" t="n"/>
      <c r="EP50" s="587" t="n"/>
      <c r="EQ50" s="587" t="n"/>
      <c r="ER50" s="587" t="n"/>
      <c r="ES50" s="587" t="n"/>
      <c r="ET50" s="587" t="n"/>
      <c r="EU50" s="587" t="n"/>
      <c r="EV50" s="587" t="n"/>
      <c r="EW50" s="587" t="n"/>
      <c r="EX50" s="587" t="n"/>
      <c r="EY50" s="587" t="n"/>
      <c r="EZ50" s="587" t="n"/>
      <c r="FA50" s="587" t="n"/>
      <c r="FB50" s="587" t="n"/>
      <c r="FC50" s="587" t="n"/>
      <c r="FD50" s="587" t="n"/>
      <c r="FE50" s="587" t="n"/>
      <c r="FF50" s="587" t="n"/>
      <c r="FG50" s="587" t="n"/>
      <c r="FH50" s="587" t="n"/>
      <c r="FI50" s="587" t="n"/>
      <c r="FJ50" s="587" t="n"/>
      <c r="FK50" s="587" t="n"/>
      <c r="FL50" s="587" t="n"/>
      <c r="FM50" s="587" t="n"/>
      <c r="FN50" s="587" t="n"/>
      <c r="FO50" s="587" t="n"/>
      <c r="FP50" s="587" t="n"/>
      <c r="FQ50" s="587" t="n"/>
      <c r="FR50" s="587" t="n"/>
      <c r="FS50" s="587" t="n"/>
      <c r="FT50" s="587" t="n"/>
      <c r="FU50" s="587" t="n"/>
      <c r="FV50" s="587" t="n"/>
      <c r="FW50" s="587" t="n"/>
      <c r="FX50" s="587" t="n"/>
      <c r="FY50" s="587" t="n"/>
      <c r="FZ50" s="587" t="n"/>
      <c r="GA50" s="587" t="n"/>
    </row>
    <row r="51" customFormat="1" s="568">
      <c r="A51" s="227" t="n"/>
      <c r="B51" s="87" t="n"/>
      <c r="C51" s="84">
        <f>E51*D$5</f>
        <v/>
      </c>
      <c r="D51" s="52" t="inlineStr">
        <is>
          <t>Eula M. Bain, Deceased</t>
        </is>
      </c>
      <c r="E51" s="84">
        <f>SUM(G51:HT51)</f>
        <v/>
      </c>
      <c r="F51" s="568">
        <f>IFERROR(IF($E51&gt;0.0000005,$E51/SUMIF($E$11:$E$140,"&gt;0.0000005"),""),"")</f>
        <v/>
      </c>
      <c r="H51" s="570" t="n"/>
      <c r="I51" s="570" t="n"/>
      <c r="J51" s="570" t="n"/>
      <c r="K51" s="570" t="n"/>
      <c r="L51" s="570" t="n"/>
      <c r="M51" s="570" t="n"/>
      <c r="N51" s="570" t="n"/>
      <c r="O51" s="570" t="n"/>
      <c r="P51" s="570" t="n"/>
      <c r="Q51" s="572" t="n"/>
      <c r="R51" s="570" t="n"/>
      <c r="S51" s="570" t="n"/>
      <c r="T51" s="570" t="n"/>
      <c r="U51" s="570" t="n"/>
      <c r="V51" s="570" t="n"/>
      <c r="W51" s="570" t="n"/>
      <c r="X51" s="570" t="n"/>
      <c r="Y51" s="570" t="n"/>
      <c r="Z51" s="572" t="n"/>
      <c r="AA51" s="572" t="n"/>
      <c r="AB51" s="572" t="n"/>
      <c r="AC51" s="572" t="n"/>
      <c r="AD51" s="572" t="n"/>
      <c r="AE51" s="572" t="n"/>
      <c r="AF51" s="572" t="n"/>
      <c r="AG51" s="570" t="n"/>
      <c r="AH51" s="572" t="n"/>
      <c r="AI51" s="570" t="n"/>
      <c r="AJ51" s="572" t="n"/>
      <c r="AK51" s="570" t="n"/>
      <c r="AL51" s="570" t="n"/>
      <c r="AM51" s="570" t="n"/>
      <c r="AN51" s="570" t="n"/>
      <c r="AO51" s="570" t="n"/>
      <c r="AP51" s="570" t="n"/>
      <c r="AQ51" s="570" t="n"/>
      <c r="AR51" s="570" t="n"/>
      <c r="AS51" s="579" t="n"/>
      <c r="AT51" s="579" t="n"/>
      <c r="BL51" s="568" t="n">
        <v>0</v>
      </c>
      <c r="CM51" s="587" t="n"/>
      <c r="CN51" s="587" t="n"/>
      <c r="CO51" s="587" t="n"/>
      <c r="CP51" s="587" t="n"/>
      <c r="CQ51" s="587" t="n"/>
      <c r="CR51" s="587" t="n"/>
      <c r="CS51" s="587" t="n"/>
      <c r="CT51" s="587" t="n"/>
      <c r="CU51" s="587" t="n"/>
      <c r="CV51" s="587" t="n"/>
      <c r="CW51" s="587" t="n"/>
      <c r="CX51" s="587" t="n"/>
      <c r="CY51" s="587" t="n"/>
      <c r="CZ51" s="587" t="n"/>
      <c r="DA51" s="587" t="n"/>
      <c r="DB51" s="587" t="n"/>
      <c r="DC51" s="587" t="n"/>
      <c r="DD51" s="587" t="n"/>
      <c r="DE51" s="587" t="n"/>
      <c r="DF51" s="587" t="n"/>
      <c r="DG51" s="587" t="n"/>
      <c r="DH51" s="587" t="n"/>
      <c r="DI51" s="587" t="n"/>
      <c r="DJ51" s="587" t="n"/>
      <c r="DK51" s="587" t="n"/>
      <c r="DL51" s="587" t="n"/>
      <c r="DM51" s="587" t="n"/>
      <c r="DN51" s="587" t="n"/>
      <c r="DO51" s="587" t="n"/>
      <c r="DP51" s="587" t="n"/>
      <c r="DQ51" s="587" t="n"/>
      <c r="DR51" s="587" t="n"/>
      <c r="DS51" s="587" t="n"/>
      <c r="DT51" s="587" t="n"/>
      <c r="DU51" s="587" t="n"/>
      <c r="DV51" s="587" t="n"/>
      <c r="DW51" s="587" t="n"/>
      <c r="DX51" s="587" t="n"/>
      <c r="DY51" s="587" t="n"/>
      <c r="DZ51" s="587" t="n"/>
      <c r="EA51" s="587" t="n"/>
      <c r="EB51" s="587" t="n"/>
      <c r="EC51" s="587" t="n"/>
      <c r="ED51" s="587" t="n"/>
      <c r="EE51" s="587" t="n"/>
      <c r="EF51" s="587" t="n"/>
      <c r="EG51" s="587" t="n"/>
      <c r="EH51" s="587" t="n"/>
      <c r="EI51" s="587" t="n"/>
      <c r="EJ51" s="587" t="n"/>
      <c r="EK51" s="587" t="n"/>
      <c r="EL51" s="587" t="n"/>
      <c r="EM51" s="587" t="n"/>
      <c r="EN51" s="587" t="n"/>
      <c r="EO51" s="587" t="n"/>
      <c r="EP51" s="587" t="n"/>
      <c r="EQ51" s="587" t="n"/>
      <c r="ER51" s="587" t="n"/>
      <c r="ES51" s="587" t="n"/>
      <c r="ET51" s="587" t="n"/>
      <c r="EU51" s="587" t="n"/>
      <c r="EV51" s="587" t="n"/>
      <c r="EW51" s="587" t="n"/>
      <c r="EX51" s="587" t="n"/>
      <c r="EY51" s="587" t="n"/>
      <c r="EZ51" s="587" t="n"/>
      <c r="FA51" s="587" t="n"/>
      <c r="FB51" s="587" t="n"/>
      <c r="FC51" s="587" t="n"/>
      <c r="FD51" s="587" t="n"/>
      <c r="FE51" s="587" t="n"/>
      <c r="FF51" s="587" t="n"/>
      <c r="FG51" s="587" t="n"/>
      <c r="FH51" s="587" t="n"/>
      <c r="FI51" s="587" t="n"/>
      <c r="FJ51" s="587" t="n"/>
      <c r="FK51" s="587" t="n"/>
      <c r="FL51" s="587" t="n"/>
      <c r="FM51" s="587" t="n"/>
      <c r="FN51" s="587" t="n"/>
      <c r="FO51" s="587" t="n"/>
      <c r="FP51" s="587" t="n"/>
      <c r="FQ51" s="587" t="n"/>
      <c r="FR51" s="587" t="n"/>
      <c r="FS51" s="587" t="n"/>
      <c r="FT51" s="587" t="n"/>
      <c r="FU51" s="587" t="n"/>
      <c r="FV51" s="587" t="n"/>
      <c r="FW51" s="587" t="n"/>
      <c r="FX51" s="587" t="n"/>
      <c r="FY51" s="587" t="n"/>
      <c r="FZ51" s="587" t="n"/>
      <c r="GA51" s="587" t="n"/>
    </row>
    <row r="52" customFormat="1" s="568">
      <c r="A52" s="86" t="n"/>
      <c r="B52" s="85" t="n"/>
      <c r="C52" s="84">
        <f>E52*D$5</f>
        <v/>
      </c>
      <c r="D52" s="52" t="inlineStr">
        <is>
          <t>Hans W. Jensen</t>
        </is>
      </c>
      <c r="E52" s="84">
        <f>SUM(G52:HT52)</f>
        <v/>
      </c>
      <c r="F52" s="568">
        <f>IFERROR(IF($E52&gt;0.0000005,$E52/SUMIF($E$11:$E$140,"&gt;0.0000005"),""),"")</f>
        <v/>
      </c>
      <c r="H52" s="579" t="n"/>
      <c r="I52" s="579" t="n"/>
      <c r="J52" s="579" t="n"/>
      <c r="K52" s="579" t="n"/>
      <c r="L52" s="579" t="n"/>
      <c r="M52" s="579" t="n"/>
      <c r="N52" s="579" t="n"/>
      <c r="O52" s="579" t="n"/>
      <c r="P52" s="579" t="n"/>
      <c r="Q52" s="574" t="n"/>
      <c r="R52" s="579" t="n"/>
      <c r="S52" s="579" t="n"/>
      <c r="T52" s="579" t="n"/>
      <c r="U52" s="579" t="n"/>
      <c r="V52" s="579" t="n"/>
      <c r="W52" s="579" t="n"/>
      <c r="Y52" s="579" t="n"/>
      <c r="Z52" s="574" t="n"/>
      <c r="AA52" s="574" t="n"/>
      <c r="AB52" s="574" t="n"/>
      <c r="AC52" s="574" t="n"/>
      <c r="AD52" s="574" t="n"/>
      <c r="AE52" s="574" t="n"/>
      <c r="AF52" s="574" t="n"/>
      <c r="AG52" s="579" t="n"/>
      <c r="AH52" s="574" t="n"/>
      <c r="AI52" s="579" t="n"/>
      <c r="AJ52" s="572" t="n"/>
      <c r="AL52" s="579" t="n"/>
      <c r="AM52" s="579" t="n"/>
      <c r="AN52" s="579" t="n"/>
      <c r="AO52" s="579" t="n"/>
      <c r="AP52" s="579" t="n"/>
      <c r="AQ52" s="579" t="n"/>
      <c r="AR52" s="579" t="n"/>
      <c r="AS52" s="579" t="n"/>
      <c r="AT52" s="579" t="n"/>
      <c r="BM52" s="568" t="n">
        <v>0.0125</v>
      </c>
      <c r="BZ52" s="568" t="n">
        <v>0.0125</v>
      </c>
      <c r="CM52" s="587" t="n"/>
      <c r="CN52" s="587" t="n"/>
      <c r="CO52" s="587" t="n"/>
      <c r="CP52" s="587" t="n"/>
      <c r="CQ52" s="587" t="n"/>
      <c r="CR52" s="587" t="n"/>
      <c r="CS52" s="587" t="n"/>
      <c r="CT52" s="587" t="n"/>
      <c r="CU52" s="587" t="n"/>
      <c r="CV52" s="587" t="n"/>
      <c r="CW52" s="587" t="n"/>
      <c r="CX52" s="587" t="n"/>
      <c r="CY52" s="587" t="n"/>
      <c r="CZ52" s="587" t="n"/>
      <c r="DA52" s="587" t="n"/>
      <c r="DB52" s="587" t="n"/>
      <c r="DC52" s="587" t="n"/>
      <c r="DD52" s="587" t="n"/>
      <c r="DE52" s="587" t="n"/>
      <c r="DF52" s="587" t="n"/>
      <c r="DG52" s="587" t="n"/>
      <c r="DH52" s="587" t="n"/>
      <c r="DI52" s="587" t="n"/>
      <c r="DJ52" s="587" t="n"/>
      <c r="DK52" s="587" t="n"/>
      <c r="DL52" s="587" t="n"/>
      <c r="DM52" s="587" t="n"/>
      <c r="DN52" s="587" t="n"/>
      <c r="DO52" s="587" t="n"/>
      <c r="DP52" s="587" t="n"/>
      <c r="DQ52" s="587" t="n"/>
      <c r="DR52" s="587" t="n"/>
      <c r="DS52" s="587" t="n"/>
      <c r="DT52" s="587" t="n"/>
      <c r="DU52" s="587" t="n"/>
      <c r="DV52" s="587" t="n"/>
      <c r="DW52" s="587" t="n"/>
      <c r="DX52" s="587" t="n"/>
      <c r="DY52" s="587" t="n"/>
      <c r="DZ52" s="587" t="n"/>
      <c r="EA52" s="587" t="n"/>
      <c r="EB52" s="587" t="n"/>
      <c r="EC52" s="587" t="n"/>
      <c r="ED52" s="587" t="n"/>
      <c r="EE52" s="587" t="n"/>
      <c r="EF52" s="587" t="n"/>
      <c r="EG52" s="587" t="n"/>
      <c r="EH52" s="587" t="n"/>
      <c r="EI52" s="587" t="n"/>
      <c r="EJ52" s="587" t="n"/>
      <c r="EK52" s="587" t="n"/>
      <c r="EL52" s="587" t="n"/>
      <c r="EM52" s="587" t="n"/>
      <c r="EN52" s="587" t="n"/>
      <c r="EO52" s="587" t="n"/>
      <c r="EP52" s="587" t="n"/>
      <c r="EQ52" s="587" t="n"/>
      <c r="ER52" s="587" t="n"/>
      <c r="ES52" s="587" t="n"/>
      <c r="ET52" s="587" t="n"/>
      <c r="EU52" s="587" t="n"/>
      <c r="EV52" s="587" t="n"/>
      <c r="EW52" s="587" t="n"/>
      <c r="EX52" s="587" t="n"/>
      <c r="EY52" s="587" t="n"/>
      <c r="EZ52" s="587" t="n"/>
      <c r="FA52" s="587" t="n"/>
      <c r="FB52" s="587" t="n"/>
      <c r="FC52" s="587" t="n"/>
      <c r="FD52" s="587" t="n"/>
      <c r="FE52" s="587" t="n"/>
      <c r="FF52" s="587" t="n"/>
      <c r="FG52" s="587" t="n"/>
      <c r="FH52" s="587" t="n"/>
      <c r="FI52" s="587" t="n"/>
      <c r="FJ52" s="587" t="n"/>
      <c r="FK52" s="587" t="n"/>
      <c r="FL52" s="587" t="n"/>
      <c r="FM52" s="587" t="n"/>
      <c r="FN52" s="587" t="n"/>
      <c r="FO52" s="587" t="n"/>
      <c r="FP52" s="587" t="n"/>
      <c r="FQ52" s="587" t="n"/>
      <c r="FR52" s="587" t="n"/>
      <c r="FS52" s="587" t="n"/>
      <c r="FT52" s="587" t="n"/>
      <c r="FU52" s="587" t="n"/>
      <c r="FV52" s="587" t="n"/>
      <c r="FW52" s="587" t="n"/>
      <c r="FX52" s="587" t="n"/>
      <c r="FY52" s="587" t="n"/>
      <c r="FZ52" s="587" t="n"/>
      <c r="GA52" s="587" t="n"/>
    </row>
    <row r="53" customFormat="1" s="568">
      <c r="A53" s="86" t="n"/>
      <c r="B53" s="85" t="n"/>
      <c r="C53" s="84">
        <f>E53*D$5</f>
        <v/>
      </c>
      <c r="D53" s="52" t="inlineStr">
        <is>
          <t>Tim E. Jensen</t>
        </is>
      </c>
      <c r="E53" s="84">
        <f>SUM(G53:HT53)</f>
        <v/>
      </c>
      <c r="F53" s="568">
        <f>IFERROR(IF($E53&gt;0.0000005,$E53/SUMIF($E$11:$E$140,"&gt;0.0000005"),""),"")</f>
        <v/>
      </c>
      <c r="H53" s="579" t="n"/>
      <c r="I53" s="579" t="n"/>
      <c r="J53" s="579" t="n"/>
      <c r="K53" s="579" t="n"/>
      <c r="L53" s="579" t="n"/>
      <c r="M53" s="579" t="n"/>
      <c r="N53" s="579" t="n"/>
      <c r="O53" s="579" t="n"/>
      <c r="P53" s="579" t="n"/>
      <c r="Q53" s="574" t="n"/>
      <c r="R53" s="579" t="n"/>
      <c r="S53" s="579" t="n"/>
      <c r="T53" s="579" t="n"/>
      <c r="U53" s="579" t="n"/>
      <c r="V53" s="579" t="n"/>
      <c r="W53" s="579" t="n"/>
      <c r="X53" s="579" t="n"/>
      <c r="Y53" s="579" t="n"/>
      <c r="Z53" s="574" t="n"/>
      <c r="AA53" s="574" t="n"/>
      <c r="AB53" s="574" t="n"/>
      <c r="AC53" s="574" t="n"/>
      <c r="AD53" s="574" t="n"/>
      <c r="AE53" s="574" t="n"/>
      <c r="AF53" s="574" t="n"/>
      <c r="AG53" s="579" t="n"/>
      <c r="AH53" s="574" t="n"/>
      <c r="AI53" s="579" t="n"/>
      <c r="AJ53" s="572" t="n"/>
      <c r="AK53" s="579" t="n"/>
      <c r="AL53" s="579" t="n"/>
      <c r="AM53" s="579" t="n"/>
      <c r="AN53" s="579" t="n"/>
      <c r="AO53" s="579" t="n"/>
      <c r="AP53" s="579" t="n"/>
      <c r="AQ53" s="579" t="n"/>
      <c r="AR53" s="579" t="n"/>
      <c r="AS53" s="579" t="n"/>
      <c r="AT53" s="579" t="n"/>
      <c r="BN53" s="568" t="n">
        <v>0.0125</v>
      </c>
      <c r="CM53" s="587" t="n"/>
      <c r="CN53" s="587" t="n"/>
      <c r="CO53" s="587" t="n"/>
      <c r="CP53" s="587" t="n"/>
      <c r="CQ53" s="587" t="n"/>
      <c r="CR53" s="587" t="n"/>
      <c r="CS53" s="587" t="n"/>
      <c r="CT53" s="587" t="n"/>
      <c r="CU53" s="587" t="n"/>
      <c r="CV53" s="587" t="n"/>
      <c r="CW53" s="587" t="n"/>
      <c r="CX53" s="587" t="n"/>
      <c r="CY53" s="587" t="n"/>
      <c r="CZ53" s="587" t="n"/>
      <c r="DA53" s="587" t="n"/>
      <c r="DB53" s="587" t="n"/>
      <c r="DC53" s="587" t="n"/>
      <c r="DD53" s="587" t="n"/>
      <c r="DE53" s="587" t="n"/>
      <c r="DF53" s="587" t="n"/>
      <c r="DG53" s="587" t="n"/>
      <c r="DH53" s="587" t="n"/>
      <c r="DI53" s="587" t="n"/>
      <c r="DJ53" s="587" t="n"/>
      <c r="DK53" s="587" t="n"/>
      <c r="DL53" s="587" t="n"/>
      <c r="DM53" s="587" t="n"/>
      <c r="DN53" s="587" t="n"/>
      <c r="DO53" s="587" t="n"/>
      <c r="DP53" s="587" t="n"/>
      <c r="DQ53" s="587" t="n"/>
      <c r="DR53" s="587" t="n"/>
      <c r="DS53" s="587" t="n"/>
      <c r="DT53" s="587" t="n"/>
      <c r="DU53" s="587" t="n"/>
      <c r="DV53" s="587" t="n"/>
      <c r="DW53" s="587" t="n"/>
      <c r="DX53" s="587" t="n"/>
      <c r="DY53" s="587" t="n"/>
      <c r="DZ53" s="587" t="n"/>
      <c r="EA53" s="587" t="n"/>
      <c r="EB53" s="587" t="n"/>
      <c r="EC53" s="587" t="n"/>
      <c r="ED53" s="587" t="n"/>
      <c r="EE53" s="587" t="n"/>
      <c r="EF53" s="587" t="n"/>
      <c r="EG53" s="587" t="n"/>
      <c r="EH53" s="587" t="n"/>
      <c r="EI53" s="587" t="n"/>
      <c r="EJ53" s="587" t="n"/>
      <c r="EK53" s="587" t="n"/>
      <c r="EL53" s="587" t="n"/>
      <c r="EM53" s="587" t="n"/>
      <c r="EN53" s="587" t="n"/>
      <c r="EO53" s="587" t="n"/>
      <c r="EP53" s="587" t="n"/>
      <c r="EQ53" s="587" t="n"/>
      <c r="ER53" s="587" t="n"/>
      <c r="ES53" s="587" t="n"/>
      <c r="ET53" s="587" t="n"/>
      <c r="EU53" s="587" t="n"/>
      <c r="EV53" s="587" t="n"/>
      <c r="EW53" s="587" t="n"/>
      <c r="EX53" s="587" t="n"/>
      <c r="EY53" s="587" t="n"/>
      <c r="EZ53" s="587" t="n"/>
      <c r="FA53" s="587" t="n"/>
      <c r="FB53" s="587" t="n"/>
      <c r="FC53" s="587" t="n"/>
      <c r="FD53" s="587" t="n"/>
      <c r="FE53" s="587" t="n"/>
      <c r="FF53" s="587" t="n"/>
      <c r="FG53" s="587" t="n"/>
      <c r="FH53" s="587" t="n"/>
      <c r="FI53" s="587" t="n"/>
      <c r="FJ53" s="587" t="n"/>
      <c r="FK53" s="587" t="n"/>
      <c r="FL53" s="587" t="n"/>
      <c r="FM53" s="587" t="n"/>
      <c r="FN53" s="587" t="n"/>
      <c r="FO53" s="587" t="n"/>
      <c r="FP53" s="587" t="n"/>
      <c r="FQ53" s="587" t="n"/>
      <c r="FR53" s="587" t="n"/>
      <c r="FS53" s="587" t="n"/>
      <c r="FT53" s="587" t="n"/>
      <c r="FU53" s="587" t="n"/>
      <c r="FV53" s="587" t="n"/>
      <c r="FW53" s="587" t="n"/>
      <c r="FX53" s="587" t="n"/>
      <c r="FY53" s="587" t="n"/>
      <c r="FZ53" s="587" t="n"/>
      <c r="GA53" s="587" t="n"/>
    </row>
    <row r="54" customFormat="1" s="568">
      <c r="A54" s="86" t="n"/>
      <c r="B54" s="85" t="n"/>
      <c r="C54" s="137">
        <f>E54*D$5</f>
        <v/>
      </c>
      <c r="D54" s="52" t="inlineStr">
        <is>
          <t>W. C. Bain Jr., Trustee</t>
        </is>
      </c>
      <c r="E54" s="137">
        <f>SUM(G54:HT54)</f>
        <v/>
      </c>
      <c r="F54" s="568">
        <f>IFERROR(IF($E54&gt;0.0000005,$E54/SUMIF($E$11:$E$140,"&gt;0.0000005"),""),"")</f>
        <v/>
      </c>
      <c r="H54" s="579" t="n"/>
      <c r="I54" s="579" t="n"/>
      <c r="J54" s="579" t="n"/>
      <c r="K54" s="579" t="n"/>
      <c r="L54" s="579" t="n"/>
      <c r="M54" s="579" t="n"/>
      <c r="N54" s="579" t="n"/>
      <c r="O54" s="579" t="n"/>
      <c r="P54" s="579" t="n"/>
      <c r="Q54" s="574" t="n"/>
      <c r="R54" s="579" t="n"/>
      <c r="S54" s="579" t="n"/>
      <c r="T54" s="579" t="n"/>
      <c r="U54" s="579" t="n"/>
      <c r="V54" s="579" t="n">
        <v>0.1538461538461539</v>
      </c>
      <c r="W54" s="579" t="n"/>
      <c r="X54" s="579" t="n"/>
      <c r="Y54" s="579" t="n"/>
      <c r="Z54" s="574" t="n"/>
      <c r="AA54" s="574" t="n"/>
      <c r="AB54" s="574" t="n"/>
      <c r="AC54" s="574" t="n"/>
      <c r="AD54" s="574" t="n"/>
      <c r="AE54" s="574" t="n"/>
      <c r="AF54" s="574" t="n"/>
      <c r="AG54" s="579" t="n"/>
      <c r="AH54" s="574" t="n"/>
      <c r="AI54" s="579" t="n"/>
      <c r="AJ54" s="572" t="n"/>
      <c r="AK54" s="579" t="n"/>
      <c r="AL54" s="579" t="n"/>
      <c r="AM54" s="579" t="n"/>
      <c r="AN54" s="579" t="n"/>
      <c r="AO54" s="579" t="n"/>
      <c r="AP54" s="579" t="n"/>
      <c r="AQ54" s="579" t="n"/>
      <c r="AR54" s="579" t="n"/>
      <c r="AS54" s="579" t="n"/>
      <c r="AT54" s="579" t="n"/>
      <c r="BO54" s="568" t="n">
        <v>-0.004211568347505275</v>
      </c>
      <c r="BP54" s="568" t="n">
        <v>-0.004211568347505275</v>
      </c>
      <c r="BQ54" s="568" t="n">
        <v>-0.004211568347505275</v>
      </c>
      <c r="BR54" s="568" t="n">
        <v>-0.004211568347505275</v>
      </c>
      <c r="BS54" s="568" t="n">
        <v>-0.004211568347505275</v>
      </c>
      <c r="BT54" s="568" t="n">
        <v>-0.004211568347505275</v>
      </c>
      <c r="BU54" s="568" t="n">
        <v>-0.004211568347505275</v>
      </c>
      <c r="BV54" s="568" t="n">
        <v>-0.004211568347505275</v>
      </c>
      <c r="BW54" s="568" t="n">
        <v>-0.004211568347505275</v>
      </c>
      <c r="CM54" s="587" t="n"/>
      <c r="CN54" s="587" t="n"/>
      <c r="CO54" s="587" t="n"/>
      <c r="CP54" s="587" t="n"/>
      <c r="CQ54" s="587" t="n"/>
      <c r="CR54" s="587" t="n"/>
      <c r="CS54" s="587" t="n"/>
      <c r="CT54" s="587" t="n"/>
      <c r="CU54" s="587" t="n"/>
      <c r="CV54" s="587" t="n"/>
      <c r="CW54" s="587" t="n"/>
      <c r="CX54" s="587" t="n"/>
      <c r="CY54" s="587" t="n"/>
      <c r="CZ54" s="587" t="n"/>
      <c r="DA54" s="587" t="n"/>
      <c r="DB54" s="587" t="n"/>
      <c r="DC54" s="587" t="n"/>
      <c r="DD54" s="587" t="n"/>
      <c r="DE54" s="587" t="n"/>
      <c r="DF54" s="587" t="n"/>
      <c r="DG54" s="587" t="n"/>
      <c r="DH54" s="587" t="n"/>
      <c r="DI54" s="587" t="n"/>
      <c r="DJ54" s="587" t="n"/>
      <c r="DK54" s="587" t="n"/>
      <c r="DL54" s="587" t="n"/>
      <c r="DM54" s="587" t="n"/>
      <c r="DN54" s="587" t="n"/>
      <c r="DO54" s="587" t="n"/>
      <c r="DP54" s="587" t="n"/>
      <c r="DQ54" s="587" t="n"/>
      <c r="DR54" s="587" t="n"/>
      <c r="DS54" s="587" t="n"/>
      <c r="DT54" s="587" t="n"/>
      <c r="DU54" s="587" t="n"/>
      <c r="DV54" s="587" t="n"/>
      <c r="DW54" s="587" t="n"/>
      <c r="DX54" s="587" t="n"/>
      <c r="DY54" s="587" t="n"/>
      <c r="DZ54" s="587" t="n"/>
      <c r="EA54" s="587" t="n"/>
      <c r="EB54" s="587" t="n"/>
      <c r="EC54" s="587" t="n"/>
      <c r="ED54" s="587" t="n"/>
      <c r="EE54" s="587" t="n"/>
      <c r="EF54" s="587" t="n"/>
      <c r="EG54" s="587" t="n"/>
      <c r="EH54" s="587" t="n"/>
      <c r="EI54" s="587" t="n"/>
      <c r="EJ54" s="587" t="n"/>
      <c r="EK54" s="587" t="n"/>
      <c r="EL54" s="587" t="n"/>
      <c r="EM54" s="587" t="n"/>
      <c r="EN54" s="587" t="n"/>
      <c r="EO54" s="587" t="n"/>
      <c r="EP54" s="587" t="n"/>
      <c r="EQ54" s="587" t="n"/>
      <c r="ER54" s="587" t="n"/>
      <c r="ES54" s="587" t="n"/>
      <c r="ET54" s="587" t="n"/>
      <c r="EU54" s="587" t="n"/>
      <c r="EV54" s="587" t="n"/>
      <c r="EW54" s="587" t="n"/>
      <c r="EX54" s="587" t="n"/>
      <c r="EY54" s="587" t="n"/>
      <c r="EZ54" s="587" t="n"/>
      <c r="FA54" s="587" t="n"/>
      <c r="FB54" s="587" t="n"/>
      <c r="FC54" s="587" t="n"/>
      <c r="FD54" s="587" t="n"/>
      <c r="FE54" s="587" t="n"/>
      <c r="FF54" s="587" t="n"/>
      <c r="FG54" s="587" t="n"/>
      <c r="FH54" s="587" t="n"/>
      <c r="FI54" s="587" t="n"/>
      <c r="FJ54" s="587" t="n"/>
      <c r="FK54" s="587" t="n"/>
      <c r="FL54" s="587" t="n"/>
      <c r="FM54" s="587" t="n"/>
      <c r="FN54" s="587" t="n"/>
      <c r="FO54" s="587" t="n"/>
      <c r="FP54" s="587" t="n"/>
      <c r="FQ54" s="587" t="n"/>
      <c r="FR54" s="587" t="n"/>
      <c r="FS54" s="587" t="n"/>
      <c r="FT54" s="587" t="n"/>
      <c r="FU54" s="587" t="n"/>
      <c r="FV54" s="587" t="n"/>
      <c r="FW54" s="587" t="n"/>
      <c r="FX54" s="587" t="n"/>
      <c r="FY54" s="587" t="n"/>
      <c r="FZ54" s="587" t="n"/>
      <c r="GA54" s="587" t="n"/>
    </row>
    <row r="55" customFormat="1" s="568">
      <c r="A55" s="86" t="n"/>
      <c r="B55" s="85" t="n"/>
      <c r="C55" s="137">
        <f>E55*D$5</f>
        <v/>
      </c>
      <c r="D55" s="52" t="inlineStr">
        <is>
          <t>The Estate of Evan K. Fuchs, Deceased</t>
        </is>
      </c>
      <c r="E55" s="137">
        <f>SUM(G55:HT55)</f>
        <v/>
      </c>
      <c r="F55" s="568">
        <f>IFERROR(IF($E55&gt;0.0000005,$E55/SUMIF($E$11:$E$140,"&gt;0.0000005"),""),"")</f>
        <v/>
      </c>
      <c r="H55" s="579" t="n"/>
      <c r="I55" s="579" t="n"/>
      <c r="J55" s="579" t="n"/>
      <c r="K55" s="579" t="n"/>
      <c r="L55" s="579" t="n"/>
      <c r="M55" s="579" t="n"/>
      <c r="N55" s="579" t="n"/>
      <c r="O55" s="579" t="n"/>
      <c r="P55" s="579" t="n"/>
      <c r="Q55" s="574" t="n"/>
      <c r="R55" s="579" t="n"/>
      <c r="S55" s="579" t="n"/>
      <c r="T55" s="579" t="n"/>
      <c r="U55" s="579" t="n"/>
      <c r="V55" s="579" t="n"/>
      <c r="W55" s="579" t="n"/>
      <c r="X55" s="579" t="n"/>
      <c r="Y55" s="579" t="n"/>
      <c r="Z55" s="574" t="n"/>
      <c r="AA55" s="574" t="n"/>
      <c r="AB55" s="574" t="n"/>
      <c r="AC55" s="574" t="n"/>
      <c r="AD55" s="574" t="n"/>
      <c r="AE55" s="574" t="n"/>
      <c r="AF55" s="574" t="n"/>
      <c r="AG55" s="579" t="n"/>
      <c r="AH55" s="574" t="n"/>
      <c r="AI55" s="579" t="n"/>
      <c r="AJ55" s="573" t="n"/>
      <c r="AK55" s="579" t="n"/>
      <c r="AL55" s="579" t="n"/>
      <c r="AM55" s="579" t="n"/>
      <c r="AN55" s="579" t="n"/>
      <c r="AO55" s="579" t="n"/>
      <c r="AP55" s="579" t="n"/>
      <c r="AQ55" s="579" t="n"/>
      <c r="AR55" s="579" t="n"/>
      <c r="AS55" s="579" t="n"/>
      <c r="AT55" s="579" t="n"/>
      <c r="BX55" s="568" t="n">
        <v>0</v>
      </c>
      <c r="CM55" s="587" t="n"/>
      <c r="CN55" s="587" t="n"/>
      <c r="CO55" s="587" t="n"/>
      <c r="CP55" s="587" t="n"/>
      <c r="CQ55" s="587" t="n"/>
      <c r="CR55" s="587" t="n"/>
      <c r="CS55" s="587" t="n"/>
      <c r="CT55" s="587" t="n"/>
      <c r="CU55" s="587" t="n"/>
      <c r="CV55" s="587" t="n"/>
      <c r="CW55" s="587" t="n"/>
      <c r="CX55" s="587" t="n"/>
      <c r="CY55" s="587" t="n"/>
      <c r="CZ55" s="587" t="n"/>
      <c r="DA55" s="587" t="n"/>
      <c r="DB55" s="587" t="n"/>
      <c r="DC55" s="587" t="n"/>
      <c r="DD55" s="587" t="n"/>
      <c r="DE55" s="587" t="n"/>
      <c r="DF55" s="587" t="n"/>
      <c r="DG55" s="587" t="n"/>
      <c r="DH55" s="587" t="n"/>
      <c r="DI55" s="587" t="n"/>
      <c r="DJ55" s="587" t="n"/>
      <c r="DK55" s="587" t="n"/>
      <c r="DL55" s="587" t="n"/>
      <c r="DM55" s="587" t="n"/>
      <c r="DN55" s="587" t="n"/>
      <c r="DO55" s="587" t="n"/>
      <c r="DP55" s="587" t="n"/>
      <c r="DQ55" s="587" t="n"/>
      <c r="DR55" s="587" t="n"/>
      <c r="DS55" s="587" t="n"/>
      <c r="DT55" s="587" t="n"/>
      <c r="DU55" s="587" t="n"/>
      <c r="DV55" s="587" t="n"/>
      <c r="DW55" s="587" t="n"/>
      <c r="DX55" s="587" t="n"/>
      <c r="DY55" s="587" t="n"/>
      <c r="DZ55" s="587" t="n"/>
      <c r="EA55" s="587" t="n"/>
      <c r="EB55" s="587" t="n"/>
      <c r="EC55" s="587" t="n"/>
      <c r="ED55" s="587" t="n"/>
      <c r="EE55" s="587" t="n"/>
      <c r="EF55" s="587" t="n"/>
      <c r="EG55" s="587" t="n"/>
      <c r="EH55" s="587" t="n"/>
      <c r="EI55" s="587" t="n"/>
      <c r="EJ55" s="587" t="n"/>
      <c r="EK55" s="587" t="n"/>
      <c r="EL55" s="587" t="n"/>
      <c r="EM55" s="587" t="n"/>
      <c r="EN55" s="587" t="n"/>
      <c r="EO55" s="587" t="n"/>
      <c r="EP55" s="587" t="n"/>
      <c r="EQ55" s="587" t="n"/>
      <c r="ER55" s="587" t="n"/>
      <c r="ES55" s="587" t="n"/>
      <c r="ET55" s="587" t="n"/>
      <c r="EU55" s="587" t="n"/>
      <c r="EV55" s="587" t="n"/>
      <c r="EW55" s="587" t="n"/>
      <c r="EX55" s="587" t="n"/>
      <c r="EY55" s="587" t="n"/>
      <c r="EZ55" s="587" t="n"/>
      <c r="FA55" s="587" t="n"/>
      <c r="FB55" s="587" t="n"/>
      <c r="FC55" s="587" t="n"/>
      <c r="FD55" s="587" t="n"/>
      <c r="FE55" s="587" t="n"/>
      <c r="FF55" s="587" t="n"/>
      <c r="FG55" s="587" t="n"/>
      <c r="FH55" s="587" t="n"/>
      <c r="FI55" s="587" t="n"/>
      <c r="FJ55" s="587" t="n"/>
      <c r="FK55" s="587" t="n"/>
      <c r="FL55" s="587" t="n"/>
      <c r="FM55" s="587" t="n"/>
      <c r="FN55" s="587" t="n"/>
      <c r="FO55" s="587" t="n"/>
      <c r="FP55" s="587" t="n"/>
      <c r="FQ55" s="587" t="n"/>
      <c r="FR55" s="587" t="n"/>
      <c r="FS55" s="587" t="n"/>
      <c r="FT55" s="587" t="n"/>
      <c r="FU55" s="587" t="n"/>
      <c r="FV55" s="587" t="n"/>
      <c r="FW55" s="587" t="n"/>
      <c r="FX55" s="587" t="n"/>
      <c r="FY55" s="587" t="n"/>
      <c r="FZ55" s="587" t="n"/>
      <c r="GA55" s="587" t="n"/>
    </row>
    <row r="56" ht="12.95" customFormat="1" customHeight="1" s="568">
      <c r="A56" s="86" t="n"/>
      <c r="B56" s="85" t="n"/>
      <c r="C56" s="84">
        <f>E56*D$5</f>
        <v/>
      </c>
      <c r="D56" s="52" t="inlineStr">
        <is>
          <t>Clayton D. Fuchs</t>
        </is>
      </c>
      <c r="E56" s="84">
        <f>SUM(G56:HT56)</f>
        <v/>
      </c>
      <c r="F56" s="568">
        <f>IFERROR(IF($E56&gt;0.0000005,$E56/SUMIF($E$11:$E$140,"&gt;0.0000005"),""),"")</f>
        <v/>
      </c>
      <c r="H56" s="579" t="n"/>
      <c r="I56" s="579" t="n"/>
      <c r="J56" s="579" t="n"/>
      <c r="K56" s="579" t="n"/>
      <c r="L56" s="579" t="n"/>
      <c r="M56" s="579" t="n"/>
      <c r="N56" s="579" t="n"/>
      <c r="O56" s="579" t="n"/>
      <c r="P56" s="579" t="n"/>
      <c r="Q56" s="574" t="n"/>
      <c r="R56" s="579" t="n"/>
      <c r="S56" s="579" t="n"/>
      <c r="T56" s="579" t="n"/>
      <c r="U56" s="579" t="n"/>
      <c r="V56" s="579" t="n"/>
      <c r="W56" s="579" t="n"/>
      <c r="X56" s="579" t="n"/>
      <c r="Y56" s="579" t="n"/>
      <c r="Z56" s="574" t="n"/>
      <c r="AA56" s="574" t="n"/>
      <c r="AB56" s="574" t="n"/>
      <c r="AC56" s="574" t="n"/>
      <c r="AD56" s="574" t="n"/>
      <c r="AE56" s="574" t="n"/>
      <c r="AF56" s="574" t="n"/>
      <c r="AG56" s="579" t="n"/>
      <c r="AH56" s="574" t="n"/>
      <c r="AI56" s="579" t="n"/>
      <c r="AJ56" s="572" t="n"/>
      <c r="AK56" s="579" t="n"/>
      <c r="AL56" s="579" t="n"/>
      <c r="AM56" s="579" t="n"/>
      <c r="AN56" s="579" t="n"/>
      <c r="AO56" s="579" t="n"/>
      <c r="AP56" s="579" t="n"/>
      <c r="AQ56" s="579" t="n"/>
      <c r="AR56" s="579" t="n"/>
      <c r="AS56" s="579" t="n"/>
      <c r="AT56" s="579" t="n"/>
      <c r="BX56" s="568" t="n">
        <v>0</v>
      </c>
      <c r="CM56" s="587" t="n"/>
      <c r="CN56" s="587" t="n"/>
      <c r="CO56" s="587" t="n"/>
      <c r="CP56" s="587" t="n"/>
      <c r="CQ56" s="587" t="n"/>
      <c r="CR56" s="587" t="n"/>
      <c r="CS56" s="587" t="n"/>
      <c r="CT56" s="587" t="n"/>
      <c r="CU56" s="587" t="n"/>
      <c r="CV56" s="587" t="n"/>
      <c r="CW56" s="587" t="n"/>
      <c r="CX56" s="587" t="n"/>
      <c r="CY56" s="587" t="n"/>
      <c r="CZ56" s="587" t="n"/>
      <c r="DA56" s="587" t="n"/>
      <c r="DB56" s="587" t="n"/>
      <c r="DC56" s="587" t="n"/>
      <c r="DD56" s="587" t="n"/>
      <c r="DE56" s="587" t="n"/>
      <c r="DF56" s="587" t="n"/>
      <c r="DG56" s="587" t="n"/>
      <c r="DH56" s="587" t="n"/>
      <c r="DI56" s="587" t="n"/>
      <c r="DJ56" s="587" t="n"/>
      <c r="DK56" s="587" t="n"/>
      <c r="DL56" s="587" t="n"/>
      <c r="DM56" s="587" t="n"/>
      <c r="DN56" s="587" t="n"/>
      <c r="DO56" s="587" t="n"/>
      <c r="DP56" s="587" t="n"/>
      <c r="DQ56" s="587" t="n"/>
      <c r="DR56" s="587" t="n"/>
      <c r="DS56" s="587" t="n"/>
      <c r="DT56" s="587" t="n"/>
      <c r="DU56" s="587" t="n"/>
      <c r="DV56" s="587" t="n"/>
      <c r="DW56" s="587" t="n"/>
      <c r="DX56" s="587" t="n"/>
      <c r="DY56" s="587" t="n"/>
      <c r="DZ56" s="587" t="n"/>
      <c r="EA56" s="587" t="n"/>
      <c r="EB56" s="587" t="n"/>
      <c r="EC56" s="587" t="n"/>
      <c r="ED56" s="587" t="n"/>
      <c r="EE56" s="587" t="n"/>
      <c r="EF56" s="587" t="n"/>
      <c r="EG56" s="587" t="n"/>
      <c r="EH56" s="587" t="n"/>
      <c r="EI56" s="587" t="n"/>
      <c r="EJ56" s="587" t="n"/>
      <c r="EK56" s="587" t="n"/>
      <c r="EL56" s="587" t="n"/>
      <c r="EM56" s="587" t="n"/>
      <c r="EN56" s="587" t="n"/>
      <c r="EO56" s="587" t="n"/>
      <c r="EP56" s="587" t="n"/>
      <c r="EQ56" s="587" t="n"/>
      <c r="ER56" s="587" t="n"/>
      <c r="ES56" s="587" t="n"/>
      <c r="ET56" s="587" t="n"/>
      <c r="EU56" s="587" t="n"/>
      <c r="EV56" s="587" t="n"/>
      <c r="EW56" s="587" t="n"/>
      <c r="EX56" s="587" t="n"/>
      <c r="EY56" s="587" t="n"/>
      <c r="EZ56" s="587" t="n"/>
      <c r="FA56" s="587" t="n"/>
      <c r="FB56" s="587" t="n"/>
      <c r="FC56" s="587" t="n"/>
      <c r="FD56" s="587" t="n"/>
      <c r="FE56" s="587" t="n"/>
      <c r="FF56" s="587" t="n"/>
      <c r="FG56" s="587" t="n"/>
      <c r="FH56" s="587" t="n"/>
      <c r="FI56" s="587" t="n"/>
      <c r="FJ56" s="587" t="n"/>
      <c r="FK56" s="587" t="n"/>
      <c r="FL56" s="587" t="n"/>
      <c r="FM56" s="587" t="n"/>
      <c r="FN56" s="587" t="n"/>
      <c r="FO56" s="587" t="n"/>
      <c r="FP56" s="587" t="n"/>
      <c r="FQ56" s="587" t="n"/>
      <c r="FR56" s="587" t="n"/>
      <c r="FS56" s="587" t="n"/>
      <c r="FT56" s="587" t="n"/>
      <c r="FU56" s="587" t="n"/>
      <c r="FV56" s="587" t="n"/>
      <c r="FW56" s="587" t="n"/>
      <c r="FX56" s="587" t="n"/>
      <c r="FY56" s="587" t="n"/>
      <c r="FZ56" s="587" t="n"/>
      <c r="GA56" s="587" t="n"/>
    </row>
    <row r="57" ht="14.1" customFormat="1" customHeight="1" s="568">
      <c r="A57" s="86" t="n"/>
      <c r="B57" s="85" t="n"/>
      <c r="C57" s="84">
        <f>E57*D$5</f>
        <v/>
      </c>
      <c r="D57" s="52" t="inlineStr">
        <is>
          <t>Westal W. Fuchs</t>
        </is>
      </c>
      <c r="E57" s="84">
        <f>SUM(G57:HT57)</f>
        <v/>
      </c>
      <c r="F57" s="568">
        <f>IFERROR(IF($E57&gt;0.0000005,$E57/SUMIF($E$11:$E$140,"&gt;0.0000005"),""),"")</f>
        <v/>
      </c>
      <c r="H57" s="579" t="n"/>
      <c r="I57" s="579" t="n"/>
      <c r="J57" s="579" t="n"/>
      <c r="K57" s="579" t="n"/>
      <c r="L57" s="579" t="n"/>
      <c r="M57" s="579" t="n"/>
      <c r="N57" s="579" t="n"/>
      <c r="O57" s="579" t="n"/>
      <c r="P57" s="579" t="n"/>
      <c r="Q57" s="574" t="n"/>
      <c r="R57" s="579" t="n"/>
      <c r="S57" s="579" t="n"/>
      <c r="T57" s="579" t="n"/>
      <c r="U57" s="579" t="n"/>
      <c r="V57" s="579" t="n"/>
      <c r="W57" s="579" t="n"/>
      <c r="X57" s="579" t="n"/>
      <c r="Y57" s="579" t="n"/>
      <c r="Z57" s="574" t="n"/>
      <c r="AA57" s="574" t="n"/>
      <c r="AB57" s="574" t="n"/>
      <c r="AC57" s="574" t="n"/>
      <c r="AD57" s="574" t="n"/>
      <c r="AE57" s="574" t="n"/>
      <c r="AF57" s="574" t="n"/>
      <c r="AG57" s="579" t="n"/>
      <c r="AH57" s="574" t="n"/>
      <c r="AI57" s="579" t="n"/>
      <c r="AJ57" s="572" t="n"/>
      <c r="AK57" s="579" t="n"/>
      <c r="AL57" s="579" t="n"/>
      <c r="AM57" s="579" t="n"/>
      <c r="AN57" s="579" t="n"/>
      <c r="AO57" s="579" t="n"/>
      <c r="AP57" s="579" t="n"/>
      <c r="AQ57" s="579" t="n"/>
      <c r="AR57" s="579" t="n"/>
      <c r="AS57" s="579" t="n"/>
      <c r="AT57" s="579" t="n"/>
      <c r="BX57" s="568" t="n">
        <v>0</v>
      </c>
      <c r="CM57" s="587" t="n"/>
      <c r="CN57" s="587" t="n"/>
      <c r="CO57" s="587" t="n"/>
      <c r="CP57" s="587" t="n"/>
      <c r="CQ57" s="587" t="n"/>
      <c r="CR57" s="587" t="n"/>
      <c r="CS57" s="587" t="n"/>
      <c r="CT57" s="587" t="n"/>
      <c r="CU57" s="587" t="n"/>
      <c r="CV57" s="587" t="n"/>
      <c r="CW57" s="587" t="n"/>
      <c r="CX57" s="587" t="n"/>
      <c r="CY57" s="587" t="n"/>
      <c r="CZ57" s="587" t="n"/>
      <c r="DA57" s="587" t="n"/>
      <c r="DB57" s="587" t="n"/>
      <c r="DC57" s="587" t="n"/>
      <c r="DD57" s="587" t="n"/>
      <c r="DE57" s="587" t="n"/>
      <c r="DF57" s="587" t="n"/>
      <c r="DG57" s="587" t="n"/>
      <c r="DH57" s="587" t="n"/>
      <c r="DI57" s="587" t="n"/>
      <c r="DJ57" s="587" t="n"/>
      <c r="DK57" s="587" t="n"/>
      <c r="DL57" s="587" t="n"/>
      <c r="DM57" s="587" t="n"/>
      <c r="DN57" s="587" t="n"/>
      <c r="DO57" s="587" t="n"/>
      <c r="DP57" s="587" t="n"/>
      <c r="DQ57" s="587" t="n"/>
      <c r="DR57" s="587" t="n"/>
      <c r="DS57" s="587" t="n"/>
      <c r="DT57" s="587" t="n"/>
      <c r="DU57" s="587" t="n"/>
      <c r="DV57" s="587" t="n"/>
      <c r="DW57" s="587" t="n"/>
      <c r="DX57" s="587" t="n"/>
      <c r="DY57" s="587" t="n"/>
      <c r="DZ57" s="587" t="n"/>
      <c r="EA57" s="587" t="n"/>
      <c r="EB57" s="587" t="n"/>
      <c r="EC57" s="587" t="n"/>
      <c r="ED57" s="587" t="n"/>
      <c r="EE57" s="587" t="n"/>
      <c r="EF57" s="587" t="n"/>
      <c r="EG57" s="587" t="n"/>
      <c r="EH57" s="587" t="n"/>
      <c r="EI57" s="587" t="n"/>
      <c r="EJ57" s="587" t="n"/>
      <c r="EK57" s="587" t="n"/>
      <c r="EL57" s="587" t="n"/>
      <c r="EM57" s="587" t="n"/>
      <c r="EN57" s="587" t="n"/>
      <c r="EO57" s="587" t="n"/>
      <c r="EP57" s="587" t="n"/>
      <c r="EQ57" s="587" t="n"/>
      <c r="ER57" s="587" t="n"/>
      <c r="ES57" s="587" t="n"/>
      <c r="ET57" s="587" t="n"/>
      <c r="EU57" s="587" t="n"/>
      <c r="EV57" s="587" t="n"/>
      <c r="EW57" s="587" t="n"/>
      <c r="EX57" s="587" t="n"/>
      <c r="EY57" s="587" t="n"/>
      <c r="EZ57" s="587" t="n"/>
      <c r="FA57" s="587" t="n"/>
      <c r="FB57" s="587" t="n"/>
      <c r="FC57" s="587" t="n"/>
      <c r="FD57" s="587" t="n"/>
      <c r="FE57" s="587" t="n"/>
      <c r="FF57" s="587" t="n"/>
      <c r="FG57" s="587" t="n"/>
      <c r="FH57" s="587" t="n"/>
      <c r="FI57" s="587" t="n"/>
      <c r="FJ57" s="587" t="n"/>
      <c r="FK57" s="587" t="n"/>
      <c r="FL57" s="587" t="n"/>
      <c r="FM57" s="587" t="n"/>
      <c r="FN57" s="587" t="n"/>
      <c r="FO57" s="587" t="n"/>
      <c r="FP57" s="587" t="n"/>
      <c r="FQ57" s="587" t="n"/>
      <c r="FR57" s="587" t="n"/>
      <c r="FS57" s="587" t="n"/>
      <c r="FT57" s="587" t="n"/>
      <c r="FU57" s="587" t="n"/>
      <c r="FV57" s="587" t="n"/>
      <c r="FW57" s="587" t="n"/>
      <c r="FX57" s="587" t="n"/>
      <c r="FY57" s="587" t="n"/>
      <c r="FZ57" s="587" t="n"/>
      <c r="GA57" s="587" t="n"/>
    </row>
    <row r="58" ht="17.45" customFormat="1" customHeight="1" s="568">
      <c r="A58" s="86" t="n"/>
      <c r="B58" s="85" t="n"/>
      <c r="C58" s="84">
        <f>E58*D$5</f>
        <v/>
      </c>
      <c r="D58" s="577" t="inlineStr">
        <is>
          <t>Chloe Ellen Fuchs Davis,</t>
        </is>
      </c>
      <c r="E58" s="84">
        <f>SUM(G58:HT58)</f>
        <v/>
      </c>
      <c r="F58" s="568">
        <f>IFERROR(IF($E58&gt;0.0000005,$E58/SUMIF($E$11:$E$140,"&gt;0.0000005"),""),"")</f>
        <v/>
      </c>
      <c r="H58" s="579" t="n"/>
      <c r="I58" s="579" t="n"/>
      <c r="J58" s="579" t="n"/>
      <c r="K58" s="579" t="n"/>
      <c r="L58" s="579" t="n"/>
      <c r="M58" s="579" t="n"/>
      <c r="N58" s="579" t="n"/>
      <c r="O58" s="579" t="n"/>
      <c r="P58" s="579" t="n"/>
      <c r="Q58" s="574" t="n"/>
      <c r="R58" s="579" t="n"/>
      <c r="S58" s="579" t="n"/>
      <c r="T58" s="579" t="n"/>
      <c r="U58" s="579" t="n"/>
      <c r="V58" s="579" t="n"/>
      <c r="W58" s="579" t="n"/>
      <c r="X58" s="579" t="n"/>
      <c r="Y58" s="579" t="n"/>
      <c r="Z58" s="574" t="n"/>
      <c r="AA58" s="574" t="n"/>
      <c r="AB58" s="574" t="n"/>
      <c r="AC58" s="574" t="n"/>
      <c r="AD58" s="574" t="n"/>
      <c r="AE58" s="574" t="n"/>
      <c r="AF58" s="574" t="n"/>
      <c r="AG58" s="579" t="n"/>
      <c r="AH58" s="574" t="n"/>
      <c r="AI58" s="579" t="n"/>
      <c r="AJ58" s="572" t="n"/>
      <c r="AK58" s="579" t="n"/>
      <c r="AL58" s="579" t="n"/>
      <c r="AM58" s="579" t="n"/>
      <c r="AN58" s="579" t="n"/>
      <c r="AO58" s="579" t="n"/>
      <c r="AP58" s="579" t="n"/>
      <c r="AQ58" s="579" t="n"/>
      <c r="AR58" s="579" t="n"/>
      <c r="AS58" s="579" t="n"/>
      <c r="AT58" s="579" t="n"/>
      <c r="BX58" s="568" t="n">
        <v>0</v>
      </c>
      <c r="CM58" s="587" t="n"/>
      <c r="CN58" s="587" t="n"/>
      <c r="CO58" s="587" t="n"/>
      <c r="CP58" s="587" t="n"/>
      <c r="CQ58" s="587" t="n"/>
      <c r="CR58" s="587" t="n"/>
      <c r="CS58" s="587" t="n"/>
      <c r="CT58" s="587" t="n"/>
      <c r="CU58" s="587" t="n"/>
      <c r="CV58" s="587" t="n"/>
      <c r="CW58" s="587" t="n"/>
      <c r="CX58" s="587" t="n"/>
      <c r="CY58" s="587" t="n"/>
      <c r="CZ58" s="587" t="n"/>
      <c r="DA58" s="587" t="n"/>
      <c r="DB58" s="587" t="n"/>
      <c r="DC58" s="587" t="n"/>
      <c r="DD58" s="587" t="n"/>
      <c r="DE58" s="587" t="n"/>
      <c r="DF58" s="587" t="n"/>
      <c r="DG58" s="587" t="n"/>
      <c r="DH58" s="587" t="n"/>
      <c r="DI58" s="587" t="n"/>
      <c r="DJ58" s="587" t="n"/>
      <c r="DK58" s="587" t="n"/>
      <c r="DL58" s="587" t="n"/>
      <c r="DM58" s="587" t="n"/>
      <c r="DN58" s="587" t="n"/>
      <c r="DO58" s="587" t="n"/>
      <c r="DP58" s="587" t="n"/>
      <c r="DQ58" s="587" t="n"/>
      <c r="DR58" s="587" t="n"/>
      <c r="DS58" s="587" t="n"/>
      <c r="DT58" s="587" t="n"/>
      <c r="DU58" s="587" t="n"/>
      <c r="DV58" s="587" t="n"/>
      <c r="DW58" s="587" t="n"/>
      <c r="DX58" s="587" t="n"/>
      <c r="DY58" s="587" t="n"/>
      <c r="DZ58" s="587" t="n"/>
      <c r="EA58" s="587" t="n"/>
      <c r="EB58" s="587" t="n"/>
      <c r="EC58" s="587" t="n"/>
      <c r="ED58" s="587" t="n"/>
      <c r="EE58" s="587" t="n"/>
      <c r="EF58" s="587" t="n"/>
      <c r="EG58" s="587" t="n"/>
      <c r="EH58" s="587" t="n"/>
      <c r="EI58" s="587" t="n"/>
      <c r="EJ58" s="587" t="n"/>
      <c r="EK58" s="587" t="n"/>
      <c r="EL58" s="587" t="n"/>
      <c r="EM58" s="587" t="n"/>
      <c r="EN58" s="587" t="n"/>
      <c r="EO58" s="587" t="n"/>
      <c r="EP58" s="587" t="n"/>
      <c r="EQ58" s="587" t="n"/>
      <c r="ER58" s="587" t="n"/>
      <c r="ES58" s="587" t="n"/>
      <c r="ET58" s="587" t="n"/>
      <c r="EU58" s="587" t="n"/>
      <c r="EV58" s="587" t="n"/>
      <c r="EW58" s="587" t="n"/>
      <c r="EX58" s="587" t="n"/>
      <c r="EY58" s="587" t="n"/>
      <c r="EZ58" s="587" t="n"/>
      <c r="FA58" s="587" t="n"/>
      <c r="FB58" s="587" t="n"/>
      <c r="FC58" s="587" t="n"/>
      <c r="FD58" s="587" t="n"/>
      <c r="FE58" s="587" t="n"/>
      <c r="FF58" s="587" t="n"/>
      <c r="FG58" s="587" t="n"/>
      <c r="FH58" s="587" t="n"/>
      <c r="FI58" s="587" t="n"/>
      <c r="FJ58" s="587" t="n"/>
      <c r="FK58" s="587" t="n"/>
      <c r="FL58" s="587" t="n"/>
      <c r="FM58" s="587" t="n"/>
      <c r="FN58" s="587" t="n"/>
      <c r="FO58" s="587" t="n"/>
      <c r="FP58" s="587" t="n"/>
      <c r="FQ58" s="587" t="n"/>
      <c r="FR58" s="587" t="n"/>
      <c r="FS58" s="587" t="n"/>
      <c r="FT58" s="587" t="n"/>
      <c r="FU58" s="587" t="n"/>
      <c r="FV58" s="587" t="n"/>
      <c r="FW58" s="587" t="n"/>
      <c r="FX58" s="587" t="n"/>
      <c r="FY58" s="587" t="n"/>
      <c r="FZ58" s="587" t="n"/>
      <c r="GA58" s="587" t="n"/>
    </row>
    <row r="59" ht="17.45" customFormat="1" customHeight="1" s="568">
      <c r="A59" s="86" t="n"/>
      <c r="B59" s="85" t="n"/>
      <c r="C59" s="84">
        <f>E59*D$5</f>
        <v/>
      </c>
      <c r="D59" s="578" t="inlineStr">
        <is>
          <t>Curtis Fuchs</t>
        </is>
      </c>
      <c r="E59" s="84">
        <f>SUM(G59:HT59)</f>
        <v/>
      </c>
      <c r="F59" s="568">
        <f>IFERROR(IF($E59&gt;0.0000005,$E59/SUMIF($E$11:$E$140,"&gt;0.0000005"),""),"")</f>
        <v/>
      </c>
      <c r="H59" s="579" t="n"/>
      <c r="I59" s="579" t="n"/>
      <c r="J59" s="579" t="n"/>
      <c r="K59" s="579" t="n"/>
      <c r="L59" s="579" t="n"/>
      <c r="M59" s="579" t="n"/>
      <c r="N59" s="579" t="n"/>
      <c r="O59" s="579" t="n"/>
      <c r="P59" s="579" t="n"/>
      <c r="Q59" s="574" t="n"/>
      <c r="R59" s="579" t="n"/>
      <c r="S59" s="579" t="n"/>
      <c r="T59" s="579" t="n"/>
      <c r="U59" s="579" t="n"/>
      <c r="V59" s="579" t="n"/>
      <c r="W59" s="579" t="n"/>
      <c r="X59" s="579" t="n"/>
      <c r="Y59" s="579" t="n"/>
      <c r="Z59" s="574" t="n"/>
      <c r="AA59" s="574" t="n"/>
      <c r="AB59" s="574" t="n"/>
      <c r="AC59" s="574" t="n"/>
      <c r="AD59" s="574" t="n"/>
      <c r="AE59" s="574" t="n"/>
      <c r="AF59" s="574" t="n"/>
      <c r="AG59" s="579" t="n"/>
      <c r="AH59" s="574" t="n"/>
      <c r="AI59" s="579" t="n"/>
      <c r="AJ59" s="572" t="n"/>
      <c r="AK59" s="579" t="n"/>
      <c r="AL59" s="579" t="n"/>
      <c r="AM59" s="579" t="n"/>
      <c r="AN59" s="579" t="n"/>
      <c r="AO59" s="579" t="n"/>
      <c r="AP59" s="579" t="n"/>
      <c r="AQ59" s="579" t="n"/>
      <c r="AR59" s="579" t="n"/>
      <c r="AS59" s="579" t="n"/>
      <c r="AT59" s="579" t="n"/>
      <c r="BX59" s="568" t="n">
        <v>0</v>
      </c>
      <c r="CM59" s="587" t="n"/>
      <c r="CN59" s="587" t="n"/>
      <c r="CO59" s="587" t="n"/>
      <c r="CP59" s="587" t="n"/>
      <c r="CQ59" s="587" t="n"/>
      <c r="CR59" s="587" t="n"/>
      <c r="CS59" s="587" t="n"/>
      <c r="CT59" s="587" t="n"/>
      <c r="CU59" s="587" t="n"/>
      <c r="CV59" s="587" t="n"/>
      <c r="CW59" s="587" t="n"/>
      <c r="CX59" s="587" t="n"/>
      <c r="CY59" s="587" t="n"/>
      <c r="CZ59" s="587" t="n"/>
      <c r="DA59" s="587" t="n"/>
      <c r="DB59" s="587" t="n"/>
      <c r="DC59" s="587" t="n"/>
      <c r="DD59" s="587" t="n"/>
      <c r="DE59" s="587" t="n"/>
      <c r="DF59" s="587" t="n"/>
      <c r="DG59" s="587" t="n"/>
      <c r="DH59" s="587" t="n"/>
      <c r="DI59" s="587" t="n"/>
      <c r="DJ59" s="587" t="n"/>
      <c r="DK59" s="587" t="n"/>
      <c r="DL59" s="587" t="n"/>
      <c r="DM59" s="587" t="n"/>
      <c r="DN59" s="587" t="n"/>
      <c r="DO59" s="587" t="n"/>
      <c r="DP59" s="587" t="n"/>
      <c r="DQ59" s="587" t="n"/>
      <c r="DR59" s="587" t="n"/>
      <c r="DS59" s="587" t="n"/>
      <c r="DT59" s="587" t="n"/>
      <c r="DU59" s="587" t="n"/>
      <c r="DV59" s="587" t="n"/>
      <c r="DW59" s="587" t="n"/>
      <c r="DX59" s="587" t="n"/>
      <c r="DY59" s="587" t="n"/>
      <c r="DZ59" s="587" t="n"/>
      <c r="EA59" s="587" t="n"/>
      <c r="EB59" s="587" t="n"/>
      <c r="EC59" s="587" t="n"/>
      <c r="ED59" s="587" t="n"/>
      <c r="EE59" s="587" t="n"/>
      <c r="EF59" s="587" t="n"/>
      <c r="EG59" s="587" t="n"/>
      <c r="EH59" s="587" t="n"/>
      <c r="EI59" s="587" t="n"/>
      <c r="EJ59" s="587" t="n"/>
      <c r="EK59" s="587" t="n"/>
      <c r="EL59" s="587" t="n"/>
      <c r="EM59" s="587" t="n"/>
      <c r="EN59" s="587" t="n"/>
      <c r="EO59" s="587" t="n"/>
      <c r="EP59" s="587" t="n"/>
      <c r="EQ59" s="587" t="n"/>
      <c r="ER59" s="587" t="n"/>
      <c r="ES59" s="587" t="n"/>
      <c r="ET59" s="587" t="n"/>
      <c r="EU59" s="587" t="n"/>
      <c r="EV59" s="587" t="n"/>
      <c r="EW59" s="587" t="n"/>
      <c r="EX59" s="587" t="n"/>
      <c r="EY59" s="587" t="n"/>
      <c r="EZ59" s="587" t="n"/>
      <c r="FA59" s="587" t="n"/>
      <c r="FB59" s="587" t="n"/>
      <c r="FC59" s="587" t="n"/>
      <c r="FD59" s="587" t="n"/>
      <c r="FE59" s="587" t="n"/>
      <c r="FF59" s="587" t="n"/>
      <c r="FG59" s="587" t="n"/>
      <c r="FH59" s="587" t="n"/>
      <c r="FI59" s="587" t="n"/>
      <c r="FJ59" s="587" t="n"/>
      <c r="FK59" s="587" t="n"/>
      <c r="FL59" s="587" t="n"/>
      <c r="FM59" s="587" t="n"/>
      <c r="FN59" s="587" t="n"/>
      <c r="FO59" s="587" t="n"/>
      <c r="FP59" s="587" t="n"/>
      <c r="FQ59" s="587" t="n"/>
      <c r="FR59" s="587" t="n"/>
      <c r="FS59" s="587" t="n"/>
      <c r="FT59" s="587" t="n"/>
      <c r="FU59" s="587" t="n"/>
      <c r="FV59" s="587" t="n"/>
      <c r="FW59" s="587" t="n"/>
      <c r="FX59" s="587" t="n"/>
      <c r="FY59" s="587" t="n"/>
      <c r="FZ59" s="587" t="n"/>
      <c r="GA59" s="587" t="n"/>
    </row>
    <row r="60" ht="17.45" customFormat="1" customHeight="1" s="568">
      <c r="A60" s="86" t="n"/>
      <c r="B60" s="85" t="n"/>
      <c r="C60" s="84">
        <f>E60*D$5</f>
        <v/>
      </c>
      <c r="D60" s="577" t="inlineStr">
        <is>
          <t>Rita Wilson</t>
        </is>
      </c>
      <c r="E60" s="84">
        <f>SUM(G60:HT60)</f>
        <v/>
      </c>
      <c r="F60" s="568">
        <f>IFERROR(IF($E60&gt;0.0000005,$E60/SUMIF($E$11:$E$140,"&gt;0.0000005"),""),"")</f>
        <v/>
      </c>
      <c r="H60" s="579" t="n"/>
      <c r="I60" s="579" t="n"/>
      <c r="J60" s="579" t="n"/>
      <c r="K60" s="579" t="n"/>
      <c r="L60" s="579" t="n"/>
      <c r="M60" s="579" t="n"/>
      <c r="N60" s="579" t="n"/>
      <c r="O60" s="579" t="n"/>
      <c r="P60" s="579" t="n"/>
      <c r="Q60" s="574" t="n"/>
      <c r="R60" s="579" t="n"/>
      <c r="S60" s="579" t="n"/>
      <c r="T60" s="579" t="n"/>
      <c r="U60" s="579" t="n"/>
      <c r="V60" s="579" t="n"/>
      <c r="W60" s="579" t="n"/>
      <c r="X60" s="579" t="n"/>
      <c r="Y60" s="579" t="n"/>
      <c r="Z60" s="574" t="n"/>
      <c r="AA60" s="574" t="n"/>
      <c r="AB60" s="574" t="n"/>
      <c r="AC60" s="574" t="n"/>
      <c r="AD60" s="574" t="n"/>
      <c r="AE60" s="574" t="n"/>
      <c r="AF60" s="574" t="n"/>
      <c r="AG60" s="579" t="n"/>
      <c r="AH60" s="574" t="n"/>
      <c r="AI60" s="579" t="n"/>
      <c r="AJ60" s="572" t="n"/>
      <c r="AK60" s="579" t="n"/>
      <c r="AL60" s="579" t="n"/>
      <c r="AM60" s="579" t="n"/>
      <c r="AN60" s="579" t="n"/>
      <c r="AO60" s="579" t="n"/>
      <c r="AP60" s="579" t="n"/>
      <c r="AQ60" s="579" t="n"/>
      <c r="AR60" s="579" t="n"/>
      <c r="AS60" s="579" t="n"/>
      <c r="AT60" s="579" t="n"/>
      <c r="BX60" s="568" t="n">
        <v>0</v>
      </c>
      <c r="CM60" s="587" t="n"/>
      <c r="CN60" s="587" t="n"/>
      <c r="CO60" s="587" t="n"/>
      <c r="CP60" s="587" t="n"/>
      <c r="CQ60" s="587" t="n"/>
      <c r="CR60" s="587" t="n"/>
      <c r="CS60" s="587" t="n"/>
      <c r="CT60" s="587" t="n"/>
      <c r="CU60" s="587" t="n"/>
      <c r="CV60" s="587" t="n"/>
      <c r="CW60" s="587" t="n"/>
      <c r="CX60" s="587" t="n"/>
      <c r="CY60" s="587" t="n"/>
      <c r="CZ60" s="587" t="n"/>
      <c r="DA60" s="587" t="n"/>
      <c r="DB60" s="587" t="n"/>
      <c r="DC60" s="587" t="n"/>
      <c r="DD60" s="587" t="n"/>
      <c r="DE60" s="587" t="n"/>
      <c r="DF60" s="587" t="n"/>
      <c r="DG60" s="587" t="n"/>
      <c r="DH60" s="587" t="n"/>
      <c r="DI60" s="587" t="n"/>
      <c r="DJ60" s="587" t="n"/>
      <c r="DK60" s="587" t="n"/>
      <c r="DL60" s="587" t="n"/>
      <c r="DM60" s="587" t="n"/>
      <c r="DN60" s="587" t="n"/>
      <c r="DO60" s="587" t="n"/>
      <c r="DP60" s="587" t="n"/>
      <c r="DQ60" s="587" t="n"/>
      <c r="DR60" s="587" t="n"/>
      <c r="DS60" s="587" t="n"/>
      <c r="DT60" s="587" t="n"/>
      <c r="DU60" s="587" t="n"/>
      <c r="DV60" s="587" t="n"/>
      <c r="DW60" s="587" t="n"/>
      <c r="DX60" s="587" t="n"/>
      <c r="DY60" s="587" t="n"/>
      <c r="DZ60" s="587" t="n"/>
      <c r="EA60" s="587" t="n"/>
      <c r="EB60" s="587" t="n"/>
      <c r="EC60" s="587" t="n"/>
      <c r="ED60" s="587" t="n"/>
      <c r="EE60" s="587" t="n"/>
      <c r="EF60" s="587" t="n"/>
      <c r="EG60" s="587" t="n"/>
      <c r="EH60" s="587" t="n"/>
      <c r="EI60" s="587" t="n"/>
      <c r="EJ60" s="587" t="n"/>
      <c r="EK60" s="587" t="n"/>
      <c r="EL60" s="587" t="n"/>
      <c r="EM60" s="587" t="n"/>
      <c r="EN60" s="587" t="n"/>
      <c r="EO60" s="587" t="n"/>
      <c r="EP60" s="587" t="n"/>
      <c r="EQ60" s="587" t="n"/>
      <c r="ER60" s="587" t="n"/>
      <c r="ES60" s="587" t="n"/>
      <c r="ET60" s="587" t="n"/>
      <c r="EU60" s="587" t="n"/>
      <c r="EV60" s="587" t="n"/>
      <c r="EW60" s="587" t="n"/>
      <c r="EX60" s="587" t="n"/>
      <c r="EY60" s="587" t="n"/>
      <c r="EZ60" s="587" t="n"/>
      <c r="FA60" s="587" t="n"/>
      <c r="FB60" s="587" t="n"/>
      <c r="FC60" s="587" t="n"/>
      <c r="FD60" s="587" t="n"/>
      <c r="FE60" s="587" t="n"/>
      <c r="FF60" s="587" t="n"/>
      <c r="FG60" s="587" t="n"/>
      <c r="FH60" s="587" t="n"/>
      <c r="FI60" s="587" t="n"/>
      <c r="FJ60" s="587" t="n"/>
      <c r="FK60" s="587" t="n"/>
      <c r="FL60" s="587" t="n"/>
      <c r="FM60" s="587" t="n"/>
      <c r="FN60" s="587" t="n"/>
      <c r="FO60" s="587" t="n"/>
      <c r="FP60" s="587" t="n"/>
      <c r="FQ60" s="587" t="n"/>
      <c r="FR60" s="587" t="n"/>
      <c r="FS60" s="587" t="n"/>
      <c r="FT60" s="587" t="n"/>
      <c r="FU60" s="587" t="n"/>
      <c r="FV60" s="587" t="n"/>
      <c r="FW60" s="587" t="n"/>
      <c r="FX60" s="587" t="n"/>
      <c r="FY60" s="587" t="n"/>
      <c r="FZ60" s="587" t="n"/>
      <c r="GA60" s="587" t="n"/>
    </row>
    <row r="61" ht="17.45" customFormat="1" customHeight="1" s="568">
      <c r="A61" s="86" t="inlineStr">
        <is>
          <t> </t>
        </is>
      </c>
      <c r="B61" s="85" t="n"/>
      <c r="C61" s="84">
        <f>E61*D$5</f>
        <v/>
      </c>
      <c r="D61" s="577" t="inlineStr">
        <is>
          <t>Tim E. Jensen</t>
        </is>
      </c>
      <c r="E61" s="84">
        <f>SUM(G61:HT61)</f>
        <v/>
      </c>
      <c r="F61" s="568">
        <f>IFERROR(IF($E61&gt;0.0000005,$E61/SUMIF($E$11:$E$140,"&gt;0.0000005"),""),"")</f>
        <v/>
      </c>
      <c r="H61" s="579" t="n"/>
      <c r="I61" s="579" t="n"/>
      <c r="J61" s="579" t="n"/>
      <c r="K61" s="579" t="n"/>
      <c r="L61" s="579" t="n"/>
      <c r="M61" s="579" t="n"/>
      <c r="N61" s="579" t="n"/>
      <c r="O61" s="579" t="n"/>
      <c r="P61" s="579" t="n"/>
      <c r="Q61" s="574" t="n"/>
      <c r="R61" s="579" t="n"/>
      <c r="S61" s="579" t="n"/>
      <c r="T61" s="579" t="n"/>
      <c r="U61" s="579" t="n"/>
      <c r="V61" s="579" t="n"/>
      <c r="W61" s="579" t="n"/>
      <c r="X61" s="579" t="n"/>
      <c r="Y61" s="579" t="n"/>
      <c r="Z61" s="574" t="n"/>
      <c r="AA61" s="574" t="n"/>
      <c r="AB61" s="574" t="n"/>
      <c r="AC61" s="588" t="n"/>
      <c r="AD61" s="588" t="n"/>
      <c r="AE61" s="574" t="n"/>
      <c r="AF61" s="574" t="n"/>
      <c r="AG61" s="579" t="n"/>
      <c r="AH61" s="574" t="n"/>
      <c r="AI61" s="579" t="n"/>
      <c r="AJ61" s="572" t="n"/>
      <c r="AK61" s="579" t="n"/>
      <c r="AL61" s="579" t="n"/>
      <c r="AM61" s="579" t="n"/>
      <c r="AN61" s="579" t="n"/>
      <c r="AO61" s="579" t="n"/>
      <c r="AP61" s="579" t="n"/>
      <c r="AQ61" s="579" t="n"/>
      <c r="AR61" s="579" t="n"/>
      <c r="AS61" s="579" t="n"/>
      <c r="AT61" s="579" t="n"/>
      <c r="BY61" s="568" t="n">
        <v>0.0125</v>
      </c>
      <c r="CM61" s="587" t="n"/>
      <c r="CN61" s="587" t="n"/>
      <c r="CO61" s="587" t="n"/>
      <c r="CP61" s="587" t="n"/>
      <c r="CQ61" s="587" t="n"/>
      <c r="CR61" s="587" t="n"/>
      <c r="CS61" s="587" t="n"/>
      <c r="CT61" s="587" t="n"/>
      <c r="CU61" s="587" t="n"/>
      <c r="CV61" s="587" t="n"/>
      <c r="CW61" s="587" t="n"/>
      <c r="CX61" s="587" t="n"/>
      <c r="CY61" s="587" t="n"/>
      <c r="CZ61" s="587" t="n"/>
      <c r="DA61" s="587" t="n"/>
      <c r="DB61" s="587" t="n"/>
      <c r="DC61" s="587" t="n"/>
      <c r="DD61" s="587" t="n"/>
      <c r="DE61" s="587" t="n"/>
      <c r="DF61" s="587" t="n"/>
      <c r="DG61" s="587" t="n"/>
      <c r="DH61" s="587" t="n"/>
      <c r="DI61" s="587" t="n"/>
      <c r="DJ61" s="587" t="n"/>
      <c r="DK61" s="587" t="n"/>
      <c r="DL61" s="587" t="n"/>
      <c r="DM61" s="587" t="n"/>
      <c r="DN61" s="587" t="n"/>
      <c r="DO61" s="587" t="n"/>
      <c r="DP61" s="587" t="n"/>
      <c r="DQ61" s="587" t="n"/>
      <c r="DR61" s="587" t="n"/>
      <c r="DS61" s="587" t="n"/>
      <c r="DT61" s="587" t="n"/>
      <c r="DU61" s="587" t="n"/>
      <c r="DV61" s="587" t="n"/>
      <c r="DW61" s="587" t="n"/>
      <c r="DX61" s="587" t="n"/>
      <c r="DY61" s="587" t="n"/>
      <c r="DZ61" s="587" t="n"/>
      <c r="EA61" s="587" t="n"/>
      <c r="EB61" s="587" t="n"/>
      <c r="EC61" s="587" t="n"/>
      <c r="ED61" s="587" t="n"/>
      <c r="EE61" s="587" t="n"/>
      <c r="EF61" s="587" t="n"/>
      <c r="EG61" s="587" t="n"/>
      <c r="EH61" s="587" t="n"/>
      <c r="EI61" s="587" t="n"/>
      <c r="EJ61" s="587" t="n"/>
      <c r="EK61" s="587" t="n"/>
      <c r="EL61" s="587" t="n"/>
      <c r="EM61" s="587" t="n"/>
      <c r="EN61" s="587" t="n"/>
      <c r="EO61" s="587" t="n"/>
      <c r="EP61" s="587" t="n"/>
      <c r="EQ61" s="587" t="n"/>
      <c r="ER61" s="587" t="n"/>
      <c r="ES61" s="587" t="n"/>
      <c r="ET61" s="587" t="n"/>
      <c r="EU61" s="587" t="n"/>
      <c r="EV61" s="587" t="n"/>
      <c r="EW61" s="587" t="n"/>
      <c r="EX61" s="587" t="n"/>
      <c r="EY61" s="587" t="n"/>
      <c r="EZ61" s="587" t="n"/>
      <c r="FA61" s="587" t="n"/>
      <c r="FB61" s="587" t="n"/>
      <c r="FC61" s="587" t="n"/>
      <c r="FD61" s="587" t="n"/>
      <c r="FE61" s="587" t="n"/>
      <c r="FF61" s="587" t="n"/>
      <c r="FG61" s="587" t="n"/>
      <c r="FH61" s="587" t="n"/>
      <c r="FI61" s="587" t="n"/>
      <c r="FJ61" s="587" t="n"/>
      <c r="FK61" s="587" t="n"/>
      <c r="FL61" s="587" t="n"/>
      <c r="FM61" s="587" t="n"/>
      <c r="FN61" s="587" t="n"/>
      <c r="FO61" s="587" t="n"/>
      <c r="FP61" s="587" t="n"/>
      <c r="FQ61" s="587" t="n"/>
      <c r="FR61" s="587" t="n"/>
      <c r="FS61" s="587" t="n"/>
      <c r="FT61" s="587" t="n"/>
      <c r="FU61" s="587" t="n"/>
      <c r="FV61" s="587" t="n"/>
      <c r="FW61" s="587" t="n"/>
      <c r="FX61" s="587" t="n"/>
      <c r="FY61" s="587" t="n"/>
      <c r="FZ61" s="587" t="n"/>
      <c r="GA61" s="587" t="n"/>
    </row>
    <row r="62" ht="16.5" customFormat="1" customHeight="1" s="568">
      <c r="A62" s="86" t="n"/>
      <c r="B62" s="85" t="n"/>
      <c r="C62" s="84">
        <f>E62*D$5</f>
        <v/>
      </c>
      <c r="D62" s="577" t="inlineStr">
        <is>
          <t>Hazel Trust Hamilton</t>
        </is>
      </c>
      <c r="E62" s="84">
        <f>SUM(G62:HT62)</f>
        <v/>
      </c>
      <c r="F62" s="568">
        <f>IFERROR(IF($E62&gt;0.0000005,$E62/SUMIF($E$11:$E$140,"&gt;0.0000005"),""),"")</f>
        <v/>
      </c>
      <c r="H62" s="579" t="n"/>
      <c r="I62" s="579" t="n"/>
      <c r="J62" s="579" t="n"/>
      <c r="K62" s="579" t="n"/>
      <c r="L62" s="579" t="n"/>
      <c r="M62" s="579" t="n"/>
      <c r="N62" s="579" t="n"/>
      <c r="O62" s="579" t="n"/>
      <c r="P62" s="579" t="n"/>
      <c r="Q62" s="574" t="n"/>
      <c r="R62" s="579" t="n"/>
      <c r="S62" s="579" t="n"/>
      <c r="T62" s="579" t="n"/>
      <c r="U62" s="579" t="n"/>
      <c r="V62" s="579" t="n"/>
      <c r="W62" s="579" t="n"/>
      <c r="X62" s="579" t="n"/>
      <c r="Y62" s="579" t="n"/>
      <c r="Z62" s="574" t="n"/>
      <c r="AA62" s="574" t="n"/>
      <c r="AB62" s="574" t="n"/>
      <c r="AC62" s="588" t="n"/>
      <c r="AD62" s="574" t="n"/>
      <c r="AE62" s="574" t="n"/>
      <c r="AF62" s="588" t="n"/>
      <c r="AG62" s="579" t="n"/>
      <c r="AH62" s="574" t="n"/>
      <c r="AI62" s="579" t="n"/>
      <c r="AJ62" s="572" t="n"/>
      <c r="AK62" s="579" t="n"/>
      <c r="AL62" s="579" t="n"/>
      <c r="AM62" s="579" t="n"/>
      <c r="AN62" s="579" t="n"/>
      <c r="AO62" s="579" t="n"/>
      <c r="AP62" s="579" t="n"/>
      <c r="AQ62" s="579" t="n"/>
      <c r="AR62" s="579" t="n"/>
      <c r="AS62" s="579" t="n"/>
      <c r="AT62" s="579" t="n"/>
      <c r="CA62" s="568" t="n">
        <v>0.00421156834750528</v>
      </c>
      <c r="CM62" s="587" t="n"/>
      <c r="CN62" s="587" t="n"/>
      <c r="CO62" s="587" t="n"/>
      <c r="CP62" s="587" t="n"/>
      <c r="CQ62" s="587" t="n"/>
      <c r="CR62" s="587" t="n"/>
      <c r="CS62" s="587" t="n"/>
      <c r="CT62" s="587" t="n"/>
      <c r="CU62" s="587" t="n"/>
      <c r="CV62" s="587" t="n"/>
      <c r="CW62" s="587" t="n"/>
      <c r="CX62" s="587" t="n"/>
      <c r="CY62" s="587" t="n"/>
      <c r="CZ62" s="587" t="n"/>
      <c r="DA62" s="587" t="n"/>
      <c r="DB62" s="587" t="n"/>
      <c r="DC62" s="587" t="n"/>
      <c r="DD62" s="587" t="n"/>
      <c r="DE62" s="587" t="n"/>
      <c r="DF62" s="587" t="n"/>
      <c r="DG62" s="587" t="n"/>
      <c r="DH62" s="587" t="n"/>
      <c r="DI62" s="587" t="n"/>
      <c r="DJ62" s="587" t="n"/>
      <c r="DK62" s="587" t="n"/>
      <c r="DL62" s="587" t="n"/>
      <c r="DM62" s="587" t="n"/>
      <c r="DN62" s="587" t="n"/>
      <c r="DO62" s="587" t="n"/>
      <c r="DP62" s="587" t="n"/>
      <c r="DQ62" s="587" t="n"/>
      <c r="DR62" s="587" t="n"/>
      <c r="DS62" s="587" t="n"/>
      <c r="DT62" s="587" t="n"/>
      <c r="DU62" s="587" t="n"/>
      <c r="DV62" s="587" t="n"/>
      <c r="DW62" s="587" t="n"/>
      <c r="DX62" s="587" t="n"/>
      <c r="DY62" s="587" t="n"/>
      <c r="DZ62" s="587" t="n"/>
      <c r="EA62" s="587" t="n"/>
      <c r="EB62" s="587" t="n"/>
      <c r="EC62" s="587" t="n"/>
      <c r="ED62" s="587" t="n"/>
      <c r="EE62" s="587" t="n"/>
      <c r="EF62" s="587" t="n"/>
      <c r="EG62" s="587" t="n"/>
      <c r="EH62" s="587" t="n"/>
      <c r="EI62" s="587" t="n"/>
      <c r="EJ62" s="587" t="n"/>
      <c r="EK62" s="587" t="n"/>
      <c r="EL62" s="587" t="n"/>
      <c r="EM62" s="587" t="n"/>
      <c r="EN62" s="587" t="n"/>
      <c r="EO62" s="587" t="n"/>
      <c r="EP62" s="587" t="n"/>
      <c r="EQ62" s="587" t="n"/>
      <c r="ER62" s="587" t="n"/>
      <c r="ES62" s="587" t="n"/>
      <c r="ET62" s="587" t="n"/>
      <c r="EU62" s="587" t="n"/>
      <c r="EV62" s="587" t="n"/>
      <c r="EW62" s="587" t="n"/>
      <c r="EX62" s="587" t="n"/>
      <c r="EY62" s="587" t="n"/>
      <c r="EZ62" s="587" t="n"/>
      <c r="FA62" s="587" t="n"/>
      <c r="FB62" s="587" t="n"/>
      <c r="FC62" s="587" t="n"/>
      <c r="FD62" s="587" t="n"/>
      <c r="FE62" s="587" t="n"/>
      <c r="FF62" s="587" t="n"/>
      <c r="FG62" s="587" t="n"/>
      <c r="FH62" s="587" t="n"/>
      <c r="FI62" s="587" t="n"/>
      <c r="FJ62" s="587" t="n"/>
      <c r="FK62" s="587" t="n"/>
      <c r="FL62" s="587" t="n"/>
      <c r="FM62" s="587" t="n"/>
      <c r="FN62" s="587" t="n"/>
      <c r="FO62" s="587" t="n"/>
      <c r="FP62" s="587" t="n"/>
      <c r="FQ62" s="587" t="n"/>
      <c r="FR62" s="587" t="n"/>
      <c r="FS62" s="587" t="n"/>
      <c r="FT62" s="587" t="n"/>
      <c r="FU62" s="587" t="n"/>
      <c r="FV62" s="587" t="n"/>
      <c r="FW62" s="587" t="n"/>
      <c r="FX62" s="587" t="n"/>
      <c r="FY62" s="587" t="n"/>
      <c r="FZ62" s="587" t="n"/>
      <c r="GA62" s="587" t="n"/>
    </row>
    <row r="63" customFormat="1" s="568">
      <c r="A63" s="86" t="n"/>
      <c r="B63" s="85" t="n"/>
      <c r="C63" s="84">
        <f>E63*D$5</f>
        <v/>
      </c>
      <c r="D63" s="52" t="inlineStr">
        <is>
          <t>Gilbert C. Fuchs</t>
        </is>
      </c>
      <c r="E63" s="84">
        <f>SUM(G63:HT63)</f>
        <v/>
      </c>
      <c r="F63" s="568">
        <f>IFERROR(IF($E63&gt;0.0000005,$E63/SUMIF($E$11:$E$140,"&gt;0.0000005"),""),"")</f>
        <v/>
      </c>
      <c r="H63" s="579" t="n"/>
      <c r="I63" s="579" t="n"/>
      <c r="J63" s="579" t="n"/>
      <c r="K63" s="579" t="n"/>
      <c r="L63" s="579" t="n"/>
      <c r="M63" s="579" t="n"/>
      <c r="N63" s="579" t="n"/>
      <c r="O63" s="579" t="n"/>
      <c r="P63" s="579" t="n"/>
      <c r="Q63" s="574" t="n"/>
      <c r="R63" s="579" t="n"/>
      <c r="S63" s="579" t="n"/>
      <c r="T63" s="579" t="n"/>
      <c r="U63" s="579" t="n"/>
      <c r="V63" s="579" t="n"/>
      <c r="W63" s="579" t="n"/>
      <c r="X63" s="579" t="n"/>
      <c r="Y63" s="579" t="n"/>
      <c r="Z63" s="574" t="n"/>
      <c r="AA63" s="574" t="n"/>
      <c r="AB63" s="574" t="n"/>
      <c r="AC63" s="574" t="n"/>
      <c r="AD63" s="588" t="n"/>
      <c r="AE63" s="588" t="n"/>
      <c r="AF63" s="574" t="n"/>
      <c r="AG63" s="579" t="n"/>
      <c r="AH63" s="574" t="n"/>
      <c r="AI63" s="579" t="n"/>
      <c r="AJ63" s="572" t="n"/>
      <c r="AK63" s="579" t="n"/>
      <c r="AL63" s="579" t="n"/>
      <c r="AM63" s="579" t="n"/>
      <c r="AN63" s="579" t="n"/>
      <c r="AO63" s="579" t="n"/>
      <c r="AP63" s="579" t="n"/>
      <c r="AQ63" s="579" t="n"/>
      <c r="AR63" s="579" t="n"/>
      <c r="AS63" s="579" t="n"/>
      <c r="AT63" s="579" t="n"/>
      <c r="CB63" s="568" t="n">
        <v>0</v>
      </c>
      <c r="CM63" s="587" t="n"/>
      <c r="CN63" s="587" t="n"/>
      <c r="CO63" s="587" t="n"/>
      <c r="CP63" s="587" t="n"/>
      <c r="CQ63" s="587" t="n"/>
      <c r="CR63" s="587" t="n"/>
      <c r="CS63" s="587" t="n"/>
      <c r="CT63" s="587" t="n"/>
      <c r="CU63" s="587" t="n"/>
      <c r="CV63" s="587" t="n"/>
      <c r="CW63" s="587" t="n"/>
      <c r="CX63" s="587" t="n"/>
      <c r="CY63" s="587" t="n"/>
      <c r="CZ63" s="587" t="n"/>
      <c r="DA63" s="587" t="n"/>
      <c r="DB63" s="587" t="n"/>
      <c r="DC63" s="587" t="n"/>
      <c r="DD63" s="587" t="n"/>
      <c r="DE63" s="587" t="n"/>
      <c r="DF63" s="587" t="n"/>
      <c r="DG63" s="587" t="n"/>
      <c r="DH63" s="587" t="n"/>
      <c r="DI63" s="587" t="n"/>
      <c r="DJ63" s="587" t="n"/>
      <c r="DK63" s="587" t="n"/>
      <c r="DL63" s="587" t="n"/>
      <c r="DM63" s="587" t="n"/>
      <c r="DN63" s="587" t="n"/>
      <c r="DO63" s="587" t="n"/>
      <c r="DP63" s="587" t="n"/>
      <c r="DQ63" s="587" t="n"/>
      <c r="DR63" s="587" t="n"/>
      <c r="DS63" s="587" t="n"/>
      <c r="DT63" s="587" t="n"/>
      <c r="DU63" s="587" t="n"/>
      <c r="DV63" s="587" t="n"/>
      <c r="DW63" s="587" t="n"/>
      <c r="DX63" s="587" t="n"/>
      <c r="DY63" s="587" t="n"/>
      <c r="DZ63" s="587" t="n"/>
      <c r="EA63" s="587" t="n"/>
      <c r="EB63" s="587" t="n"/>
      <c r="EC63" s="587" t="n"/>
      <c r="ED63" s="587" t="n"/>
      <c r="EE63" s="587" t="n"/>
      <c r="EF63" s="587" t="n"/>
      <c r="EG63" s="587" t="n"/>
      <c r="EH63" s="587" t="n"/>
      <c r="EI63" s="587" t="n"/>
      <c r="EJ63" s="587" t="n"/>
      <c r="EK63" s="587" t="n"/>
      <c r="EL63" s="587" t="n"/>
      <c r="EM63" s="587" t="n"/>
      <c r="EN63" s="587" t="n"/>
      <c r="EO63" s="587" t="n"/>
      <c r="EP63" s="587" t="n"/>
      <c r="EQ63" s="587" t="n"/>
      <c r="ER63" s="587" t="n"/>
      <c r="ES63" s="587" t="n"/>
      <c r="ET63" s="587" t="n"/>
      <c r="EU63" s="587" t="n"/>
      <c r="EV63" s="587" t="n"/>
      <c r="EW63" s="587" t="n"/>
      <c r="EX63" s="587" t="n"/>
      <c r="EY63" s="587" t="n"/>
      <c r="EZ63" s="587" t="n"/>
      <c r="FA63" s="587" t="n"/>
      <c r="FB63" s="587" t="n"/>
      <c r="FC63" s="587" t="n"/>
      <c r="FD63" s="587" t="n"/>
      <c r="FE63" s="587" t="n"/>
      <c r="FF63" s="587" t="n"/>
      <c r="FG63" s="587" t="n"/>
      <c r="FH63" s="587" t="n"/>
      <c r="FI63" s="587" t="n"/>
      <c r="FJ63" s="587" t="n"/>
      <c r="FK63" s="587" t="n"/>
      <c r="FL63" s="587" t="n"/>
      <c r="FM63" s="587" t="n"/>
      <c r="FN63" s="587" t="n"/>
      <c r="FO63" s="587" t="n"/>
      <c r="FP63" s="587" t="n"/>
      <c r="FQ63" s="587" t="n"/>
      <c r="FR63" s="587" t="n"/>
      <c r="FS63" s="587" t="n"/>
      <c r="FT63" s="587" t="n"/>
      <c r="FU63" s="587" t="n"/>
      <c r="FV63" s="587" t="n"/>
      <c r="FW63" s="587" t="n"/>
      <c r="FX63" s="587" t="n"/>
      <c r="FY63" s="587" t="n"/>
      <c r="FZ63" s="587" t="n"/>
      <c r="GA63" s="587" t="n"/>
    </row>
    <row r="64" customFormat="1" s="568">
      <c r="A64" s="86" t="n"/>
      <c r="B64" s="85" t="n"/>
      <c r="C64" s="137">
        <f>E64*D$5</f>
        <v/>
      </c>
      <c r="D64" s="51" t="inlineStr">
        <is>
          <t>Fuchs Family Revocable Trust</t>
        </is>
      </c>
      <c r="E64" s="137">
        <f>SUM(G64:HT64)</f>
        <v/>
      </c>
      <c r="F64" s="568">
        <f>IFERROR(IF($E64&gt;0.0000005,$E64/SUMIF($E$11:$E$140,"&gt;0.0000005"),""),"")</f>
        <v/>
      </c>
      <c r="H64" s="579" t="n"/>
      <c r="I64" s="579" t="n"/>
      <c r="J64" s="579" t="n"/>
      <c r="K64" s="579" t="n"/>
      <c r="L64" s="579" t="n"/>
      <c r="M64" s="579" t="n"/>
      <c r="N64" s="579" t="n"/>
      <c r="O64" s="579" t="n"/>
      <c r="P64" s="579" t="n"/>
      <c r="Q64" s="574" t="n"/>
      <c r="R64" s="579" t="n"/>
      <c r="S64" s="579" t="n"/>
      <c r="T64" s="579" t="n"/>
      <c r="U64" s="579" t="n"/>
      <c r="V64" s="579" t="n"/>
      <c r="W64" s="579" t="n"/>
      <c r="X64" s="579" t="n"/>
      <c r="Y64" s="579" t="n"/>
      <c r="Z64" s="574" t="n"/>
      <c r="AA64" s="574" t="n"/>
      <c r="AB64" s="574" t="n"/>
      <c r="AC64" s="574" t="n"/>
      <c r="AD64" s="574" t="n"/>
      <c r="AE64" s="574" t="n"/>
      <c r="AF64" s="588" t="n"/>
      <c r="AG64" s="579" t="n"/>
      <c r="AH64" s="574" t="n"/>
      <c r="AI64" s="579" t="n"/>
      <c r="AJ64" s="572" t="n"/>
      <c r="AK64" s="579" t="n"/>
      <c r="AL64" s="579" t="n"/>
      <c r="AM64" s="579" t="n"/>
      <c r="AN64" s="579" t="n"/>
      <c r="AO64" s="579" t="n"/>
      <c r="AP64" s="579" t="n"/>
      <c r="AQ64" s="579" t="n"/>
      <c r="AR64" s="579" t="n"/>
      <c r="AS64" s="579" t="n"/>
      <c r="AT64" s="579" t="n"/>
      <c r="CB64" s="568" t="n">
        <v>0</v>
      </c>
      <c r="CM64" s="587" t="n"/>
      <c r="CN64" s="587" t="n"/>
      <c r="CO64" s="587" t="n"/>
      <c r="CP64" s="587" t="n"/>
      <c r="CQ64" s="587" t="n"/>
      <c r="CR64" s="587" t="n"/>
      <c r="CS64" s="587" t="n"/>
      <c r="CT64" s="587" t="n"/>
      <c r="CU64" s="587" t="n"/>
      <c r="CV64" s="587" t="n"/>
      <c r="CW64" s="587" t="n"/>
      <c r="CX64" s="587" t="n"/>
      <c r="CY64" s="587" t="n"/>
      <c r="CZ64" s="587" t="n"/>
      <c r="DA64" s="587" t="n"/>
      <c r="DB64" s="587" t="n"/>
      <c r="DC64" s="587" t="n"/>
      <c r="DD64" s="587" t="n"/>
      <c r="DE64" s="587" t="n"/>
      <c r="DF64" s="587" t="n"/>
      <c r="DG64" s="587" t="n"/>
      <c r="DH64" s="587" t="n"/>
      <c r="DI64" s="587" t="n"/>
      <c r="DJ64" s="587" t="n"/>
      <c r="DK64" s="587" t="n"/>
      <c r="DL64" s="587" t="n"/>
      <c r="DM64" s="587" t="n"/>
      <c r="DN64" s="587" t="n"/>
      <c r="DO64" s="587" t="n"/>
      <c r="DP64" s="587" t="n"/>
      <c r="DQ64" s="587" t="n"/>
      <c r="DR64" s="587" t="n"/>
      <c r="DS64" s="587" t="n"/>
      <c r="DT64" s="587" t="n"/>
      <c r="DU64" s="587" t="n"/>
      <c r="DV64" s="587" t="n"/>
      <c r="DW64" s="587" t="n"/>
      <c r="DX64" s="587" t="n"/>
      <c r="DY64" s="587" t="n"/>
      <c r="DZ64" s="587" t="n"/>
      <c r="EA64" s="587" t="n"/>
      <c r="EB64" s="587" t="n"/>
      <c r="EC64" s="587" t="n"/>
      <c r="ED64" s="587" t="n"/>
      <c r="EE64" s="587" t="n"/>
      <c r="EF64" s="587" t="n"/>
      <c r="EG64" s="587" t="n"/>
      <c r="EH64" s="587" t="n"/>
      <c r="EI64" s="587" t="n"/>
      <c r="EJ64" s="587" t="n"/>
      <c r="EK64" s="587" t="n"/>
      <c r="EL64" s="587" t="n"/>
      <c r="EM64" s="587" t="n"/>
      <c r="EN64" s="587" t="n"/>
      <c r="EO64" s="587" t="n"/>
      <c r="EP64" s="587" t="n"/>
      <c r="EQ64" s="587" t="n"/>
      <c r="ER64" s="587" t="n"/>
      <c r="ES64" s="587" t="n"/>
      <c r="ET64" s="587" t="n"/>
      <c r="EU64" s="587" t="n"/>
      <c r="EV64" s="587" t="n"/>
      <c r="EW64" s="587" t="n"/>
      <c r="EX64" s="587" t="n"/>
      <c r="EY64" s="587" t="n"/>
      <c r="EZ64" s="587" t="n"/>
      <c r="FA64" s="587" t="n"/>
      <c r="FB64" s="587" t="n"/>
      <c r="FC64" s="587" t="n"/>
      <c r="FD64" s="587" t="n"/>
      <c r="FE64" s="587" t="n"/>
      <c r="FF64" s="587" t="n"/>
      <c r="FG64" s="587" t="n"/>
      <c r="FH64" s="587" t="n"/>
      <c r="FI64" s="587" t="n"/>
      <c r="FJ64" s="587" t="n"/>
      <c r="FK64" s="587" t="n"/>
      <c r="FL64" s="587" t="n"/>
      <c r="FM64" s="587" t="n"/>
      <c r="FN64" s="587" t="n"/>
      <c r="FO64" s="587" t="n"/>
      <c r="FP64" s="587" t="n"/>
      <c r="FQ64" s="587" t="n"/>
      <c r="FR64" s="587" t="n"/>
      <c r="FS64" s="587" t="n"/>
      <c r="FT64" s="587" t="n"/>
      <c r="FU64" s="587" t="n"/>
      <c r="FV64" s="587" t="n"/>
      <c r="FW64" s="587" t="n"/>
      <c r="FX64" s="587" t="n"/>
      <c r="FY64" s="587" t="n"/>
      <c r="FZ64" s="587" t="n"/>
      <c r="GA64" s="587" t="n"/>
    </row>
    <row r="65" ht="24" customFormat="1" customHeight="1" s="568">
      <c r="A65" s="86" t="n"/>
      <c r="B65" s="85" t="n"/>
      <c r="C65" s="137">
        <f>E65*D$5</f>
        <v/>
      </c>
      <c r="D65" s="51" t="inlineStr">
        <is>
          <t>Melinda McCaul Mulvihill, Executor of the Estate of Dwight J. Wilson, deceased</t>
        </is>
      </c>
      <c r="E65" s="137">
        <f>SUM(G65:HT65)</f>
        <v/>
      </c>
      <c r="F65" s="568">
        <f>IFERROR(IF($E65&gt;0.0000005,$E65/SUMIF($E$11:$E$140,"&gt;0.0000005"),""),"")</f>
        <v/>
      </c>
      <c r="H65" s="579" t="n"/>
      <c r="I65" s="579" t="n"/>
      <c r="J65" s="579" t="n"/>
      <c r="K65" s="579" t="n"/>
      <c r="L65" s="579" t="n"/>
      <c r="M65" s="579" t="n"/>
      <c r="N65" s="579" t="n"/>
      <c r="O65" s="579" t="n"/>
      <c r="P65" s="579" t="n"/>
      <c r="Q65" s="574" t="n"/>
      <c r="R65" s="579" t="n"/>
      <c r="S65" s="579" t="n"/>
      <c r="T65" s="579" t="n"/>
      <c r="U65" s="579" t="n"/>
      <c r="V65" s="579" t="n"/>
      <c r="W65" s="579" t="n"/>
      <c r="X65" s="579" t="n"/>
      <c r="Y65" s="579" t="n"/>
      <c r="Z65" s="574" t="n"/>
      <c r="AA65" s="574" t="n"/>
      <c r="AB65" s="574" t="n"/>
      <c r="AC65" s="574" t="n"/>
      <c r="AD65" s="574" t="n"/>
      <c r="AE65" s="574" t="n"/>
      <c r="AF65" s="588" t="n"/>
      <c r="AG65" s="579" t="n"/>
      <c r="AH65" s="574" t="n"/>
      <c r="AI65" s="579" t="n"/>
      <c r="AJ65" s="572" t="n"/>
      <c r="AK65" s="579" t="n"/>
      <c r="AL65" s="579" t="n"/>
      <c r="AM65" s="579" t="n"/>
      <c r="AN65" s="579" t="n"/>
      <c r="AO65" s="579" t="n"/>
      <c r="AP65" s="579" t="n"/>
      <c r="AQ65" s="579" t="n"/>
      <c r="AR65" s="579" t="n"/>
      <c r="AS65" s="579" t="n"/>
      <c r="AT65" s="579" t="n"/>
      <c r="CC65" s="568" t="n">
        <v>0.0126347176772335</v>
      </c>
      <c r="CD65" s="568" t="n">
        <v>0</v>
      </c>
      <c r="CL65" s="568" t="n">
        <v>0</v>
      </c>
      <c r="CM65" s="587" t="n">
        <v>-0.0126347176772335</v>
      </c>
      <c r="CN65" s="587" t="n"/>
      <c r="CO65" s="587" t="n"/>
      <c r="CP65" s="587" t="n"/>
      <c r="CQ65" s="587" t="n"/>
      <c r="CR65" s="587" t="n"/>
      <c r="CS65" s="587" t="n"/>
      <c r="CT65" s="587" t="n"/>
      <c r="CU65" s="587" t="n"/>
      <c r="CV65" s="587" t="n"/>
      <c r="CW65" s="587" t="n"/>
      <c r="CX65" s="587" t="n"/>
      <c r="CY65" s="587" t="n"/>
      <c r="CZ65" s="587" t="n"/>
      <c r="DA65" s="587" t="n"/>
      <c r="DB65" s="587" t="n"/>
      <c r="DC65" s="587" t="n"/>
      <c r="DD65" s="587" t="n"/>
      <c r="DE65" s="587" t="n"/>
      <c r="DF65" s="587" t="n"/>
      <c r="DG65" s="587" t="n"/>
      <c r="DH65" s="587" t="n"/>
      <c r="DI65" s="587" t="n"/>
      <c r="DJ65" s="587" t="n"/>
      <c r="DK65" s="587" t="n"/>
      <c r="DL65" s="587" t="n"/>
      <c r="DM65" s="587" t="n"/>
      <c r="DN65" s="587" t="n"/>
      <c r="DO65" s="587" t="n"/>
      <c r="DP65" s="587" t="n"/>
      <c r="DQ65" s="587" t="n"/>
      <c r="DR65" s="587" t="n"/>
      <c r="DS65" s="587" t="n"/>
      <c r="DT65" s="587" t="n"/>
      <c r="DU65" s="587" t="n"/>
      <c r="DV65" s="587" t="n"/>
      <c r="DW65" s="587" t="n"/>
      <c r="DX65" s="587" t="n"/>
      <c r="DY65" s="587" t="n"/>
      <c r="DZ65" s="587" t="n"/>
      <c r="EA65" s="587" t="n"/>
      <c r="EB65" s="587" t="n"/>
      <c r="EC65" s="587" t="n"/>
      <c r="ED65" s="587" t="n"/>
      <c r="EE65" s="587" t="n"/>
      <c r="EF65" s="587" t="n"/>
      <c r="EG65" s="587" t="n"/>
      <c r="EH65" s="587" t="n"/>
      <c r="EI65" s="587" t="n"/>
      <c r="EJ65" s="587" t="n"/>
      <c r="EK65" s="587" t="n"/>
      <c r="EL65" s="587" t="n"/>
      <c r="EM65" s="587" t="n"/>
      <c r="EN65" s="587" t="n"/>
      <c r="EO65" s="587" t="n"/>
      <c r="EP65" s="587" t="n"/>
      <c r="EQ65" s="587" t="n"/>
      <c r="ER65" s="587" t="n"/>
      <c r="ES65" s="587" t="n"/>
      <c r="ET65" s="587" t="n"/>
      <c r="EU65" s="587" t="n"/>
      <c r="EV65" s="587" t="n"/>
      <c r="EW65" s="587" t="n"/>
      <c r="EX65" s="587" t="n"/>
      <c r="EY65" s="587" t="n"/>
      <c r="EZ65" s="587" t="n"/>
      <c r="FA65" s="587" t="n"/>
      <c r="FB65" s="587" t="n"/>
      <c r="FC65" s="587" t="n"/>
      <c r="FD65" s="587" t="n"/>
      <c r="FE65" s="587" t="n"/>
      <c r="FF65" s="587" t="n"/>
      <c r="FG65" s="587" t="n"/>
      <c r="FH65" s="587" t="n"/>
      <c r="FI65" s="587" t="n"/>
      <c r="FJ65" s="587" t="n"/>
      <c r="FK65" s="587" t="n"/>
      <c r="FL65" s="587" t="n"/>
      <c r="FM65" s="587" t="n"/>
      <c r="FN65" s="587" t="n"/>
      <c r="FO65" s="587" t="n"/>
      <c r="FP65" s="587" t="n"/>
      <c r="FQ65" s="587" t="n"/>
      <c r="FR65" s="587" t="n"/>
      <c r="FS65" s="587" t="n"/>
      <c r="FT65" s="587" t="n"/>
      <c r="FU65" s="587" t="n"/>
      <c r="FV65" s="587" t="n"/>
      <c r="FW65" s="587" t="n"/>
      <c r="FX65" s="587" t="n"/>
      <c r="FY65" s="587" t="n"/>
      <c r="FZ65" s="587" t="n"/>
      <c r="GA65" s="587" t="n"/>
    </row>
    <row r="66" customFormat="1" s="568">
      <c r="A66" s="86" t="n"/>
      <c r="B66" s="85" t="n"/>
      <c r="C66" s="84">
        <f>E66*D$5</f>
        <v/>
      </c>
      <c r="D66" s="52" t="inlineStr">
        <is>
          <t>Dow C. Bain and Edris O. Bain, JTWROS</t>
        </is>
      </c>
      <c r="E66" s="84">
        <f>SUM(G66:HT66)</f>
        <v/>
      </c>
      <c r="F66" s="568">
        <f>IFERROR(IF($E66&gt;0.0000005,$E66/SUMIF($E$11:$E$140,"&gt;0.0000005"),""),"")</f>
        <v/>
      </c>
      <c r="H66" s="579" t="n"/>
      <c r="J66" s="579" t="n"/>
      <c r="K66" s="579" t="n"/>
      <c r="L66" s="579" t="n"/>
      <c r="M66" s="579" t="n"/>
      <c r="N66" s="579" t="n"/>
      <c r="O66" s="579" t="n"/>
      <c r="P66" s="579" t="n"/>
      <c r="Q66" s="574" t="n"/>
      <c r="R66" s="579" t="n"/>
      <c r="S66" s="579" t="n"/>
      <c r="T66" s="579" t="n"/>
      <c r="U66" s="579" t="n"/>
      <c r="V66" s="579" t="n"/>
      <c r="W66" s="579" t="n"/>
      <c r="X66" s="579" t="n"/>
      <c r="Y66" s="579" t="n"/>
      <c r="Z66" s="574" t="n"/>
      <c r="AA66" s="574" t="n"/>
      <c r="AB66" s="574" t="n"/>
      <c r="AC66" s="574" t="n"/>
      <c r="AD66" s="574" t="n"/>
      <c r="AE66" s="574" t="n"/>
      <c r="AF66" s="588" t="n"/>
      <c r="AG66" s="579" t="n"/>
      <c r="AH66" s="574" t="n"/>
      <c r="AI66" s="579" t="n"/>
      <c r="AJ66" s="572" t="n"/>
      <c r="AK66" s="579" t="n"/>
      <c r="AL66" s="579" t="n"/>
      <c r="AM66" s="579" t="n"/>
      <c r="AN66" s="579" t="n"/>
      <c r="AO66" s="579" t="n"/>
      <c r="AP66" s="579" t="n"/>
      <c r="AQ66" s="579" t="n"/>
      <c r="AR66" s="579" t="n"/>
      <c r="AS66" s="579" t="n"/>
      <c r="AT66" s="579" t="n"/>
      <c r="CE66" s="568" t="n">
        <v>0.00610631293668743</v>
      </c>
      <c r="CM66" s="587" t="n"/>
      <c r="CN66" s="587" t="n"/>
      <c r="CO66" s="587" t="n"/>
      <c r="CP66" s="587" t="n"/>
      <c r="CQ66" s="587" t="n"/>
      <c r="CR66" s="587" t="n"/>
      <c r="CS66" s="587" t="n"/>
      <c r="CT66" s="587" t="n"/>
      <c r="CU66" s="587" t="n"/>
      <c r="CV66" s="587" t="n"/>
      <c r="CW66" s="587" t="n"/>
      <c r="CX66" s="587" t="n"/>
      <c r="CY66" s="587" t="n"/>
      <c r="CZ66" s="587" t="n"/>
      <c r="DA66" s="587" t="n"/>
      <c r="DB66" s="587" t="n"/>
      <c r="DC66" s="587" t="n"/>
      <c r="DD66" s="587" t="n"/>
      <c r="DE66" s="587" t="n"/>
      <c r="DF66" s="587" t="n"/>
      <c r="DG66" s="587" t="n"/>
      <c r="DH66" s="587" t="n"/>
      <c r="DI66" s="587" t="n"/>
      <c r="DJ66" s="587" t="n"/>
      <c r="DK66" s="587" t="n"/>
      <c r="DL66" s="587" t="n"/>
      <c r="DM66" s="587" t="n"/>
      <c r="DN66" s="587" t="n"/>
      <c r="DO66" s="587" t="n"/>
      <c r="DP66" s="587" t="n"/>
      <c r="DQ66" s="587" t="n"/>
      <c r="DR66" s="587" t="n"/>
      <c r="DS66" s="587" t="n"/>
      <c r="DT66" s="587" t="n"/>
      <c r="DU66" s="587" t="n"/>
      <c r="DV66" s="587" t="n"/>
      <c r="DW66" s="587" t="n"/>
      <c r="DX66" s="587" t="n"/>
      <c r="DY66" s="587" t="n"/>
      <c r="DZ66" s="587" t="n"/>
      <c r="EA66" s="587" t="n"/>
      <c r="EB66" s="587" t="n"/>
      <c r="EC66" s="587" t="n"/>
      <c r="ED66" s="587" t="n"/>
      <c r="EE66" s="587" t="n"/>
      <c r="EF66" s="587" t="n"/>
      <c r="EG66" s="587" t="n"/>
      <c r="EH66" s="587" t="n"/>
      <c r="EI66" s="587" t="n"/>
      <c r="EJ66" s="587" t="n"/>
      <c r="EK66" s="587" t="n"/>
      <c r="EL66" s="587" t="n"/>
      <c r="EM66" s="587" t="n"/>
      <c r="EN66" s="587" t="n"/>
      <c r="EO66" s="587" t="n"/>
      <c r="EP66" s="587" t="n"/>
      <c r="EQ66" s="587" t="n"/>
      <c r="ER66" s="587" t="n"/>
      <c r="ES66" s="587" t="n"/>
      <c r="ET66" s="587" t="n"/>
      <c r="EU66" s="587" t="n"/>
      <c r="EV66" s="587" t="n"/>
      <c r="EW66" s="587" t="n"/>
      <c r="EX66" s="587" t="n"/>
      <c r="EY66" s="587" t="n"/>
      <c r="EZ66" s="587" t="n"/>
      <c r="FA66" s="587" t="n"/>
      <c r="FB66" s="587" t="n"/>
      <c r="FC66" s="587" t="n"/>
      <c r="FD66" s="587" t="n"/>
      <c r="FE66" s="587" t="n"/>
      <c r="FF66" s="587" t="n"/>
      <c r="FG66" s="587" t="n"/>
      <c r="FH66" s="587" t="n"/>
      <c r="FI66" s="587" t="n"/>
      <c r="FJ66" s="587" t="n"/>
      <c r="FK66" s="587" t="n"/>
      <c r="FL66" s="587" t="n"/>
      <c r="FM66" s="587" t="n"/>
      <c r="FN66" s="587" t="n"/>
      <c r="FO66" s="587" t="n"/>
      <c r="FP66" s="587" t="n"/>
      <c r="FQ66" s="587" t="n"/>
      <c r="FR66" s="587" t="n"/>
      <c r="FS66" s="587" t="n"/>
      <c r="FT66" s="587" t="n"/>
      <c r="FU66" s="587" t="n"/>
      <c r="FV66" s="587" t="n"/>
      <c r="FW66" s="587" t="n"/>
      <c r="FX66" s="587" t="n"/>
      <c r="FY66" s="587" t="n"/>
      <c r="FZ66" s="587" t="n"/>
      <c r="GA66" s="587" t="n"/>
    </row>
    <row r="67" customFormat="1" s="568">
      <c r="A67" s="86" t="n"/>
      <c r="B67" s="85" t="n"/>
      <c r="C67" s="137">
        <f>E67*D$5</f>
        <v/>
      </c>
      <c r="D67" s="51" t="inlineStr">
        <is>
          <t>Hazel Ailene Hamilton</t>
        </is>
      </c>
      <c r="E67" s="137">
        <f>SUM(G67:HT67)</f>
        <v/>
      </c>
      <c r="F67" s="568">
        <f>IFERROR(IF($E67&gt;0.0000005,$E67/SUMIF($E$11:$E$140,"&gt;0.0000005"),""),"")</f>
        <v/>
      </c>
      <c r="H67" s="579" t="n"/>
      <c r="J67" s="579" t="n"/>
      <c r="K67" s="579" t="n"/>
      <c r="L67" s="579" t="n"/>
      <c r="M67" s="579" t="n"/>
      <c r="N67" s="579" t="n"/>
      <c r="O67" s="579" t="n"/>
      <c r="P67" s="579" t="n"/>
      <c r="Q67" s="574" t="n"/>
      <c r="R67" s="579" t="n"/>
      <c r="S67" s="579" t="n"/>
      <c r="T67" s="579" t="n"/>
      <c r="U67" s="579" t="n"/>
      <c r="V67" s="579" t="n"/>
      <c r="W67" s="579" t="n"/>
      <c r="X67" s="579" t="n"/>
      <c r="Y67" s="579" t="n"/>
      <c r="Z67" s="574" t="n"/>
      <c r="AA67" s="574" t="n"/>
      <c r="AB67" s="574" t="n"/>
      <c r="AC67" s="574" t="n"/>
      <c r="AD67" s="574" t="n"/>
      <c r="AE67" s="574" t="n"/>
      <c r="AF67" s="588" t="n"/>
      <c r="AG67" s="579" t="n"/>
      <c r="AH67" s="574" t="n"/>
      <c r="AI67" s="579" t="n"/>
      <c r="AJ67" s="572" t="n"/>
      <c r="AK67" s="579" t="n"/>
      <c r="AL67" s="579" t="n"/>
      <c r="AM67" s="579" t="n"/>
      <c r="AN67" s="579" t="n"/>
      <c r="AO67" s="579" t="n"/>
      <c r="AP67" s="579" t="n"/>
      <c r="AQ67" s="579" t="n"/>
      <c r="AR67" s="579" t="n"/>
      <c r="AS67" s="579" t="n"/>
      <c r="AT67" s="579" t="n"/>
      <c r="CI67" s="568" t="n">
        <v>0.00610631293668743</v>
      </c>
      <c r="CM67" s="587" t="n"/>
      <c r="CN67" s="587" t="n"/>
      <c r="CO67" s="587" t="n"/>
      <c r="CP67" s="587" t="n"/>
      <c r="CQ67" s="587" t="n"/>
      <c r="CR67" s="587" t="n"/>
      <c r="CS67" s="587" t="n"/>
      <c r="CT67" s="587" t="n"/>
      <c r="CU67" s="587" t="n"/>
      <c r="CV67" s="587" t="n"/>
      <c r="CW67" s="587" t="n"/>
      <c r="CX67" s="587" t="n"/>
      <c r="CY67" s="587" t="n"/>
      <c r="CZ67" s="587" t="n"/>
      <c r="DA67" s="587" t="n"/>
      <c r="DB67" s="587" t="n"/>
      <c r="DC67" s="587" t="n"/>
      <c r="DD67" s="587" t="n"/>
      <c r="DE67" s="587" t="n"/>
      <c r="DF67" s="587" t="n"/>
      <c r="DG67" s="587" t="n"/>
      <c r="DH67" s="587" t="n"/>
      <c r="DI67" s="587" t="n"/>
      <c r="DJ67" s="587" t="n"/>
      <c r="DK67" s="587" t="n"/>
      <c r="DL67" s="587" t="n"/>
      <c r="DM67" s="587" t="n"/>
      <c r="DN67" s="587" t="n"/>
      <c r="DO67" s="587" t="n"/>
      <c r="DP67" s="587" t="n"/>
      <c r="DQ67" s="587" t="n"/>
      <c r="DR67" s="587" t="n"/>
      <c r="DS67" s="587" t="n"/>
      <c r="DT67" s="587" t="n"/>
      <c r="DU67" s="587" t="n"/>
      <c r="DV67" s="587" t="n"/>
      <c r="DW67" s="587" t="n"/>
      <c r="DX67" s="587" t="n"/>
      <c r="DY67" s="587" t="n"/>
      <c r="DZ67" s="587" t="n"/>
      <c r="EA67" s="587" t="n"/>
      <c r="EB67" s="587" t="n"/>
      <c r="EC67" s="587" t="n"/>
      <c r="ED67" s="587" t="n"/>
      <c r="EE67" s="587" t="n"/>
      <c r="EF67" s="587" t="n"/>
      <c r="EG67" s="587" t="n"/>
      <c r="EH67" s="587" t="n"/>
      <c r="EI67" s="587" t="n"/>
      <c r="EJ67" s="587" t="n"/>
      <c r="EK67" s="587" t="n"/>
      <c r="EL67" s="587" t="n"/>
      <c r="EM67" s="587" t="n"/>
      <c r="EN67" s="587" t="n"/>
      <c r="EO67" s="587" t="n"/>
      <c r="EP67" s="587" t="n"/>
      <c r="EQ67" s="587" t="n"/>
      <c r="ER67" s="587" t="n"/>
      <c r="ES67" s="587" t="n"/>
      <c r="ET67" s="587" t="n"/>
      <c r="EU67" s="587" t="n"/>
      <c r="EV67" s="587" t="n"/>
      <c r="EW67" s="587" t="n"/>
      <c r="EX67" s="587" t="n"/>
      <c r="EY67" s="587" t="n"/>
      <c r="EZ67" s="587" t="n"/>
      <c r="FA67" s="587" t="n"/>
      <c r="FB67" s="587" t="n"/>
      <c r="FC67" s="587" t="n"/>
      <c r="FD67" s="587" t="n"/>
      <c r="FE67" s="587" t="n"/>
      <c r="FF67" s="587" t="n"/>
      <c r="FG67" s="587" t="n"/>
      <c r="FH67" s="587" t="n"/>
      <c r="FI67" s="587" t="n"/>
      <c r="FJ67" s="587" t="n"/>
      <c r="FK67" s="587" t="n"/>
      <c r="FL67" s="587" t="n"/>
      <c r="FM67" s="587" t="n"/>
      <c r="FN67" s="587" t="n"/>
      <c r="FO67" s="587" t="n"/>
      <c r="FP67" s="587" t="n"/>
      <c r="FQ67" s="587" t="n"/>
      <c r="FR67" s="587" t="n"/>
      <c r="FS67" s="587" t="n"/>
      <c r="FT67" s="587" t="n"/>
      <c r="FU67" s="587" t="n"/>
      <c r="FV67" s="587" t="n"/>
      <c r="FW67" s="587" t="n"/>
      <c r="FX67" s="587" t="n"/>
      <c r="FY67" s="587" t="n"/>
      <c r="FZ67" s="587" t="n"/>
      <c r="GA67" s="587" t="n"/>
    </row>
    <row r="68" customFormat="1" s="568">
      <c r="A68" s="86" t="n"/>
      <c r="B68" s="85" t="n"/>
      <c r="C68" s="137">
        <f>E68*D$5</f>
        <v/>
      </c>
      <c r="D68" s="51" t="inlineStr">
        <is>
          <t>Rogene E. Williams</t>
        </is>
      </c>
      <c r="E68" s="137">
        <f>SUM(G68:HT68)</f>
        <v/>
      </c>
      <c r="F68" s="568">
        <f>IFERROR(IF($E68&gt;0.0000005,$E68/SUMIF($E$11:$E$140,"&gt;0.0000005"),""),"")</f>
        <v/>
      </c>
      <c r="H68" s="579" t="n"/>
      <c r="J68" s="579" t="n"/>
      <c r="K68" s="579" t="n"/>
      <c r="L68" s="579" t="n"/>
      <c r="M68" s="579" t="n"/>
      <c r="N68" s="579" t="n"/>
      <c r="O68" s="579" t="n"/>
      <c r="P68" s="579" t="n"/>
      <c r="Q68" s="574" t="n"/>
      <c r="R68" s="579" t="n"/>
      <c r="S68" s="579" t="n"/>
      <c r="T68" s="579" t="n"/>
      <c r="U68" s="579" t="n"/>
      <c r="V68" s="579" t="n"/>
      <c r="W68" s="579" t="n"/>
      <c r="X68" s="579" t="n"/>
      <c r="Y68" s="579" t="n"/>
      <c r="Z68" s="574" t="n"/>
      <c r="AA68" s="574" t="n"/>
      <c r="AB68" s="574" t="n"/>
      <c r="AC68" s="574" t="n"/>
      <c r="AD68" s="574" t="n"/>
      <c r="AE68" s="574" t="n"/>
      <c r="AF68" s="574" t="n"/>
      <c r="AG68" s="579" t="n"/>
      <c r="AH68" s="574" t="n"/>
      <c r="AI68" s="579" t="n"/>
      <c r="AJ68" s="573" t="n"/>
      <c r="AK68" s="579" t="n"/>
      <c r="AL68" s="579" t="n"/>
      <c r="AM68" s="579" t="n"/>
      <c r="AN68" s="579" t="n"/>
      <c r="AO68" s="579" t="n"/>
      <c r="AP68" s="579" t="n"/>
      <c r="AQ68" s="579" t="n"/>
      <c r="AR68" s="579" t="n"/>
      <c r="AS68" s="579" t="n"/>
      <c r="AT68" s="579" t="n"/>
      <c r="CM68" s="587" t="n">
        <v>0.003609865187562383</v>
      </c>
      <c r="CN68" s="587" t="n"/>
      <c r="CO68" s="587" t="n"/>
      <c r="CP68" s="587" t="n"/>
      <c r="CQ68" s="587" t="n"/>
      <c r="CR68" s="587" t="n"/>
      <c r="CS68" s="587" t="n"/>
      <c r="CT68" s="587" t="n"/>
      <c r="CU68" s="587" t="n"/>
      <c r="CV68" s="587" t="n"/>
      <c r="CW68" s="587" t="n"/>
      <c r="CX68" s="587" t="n"/>
      <c r="CY68" s="587" t="n"/>
      <c r="CZ68" s="587" t="n"/>
      <c r="DA68" s="587" t="n"/>
      <c r="DB68" s="587" t="n"/>
      <c r="DC68" s="587" t="n"/>
      <c r="DD68" s="587" t="n"/>
      <c r="DE68" s="587" t="n"/>
      <c r="DF68" s="587" t="n"/>
      <c r="DG68" s="587" t="n"/>
      <c r="DH68" s="587" t="n"/>
      <c r="DI68" s="587" t="n"/>
      <c r="DJ68" s="587" t="n"/>
      <c r="DK68" s="587" t="n"/>
      <c r="DL68" s="587" t="n"/>
      <c r="DM68" s="587" t="n"/>
      <c r="DN68" s="587" t="n"/>
      <c r="DO68" s="587" t="n"/>
      <c r="DP68" s="587" t="n"/>
      <c r="DQ68" s="587" t="n"/>
      <c r="DR68" s="587" t="n"/>
      <c r="DS68" s="587" t="n"/>
      <c r="DT68" s="587" t="n"/>
      <c r="DU68" s="587" t="n"/>
      <c r="DV68" s="587" t="n"/>
      <c r="DW68" s="587" t="n"/>
      <c r="DX68" s="587" t="n"/>
      <c r="DY68" s="587" t="n"/>
      <c r="DZ68" s="587" t="n"/>
      <c r="EA68" s="587" t="n"/>
      <c r="EB68" s="587" t="n"/>
      <c r="EC68" s="587" t="n"/>
      <c r="ED68" s="587" t="n"/>
      <c r="EE68" s="587" t="n"/>
      <c r="EF68" s="587" t="n"/>
      <c r="EG68" s="587" t="n"/>
      <c r="EH68" s="587" t="n"/>
      <c r="EI68" s="587" t="n"/>
      <c r="EJ68" s="587" t="n"/>
      <c r="EK68" s="587" t="n"/>
      <c r="EL68" s="587" t="n"/>
      <c r="EM68" s="587" t="n"/>
      <c r="EN68" s="587" t="n"/>
      <c r="EO68" s="587" t="n"/>
      <c r="EP68" s="587" t="n"/>
      <c r="EQ68" s="587" t="n"/>
      <c r="ER68" s="587" t="n"/>
      <c r="ES68" s="587" t="n"/>
      <c r="ET68" s="587" t="n"/>
      <c r="EU68" s="587" t="n"/>
      <c r="EV68" s="587" t="n"/>
      <c r="EW68" s="587" t="n"/>
      <c r="EX68" s="587" t="n"/>
      <c r="EY68" s="587" t="n"/>
      <c r="EZ68" s="587" t="n"/>
      <c r="FA68" s="587" t="n"/>
      <c r="FB68" s="587" t="n"/>
      <c r="FC68" s="587" t="n"/>
      <c r="FD68" s="587" t="n"/>
      <c r="FE68" s="587" t="n"/>
      <c r="FF68" s="587" t="n"/>
      <c r="FG68" s="587" t="n"/>
      <c r="FH68" s="587" t="n"/>
      <c r="FI68" s="587" t="n"/>
      <c r="FJ68" s="587" t="n"/>
      <c r="FK68" s="587" t="n"/>
      <c r="FL68" s="587" t="n"/>
      <c r="FM68" s="587" t="n"/>
      <c r="FN68" s="587" t="n"/>
      <c r="FO68" s="587" t="n"/>
      <c r="FP68" s="587" t="n"/>
      <c r="FQ68" s="587" t="n"/>
      <c r="FR68" s="587" t="n"/>
      <c r="FS68" s="587" t="n"/>
      <c r="FT68" s="587" t="n"/>
      <c r="FU68" s="587" t="n"/>
      <c r="FV68" s="587" t="n"/>
      <c r="FW68" s="587" t="n"/>
      <c r="FX68" s="587" t="n"/>
      <c r="FY68" s="587" t="n"/>
      <c r="FZ68" s="587" t="n"/>
      <c r="GA68" s="587" t="n"/>
    </row>
    <row r="69" customFormat="1" s="568">
      <c r="A69" s="86" t="n"/>
      <c r="B69" s="85" t="n"/>
      <c r="C69" s="84">
        <f>E69*D$5</f>
        <v/>
      </c>
      <c r="D69" s="52" t="inlineStr">
        <is>
          <t>Rive Lind McCaul</t>
        </is>
      </c>
      <c r="E69" s="84">
        <f>SUM(G69:HT69)</f>
        <v/>
      </c>
      <c r="F69" s="568">
        <f>IFERROR(IF($E69&gt;0.0000005,$E69/SUMIF($E$11:$E$140,"&gt;0.0000005"),""),"")</f>
        <v/>
      </c>
      <c r="H69" s="579" t="n"/>
      <c r="I69" s="579" t="n"/>
      <c r="J69" s="579" t="n"/>
      <c r="K69" s="579" t="n"/>
      <c r="L69" s="579" t="n"/>
      <c r="M69" s="579" t="n"/>
      <c r="N69" s="579" t="n"/>
      <c r="O69" s="579" t="n"/>
      <c r="P69" s="579" t="n"/>
      <c r="Q69" s="574" t="n"/>
      <c r="R69" s="579" t="n"/>
      <c r="S69" s="579" t="n"/>
      <c r="T69" s="579" t="n"/>
      <c r="U69" s="579" t="n"/>
      <c r="V69" s="579" t="n"/>
      <c r="W69" s="579" t="n"/>
      <c r="X69" s="579" t="n"/>
      <c r="Y69" s="579" t="n"/>
      <c r="Z69" s="574" t="n"/>
      <c r="AA69" s="574" t="n"/>
      <c r="AB69" s="574" t="n"/>
      <c r="AC69" s="574" t="n"/>
      <c r="AD69" s="574" t="n"/>
      <c r="AE69" s="574" t="n"/>
      <c r="AF69" s="574" t="n"/>
      <c r="AG69" s="579" t="n"/>
      <c r="AH69" s="574" t="n"/>
      <c r="AI69" s="579" t="n"/>
      <c r="AJ69" s="572" t="n"/>
      <c r="AK69" s="579" t="n"/>
      <c r="AL69" s="579" t="n"/>
      <c r="AM69" s="579" t="n"/>
      <c r="AN69" s="579" t="n"/>
      <c r="AO69" s="579" t="n"/>
      <c r="AP69" s="579" t="n"/>
      <c r="AQ69" s="579" t="n"/>
      <c r="AR69" s="579" t="n"/>
      <c r="AS69" s="579" t="n"/>
      <c r="AT69" s="579" t="n"/>
      <c r="CM69" s="587" t="n">
        <v>0.003609865187562383</v>
      </c>
      <c r="CN69" s="587" t="n"/>
      <c r="CO69" s="587" t="n"/>
      <c r="CP69" s="587" t="n"/>
      <c r="CQ69" s="587" t="n"/>
      <c r="CR69" s="587" t="n"/>
      <c r="CS69" s="587" t="n"/>
      <c r="CT69" s="587" t="n"/>
      <c r="CU69" s="587" t="n"/>
      <c r="CV69" s="587" t="n"/>
      <c r="CW69" s="587" t="n"/>
      <c r="CX69" s="587" t="n"/>
      <c r="CY69" s="587" t="n"/>
      <c r="CZ69" s="587" t="n"/>
      <c r="DA69" s="587" t="n"/>
      <c r="DB69" s="587" t="n"/>
      <c r="DC69" s="587" t="n"/>
      <c r="DD69" s="587" t="n"/>
      <c r="DE69" s="587" t="n"/>
      <c r="DF69" s="587" t="n"/>
      <c r="DG69" s="587" t="n"/>
      <c r="DH69" s="587" t="n"/>
      <c r="DI69" s="587" t="n"/>
      <c r="DJ69" s="587" t="n"/>
      <c r="DK69" s="587" t="n"/>
      <c r="DL69" s="587" t="n"/>
      <c r="DM69" s="587" t="n"/>
      <c r="DN69" s="587" t="n"/>
      <c r="DO69" s="587" t="n"/>
      <c r="DP69" s="587" t="n"/>
      <c r="DQ69" s="587" t="n"/>
      <c r="DR69" s="587" t="n"/>
      <c r="DS69" s="587" t="n"/>
      <c r="DT69" s="587" t="n"/>
      <c r="DU69" s="587" t="n"/>
      <c r="DV69" s="587" t="n"/>
      <c r="DW69" s="587" t="n"/>
      <c r="DX69" s="587" t="n"/>
      <c r="DY69" s="587" t="n"/>
      <c r="DZ69" s="587" t="n"/>
      <c r="EA69" s="587" t="n"/>
      <c r="EB69" s="587" t="n"/>
      <c r="EC69" s="587" t="n"/>
      <c r="ED69" s="587" t="n"/>
      <c r="EE69" s="587" t="n"/>
      <c r="EF69" s="587" t="n"/>
      <c r="EG69" s="587" t="n"/>
      <c r="EH69" s="587" t="n"/>
      <c r="EI69" s="587" t="n"/>
      <c r="EJ69" s="587" t="n"/>
      <c r="EK69" s="587" t="n"/>
      <c r="EL69" s="587" t="n"/>
      <c r="EM69" s="587" t="n"/>
      <c r="EN69" s="587" t="n"/>
      <c r="EO69" s="587" t="n"/>
      <c r="EP69" s="587" t="n"/>
      <c r="EQ69" s="587" t="n"/>
      <c r="ER69" s="587" t="n"/>
      <c r="ES69" s="587" t="n"/>
      <c r="ET69" s="587" t="n"/>
      <c r="EU69" s="587" t="n"/>
      <c r="EV69" s="587" t="n"/>
      <c r="EW69" s="587" t="n"/>
      <c r="EX69" s="587" t="n"/>
      <c r="EY69" s="587" t="n"/>
      <c r="EZ69" s="587" t="n"/>
      <c r="FA69" s="587" t="n"/>
      <c r="FB69" s="587" t="n"/>
      <c r="FC69" s="587" t="n"/>
      <c r="FD69" s="587" t="n"/>
      <c r="FE69" s="587" t="n"/>
      <c r="FF69" s="587" t="n"/>
      <c r="FG69" s="587" t="n"/>
      <c r="FH69" s="587" t="n"/>
      <c r="FI69" s="587" t="n"/>
      <c r="FJ69" s="587" t="n"/>
      <c r="FK69" s="587" t="n"/>
      <c r="FL69" s="587" t="n"/>
      <c r="FM69" s="587" t="n"/>
      <c r="FN69" s="587" t="n"/>
      <c r="FO69" s="587" t="n"/>
      <c r="FP69" s="587" t="n"/>
      <c r="FQ69" s="587" t="n"/>
      <c r="FR69" s="587" t="n"/>
      <c r="FS69" s="587" t="n"/>
      <c r="FT69" s="587" t="n"/>
      <c r="FU69" s="587" t="n"/>
      <c r="FV69" s="587" t="n"/>
      <c r="FW69" s="587" t="n"/>
      <c r="FX69" s="587" t="n"/>
      <c r="FY69" s="587" t="n"/>
      <c r="FZ69" s="587" t="n"/>
      <c r="GA69" s="587" t="n"/>
    </row>
    <row r="70" customFormat="1" s="568">
      <c r="A70" s="86" t="n"/>
      <c r="B70" s="85" t="n"/>
      <c r="C70" s="84">
        <f>E70*D$5</f>
        <v/>
      </c>
      <c r="D70" s="52" t="inlineStr">
        <is>
          <t>Dwight J. Williams</t>
        </is>
      </c>
      <c r="E70" s="84">
        <f>SUM(G70:HT70)</f>
        <v/>
      </c>
      <c r="F70" s="568">
        <f>IFERROR(IF($E70&gt;0.0000005,$E70/SUMIF($E$11:$E$140,"&gt;0.0000005"),""),"")</f>
        <v/>
      </c>
      <c r="H70" s="579" t="n"/>
      <c r="I70" s="579" t="n"/>
      <c r="J70" s="579" t="n"/>
      <c r="K70" s="579" t="n"/>
      <c r="L70" s="579" t="n"/>
      <c r="M70" s="579" t="n"/>
      <c r="N70" s="579" t="n"/>
      <c r="O70" s="579" t="n"/>
      <c r="P70" s="579" t="n"/>
      <c r="Q70" s="574" t="n"/>
      <c r="R70" s="579" t="n"/>
      <c r="S70" s="579" t="n"/>
      <c r="T70" s="579" t="n"/>
      <c r="U70" s="579" t="n"/>
      <c r="V70" s="579" t="n"/>
      <c r="W70" s="579" t="n"/>
      <c r="X70" s="579" t="n"/>
      <c r="Y70" s="579" t="n"/>
      <c r="Z70" s="574" t="n"/>
      <c r="AA70" s="574" t="n"/>
      <c r="AB70" s="574" t="n"/>
      <c r="AC70" s="574" t="n"/>
      <c r="AD70" s="574" t="n"/>
      <c r="AE70" s="574" t="n"/>
      <c r="AF70" s="574" t="n"/>
      <c r="AG70" s="579" t="n"/>
      <c r="AH70" s="574" t="n"/>
      <c r="AI70" s="579" t="n"/>
      <c r="AJ70" s="572" t="n"/>
      <c r="AK70" s="579" t="n"/>
      <c r="AL70" s="579" t="n"/>
      <c r="AM70" s="579" t="n"/>
      <c r="AN70" s="579" t="n"/>
      <c r="AO70" s="579" t="n"/>
      <c r="AP70" s="579" t="n"/>
      <c r="AQ70" s="579" t="n"/>
      <c r="AR70" s="579" t="n"/>
      <c r="AS70" s="579" t="n"/>
      <c r="AT70" s="579" t="n"/>
      <c r="CM70" s="587" t="n">
        <v>0.001804995767369578</v>
      </c>
      <c r="CN70" s="587" t="n"/>
      <c r="CO70" s="587" t="n"/>
      <c r="CP70" s="587" t="n"/>
      <c r="CQ70" s="587" t="n"/>
      <c r="CR70" s="587" t="n"/>
      <c r="CS70" s="587" t="n"/>
      <c r="CT70" s="587" t="n"/>
      <c r="CU70" s="587" t="n"/>
      <c r="CV70" s="587" t="n"/>
      <c r="CW70" s="587" t="n"/>
      <c r="CX70" s="587" t="n"/>
      <c r="CY70" s="587" t="n"/>
      <c r="CZ70" s="587" t="n"/>
      <c r="DA70" s="587" t="n"/>
      <c r="DB70" s="587" t="n"/>
      <c r="DC70" s="587" t="n"/>
      <c r="DD70" s="587" t="n"/>
      <c r="DE70" s="587" t="n"/>
      <c r="DF70" s="587" t="n"/>
      <c r="DG70" s="587" t="n"/>
      <c r="DH70" s="587" t="n"/>
      <c r="DI70" s="587" t="n"/>
      <c r="DJ70" s="587" t="n"/>
      <c r="DK70" s="587" t="n"/>
      <c r="DL70" s="587" t="n"/>
      <c r="DM70" s="587" t="n"/>
      <c r="DN70" s="587" t="n"/>
      <c r="DO70" s="587" t="n"/>
      <c r="DP70" s="587" t="n"/>
      <c r="DQ70" s="587" t="n"/>
      <c r="DR70" s="587" t="n"/>
      <c r="DS70" s="587" t="n"/>
      <c r="DT70" s="587" t="n"/>
      <c r="DU70" s="587" t="n"/>
      <c r="DV70" s="587" t="n"/>
      <c r="DW70" s="587" t="n"/>
      <c r="DX70" s="587" t="n"/>
      <c r="DY70" s="587" t="n"/>
      <c r="DZ70" s="587" t="n"/>
      <c r="EA70" s="587" t="n"/>
      <c r="EB70" s="587" t="n"/>
      <c r="EC70" s="587" t="n"/>
      <c r="ED70" s="587" t="n"/>
      <c r="EE70" s="587" t="n"/>
      <c r="EF70" s="587" t="n"/>
      <c r="EG70" s="587" t="n"/>
      <c r="EH70" s="587" t="n"/>
      <c r="EI70" s="587" t="n"/>
      <c r="EJ70" s="587" t="n"/>
      <c r="EK70" s="587" t="n"/>
      <c r="EL70" s="587" t="n"/>
      <c r="EM70" s="587" t="n"/>
      <c r="EN70" s="587" t="n"/>
      <c r="EO70" s="587" t="n"/>
      <c r="EP70" s="587" t="n"/>
      <c r="EQ70" s="587" t="n"/>
      <c r="ER70" s="587" t="n"/>
      <c r="ES70" s="587" t="n"/>
      <c r="ET70" s="587" t="n"/>
      <c r="EU70" s="587" t="n"/>
      <c r="EV70" s="587" t="n"/>
      <c r="EW70" s="587" t="n"/>
      <c r="EX70" s="587" t="n"/>
      <c r="EY70" s="587" t="n"/>
      <c r="EZ70" s="587" t="n"/>
      <c r="FA70" s="587" t="n"/>
      <c r="FB70" s="587" t="n"/>
      <c r="FC70" s="587" t="n"/>
      <c r="FD70" s="587" t="n"/>
      <c r="FE70" s="587" t="n"/>
      <c r="FF70" s="587" t="n"/>
      <c r="FG70" s="587" t="n"/>
      <c r="FH70" s="587" t="n"/>
      <c r="FI70" s="587" t="n"/>
      <c r="FJ70" s="587" t="n"/>
      <c r="FK70" s="587" t="n"/>
      <c r="FL70" s="587" t="n"/>
      <c r="FM70" s="587" t="n"/>
      <c r="FN70" s="587" t="n"/>
      <c r="FO70" s="587" t="n"/>
      <c r="FP70" s="587" t="n"/>
      <c r="FQ70" s="587" t="n"/>
      <c r="FR70" s="587" t="n"/>
      <c r="FS70" s="587" t="n"/>
      <c r="FT70" s="587" t="n"/>
      <c r="FU70" s="587" t="n"/>
      <c r="FV70" s="587" t="n"/>
      <c r="FW70" s="587" t="n"/>
      <c r="FX70" s="587" t="n"/>
      <c r="FY70" s="587" t="n"/>
      <c r="FZ70" s="587" t="n"/>
      <c r="GA70" s="587" t="n"/>
    </row>
    <row r="71" customFormat="1" s="568">
      <c r="A71" s="86" t="n"/>
      <c r="B71" s="85" t="n"/>
      <c r="C71" s="84">
        <f>E71*D$5</f>
        <v/>
      </c>
      <c r="D71" s="589" t="inlineStr">
        <is>
          <t>on T. Williams, Jr.</t>
        </is>
      </c>
      <c r="E71" s="84">
        <f>SUM(G71:HT71)</f>
        <v/>
      </c>
      <c r="F71" s="568">
        <f>IFERROR(IF($E71&gt;0.0000005,$E71/SUMIF($E$11:$E$140,"&gt;0.0000005"),""),"")</f>
        <v/>
      </c>
      <c r="H71" s="579" t="n"/>
      <c r="I71" s="579" t="n"/>
      <c r="J71" s="579" t="n"/>
      <c r="K71" s="579" t="n"/>
      <c r="L71" s="579" t="n"/>
      <c r="M71" s="579" t="n"/>
      <c r="N71" s="579" t="n"/>
      <c r="O71" s="579" t="n"/>
      <c r="P71" s="579" t="n"/>
      <c r="Q71" s="574" t="n"/>
      <c r="R71" s="579" t="n"/>
      <c r="S71" s="579" t="n"/>
      <c r="T71" s="579" t="n"/>
      <c r="U71" s="579" t="n"/>
      <c r="V71" s="579" t="n"/>
      <c r="W71" s="579" t="n"/>
      <c r="X71" s="579" t="n"/>
      <c r="Y71" s="579" t="n"/>
      <c r="Z71" s="574" t="n"/>
      <c r="AA71" s="574" t="n"/>
      <c r="AB71" s="574" t="n"/>
      <c r="AC71" s="574" t="n"/>
      <c r="AD71" s="574" t="n"/>
      <c r="AE71" s="574" t="n"/>
      <c r="AF71" s="574" t="n"/>
      <c r="AG71" s="579" t="n"/>
      <c r="AH71" s="574" t="n"/>
      <c r="AI71" s="579" t="n"/>
      <c r="AJ71" s="572" t="n"/>
      <c r="AK71" s="579" t="n"/>
      <c r="AL71" s="579" t="n"/>
      <c r="AM71" s="579" t="n"/>
      <c r="AN71" s="579" t="n"/>
      <c r="AO71" s="579" t="n"/>
      <c r="AP71" s="579" t="n"/>
      <c r="AQ71" s="579" t="n"/>
      <c r="AR71" s="579" t="n"/>
      <c r="AS71" s="579" t="n"/>
      <c r="AT71" s="579" t="n"/>
      <c r="CM71" s="587" t="n">
        <v>0.001804995767369578</v>
      </c>
      <c r="CN71" s="587" t="n"/>
      <c r="CO71" s="587" t="n"/>
      <c r="CP71" s="587" t="n"/>
      <c r="CQ71" s="587" t="n"/>
      <c r="CR71" s="587" t="n"/>
      <c r="CS71" s="587" t="n"/>
      <c r="CT71" s="587" t="n"/>
      <c r="CU71" s="587" t="n"/>
      <c r="CV71" s="587" t="n"/>
      <c r="CW71" s="587" t="n"/>
      <c r="CX71" s="587" t="n"/>
      <c r="CY71" s="587" t="n"/>
      <c r="CZ71" s="587" t="n"/>
      <c r="DA71" s="587" t="n"/>
      <c r="DB71" s="587" t="n"/>
      <c r="DC71" s="587" t="n"/>
      <c r="DD71" s="587" t="n"/>
      <c r="DE71" s="587" t="n"/>
      <c r="DF71" s="587" t="n"/>
      <c r="DG71" s="587" t="n"/>
      <c r="DH71" s="587" t="n"/>
      <c r="DI71" s="587" t="n"/>
      <c r="DJ71" s="587" t="n"/>
      <c r="DK71" s="587" t="n"/>
      <c r="DL71" s="587" t="n"/>
      <c r="DM71" s="587" t="n"/>
      <c r="DN71" s="587" t="n"/>
      <c r="DO71" s="587" t="n"/>
      <c r="DP71" s="587" t="n"/>
      <c r="DQ71" s="587" t="n"/>
      <c r="DR71" s="587" t="n"/>
      <c r="DS71" s="587" t="n"/>
      <c r="DT71" s="587" t="n"/>
      <c r="DU71" s="587" t="n"/>
      <c r="DV71" s="587" t="n"/>
      <c r="DW71" s="587" t="n"/>
      <c r="DX71" s="587" t="n"/>
      <c r="DY71" s="587" t="n"/>
      <c r="DZ71" s="587" t="n"/>
      <c r="EA71" s="587" t="n"/>
      <c r="EB71" s="587" t="n"/>
      <c r="EC71" s="587" t="n"/>
      <c r="ED71" s="587" t="n"/>
      <c r="EE71" s="587" t="n"/>
      <c r="EF71" s="587" t="n"/>
      <c r="EG71" s="587" t="n"/>
      <c r="EH71" s="587" t="n"/>
      <c r="EI71" s="587" t="n"/>
      <c r="EJ71" s="587" t="n"/>
      <c r="EK71" s="587" t="n"/>
      <c r="EL71" s="587" t="n"/>
      <c r="EM71" s="587" t="n"/>
      <c r="EN71" s="587" t="n"/>
      <c r="EO71" s="587" t="n"/>
      <c r="EP71" s="587" t="n"/>
      <c r="EQ71" s="587" t="n"/>
      <c r="ER71" s="587" t="n"/>
      <c r="ES71" s="587" t="n"/>
      <c r="ET71" s="587" t="n"/>
      <c r="EU71" s="587" t="n"/>
      <c r="EV71" s="587" t="n"/>
      <c r="EW71" s="587" t="n"/>
      <c r="EX71" s="587" t="n"/>
      <c r="EY71" s="587" t="n"/>
      <c r="EZ71" s="587" t="n"/>
      <c r="FA71" s="587" t="n"/>
      <c r="FB71" s="587" t="n"/>
      <c r="FC71" s="587" t="n"/>
      <c r="FD71" s="587" t="n"/>
      <c r="FE71" s="587" t="n"/>
      <c r="FF71" s="587" t="n"/>
      <c r="FG71" s="587" t="n"/>
      <c r="FH71" s="587" t="n"/>
      <c r="FI71" s="587" t="n"/>
      <c r="FJ71" s="587" t="n"/>
      <c r="FK71" s="587" t="n"/>
      <c r="FL71" s="587" t="n"/>
      <c r="FM71" s="587" t="n"/>
      <c r="FN71" s="587" t="n"/>
      <c r="FO71" s="587" t="n"/>
      <c r="FP71" s="587" t="n"/>
      <c r="FQ71" s="587" t="n"/>
      <c r="FR71" s="587" t="n"/>
      <c r="FS71" s="587" t="n"/>
      <c r="FT71" s="587" t="n"/>
      <c r="FU71" s="587" t="n"/>
      <c r="FV71" s="587" t="n"/>
      <c r="FW71" s="587" t="n"/>
      <c r="FX71" s="587" t="n"/>
      <c r="FY71" s="587" t="n"/>
      <c r="FZ71" s="587" t="n"/>
      <c r="GA71" s="587" t="n"/>
    </row>
    <row r="72" customFormat="1" s="568">
      <c r="A72" s="86" t="n"/>
      <c r="B72" s="85" t="n"/>
      <c r="C72" s="84">
        <f>E72*D$5</f>
        <v/>
      </c>
      <c r="D72" s="578" t="inlineStr">
        <is>
          <t>Jan Ann Schroff</t>
        </is>
      </c>
      <c r="E72" s="84">
        <f>SUM(G72:HT72)</f>
        <v/>
      </c>
      <c r="F72" s="568">
        <f>IFERROR(IF($E72&gt;0.0000005,$E72/SUMIF($E$11:$E$140,"&gt;0.0000005"),""),"")</f>
        <v/>
      </c>
      <c r="H72" s="579" t="n"/>
      <c r="I72" s="579" t="n"/>
      <c r="J72" s="579" t="n"/>
      <c r="K72" s="579" t="n"/>
      <c r="L72" s="579" t="n"/>
      <c r="M72" s="579" t="n"/>
      <c r="N72" s="579" t="n"/>
      <c r="O72" s="579" t="n"/>
      <c r="P72" s="579" t="n"/>
      <c r="Q72" s="574" t="n"/>
      <c r="R72" s="579" t="n"/>
      <c r="S72" s="579" t="n"/>
      <c r="T72" s="579" t="n"/>
      <c r="U72" s="579" t="n"/>
      <c r="V72" s="579" t="n"/>
      <c r="W72" s="579" t="n"/>
      <c r="X72" s="579" t="n"/>
      <c r="Y72" s="579" t="n"/>
      <c r="Z72" s="574" t="n"/>
      <c r="AA72" s="574" t="n"/>
      <c r="AB72" s="574" t="n"/>
      <c r="AC72" s="574" t="n"/>
      <c r="AD72" s="574" t="n"/>
      <c r="AE72" s="574" t="n"/>
      <c r="AF72" s="574" t="n"/>
      <c r="AG72" s="579" t="n"/>
      <c r="AH72" s="574" t="n"/>
      <c r="AI72" s="579" t="n"/>
      <c r="AJ72" s="572" t="n"/>
      <c r="AK72" s="579" t="n"/>
      <c r="AL72" s="579" t="n"/>
      <c r="AM72" s="579" t="n"/>
      <c r="AN72" s="579" t="n"/>
      <c r="AO72" s="579" t="n"/>
      <c r="AP72" s="579" t="n"/>
      <c r="AQ72" s="579" t="n"/>
      <c r="AR72" s="579" t="n"/>
      <c r="AS72" s="579" t="n"/>
      <c r="AT72" s="579" t="n"/>
      <c r="CM72" s="587" t="n">
        <v>0.001804995767369578</v>
      </c>
      <c r="CN72" s="587" t="n"/>
      <c r="CO72" s="587" t="n"/>
      <c r="CP72" s="587" t="n"/>
      <c r="CQ72" s="587" t="n"/>
      <c r="CR72" s="587" t="n"/>
      <c r="CS72" s="587" t="n"/>
      <c r="CT72" s="587" t="n"/>
      <c r="CU72" s="587" t="n"/>
      <c r="CV72" s="587" t="n"/>
      <c r="CW72" s="587" t="n"/>
      <c r="CX72" s="587" t="n"/>
      <c r="CY72" s="587" t="n"/>
      <c r="CZ72" s="587" t="n"/>
      <c r="DA72" s="587" t="n"/>
      <c r="DB72" s="587" t="n"/>
      <c r="DC72" s="587" t="n"/>
      <c r="DD72" s="587" t="n"/>
      <c r="DE72" s="587" t="n"/>
      <c r="DF72" s="587" t="n"/>
      <c r="DG72" s="587" t="n"/>
      <c r="DH72" s="587" t="n"/>
      <c r="DI72" s="587" t="n"/>
      <c r="DJ72" s="587" t="n"/>
      <c r="DK72" s="587" t="n"/>
      <c r="DL72" s="587" t="n"/>
      <c r="DM72" s="587" t="n"/>
      <c r="DN72" s="587" t="n"/>
      <c r="DO72" s="587" t="n"/>
      <c r="DP72" s="587" t="n"/>
      <c r="DQ72" s="587" t="n"/>
      <c r="DR72" s="587" t="n"/>
      <c r="DS72" s="587" t="n"/>
      <c r="DT72" s="587" t="n"/>
      <c r="DU72" s="587" t="n"/>
      <c r="DV72" s="587" t="n"/>
      <c r="DW72" s="587" t="n"/>
      <c r="DX72" s="587" t="n"/>
      <c r="DY72" s="587" t="n"/>
      <c r="DZ72" s="587" t="n"/>
      <c r="EA72" s="587" t="n"/>
      <c r="EB72" s="587" t="n"/>
      <c r="EC72" s="587" t="n"/>
      <c r="ED72" s="587" t="n"/>
      <c r="EE72" s="587" t="n"/>
      <c r="EF72" s="587" t="n"/>
      <c r="EG72" s="587" t="n"/>
      <c r="EH72" s="587" t="n"/>
      <c r="EI72" s="587" t="n"/>
      <c r="EJ72" s="587" t="n"/>
      <c r="EK72" s="587" t="n"/>
      <c r="EL72" s="587" t="n"/>
      <c r="EM72" s="587" t="n"/>
      <c r="EN72" s="587" t="n"/>
      <c r="EO72" s="587" t="n"/>
      <c r="EP72" s="587" t="n"/>
      <c r="EQ72" s="587" t="n"/>
      <c r="ER72" s="587" t="n"/>
      <c r="ES72" s="587" t="n"/>
      <c r="ET72" s="587" t="n"/>
      <c r="EU72" s="587" t="n"/>
      <c r="EV72" s="587" t="n"/>
      <c r="EW72" s="587" t="n"/>
      <c r="EX72" s="587" t="n"/>
      <c r="EY72" s="587" t="n"/>
      <c r="EZ72" s="587" t="n"/>
      <c r="FA72" s="587" t="n"/>
      <c r="FB72" s="587" t="n"/>
      <c r="FC72" s="587" t="n"/>
      <c r="FD72" s="587" t="n"/>
      <c r="FE72" s="587" t="n"/>
      <c r="FF72" s="587" t="n"/>
      <c r="FG72" s="587" t="n"/>
      <c r="FH72" s="587" t="n"/>
      <c r="FI72" s="587" t="n"/>
      <c r="FJ72" s="587" t="n"/>
      <c r="FK72" s="587" t="n"/>
      <c r="FL72" s="587" t="n"/>
      <c r="FM72" s="587" t="n"/>
      <c r="FN72" s="587" t="n"/>
      <c r="FO72" s="587" t="n"/>
      <c r="FP72" s="587" t="n"/>
      <c r="FQ72" s="587" t="n"/>
      <c r="FR72" s="587" t="n"/>
      <c r="FS72" s="587" t="n"/>
      <c r="FT72" s="587" t="n"/>
      <c r="FU72" s="587" t="n"/>
      <c r="FV72" s="587" t="n"/>
      <c r="FW72" s="587" t="n"/>
      <c r="FX72" s="587" t="n"/>
      <c r="FY72" s="587" t="n"/>
      <c r="FZ72" s="587" t="n"/>
      <c r="GA72" s="587" t="n"/>
    </row>
    <row r="73" customFormat="1" s="568">
      <c r="A73" s="86" t="n"/>
      <c r="B73" s="85" t="n"/>
      <c r="C73" s="84">
        <f>E73*D$5</f>
        <v/>
      </c>
      <c r="D73" s="114" t="inlineStr">
        <is>
          <t>Melinda Ann Mulvihill</t>
        </is>
      </c>
      <c r="E73" s="84">
        <f>SUM(G73:HT73)</f>
        <v/>
      </c>
      <c r="F73" s="568">
        <f>IFERROR(IF($E73&gt;0.0000005,$E73/SUMIF($E$11:$E$140,"&gt;0.0000005"),""),"")</f>
        <v/>
      </c>
      <c r="H73" s="579" t="n"/>
      <c r="I73" s="579" t="n"/>
      <c r="J73" s="579" t="n"/>
      <c r="K73" s="579" t="n"/>
      <c r="L73" s="579" t="n"/>
      <c r="M73" s="579" t="n"/>
      <c r="N73" s="579" t="n"/>
      <c r="O73" s="579" t="n"/>
      <c r="P73" s="579" t="n"/>
      <c r="Q73" s="574" t="n"/>
      <c r="R73" s="579" t="n"/>
      <c r="S73" s="579" t="n"/>
      <c r="T73" s="579" t="n"/>
      <c r="U73" s="579" t="n"/>
      <c r="V73" s="579" t="n"/>
      <c r="W73" s="579" t="n"/>
      <c r="X73" s="579" t="n"/>
      <c r="Y73" s="579" t="n"/>
      <c r="Z73" s="574" t="n"/>
      <c r="AA73" s="574" t="n"/>
      <c r="AB73" s="574" t="n"/>
      <c r="AC73" s="574" t="n"/>
      <c r="AD73" s="574" t="n"/>
      <c r="AE73" s="574" t="n"/>
      <c r="AF73" s="574" t="n"/>
      <c r="AG73" s="579" t="n"/>
      <c r="AH73" s="574" t="n"/>
      <c r="AI73" s="579" t="n"/>
      <c r="AJ73" s="572" t="n"/>
      <c r="AK73" s="579" t="n"/>
      <c r="AL73" s="579" t="n"/>
      <c r="AM73" s="579" t="n"/>
      <c r="AN73" s="579" t="n"/>
      <c r="AO73" s="579" t="n"/>
      <c r="AP73" s="579" t="n"/>
      <c r="AQ73" s="579" t="n"/>
      <c r="AR73" s="579" t="n"/>
      <c r="AS73" s="579" t="n"/>
      <c r="AT73" s="579" t="n"/>
      <c r="CM73" s="587" t="n">
        <v>0.001804995767369578</v>
      </c>
      <c r="CN73" s="587" t="n"/>
      <c r="CO73" s="587" t="n"/>
      <c r="CP73" s="587" t="n"/>
      <c r="CQ73" s="587" t="n"/>
      <c r="CR73" s="587" t="n"/>
      <c r="CS73" s="587" t="n"/>
      <c r="CT73" s="587" t="n"/>
      <c r="CU73" s="587" t="n"/>
      <c r="CV73" s="587" t="n"/>
      <c r="CW73" s="587" t="n"/>
      <c r="CX73" s="587" t="n"/>
      <c r="CY73" s="587" t="n"/>
      <c r="CZ73" s="587" t="n"/>
      <c r="DA73" s="587" t="n"/>
      <c r="DB73" s="587" t="n"/>
      <c r="DC73" s="587" t="n"/>
      <c r="DD73" s="587" t="n"/>
      <c r="DE73" s="587" t="n"/>
      <c r="DF73" s="587" t="n"/>
      <c r="DG73" s="587" t="n"/>
      <c r="DH73" s="587" t="n"/>
      <c r="DI73" s="587" t="n"/>
      <c r="DJ73" s="587" t="n"/>
      <c r="DK73" s="587" t="n"/>
      <c r="DL73" s="587" t="n"/>
      <c r="DM73" s="587" t="n"/>
      <c r="DN73" s="587" t="n"/>
      <c r="DO73" s="587" t="n"/>
      <c r="DP73" s="587" t="n"/>
      <c r="DQ73" s="587" t="n"/>
      <c r="DR73" s="587" t="n"/>
      <c r="DS73" s="587" t="n"/>
      <c r="DT73" s="587" t="n"/>
      <c r="DU73" s="587" t="n"/>
      <c r="DV73" s="587" t="n"/>
      <c r="DW73" s="587" t="n"/>
      <c r="DX73" s="587" t="n"/>
      <c r="DY73" s="587" t="n"/>
      <c r="DZ73" s="587" t="n"/>
      <c r="EA73" s="587" t="n"/>
      <c r="EB73" s="587" t="n"/>
      <c r="EC73" s="587" t="n"/>
      <c r="ED73" s="587" t="n"/>
      <c r="EE73" s="587" t="n"/>
      <c r="EF73" s="587" t="n"/>
      <c r="EG73" s="587" t="n"/>
      <c r="EH73" s="587" t="n"/>
      <c r="EI73" s="587" t="n"/>
      <c r="EJ73" s="587" t="n"/>
      <c r="EK73" s="587" t="n"/>
      <c r="EL73" s="587" t="n"/>
      <c r="EM73" s="587" t="n"/>
      <c r="EN73" s="587" t="n"/>
      <c r="EO73" s="587" t="n"/>
      <c r="EP73" s="587" t="n"/>
      <c r="EQ73" s="587" t="n"/>
      <c r="ER73" s="587" t="n"/>
      <c r="ES73" s="587" t="n"/>
      <c r="ET73" s="587" t="n"/>
      <c r="EU73" s="587" t="n"/>
      <c r="EV73" s="587" t="n"/>
      <c r="EW73" s="587" t="n"/>
      <c r="EX73" s="587" t="n"/>
      <c r="EY73" s="587" t="n"/>
      <c r="EZ73" s="587" t="n"/>
      <c r="FA73" s="587" t="n"/>
      <c r="FB73" s="587" t="n"/>
      <c r="FC73" s="587" t="n"/>
      <c r="FD73" s="587" t="n"/>
      <c r="FE73" s="587" t="n"/>
      <c r="FF73" s="587" t="n"/>
      <c r="FG73" s="587" t="n"/>
      <c r="FH73" s="587" t="n"/>
      <c r="FI73" s="587" t="n"/>
      <c r="FJ73" s="587" t="n"/>
      <c r="FK73" s="587" t="n"/>
      <c r="FL73" s="587" t="n"/>
      <c r="FM73" s="587" t="n"/>
      <c r="FN73" s="587" t="n"/>
      <c r="FO73" s="587" t="n"/>
      <c r="FP73" s="587" t="n"/>
      <c r="FQ73" s="587" t="n"/>
      <c r="FR73" s="587" t="n"/>
      <c r="FS73" s="587" t="n"/>
      <c r="FT73" s="587" t="n"/>
      <c r="FU73" s="587" t="n"/>
      <c r="FV73" s="587" t="n"/>
      <c r="FW73" s="587" t="n"/>
      <c r="FX73" s="587" t="n"/>
      <c r="FY73" s="587" t="n"/>
      <c r="FZ73" s="587" t="n"/>
      <c r="GA73" s="587" t="n"/>
    </row>
    <row r="74" customFormat="1" s="568">
      <c r="A74" s="86" t="n"/>
      <c r="B74" s="85" t="n"/>
      <c r="C74" s="84">
        <f>E74*D$5</f>
        <v/>
      </c>
      <c r="D74" s="114" t="inlineStr">
        <is>
          <t>— TRACT 2 GAP (see note) —</t>
        </is>
      </c>
      <c r="E74" s="84">
        <f>SUM(G74:HT74)</f>
        <v/>
      </c>
      <c r="F74" s="568">
        <f>IFERROR(IF($E74&gt;0.0000005,$E74/SUMIF($E$11:$E$140,"&gt;0.0000005"),""),"")</f>
        <v/>
      </c>
      <c r="H74" s="579" t="n"/>
      <c r="I74" s="579" t="n"/>
      <c r="J74" s="579" t="n"/>
      <c r="K74" s="579" t="n"/>
      <c r="L74" s="579" t="n"/>
      <c r="M74" s="579" t="n"/>
      <c r="N74" s="579" t="n"/>
      <c r="O74" s="579" t="n"/>
      <c r="P74" s="579" t="n"/>
      <c r="Q74" s="574" t="n"/>
      <c r="R74" s="579" t="n"/>
      <c r="S74" s="579" t="n"/>
      <c r="T74" s="579" t="n"/>
      <c r="U74" s="579" t="n"/>
      <c r="V74" s="579" t="n"/>
      <c r="W74" s="579" t="n"/>
      <c r="X74" s="579" t="n"/>
      <c r="Y74" s="579" t="n"/>
      <c r="Z74" s="574" t="n"/>
      <c r="AA74" s="574" t="n"/>
      <c r="AB74" s="574" t="n"/>
      <c r="AC74" s="574" t="n"/>
      <c r="AD74" s="574" t="n"/>
      <c r="AE74" s="574" t="n"/>
      <c r="AF74" s="574" t="n"/>
      <c r="AG74" s="579" t="n"/>
      <c r="AH74" s="574" t="n"/>
      <c r="AI74" s="579" t="n"/>
      <c r="AJ74" s="572" t="n"/>
      <c r="AK74" s="579" t="n"/>
      <c r="AL74" s="579" t="n"/>
      <c r="AM74" s="579" t="n"/>
      <c r="AN74" s="579" t="n"/>
      <c r="AO74" s="579" t="n"/>
      <c r="AP74" s="579" t="n"/>
      <c r="AQ74" s="579" t="n"/>
      <c r="AR74" s="579" t="n"/>
      <c r="AS74" s="579" t="n"/>
      <c r="AT74" s="579" t="n"/>
      <c r="CM74" s="587" t="n"/>
      <c r="CN74" s="587" t="n"/>
      <c r="CO74" s="587" t="n"/>
      <c r="CP74" s="587" t="n"/>
      <c r="CQ74" s="587" t="n"/>
      <c r="CR74" s="587" t="n"/>
      <c r="CS74" s="587" t="n"/>
      <c r="CT74" s="587" t="n"/>
      <c r="CU74" s="587" t="n"/>
      <c r="CV74" s="587" t="n"/>
      <c r="CW74" s="587" t="n"/>
      <c r="CX74" s="587" t="n"/>
      <c r="CY74" s="587" t="n"/>
      <c r="CZ74" s="587" t="n"/>
      <c r="DA74" s="587" t="n"/>
      <c r="DB74" s="587" t="n"/>
      <c r="DC74" s="587" t="n"/>
      <c r="DD74" s="587" t="n"/>
      <c r="DE74" s="587" t="n"/>
      <c r="DF74" s="587" t="n"/>
      <c r="DG74" s="587" t="n"/>
      <c r="DH74" s="587" t="n"/>
      <c r="DI74" s="587" t="n"/>
      <c r="DJ74" s="587" t="n"/>
      <c r="DK74" s="587" t="n"/>
      <c r="DL74" s="587" t="n"/>
      <c r="DM74" s="587" t="n"/>
      <c r="DN74" s="587" t="n"/>
      <c r="DO74" s="587" t="n"/>
      <c r="DP74" s="587" t="n"/>
      <c r="DQ74" s="587" t="n"/>
      <c r="DR74" s="587" t="n"/>
      <c r="DS74" s="587" t="n"/>
      <c r="DT74" s="587" t="n"/>
      <c r="DU74" s="587" t="n"/>
      <c r="DV74" s="587" t="n"/>
      <c r="DW74" s="587" t="n"/>
      <c r="DX74" s="587" t="n"/>
      <c r="DY74" s="587" t="n"/>
      <c r="DZ74" s="587" t="n"/>
      <c r="EA74" s="587" t="n"/>
      <c r="EB74" s="587" t="n"/>
      <c r="EC74" s="587" t="n"/>
      <c r="ED74" s="587" t="n"/>
      <c r="EE74" s="587" t="n"/>
      <c r="EF74" s="587" t="n"/>
      <c r="EG74" s="587" t="n"/>
      <c r="EH74" s="587" t="n"/>
      <c r="EI74" s="587" t="n"/>
      <c r="EJ74" s="587" t="n"/>
      <c r="EK74" s="587" t="n"/>
      <c r="EL74" s="587" t="n"/>
      <c r="EM74" s="587" t="n"/>
      <c r="EN74" s="587" t="n"/>
      <c r="EO74" s="587" t="n"/>
      <c r="EP74" s="587" t="n"/>
      <c r="EQ74" s="587" t="n"/>
      <c r="ER74" s="587" t="n"/>
      <c r="ES74" s="587" t="n"/>
      <c r="ET74" s="587" t="n"/>
      <c r="EU74" s="587" t="n"/>
      <c r="EV74" s="587" t="n"/>
      <c r="EW74" s="587" t="n"/>
      <c r="EX74" s="587" t="n"/>
      <c r="EY74" s="587" t="n"/>
      <c r="EZ74" s="587" t="n"/>
      <c r="FA74" s="587" t="n"/>
      <c r="FB74" s="587" t="n"/>
      <c r="FC74" s="587" t="n"/>
      <c r="FD74" s="587" t="n"/>
      <c r="FE74" s="587" t="n"/>
      <c r="FF74" s="587" t="n"/>
      <c r="FG74" s="587" t="n"/>
      <c r="FH74" s="587" t="n"/>
      <c r="FI74" s="587" t="n"/>
      <c r="FJ74" s="587" t="n"/>
      <c r="FK74" s="587" t="n"/>
      <c r="FL74" s="587" t="n"/>
      <c r="FM74" s="587" t="n"/>
      <c r="FN74" s="587" t="n"/>
      <c r="FO74" s="587" t="n"/>
      <c r="FP74" s="587" t="n"/>
      <c r="FQ74" s="587" t="n"/>
      <c r="FR74" s="587" t="n"/>
      <c r="FS74" s="587" t="n"/>
      <c r="FT74" s="587" t="n"/>
      <c r="FU74" s="587" t="n"/>
      <c r="FV74" s="587" t="n"/>
      <c r="FW74" s="587" t="n"/>
      <c r="FX74" s="587" t="n"/>
      <c r="FY74" s="587" t="n"/>
      <c r="FZ74" s="587" t="n"/>
      <c r="GA74" s="587" t="n"/>
    </row>
    <row r="75" customFormat="1" s="568">
      <c r="A75" s="86" t="n"/>
      <c r="B75" s="85" t="n"/>
      <c r="C75" s="137">
        <f>E75*D$5</f>
        <v/>
      </c>
      <c r="D75" s="114" t="inlineStr">
        <is>
          <t>Charlotte F. Willert</t>
        </is>
      </c>
      <c r="E75" s="137">
        <f>SUM(G75:HT75)</f>
        <v/>
      </c>
      <c r="F75" s="568">
        <f>IFERROR(IF($E75&gt;0.0000005,$E75/SUMIF($E$11:$E$140,"&gt;0.0000005"),""),"")</f>
        <v/>
      </c>
      <c r="H75" s="579" t="n"/>
      <c r="I75" s="579" t="n"/>
      <c r="J75" s="579" t="n"/>
      <c r="K75" s="579" t="n"/>
      <c r="L75" s="579" t="n"/>
      <c r="M75" s="579" t="n"/>
      <c r="N75" s="579" t="n"/>
      <c r="O75" s="579" t="n"/>
      <c r="P75" s="579" t="n"/>
      <c r="Q75" s="574" t="n"/>
      <c r="R75" s="579" t="n"/>
      <c r="S75" s="579" t="n"/>
      <c r="T75" s="579" t="n"/>
      <c r="U75" s="579" t="n"/>
      <c r="V75" s="579" t="n"/>
      <c r="W75" s="579" t="n"/>
      <c r="X75" s="579" t="n"/>
      <c r="Y75" s="579" t="n"/>
      <c r="Z75" s="574" t="n"/>
      <c r="AA75" s="574" t="n"/>
      <c r="AB75" s="574" t="n"/>
      <c r="AC75" s="574" t="n"/>
      <c r="AD75" s="574" t="n"/>
      <c r="AE75" s="574" t="n"/>
      <c r="AF75" s="574" t="n"/>
      <c r="AG75" s="579" t="n"/>
      <c r="AH75" s="574" t="n"/>
      <c r="AI75" s="579" t="n"/>
      <c r="AJ75" s="574" t="n"/>
      <c r="AK75" s="579" t="n"/>
      <c r="AL75" s="579" t="n"/>
      <c r="AM75" s="579" t="n"/>
      <c r="AN75" s="579" t="n"/>
      <c r="AO75" s="579" t="n"/>
      <c r="AP75" s="579" t="n"/>
      <c r="AQ75" s="579" t="n"/>
      <c r="AR75" s="579" t="n"/>
      <c r="AS75" s="579" t="n"/>
      <c r="AT75" s="579" t="n"/>
      <c r="CM75" s="587" t="n"/>
      <c r="CN75" s="587" t="n"/>
      <c r="CO75" s="587" t="n"/>
      <c r="CP75" s="587" t="n"/>
      <c r="CQ75" s="587" t="n"/>
      <c r="CR75" s="587" t="n"/>
      <c r="CS75" s="587" t="n"/>
      <c r="CT75" s="587" t="n"/>
      <c r="CU75" s="587" t="n"/>
      <c r="CV75" s="587" t="n"/>
      <c r="CW75" s="587" t="n"/>
      <c r="CX75" s="587" t="n"/>
      <c r="CY75" s="587" t="n"/>
      <c r="CZ75" s="587" t="n"/>
      <c r="DA75" s="587" t="n"/>
      <c r="DB75" s="587" t="n"/>
      <c r="DC75" s="587" t="n"/>
      <c r="DD75" s="587" t="n"/>
      <c r="DE75" s="587" t="n"/>
      <c r="DF75" s="587" t="n"/>
      <c r="DG75" s="587" t="n"/>
      <c r="DH75" s="587" t="n"/>
      <c r="DI75" s="587" t="n"/>
      <c r="DJ75" s="587" t="n"/>
      <c r="DK75" s="587" t="n"/>
      <c r="DL75" s="587" t="n"/>
      <c r="DM75" s="587" t="n">
        <v>0</v>
      </c>
      <c r="DN75" s="587" t="n"/>
      <c r="DO75" s="587" t="n"/>
      <c r="DP75" s="587" t="n"/>
      <c r="DQ75" s="587" t="n"/>
      <c r="DR75" s="587" t="n"/>
      <c r="DS75" s="587" t="n"/>
      <c r="DT75" s="587" t="n"/>
      <c r="DU75" s="587" t="n"/>
      <c r="DV75" s="587" t="n"/>
      <c r="DW75" s="587" t="n"/>
      <c r="DX75" s="587" t="n"/>
      <c r="DY75" s="587" t="n"/>
      <c r="DZ75" s="587" t="n"/>
      <c r="EA75" s="587" t="n"/>
      <c r="EB75" s="587" t="n"/>
      <c r="EC75" s="587" t="n"/>
      <c r="ED75" s="587" t="n"/>
      <c r="EE75" s="587" t="n"/>
      <c r="EF75" s="587" t="n"/>
      <c r="EG75" s="587" t="n"/>
      <c r="EH75" s="587" t="n"/>
      <c r="EI75" s="587" t="n"/>
      <c r="EJ75" s="587" t="n"/>
      <c r="EK75" s="587" t="n"/>
      <c r="EL75" s="587" t="n"/>
      <c r="EM75" s="587" t="n"/>
      <c r="EN75" s="587" t="n"/>
      <c r="EO75" s="587" t="n"/>
      <c r="EP75" s="587" t="n"/>
      <c r="EQ75" s="587" t="n"/>
      <c r="ER75" s="587" t="n"/>
      <c r="ES75" s="587" t="n"/>
      <c r="ET75" s="587" t="n"/>
      <c r="EU75" s="587" t="n"/>
      <c r="EV75" s="587" t="n"/>
      <c r="EW75" s="587" t="n"/>
      <c r="EX75" s="587" t="n"/>
      <c r="EY75" s="587" t="n"/>
      <c r="EZ75" s="587" t="n"/>
      <c r="FA75" s="587" t="n"/>
      <c r="FB75" s="587" t="n"/>
      <c r="FC75" s="587" t="n"/>
      <c r="FD75" s="587" t="n"/>
      <c r="FE75" s="587" t="n"/>
      <c r="FF75" s="587" t="n"/>
      <c r="FG75" s="587" t="n"/>
      <c r="FH75" s="587" t="n"/>
      <c r="FI75" s="587" t="n"/>
      <c r="FJ75" s="587" t="n"/>
      <c r="FK75" s="587" t="n"/>
      <c r="FL75" s="587" t="n"/>
      <c r="FM75" s="587" t="n"/>
      <c r="FN75" s="587" t="n"/>
      <c r="FO75" s="587" t="n"/>
      <c r="FP75" s="587" t="n"/>
      <c r="FQ75" s="587" t="n"/>
      <c r="FR75" s="587" t="n"/>
      <c r="FS75" s="587" t="n"/>
      <c r="FT75" s="587" t="n"/>
      <c r="FU75" s="587" t="n"/>
      <c r="FV75" s="587" t="n"/>
      <c r="FW75" s="587" t="n"/>
      <c r="FX75" s="587" t="n"/>
      <c r="FY75" s="587" t="n"/>
      <c r="FZ75" s="587" t="n"/>
      <c r="GA75" s="587" t="n"/>
    </row>
    <row r="76" customFormat="1" s="568">
      <c r="A76" s="86" t="n"/>
      <c r="B76" s="85" t="n"/>
      <c r="C76" s="137">
        <f>E76*D$5</f>
        <v/>
      </c>
      <c r="D76" s="114" t="inlineStr">
        <is>
          <t>Peggy J. Brawner</t>
        </is>
      </c>
      <c r="E76" s="137">
        <f>SUM(G76:HT76)</f>
        <v/>
      </c>
      <c r="F76" s="568">
        <f>IFERROR(IF($E76&gt;0.0000005,$E76/SUMIF($E$11:$E$140,"&gt;0.0000005"),""),"")</f>
        <v/>
      </c>
      <c r="H76" s="579" t="n"/>
      <c r="I76" s="579" t="n"/>
      <c r="J76" s="579" t="n"/>
      <c r="K76" s="579" t="n"/>
      <c r="L76" s="579" t="n"/>
      <c r="M76" s="579" t="n"/>
      <c r="N76" s="579" t="n"/>
      <c r="O76" s="579" t="n"/>
      <c r="P76" s="579" t="n"/>
      <c r="Q76" s="574" t="n"/>
      <c r="R76" s="579" t="n"/>
      <c r="S76" s="579" t="n"/>
      <c r="T76" s="579" t="n"/>
      <c r="U76" s="579" t="n"/>
      <c r="V76" s="579" t="n"/>
      <c r="W76" s="579" t="n"/>
      <c r="X76" s="579" t="n"/>
      <c r="Y76" s="579" t="n"/>
      <c r="Z76" s="574" t="n"/>
      <c r="AA76" s="574" t="n"/>
      <c r="AB76" s="574" t="n"/>
      <c r="AC76" s="574" t="n"/>
      <c r="AD76" s="574" t="n"/>
      <c r="AE76" s="574" t="n"/>
      <c r="AF76" s="574" t="n"/>
      <c r="AG76" s="579" t="n"/>
      <c r="AH76" s="574" t="n"/>
      <c r="AI76" s="579" t="n"/>
      <c r="AJ76" s="574" t="n"/>
      <c r="AK76" s="579" t="n"/>
      <c r="AL76" s="579" t="n"/>
      <c r="AM76" s="579" t="n"/>
      <c r="AN76" s="579" t="n"/>
      <c r="AO76" s="579" t="n"/>
      <c r="AP76" s="579" t="n"/>
      <c r="AQ76" s="579" t="n"/>
      <c r="AR76" s="579" t="n"/>
      <c r="AS76" s="579" t="n"/>
      <c r="AT76" s="579" t="n"/>
      <c r="CM76" s="587" t="n"/>
      <c r="CN76" s="587" t="n"/>
      <c r="CO76" s="587" t="n"/>
      <c r="CP76" s="587" t="n"/>
      <c r="CQ76" s="587" t="n"/>
      <c r="CR76" s="587" t="n"/>
      <c r="CS76" s="587" t="n"/>
      <c r="CT76" s="587" t="n"/>
      <c r="CU76" s="587" t="n"/>
      <c r="CV76" s="587" t="n"/>
      <c r="CW76" s="587" t="n"/>
      <c r="CX76" s="587" t="n"/>
      <c r="CY76" s="587" t="n"/>
      <c r="CZ76" s="587" t="n"/>
      <c r="DA76" s="587" t="n"/>
      <c r="DB76" s="587" t="n"/>
      <c r="DC76" s="587" t="n"/>
      <c r="DD76" s="587" t="n"/>
      <c r="DE76" s="587" t="n"/>
      <c r="DF76" s="587" t="n"/>
      <c r="DG76" s="587" t="n"/>
      <c r="DH76" s="587" t="n"/>
      <c r="DI76" s="587" t="n"/>
      <c r="DJ76" s="587" t="n"/>
      <c r="DK76" s="587" t="n"/>
      <c r="DL76" s="587" t="n"/>
      <c r="DM76" s="587" t="n"/>
      <c r="DN76" s="587" t="n">
        <v>0</v>
      </c>
      <c r="DO76" s="587" t="n"/>
      <c r="DP76" s="587" t="n"/>
      <c r="DQ76" s="587" t="n"/>
      <c r="DR76" s="587" t="n"/>
      <c r="DS76" s="587" t="n"/>
      <c r="DT76" s="587" t="n"/>
      <c r="DU76" s="587" t="n"/>
      <c r="DV76" s="587" t="n"/>
      <c r="DW76" s="587" t="n"/>
      <c r="DX76" s="587" t="n"/>
      <c r="DY76" s="587" t="n"/>
      <c r="DZ76" s="587" t="n"/>
      <c r="EA76" s="587" t="n"/>
      <c r="EB76" s="587" t="n"/>
      <c r="EC76" s="587" t="n"/>
      <c r="ED76" s="587" t="n"/>
      <c r="EE76" s="587" t="n"/>
      <c r="EF76" s="587" t="n"/>
      <c r="EG76" s="587" t="n"/>
      <c r="EH76" s="587" t="n"/>
      <c r="EI76" s="587" t="n"/>
      <c r="EJ76" s="587" t="n"/>
      <c r="EK76" s="587" t="n"/>
      <c r="EL76" s="587" t="n"/>
      <c r="EM76" s="587" t="n"/>
      <c r="EN76" s="587" t="n"/>
      <c r="EO76" s="587" t="n"/>
      <c r="EP76" s="587" t="n"/>
      <c r="EQ76" s="587" t="n"/>
      <c r="ER76" s="587" t="n"/>
      <c r="ES76" s="587" t="n"/>
      <c r="ET76" s="587" t="n"/>
      <c r="EU76" s="587" t="n"/>
      <c r="EV76" s="587" t="n"/>
      <c r="EW76" s="587" t="n"/>
      <c r="EX76" s="587" t="n"/>
      <c r="EY76" s="587" t="n"/>
      <c r="EZ76" s="587" t="n"/>
      <c r="FA76" s="587" t="n"/>
      <c r="FB76" s="587" t="n"/>
      <c r="FC76" s="587" t="n"/>
      <c r="FD76" s="587" t="n"/>
      <c r="FE76" s="587" t="n"/>
      <c r="FF76" s="587" t="n"/>
      <c r="FG76" s="587" t="n"/>
      <c r="FH76" s="587" t="n"/>
      <c r="FI76" s="587" t="n"/>
      <c r="FJ76" s="587" t="n"/>
      <c r="FK76" s="587" t="n"/>
      <c r="FL76" s="587" t="n"/>
      <c r="FM76" s="587" t="n"/>
      <c r="FN76" s="587" t="n"/>
      <c r="FO76" s="587" t="n"/>
      <c r="FP76" s="587" t="n"/>
      <c r="FQ76" s="587" t="n"/>
      <c r="FR76" s="587" t="n"/>
      <c r="FS76" s="587" t="n"/>
      <c r="FT76" s="587" t="n"/>
      <c r="FU76" s="587" t="n"/>
      <c r="FV76" s="587" t="n"/>
      <c r="FW76" s="587" t="n"/>
      <c r="FX76" s="587" t="n"/>
      <c r="FY76" s="587" t="n"/>
      <c r="FZ76" s="587" t="n"/>
      <c r="GA76" s="587" t="n"/>
    </row>
    <row r="77" customFormat="1" s="568">
      <c r="A77" s="86" t="n"/>
      <c r="B77" s="85" t="n"/>
      <c r="C77" s="84">
        <f>E77*D$5</f>
        <v/>
      </c>
      <c r="D77" s="114" t="inlineStr">
        <is>
          <t>Leona I. DeGrande</t>
        </is>
      </c>
      <c r="E77" s="84">
        <f>SUM(G77:HT77)</f>
        <v/>
      </c>
      <c r="F77" s="568">
        <f>IFERROR(IF($E77&gt;0.0000005,$E77/SUMIF($E$11:$E$140,"&gt;0.0000005"),""),"")</f>
        <v/>
      </c>
      <c r="H77" s="579" t="n"/>
      <c r="I77" s="579" t="n"/>
      <c r="J77" s="579" t="n"/>
      <c r="K77" s="579" t="n"/>
      <c r="L77" s="579" t="n"/>
      <c r="M77" s="579" t="n"/>
      <c r="N77" s="579" t="n"/>
      <c r="O77" s="579" t="n"/>
      <c r="P77" s="579" t="n"/>
      <c r="Q77" s="574" t="n"/>
      <c r="R77" s="579" t="n"/>
      <c r="S77" s="579" t="n"/>
      <c r="T77" s="579" t="n"/>
      <c r="U77" s="579" t="n"/>
      <c r="V77" s="579" t="n"/>
      <c r="W77" s="579" t="n"/>
      <c r="X77" s="579" t="n"/>
      <c r="Y77" s="579" t="n"/>
      <c r="Z77" s="574" t="n"/>
      <c r="AA77" s="574" t="n"/>
      <c r="AB77" s="574" t="n"/>
      <c r="AC77" s="574" t="n"/>
      <c r="AD77" s="574" t="n"/>
      <c r="AE77" s="574" t="n"/>
      <c r="AF77" s="574" t="n"/>
      <c r="AG77" s="579" t="n"/>
      <c r="AH77" s="574" t="n"/>
      <c r="AI77" s="579" t="n"/>
      <c r="AJ77" s="574" t="n"/>
      <c r="AK77" s="579" t="n"/>
      <c r="AL77" s="579" t="n"/>
      <c r="AM77" s="579" t="n"/>
      <c r="AN77" s="579" t="n"/>
      <c r="AO77" s="579" t="n"/>
      <c r="AP77" s="579" t="n"/>
      <c r="AQ77" s="579" t="n"/>
      <c r="AR77" s="579" t="n"/>
      <c r="AS77" s="579" t="n"/>
      <c r="AT77" s="579" t="n"/>
      <c r="CM77" s="587" t="n"/>
      <c r="CN77" s="587" t="n"/>
      <c r="CO77" s="587" t="n"/>
      <c r="CP77" s="587" t="n"/>
      <c r="CQ77" s="587" t="n"/>
      <c r="CR77" s="587" t="n"/>
      <c r="CS77" s="587" t="n"/>
      <c r="CT77" s="587" t="n"/>
      <c r="CU77" s="587" t="n"/>
      <c r="CV77" s="587" t="n"/>
      <c r="CW77" s="587" t="n"/>
      <c r="CX77" s="587" t="n"/>
      <c r="CY77" s="587" t="n"/>
      <c r="CZ77" s="587" t="n"/>
      <c r="DA77" s="587" t="n"/>
      <c r="DB77" s="587" t="n"/>
      <c r="DC77" s="587" t="n"/>
      <c r="DD77" s="587" t="n"/>
      <c r="DE77" s="587" t="n"/>
      <c r="DF77" s="587" t="n"/>
      <c r="DG77" s="587" t="n"/>
      <c r="DH77" s="587" t="n"/>
      <c r="DI77" s="587" t="n"/>
      <c r="DJ77" s="587" t="n"/>
      <c r="DK77" s="587" t="n"/>
      <c r="DL77" s="587" t="n"/>
      <c r="DM77" s="587" t="n"/>
      <c r="DN77" s="587" t="n"/>
      <c r="DO77" s="587" t="n">
        <v>0</v>
      </c>
      <c r="DP77" s="587" t="n">
        <v>0</v>
      </c>
      <c r="DQ77" s="587" t="n"/>
      <c r="DR77" s="587" t="n"/>
      <c r="DS77" s="587" t="n"/>
      <c r="DT77" s="587" t="n"/>
      <c r="DU77" s="587" t="n"/>
      <c r="DV77" s="587" t="n"/>
      <c r="DW77" s="587" t="n"/>
      <c r="DX77" s="587" t="n"/>
      <c r="DY77" s="587" t="n"/>
      <c r="DZ77" s="587" t="n"/>
      <c r="EA77" s="587" t="n"/>
      <c r="EB77" s="587" t="n"/>
      <c r="EC77" s="587" t="n"/>
      <c r="ED77" s="587" t="n"/>
      <c r="EE77" s="587" t="n"/>
      <c r="EF77" s="587" t="n"/>
      <c r="EG77" s="587" t="n"/>
      <c r="EH77" s="587" t="n"/>
      <c r="EI77" s="587" t="n"/>
      <c r="EJ77" s="587" t="n"/>
      <c r="EK77" s="587" t="n"/>
      <c r="EL77" s="587" t="n"/>
      <c r="EM77" s="587" t="n"/>
      <c r="EN77" s="587" t="n"/>
      <c r="EO77" s="587" t="n"/>
      <c r="EP77" s="587" t="n"/>
      <c r="EQ77" s="587" t="n"/>
      <c r="ER77" s="587" t="n"/>
      <c r="ES77" s="587" t="n"/>
      <c r="ET77" s="587" t="n"/>
      <c r="EU77" s="587" t="n"/>
      <c r="EV77" s="587" t="n"/>
      <c r="EW77" s="587" t="n"/>
      <c r="EX77" s="587" t="n"/>
      <c r="EY77" s="587" t="n"/>
      <c r="EZ77" s="587" t="n"/>
      <c r="FA77" s="587" t="n"/>
      <c r="FB77" s="587" t="n"/>
      <c r="FC77" s="587" t="n"/>
      <c r="FD77" s="587" t="n"/>
      <c r="FE77" s="587" t="n"/>
      <c r="FF77" s="587" t="n"/>
      <c r="FG77" s="587" t="n"/>
      <c r="FH77" s="587" t="n"/>
      <c r="FI77" s="587" t="n"/>
      <c r="FJ77" s="587" t="n"/>
      <c r="FK77" s="587" t="n"/>
      <c r="FL77" s="587" t="n"/>
      <c r="FM77" s="587" t="n"/>
      <c r="FN77" s="587" t="n"/>
      <c r="FO77" s="587" t="n"/>
      <c r="FP77" s="587" t="n"/>
      <c r="FQ77" s="587" t="n"/>
      <c r="FR77" s="587" t="n"/>
      <c r="FS77" s="587" t="n"/>
      <c r="FT77" s="587" t="n"/>
      <c r="FU77" s="587" t="n"/>
      <c r="FV77" s="587" t="n"/>
      <c r="FW77" s="587" t="n"/>
      <c r="FX77" s="587" t="n"/>
      <c r="FY77" s="587" t="n"/>
      <c r="FZ77" s="587" t="n"/>
      <c r="GA77" s="587" t="n"/>
    </row>
    <row r="78" customFormat="1" s="568">
      <c r="A78" s="86" t="n"/>
      <c r="B78" s="85" t="n"/>
      <c r="C78" s="84">
        <f>E78*D$5</f>
        <v/>
      </c>
      <c r="D78" s="114" t="inlineStr">
        <is>
          <t>Mare Oil Company</t>
        </is>
      </c>
      <c r="E78" s="84">
        <f>SUM(G78:HT78)</f>
        <v/>
      </c>
      <c r="F78" s="568">
        <f>IFERROR(IF($E78&gt;0.0000005,$E78/SUMIF($E$11:$E$140,"&gt;0.0000005"),""),"")</f>
        <v/>
      </c>
      <c r="H78" s="579" t="n"/>
      <c r="I78" s="579" t="n"/>
      <c r="J78" s="579" t="n"/>
      <c r="K78" s="579" t="n"/>
      <c r="L78" s="579" t="n"/>
      <c r="M78" s="579" t="n"/>
      <c r="N78" s="579" t="n"/>
      <c r="O78" s="579" t="n"/>
      <c r="P78" s="579" t="n"/>
      <c r="Q78" s="574" t="n"/>
      <c r="R78" s="579" t="n"/>
      <c r="S78" s="579" t="n"/>
      <c r="T78" s="579" t="n"/>
      <c r="U78" s="579" t="n"/>
      <c r="V78" s="579" t="n"/>
      <c r="W78" s="579" t="n"/>
      <c r="X78" s="579" t="n"/>
      <c r="Y78" s="579" t="n"/>
      <c r="Z78" s="574" t="n"/>
      <c r="AA78" s="574" t="n"/>
      <c r="AB78" s="574" t="n"/>
      <c r="AC78" s="574" t="n"/>
      <c r="AD78" s="574" t="n"/>
      <c r="AE78" s="574" t="n"/>
      <c r="AF78" s="574" t="n"/>
      <c r="AG78" s="579" t="n"/>
      <c r="AH78" s="574" t="n"/>
      <c r="AI78" s="579" t="n"/>
      <c r="AJ78" s="574" t="n"/>
      <c r="AK78" s="579" t="n"/>
      <c r="AL78" s="579" t="n"/>
      <c r="AM78" s="579" t="n"/>
      <c r="AN78" s="579" t="n"/>
      <c r="AO78" s="579" t="n"/>
      <c r="AP78" s="579" t="n"/>
      <c r="AQ78" s="579" t="n"/>
      <c r="AR78" s="579" t="n"/>
      <c r="AS78" s="579" t="n"/>
      <c r="AT78" s="579" t="n"/>
      <c r="CM78" s="587" t="n"/>
      <c r="CN78" s="587" t="n"/>
      <c r="CO78" s="587" t="n"/>
      <c r="CP78" s="587" t="n"/>
      <c r="CQ78" s="587" t="n"/>
      <c r="CR78" s="587" t="n"/>
      <c r="CS78" s="587" t="n"/>
      <c r="CT78" s="587" t="n"/>
      <c r="CU78" s="587" t="n"/>
      <c r="CV78" s="587" t="n"/>
      <c r="CW78" s="587" t="n"/>
      <c r="CX78" s="587" t="n"/>
      <c r="CY78" s="587" t="n"/>
      <c r="CZ78" s="587" t="n"/>
      <c r="DA78" s="587" t="n"/>
      <c r="DB78" s="587" t="n"/>
      <c r="DC78" s="587" t="n"/>
      <c r="DD78" s="587" t="n"/>
      <c r="DE78" s="587" t="n"/>
      <c r="DF78" s="587" t="n"/>
      <c r="DG78" s="587" t="n"/>
      <c r="DH78" s="587" t="n"/>
      <c r="DI78" s="587" t="n"/>
      <c r="DJ78" s="587" t="n"/>
      <c r="DK78" s="587" t="n"/>
      <c r="DL78" s="587" t="n"/>
      <c r="DM78" s="587" t="n">
        <v>0</v>
      </c>
      <c r="DN78" s="587" t="n">
        <v>0</v>
      </c>
      <c r="DO78" s="587" t="n">
        <v>0</v>
      </c>
      <c r="DP78" s="587" t="n">
        <v>0</v>
      </c>
      <c r="DQ78" s="587" t="n"/>
      <c r="DR78" s="587" t="n"/>
      <c r="DS78" s="587" t="n"/>
      <c r="DT78" s="587" t="n"/>
      <c r="DU78" s="587" t="n"/>
      <c r="DV78" s="587" t="n"/>
      <c r="DW78" s="587" t="n"/>
      <c r="DX78" s="587" t="n"/>
      <c r="DY78" s="587" t="n"/>
      <c r="DZ78" s="587" t="n"/>
      <c r="EA78" s="587" t="n"/>
      <c r="EB78" s="587" t="n"/>
      <c r="EC78" s="587" t="n"/>
      <c r="ED78" s="587" t="n"/>
      <c r="EE78" s="587" t="n"/>
      <c r="EF78" s="587" t="n"/>
      <c r="EG78" s="587" t="n"/>
      <c r="EH78" s="587" t="n"/>
      <c r="EI78" s="587" t="n"/>
      <c r="EJ78" s="587" t="n"/>
      <c r="EK78" s="587" t="n"/>
      <c r="EL78" s="587" t="n"/>
      <c r="EM78" s="587" t="n"/>
      <c r="EN78" s="587" t="n"/>
      <c r="EO78" s="587" t="n"/>
      <c r="EP78" s="587" t="n"/>
      <c r="EQ78" s="587" t="n"/>
      <c r="ER78" s="587" t="n"/>
      <c r="ES78" s="587" t="n"/>
      <c r="ET78" s="587" t="n"/>
      <c r="EU78" s="587" t="n"/>
      <c r="EV78" s="587" t="n"/>
      <c r="EW78" s="587" t="n"/>
      <c r="EX78" s="587" t="n"/>
      <c r="EY78" s="587" t="n"/>
      <c r="EZ78" s="587" t="n"/>
      <c r="FA78" s="587" t="n"/>
      <c r="FB78" s="587" t="n"/>
      <c r="FC78" s="587" t="n"/>
      <c r="FD78" s="587" t="n"/>
      <c r="FE78" s="587" t="n"/>
      <c r="FF78" s="587" t="n"/>
      <c r="FG78" s="587" t="n"/>
      <c r="FH78" s="587" t="n"/>
      <c r="FI78" s="587" t="n"/>
      <c r="FJ78" s="587" t="n"/>
      <c r="FK78" s="587" t="n"/>
      <c r="FL78" s="587" t="n"/>
      <c r="FM78" s="587" t="n"/>
      <c r="FN78" s="587" t="n"/>
      <c r="FO78" s="587" t="n"/>
      <c r="FP78" s="587" t="n"/>
      <c r="FQ78" s="587" t="n"/>
      <c r="FR78" s="587" t="n"/>
      <c r="FS78" s="587" t="n"/>
      <c r="FT78" s="587" t="n"/>
      <c r="FU78" s="587" t="n"/>
      <c r="FV78" s="587" t="n"/>
      <c r="FW78" s="587" t="n"/>
      <c r="FX78" s="587" t="n"/>
      <c r="FY78" s="587" t="n"/>
      <c r="FZ78" s="587" t="n"/>
      <c r="GA78" s="587" t="n"/>
    </row>
    <row r="79" customFormat="1" s="568">
      <c r="A79" s="86" t="n"/>
      <c r="B79" s="85" t="n"/>
      <c r="C79" s="84">
        <f>E79*D$5</f>
        <v/>
      </c>
      <c r="D79" s="139" t="inlineStr">
        <is>
          <t>Joseph A. Bain and Doris M. Bain</t>
        </is>
      </c>
      <c r="E79" s="84">
        <f>SUM(G79:HT79)</f>
        <v/>
      </c>
      <c r="F79" s="568">
        <f>IFERROR(IF($E79&gt;0.0000005,$E79/SUMIF($E$11:$E$140,"&gt;0.0000005"),""),"")</f>
        <v/>
      </c>
      <c r="H79" s="579" t="n"/>
      <c r="I79" s="579" t="n"/>
      <c r="J79" s="579" t="n"/>
      <c r="K79" s="579" t="n"/>
      <c r="L79" s="579" t="n"/>
      <c r="M79" s="579" t="n"/>
      <c r="N79" s="579" t="n"/>
      <c r="O79" s="579" t="n"/>
      <c r="P79" s="579" t="n"/>
      <c r="Q79" s="574" t="n"/>
      <c r="R79" s="579" t="n"/>
      <c r="S79" s="579" t="n"/>
      <c r="T79" s="579" t="n"/>
      <c r="U79" s="579" t="n"/>
      <c r="V79" s="579" t="n"/>
      <c r="W79" s="579" t="n"/>
      <c r="X79" s="579" t="n"/>
      <c r="Y79" s="579" t="n"/>
      <c r="Z79" s="574" t="n"/>
      <c r="AA79" s="574" t="n"/>
      <c r="AB79" s="574" t="n"/>
      <c r="AC79" s="574" t="n"/>
      <c r="AD79" s="574" t="n"/>
      <c r="AE79" s="574" t="n"/>
      <c r="AF79" s="574" t="n"/>
      <c r="AG79" s="579" t="n"/>
      <c r="AH79" s="574" t="n"/>
      <c r="AI79" s="579" t="n"/>
      <c r="AJ79" s="574" t="n"/>
      <c r="AK79" s="579" t="n"/>
      <c r="AL79" s="579" t="n"/>
      <c r="AM79" s="579" t="n"/>
      <c r="AN79" s="579" t="n"/>
      <c r="AO79" s="579" t="n"/>
      <c r="AP79" s="579" t="n"/>
      <c r="AQ79" s="579" t="n"/>
      <c r="AR79" s="579" t="n"/>
      <c r="AS79" s="579" t="n"/>
      <c r="AT79" s="579" t="n"/>
      <c r="CM79" s="587" t="n"/>
      <c r="CN79" s="587" t="n"/>
      <c r="CO79" s="587" t="n"/>
      <c r="CP79" s="587" t="n"/>
      <c r="CQ79" s="587" t="n"/>
      <c r="CR79" s="587" t="n"/>
      <c r="CS79" s="587" t="n"/>
      <c r="CT79" s="587" t="n"/>
      <c r="CU79" s="587" t="n"/>
      <c r="CV79" s="587" t="n"/>
      <c r="CW79" s="587" t="n"/>
      <c r="CX79" s="587" t="n"/>
      <c r="CY79" s="587" t="n"/>
      <c r="CZ79" s="587" t="n"/>
      <c r="DA79" s="587" t="n"/>
      <c r="DB79" s="587" t="n"/>
      <c r="DC79" s="587" t="n"/>
      <c r="DD79" s="587" t="n"/>
      <c r="DE79" s="587" t="n"/>
      <c r="DF79" s="587" t="n"/>
      <c r="DG79" s="587" t="n"/>
      <c r="DH79" s="587" t="n"/>
      <c r="DI79" s="587" t="n"/>
      <c r="DJ79" s="587" t="n"/>
      <c r="DK79" s="587" t="n"/>
      <c r="DL79" s="587" t="n"/>
      <c r="DM79" s="587" t="n"/>
      <c r="DN79" s="587" t="n"/>
      <c r="DO79" s="587" t="n"/>
      <c r="DP79" s="587" t="n"/>
      <c r="DQ79" s="587" t="n"/>
      <c r="DR79" s="587" t="n"/>
      <c r="DS79" s="587" t="n"/>
      <c r="DT79" s="587" t="n"/>
      <c r="DU79" s="587" t="n"/>
      <c r="DV79" s="587" t="n"/>
      <c r="DW79" s="587" t="n"/>
      <c r="DX79" s="587" t="n"/>
      <c r="DY79" s="587" t="n"/>
      <c r="DZ79" s="587" t="n"/>
      <c r="EA79" s="587" t="n"/>
      <c r="EB79" s="587" t="n"/>
      <c r="EC79" s="587" t="n"/>
      <c r="ED79" s="587" t="n"/>
      <c r="EE79" s="587" t="n"/>
      <c r="EF79" s="587" t="n"/>
      <c r="EG79" s="587" t="n"/>
      <c r="EH79" s="587" t="n">
        <v>0</v>
      </c>
      <c r="EI79" s="587" t="n"/>
      <c r="EJ79" s="587" t="n"/>
      <c r="EK79" s="587" t="n"/>
      <c r="EL79" s="587" t="n"/>
      <c r="EM79" s="587" t="n"/>
      <c r="EN79" s="587" t="n"/>
      <c r="EO79" s="587" t="n"/>
      <c r="EP79" s="587" t="n"/>
      <c r="EQ79" s="587" t="n"/>
      <c r="ER79" s="587" t="n"/>
      <c r="ES79" s="587" t="n"/>
      <c r="ET79" s="587" t="n"/>
      <c r="EU79" s="587" t="n"/>
      <c r="EV79" s="587" t="n"/>
      <c r="EW79" s="587" t="n"/>
      <c r="EX79" s="587" t="n"/>
      <c r="EY79" s="587" t="n"/>
      <c r="EZ79" s="587" t="n"/>
      <c r="FA79" s="587" t="n"/>
      <c r="FB79" s="587" t="n"/>
      <c r="FC79" s="587" t="n"/>
      <c r="FD79" s="587" t="n"/>
      <c r="FE79" s="587" t="n"/>
      <c r="FF79" s="587" t="n"/>
      <c r="FG79" s="587" t="n"/>
      <c r="FH79" s="587" t="n"/>
      <c r="FI79" s="587" t="n"/>
      <c r="FJ79" s="587" t="n"/>
      <c r="FK79" s="587" t="n"/>
      <c r="FL79" s="587" t="n"/>
      <c r="FM79" s="587" t="n"/>
      <c r="FN79" s="587" t="n"/>
      <c r="FO79" s="587" t="n"/>
      <c r="FP79" s="587" t="n"/>
      <c r="FQ79" s="587" t="n"/>
      <c r="FR79" s="587" t="n"/>
      <c r="FS79" s="587" t="n"/>
      <c r="FT79" s="587" t="n"/>
      <c r="FU79" s="587" t="n"/>
      <c r="FV79" s="587" t="n"/>
      <c r="FW79" s="587" t="n"/>
      <c r="FX79" s="587" t="n"/>
      <c r="FY79" s="587" t="n"/>
      <c r="FZ79" s="587" t="n"/>
      <c r="GA79" s="587" t="n"/>
    </row>
    <row r="80" customFormat="1" s="568">
      <c r="A80" s="86" t="n"/>
      <c r="B80" s="85" t="n"/>
      <c r="C80" s="84">
        <f>E80*D$5</f>
        <v/>
      </c>
      <c r="D80" s="114" t="inlineStr">
        <is>
          <t>Anna T. Gibson</t>
        </is>
      </c>
      <c r="E80" s="84">
        <f>SUM(G80:HT80)</f>
        <v/>
      </c>
      <c r="F80" s="568">
        <f>IFERROR(IF($E80&gt;0.0000005,$E80/SUMIF($E$11:$E$140,"&gt;0.0000005"),""),"")</f>
        <v/>
      </c>
      <c r="H80" s="579" t="n"/>
      <c r="I80" s="579" t="n"/>
      <c r="J80" s="579" t="n"/>
      <c r="K80" s="579" t="n"/>
      <c r="L80" s="579" t="n"/>
      <c r="M80" s="579" t="n"/>
      <c r="N80" s="579" t="n"/>
      <c r="O80" s="579" t="n"/>
      <c r="P80" s="579" t="n"/>
      <c r="Q80" s="574" t="n"/>
      <c r="R80" s="579" t="n"/>
      <c r="S80" s="579" t="n"/>
      <c r="T80" s="579" t="n"/>
      <c r="U80" s="579" t="n"/>
      <c r="V80" s="579" t="n"/>
      <c r="W80" s="579" t="n"/>
      <c r="X80" s="579" t="n"/>
      <c r="Y80" s="579" t="n"/>
      <c r="Z80" s="574" t="n"/>
      <c r="AA80" s="574" t="n"/>
      <c r="AB80" s="574" t="n"/>
      <c r="AC80" s="574" t="n"/>
      <c r="AD80" s="574" t="n"/>
      <c r="AE80" s="574" t="n"/>
      <c r="AF80" s="574" t="n"/>
      <c r="AG80" s="579" t="n"/>
      <c r="AH80" s="574" t="n"/>
      <c r="AI80" s="579" t="n"/>
      <c r="AJ80" s="574" t="n"/>
      <c r="AK80" s="579" t="n"/>
      <c r="AL80" s="579" t="n"/>
      <c r="AM80" s="579" t="n"/>
      <c r="AN80" s="579" t="n"/>
      <c r="AO80" s="579" t="n"/>
      <c r="AP80" s="579" t="n"/>
      <c r="AQ80" s="579" t="n"/>
      <c r="AR80" s="579" t="n"/>
      <c r="AS80" s="579" t="n"/>
      <c r="AT80" s="579" t="n"/>
      <c r="CM80" s="587" t="n"/>
      <c r="CN80" s="587" t="n"/>
      <c r="CO80" s="587" t="n"/>
      <c r="CP80" s="587" t="n"/>
      <c r="CQ80" s="587" t="n"/>
      <c r="CR80" s="587" t="n"/>
      <c r="CS80" s="587" t="n"/>
      <c r="CT80" s="587" t="n"/>
      <c r="CU80" s="587" t="n"/>
      <c r="CV80" s="587" t="n"/>
      <c r="CW80" s="587" t="n"/>
      <c r="CX80" s="587" t="n"/>
      <c r="CY80" s="587" t="n"/>
      <c r="CZ80" s="587" t="n"/>
      <c r="DA80" s="587" t="n"/>
      <c r="DB80" s="587" t="n"/>
      <c r="DC80" s="587" t="n"/>
      <c r="DD80" s="587" t="n"/>
      <c r="DE80" s="587" t="n"/>
      <c r="DF80" s="587" t="n"/>
      <c r="DG80" s="587" t="n"/>
      <c r="DH80" s="587" t="n"/>
      <c r="DI80" s="587" t="n"/>
      <c r="DJ80" s="587" t="n"/>
      <c r="DK80" s="587" t="n"/>
      <c r="DL80" s="587" t="n"/>
      <c r="DM80" s="587" t="n"/>
      <c r="DN80" s="587" t="n"/>
      <c r="DO80" s="587" t="n"/>
      <c r="DP80" s="587" t="n"/>
      <c r="DQ80" s="587" t="n"/>
      <c r="DR80" s="587" t="n"/>
      <c r="DS80" s="587" t="n"/>
      <c r="DT80" s="587" t="n"/>
      <c r="DU80" s="587" t="n"/>
      <c r="DV80" s="587" t="n"/>
      <c r="DW80" s="587" t="n"/>
      <c r="DX80" s="587" t="n"/>
      <c r="DY80" s="587" t="n"/>
      <c r="DZ80" s="587" t="n"/>
      <c r="EA80" s="587" t="n"/>
      <c r="EB80" s="587" t="n"/>
      <c r="EC80" s="587" t="n"/>
      <c r="ED80" s="587" t="n"/>
      <c r="EE80" s="587" t="n"/>
      <c r="EF80" s="587" t="n"/>
      <c r="EG80" s="587" t="n"/>
      <c r="EH80" s="587" t="n">
        <v>0</v>
      </c>
      <c r="EI80" s="587" t="n"/>
      <c r="EJ80" s="587" t="n"/>
      <c r="EK80" s="587" t="n"/>
      <c r="EL80" s="587" t="n"/>
      <c r="EM80" s="587" t="n"/>
      <c r="EN80" s="587" t="n"/>
      <c r="EO80" s="587" t="n"/>
      <c r="EP80" s="587" t="n"/>
      <c r="EQ80" s="587" t="n"/>
      <c r="ER80" s="587" t="n"/>
      <c r="ES80" s="587" t="n"/>
      <c r="ET80" s="587" t="n"/>
      <c r="EU80" s="587" t="n"/>
      <c r="EV80" s="587" t="n"/>
      <c r="EW80" s="587" t="n"/>
      <c r="EX80" s="587" t="n"/>
      <c r="EY80" s="587" t="n"/>
      <c r="EZ80" s="587" t="n"/>
      <c r="FA80" s="587" t="n"/>
      <c r="FB80" s="587" t="n"/>
      <c r="FC80" s="587" t="n"/>
      <c r="FD80" s="587" t="n"/>
      <c r="FE80" s="587" t="n"/>
      <c r="FF80" s="587" t="n"/>
      <c r="FG80" s="587" t="n"/>
      <c r="FH80" s="587" t="n"/>
      <c r="FI80" s="587" t="n"/>
      <c r="FJ80" s="587" t="n"/>
      <c r="FK80" s="587" t="n"/>
      <c r="FL80" s="587" t="n"/>
      <c r="FM80" s="587" t="n"/>
      <c r="FN80" s="587" t="n"/>
      <c r="FO80" s="587" t="n"/>
      <c r="FP80" s="587" t="n"/>
      <c r="FQ80" s="587" t="n"/>
      <c r="FR80" s="587" t="n"/>
      <c r="FS80" s="587" t="n"/>
      <c r="FT80" s="587" t="n"/>
      <c r="FU80" s="587" t="n"/>
      <c r="FV80" s="587" t="n"/>
      <c r="FW80" s="587" t="n"/>
      <c r="FX80" s="587" t="n"/>
      <c r="FY80" s="587" t="n"/>
      <c r="FZ80" s="587" t="n"/>
      <c r="GA80" s="587" t="n"/>
    </row>
    <row r="81" customFormat="1" s="568">
      <c r="A81" s="86" t="n"/>
      <c r="B81" s="85" t="n"/>
      <c r="C81" s="137">
        <f>E81*D$5</f>
        <v/>
      </c>
      <c r="D81" s="51" t="inlineStr">
        <is>
          <t>EDR, LLC</t>
        </is>
      </c>
      <c r="E81" s="137">
        <f>SUM(G81:HT81)</f>
        <v/>
      </c>
      <c r="F81" s="568">
        <f>IFERROR(IF($E81&gt;0.0000005,$E81/SUMIF($E$11:$E$140,"&gt;0.0000005"),""),"")</f>
        <v/>
      </c>
      <c r="H81" s="579" t="n"/>
      <c r="I81" s="579" t="n"/>
      <c r="J81" s="579" t="n"/>
      <c r="K81" s="579" t="n"/>
      <c r="L81" s="579" t="n"/>
      <c r="M81" s="579" t="n"/>
      <c r="N81" s="579" t="n"/>
      <c r="O81" s="579" t="n"/>
      <c r="P81" s="579" t="n"/>
      <c r="Q81" s="574" t="n"/>
      <c r="R81" s="579" t="n"/>
      <c r="S81" s="579" t="n"/>
      <c r="T81" s="579" t="n"/>
      <c r="U81" s="579" t="n"/>
      <c r="V81" s="579" t="n"/>
      <c r="W81" s="579" t="n"/>
      <c r="X81" s="579" t="n"/>
      <c r="Y81" s="579" t="n"/>
      <c r="Z81" s="574" t="n"/>
      <c r="AA81" s="574" t="n"/>
      <c r="AB81" s="574" t="n"/>
      <c r="AC81" s="574" t="n"/>
      <c r="AD81" s="574" t="n"/>
      <c r="AE81" s="574" t="n"/>
      <c r="AF81" s="574" t="n"/>
      <c r="AG81" s="579" t="n"/>
      <c r="AH81" s="574" t="n"/>
      <c r="AI81" s="579" t="n"/>
      <c r="AJ81" s="574" t="n"/>
      <c r="AK81" s="579" t="n"/>
      <c r="AL81" s="579" t="n"/>
      <c r="AM81" s="579" t="n"/>
      <c r="AN81" s="579" t="n"/>
      <c r="AO81" s="579" t="n"/>
      <c r="AP81" s="579" t="n"/>
      <c r="AQ81" s="579" t="n"/>
      <c r="AR81" s="579" t="n"/>
      <c r="AS81" s="579" t="n"/>
      <c r="AT81" s="579" t="n"/>
      <c r="CM81" s="587" t="n"/>
      <c r="CN81" s="587" t="n"/>
      <c r="CO81" s="587" t="n"/>
      <c r="CP81" s="587" t="n"/>
      <c r="CQ81" s="587" t="n"/>
      <c r="CR81" s="587" t="n"/>
      <c r="CS81" s="587" t="n"/>
      <c r="CT81" s="587" t="n"/>
      <c r="CU81" s="587" t="n"/>
      <c r="CV81" s="587" t="n"/>
      <c r="CW81" s="587" t="n"/>
      <c r="CX81" s="587" t="n"/>
      <c r="CY81" s="587" t="n"/>
      <c r="CZ81" s="587" t="n"/>
      <c r="DA81" s="587" t="n"/>
      <c r="DB81" s="587" t="n"/>
      <c r="DC81" s="587" t="n"/>
      <c r="DD81" s="587" t="n"/>
      <c r="DE81" s="587" t="n"/>
      <c r="DF81" s="587" t="n"/>
      <c r="DG81" s="587" t="n"/>
      <c r="DH81" s="587" t="n"/>
      <c r="DI81" s="587" t="n"/>
      <c r="DJ81" s="587" t="n"/>
      <c r="DK81" s="587" t="n"/>
      <c r="DL81" s="587" t="n"/>
      <c r="DM81" s="587" t="n"/>
      <c r="DN81" s="587" t="n"/>
      <c r="DO81" s="587" t="n"/>
      <c r="DP81" s="587" t="n"/>
      <c r="DQ81" s="587" t="n"/>
      <c r="DR81" s="587" t="n"/>
      <c r="DS81" s="587" t="n"/>
      <c r="DT81" s="587" t="n"/>
      <c r="DU81" s="587" t="n"/>
      <c r="DV81" s="587" t="n"/>
      <c r="DW81" s="587" t="n"/>
      <c r="DX81" s="587" t="n"/>
      <c r="DY81" s="587" t="n"/>
      <c r="DZ81" s="587" t="n"/>
      <c r="EA81" s="587" t="n"/>
      <c r="EB81" s="587" t="n"/>
      <c r="EC81" s="587" t="n"/>
      <c r="ED81" s="587" t="n"/>
      <c r="EE81" s="587" t="n"/>
      <c r="EF81" s="587" t="n"/>
      <c r="EG81" s="587" t="n"/>
      <c r="EH81" s="587" t="n"/>
      <c r="EI81" s="587" t="n"/>
      <c r="EJ81" s="587" t="n"/>
      <c r="EK81" s="587" t="n"/>
      <c r="EL81" s="587" t="n"/>
      <c r="EM81" s="587" t="n"/>
      <c r="EN81" s="587" t="n"/>
      <c r="EO81" s="587" t="n"/>
      <c r="EP81" s="587" t="n"/>
      <c r="EQ81" s="587" t="n"/>
      <c r="ER81" s="587" t="n"/>
      <c r="ES81" s="587" t="n"/>
      <c r="ET81" s="587" t="n"/>
      <c r="EU81" s="587" t="n">
        <v>0</v>
      </c>
      <c r="EV81" s="587" t="n">
        <v>0</v>
      </c>
      <c r="EW81" s="587" t="n"/>
      <c r="EX81" s="587" t="n"/>
      <c r="EY81" s="587" t="n"/>
      <c r="EZ81" s="587" t="n"/>
      <c r="FA81" s="587" t="n"/>
      <c r="FB81" s="587" t="n"/>
      <c r="FC81" s="587" t="n"/>
      <c r="FD81" s="587" t="n"/>
      <c r="FE81" s="587" t="n"/>
      <c r="FF81" s="587" t="n"/>
      <c r="FG81" s="587" t="n"/>
      <c r="FH81" s="587" t="n"/>
      <c r="FI81" s="587" t="n"/>
      <c r="FJ81" s="587" t="n"/>
      <c r="FK81" s="587" t="n"/>
      <c r="FL81" s="587" t="n"/>
      <c r="FM81" s="587" t="n"/>
      <c r="FN81" s="587" t="n"/>
      <c r="FO81" s="587" t="n"/>
      <c r="FP81" s="587" t="n"/>
      <c r="FQ81" s="587" t="n"/>
      <c r="FR81" s="587" t="n"/>
      <c r="FS81" s="587" t="n"/>
      <c r="FT81" s="587" t="n"/>
      <c r="FU81" s="587" t="n"/>
      <c r="FV81" s="587" t="n"/>
      <c r="FW81" s="587" t="n"/>
      <c r="FX81" s="587" t="n"/>
      <c r="FY81" s="587" t="n"/>
      <c r="FZ81" s="587" t="n"/>
      <c r="GA81" s="587" t="n"/>
    </row>
    <row r="82" customFormat="1" s="568">
      <c r="A82" s="86" t="n"/>
      <c r="B82" s="85" t="n"/>
      <c r="C82" s="84">
        <f>E82*D$5</f>
        <v/>
      </c>
      <c r="D82" s="114" t="inlineStr">
        <is>
          <t>Okki Industries, LLC</t>
        </is>
      </c>
      <c r="E82" s="84">
        <f>SUM(G82:HT82)</f>
        <v/>
      </c>
      <c r="F82" s="568">
        <f>IFERROR(IF($E82&gt;0.0000005,$E82/SUMIF($E$11:$E$140,"&gt;0.0000005"),""),"")</f>
        <v/>
      </c>
      <c r="H82" s="579" t="n"/>
      <c r="I82" s="579" t="n"/>
      <c r="J82" s="579" t="n"/>
      <c r="K82" s="579" t="n"/>
      <c r="L82" s="579" t="n"/>
      <c r="M82" s="579" t="n"/>
      <c r="N82" s="579" t="n"/>
      <c r="O82" s="579" t="n"/>
      <c r="P82" s="579" t="n"/>
      <c r="Q82" s="574" t="n"/>
      <c r="R82" s="579" t="n"/>
      <c r="S82" s="579" t="n"/>
      <c r="T82" s="579" t="n"/>
      <c r="U82" s="579" t="n"/>
      <c r="V82" s="579" t="n"/>
      <c r="W82" s="579" t="n"/>
      <c r="X82" s="579" t="n"/>
      <c r="Y82" s="579" t="n"/>
      <c r="Z82" s="574" t="n"/>
      <c r="AA82" s="574" t="n"/>
      <c r="AB82" s="574" t="n"/>
      <c r="AC82" s="574" t="n"/>
      <c r="AD82" s="574" t="n"/>
      <c r="AE82" s="574" t="n"/>
      <c r="AF82" s="574" t="n"/>
      <c r="AG82" s="579" t="n"/>
      <c r="AH82" s="574" t="n"/>
      <c r="AI82" s="579" t="n"/>
      <c r="AJ82" s="574" t="n"/>
      <c r="AK82" s="579" t="n"/>
      <c r="AL82" s="579" t="n"/>
      <c r="AM82" s="579" t="n"/>
      <c r="AN82" s="579" t="n"/>
      <c r="AO82" s="579" t="n"/>
      <c r="AP82" s="579" t="n"/>
      <c r="AQ82" s="579" t="n"/>
      <c r="AR82" s="579" t="n"/>
      <c r="AS82" s="579" t="n"/>
      <c r="AT82" s="579" t="n"/>
      <c r="CM82" s="587" t="n"/>
      <c r="CN82" s="587" t="n"/>
      <c r="CO82" s="587" t="n"/>
      <c r="CP82" s="587" t="n"/>
      <c r="CQ82" s="587" t="n"/>
      <c r="CR82" s="587" t="n"/>
      <c r="CS82" s="587" t="n"/>
      <c r="CT82" s="587" t="n"/>
      <c r="CU82" s="587" t="n"/>
      <c r="CV82" s="587" t="n"/>
      <c r="CW82" s="587" t="n"/>
      <c r="CX82" s="587" t="n"/>
      <c r="CY82" s="587" t="n"/>
      <c r="CZ82" s="587" t="n"/>
      <c r="DA82" s="587" t="n"/>
      <c r="DB82" s="587" t="n"/>
      <c r="DC82" s="587" t="n"/>
      <c r="DD82" s="587" t="n"/>
      <c r="DE82" s="587" t="n"/>
      <c r="DF82" s="587" t="n"/>
      <c r="DG82" s="587" t="n"/>
      <c r="DH82" s="587" t="n"/>
      <c r="DI82" s="587" t="n"/>
      <c r="DJ82" s="587" t="n"/>
      <c r="DK82" s="587" t="n"/>
      <c r="DL82" s="587" t="n"/>
      <c r="DM82" s="587" t="n"/>
      <c r="DN82" s="587" t="n"/>
      <c r="DO82" s="587" t="n"/>
      <c r="DP82" s="587" t="n"/>
      <c r="DQ82" s="587" t="n"/>
      <c r="DR82" s="587" t="n"/>
      <c r="DS82" s="587" t="n"/>
      <c r="DT82" s="587" t="n"/>
      <c r="DU82" s="587" t="n"/>
      <c r="DV82" s="587" t="n"/>
      <c r="DW82" s="587" t="n"/>
      <c r="DX82" s="587" t="n"/>
      <c r="DY82" s="587" t="n"/>
      <c r="DZ82" s="587" t="n"/>
      <c r="EA82" s="587" t="n"/>
      <c r="EB82" s="587" t="n"/>
      <c r="EC82" s="587" t="n"/>
      <c r="ED82" s="587" t="n"/>
      <c r="EE82" s="587" t="n"/>
      <c r="EF82" s="587" t="n"/>
      <c r="EG82" s="587" t="n"/>
      <c r="EH82" s="587" t="n"/>
      <c r="EI82" s="587" t="n"/>
      <c r="EJ82" s="587" t="n"/>
      <c r="EK82" s="587" t="n"/>
      <c r="EL82" s="587" t="n"/>
      <c r="EM82" s="587" t="n"/>
      <c r="EN82" s="587" t="n"/>
      <c r="EO82" s="587" t="n"/>
      <c r="EP82" s="587" t="n"/>
      <c r="EQ82" s="587" t="n"/>
      <c r="ER82" s="587" t="n"/>
      <c r="ES82" s="587" t="n"/>
      <c r="ET82" s="587" t="n"/>
      <c r="EU82" s="587" t="n">
        <v>0</v>
      </c>
      <c r="EV82" s="587" t="n"/>
      <c r="EW82" s="587" t="n"/>
      <c r="EX82" s="587" t="n"/>
      <c r="EY82" s="587" t="n"/>
      <c r="EZ82" s="587" t="n"/>
      <c r="FA82" s="587" t="n"/>
      <c r="FB82" s="587" t="n"/>
      <c r="FC82" s="587" t="n"/>
      <c r="FD82" s="587" t="n"/>
      <c r="FE82" s="587" t="n"/>
      <c r="FF82" s="587" t="n"/>
      <c r="FG82" s="587" t="n"/>
      <c r="FH82" s="587" t="n"/>
      <c r="FI82" s="587" t="n"/>
      <c r="FJ82" s="587" t="n"/>
      <c r="FK82" s="587" t="n"/>
      <c r="FL82" s="587" t="n"/>
      <c r="FM82" s="587" t="n"/>
      <c r="FN82" s="587" t="n"/>
      <c r="FO82" s="587" t="n"/>
      <c r="FP82" s="587" t="n"/>
      <c r="FQ82" s="587" t="n"/>
      <c r="FR82" s="587" t="n"/>
      <c r="FS82" s="587" t="n"/>
      <c r="FT82" s="587" t="n"/>
      <c r="FU82" s="587" t="n"/>
      <c r="FV82" s="587" t="n"/>
      <c r="FW82" s="587" t="n"/>
      <c r="FX82" s="587" t="n"/>
      <c r="FY82" s="587" t="n"/>
      <c r="FZ82" s="587" t="n"/>
      <c r="GA82" s="587" t="n"/>
    </row>
    <row r="83" customFormat="1" s="568">
      <c r="A83" s="86" t="n"/>
      <c r="B83" s="85" t="n"/>
      <c r="C83" s="137">
        <f>E83*D$5</f>
        <v/>
      </c>
      <c r="D83" s="51" t="inlineStr">
        <is>
          <t>Del Monte Royalty Partners, LLC</t>
        </is>
      </c>
      <c r="E83" s="137">
        <f>SUM(G83:HT83)</f>
        <v/>
      </c>
      <c r="F83" s="568">
        <f>IFERROR(IF($E83&gt;0.0000005,$E83/SUMIF($E$11:$E$140,"&gt;0.0000005"),""),"")</f>
        <v/>
      </c>
      <c r="H83" s="579" t="n"/>
      <c r="I83" s="579" t="n"/>
      <c r="J83" s="579" t="n"/>
      <c r="K83" s="579" t="n"/>
      <c r="L83" s="579" t="n"/>
      <c r="M83" s="579" t="n"/>
      <c r="N83" s="579" t="n"/>
      <c r="O83" s="579" t="n"/>
      <c r="P83" s="579" t="n"/>
      <c r="Q83" s="574" t="n"/>
      <c r="R83" s="579" t="n"/>
      <c r="S83" s="579" t="n"/>
      <c r="T83" s="579" t="n"/>
      <c r="U83" s="579" t="n"/>
      <c r="V83" s="579" t="n"/>
      <c r="W83" s="579" t="n"/>
      <c r="X83" s="579" t="n"/>
      <c r="Y83" s="579" t="n"/>
      <c r="Z83" s="574" t="n"/>
      <c r="AA83" s="574" t="n"/>
      <c r="AB83" s="574" t="n"/>
      <c r="AC83" s="574" t="n"/>
      <c r="AD83" s="574" t="n"/>
      <c r="AE83" s="574" t="n"/>
      <c r="AF83" s="574" t="n"/>
      <c r="AG83" s="579" t="n"/>
      <c r="AH83" s="574" t="n"/>
      <c r="AI83" s="579" t="n"/>
      <c r="AJ83" s="574" t="n"/>
      <c r="AK83" s="579" t="n"/>
      <c r="AL83" s="579" t="n"/>
      <c r="AM83" s="579" t="n"/>
      <c r="AN83" s="579" t="n"/>
      <c r="AO83" s="579" t="n"/>
      <c r="AP83" s="579" t="n"/>
      <c r="AQ83" s="579" t="n"/>
      <c r="AR83" s="579" t="n"/>
      <c r="AS83" s="579" t="n"/>
      <c r="AT83" s="579" t="n"/>
      <c r="CM83" s="587" t="n"/>
      <c r="CN83" s="587" t="n"/>
      <c r="CO83" s="587" t="n"/>
      <c r="CP83" s="587" t="n"/>
      <c r="CQ83" s="587" t="n"/>
      <c r="CR83" s="587" t="n"/>
      <c r="CS83" s="587" t="n"/>
      <c r="CT83" s="587" t="n"/>
      <c r="CU83" s="587" t="n"/>
      <c r="CV83" s="587" t="n"/>
      <c r="CW83" s="587" t="n"/>
      <c r="CX83" s="587" t="n"/>
      <c r="CY83" s="587" t="n"/>
      <c r="CZ83" s="587" t="n"/>
      <c r="DA83" s="587" t="n"/>
      <c r="DB83" s="587" t="n"/>
      <c r="DC83" s="587" t="n"/>
      <c r="DD83" s="587" t="n"/>
      <c r="DE83" s="587" t="n"/>
      <c r="DF83" s="587" t="n"/>
      <c r="DG83" s="587" t="n"/>
      <c r="DH83" s="587" t="n"/>
      <c r="DI83" s="587" t="n"/>
      <c r="DJ83" s="587" t="n"/>
      <c r="DK83" s="587" t="n"/>
      <c r="DL83" s="587" t="n"/>
      <c r="DM83" s="587" t="n"/>
      <c r="DN83" s="587" t="n"/>
      <c r="DO83" s="587" t="n"/>
      <c r="DP83" s="587" t="n"/>
      <c r="DQ83" s="587" t="n"/>
      <c r="DR83" s="587" t="n"/>
      <c r="DS83" s="587" t="n"/>
      <c r="DT83" s="587" t="n"/>
      <c r="DU83" s="587" t="n"/>
      <c r="DV83" s="587" t="n"/>
      <c r="DW83" s="587" t="n"/>
      <c r="DX83" s="587" t="n"/>
      <c r="DY83" s="587" t="n"/>
      <c r="DZ83" s="587" t="n"/>
      <c r="EA83" s="587" t="n"/>
      <c r="EB83" s="587" t="n"/>
      <c r="EC83" s="587" t="n"/>
      <c r="ED83" s="587" t="n"/>
      <c r="EE83" s="587" t="n"/>
      <c r="EF83" s="587" t="n"/>
      <c r="EG83" s="587" t="n"/>
      <c r="EH83" s="587" t="n"/>
      <c r="EI83" s="587" t="n"/>
      <c r="EJ83" s="587" t="n"/>
      <c r="EK83" s="587" t="n"/>
      <c r="EL83" s="587" t="n"/>
      <c r="EM83" s="587" t="n"/>
      <c r="EN83" s="587" t="n"/>
      <c r="EO83" s="587" t="n"/>
      <c r="EP83" s="587" t="n"/>
      <c r="EQ83" s="587" t="n"/>
      <c r="ER83" s="587" t="n"/>
      <c r="ES83" s="587" t="n"/>
      <c r="ET83" s="587" t="n"/>
      <c r="EU83" s="587" t="n"/>
      <c r="EV83" s="587" t="n">
        <v>0</v>
      </c>
      <c r="EW83" s="587" t="n"/>
      <c r="EX83" s="587" t="n"/>
      <c r="EY83" s="587" t="n"/>
      <c r="EZ83" s="587" t="n"/>
      <c r="FA83" s="587" t="n"/>
      <c r="FB83" s="587" t="n"/>
      <c r="FC83" s="587" t="n"/>
      <c r="FD83" s="587" t="n"/>
      <c r="FE83" s="587" t="n"/>
      <c r="FF83" s="587" t="n"/>
      <c r="FG83" s="587" t="n"/>
      <c r="FH83" s="587" t="n"/>
      <c r="FI83" s="587" t="n"/>
      <c r="FJ83" s="587" t="n"/>
      <c r="FK83" s="587" t="n"/>
      <c r="FL83" s="587" t="n"/>
      <c r="FM83" s="587" t="n"/>
      <c r="FN83" s="587" t="n"/>
      <c r="FO83" s="587" t="n"/>
      <c r="FP83" s="587" t="n"/>
      <c r="FQ83" s="587" t="n"/>
      <c r="FR83" s="587" t="n"/>
      <c r="FS83" s="587" t="n"/>
      <c r="FT83" s="587" t="n"/>
      <c r="FU83" s="587" t="n"/>
      <c r="FV83" s="587" t="n"/>
      <c r="FW83" s="587" t="n"/>
      <c r="FX83" s="587" t="n"/>
      <c r="FY83" s="587" t="n"/>
      <c r="FZ83" s="587" t="n"/>
      <c r="GA83" s="587"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4" t="n"/>
      <c r="R84" s="579" t="n"/>
      <c r="S84" s="579" t="n"/>
      <c r="T84" s="579" t="n"/>
      <c r="U84" s="579" t="n"/>
      <c r="V84" s="579" t="n"/>
      <c r="W84" s="579" t="n"/>
      <c r="X84" s="579" t="n"/>
      <c r="Y84" s="579" t="n"/>
      <c r="Z84" s="574" t="n"/>
      <c r="AA84" s="574" t="n"/>
      <c r="AB84" s="574" t="n"/>
      <c r="AC84" s="574" t="n"/>
      <c r="AD84" s="574" t="n"/>
      <c r="AE84" s="574" t="n"/>
      <c r="AF84" s="574" t="n"/>
      <c r="AG84" s="579" t="n"/>
      <c r="AH84" s="574" t="n"/>
      <c r="AI84" s="579" t="n"/>
      <c r="AJ84" s="574" t="n"/>
      <c r="AK84" s="579" t="n"/>
      <c r="AL84" s="579" t="n"/>
      <c r="AM84" s="579" t="n"/>
      <c r="AN84" s="579" t="n"/>
      <c r="AO84" s="579" t="n"/>
      <c r="AP84" s="579" t="n"/>
      <c r="AQ84" s="579" t="n"/>
      <c r="AR84" s="579" t="n"/>
      <c r="AS84" s="579" t="n"/>
      <c r="AT84" s="579" t="n"/>
      <c r="CM84" s="587" t="n"/>
      <c r="CN84" s="587" t="n"/>
      <c r="CO84" s="587" t="n"/>
      <c r="CP84" s="587" t="n"/>
      <c r="CQ84" s="587" t="n"/>
      <c r="CR84" s="587" t="n"/>
      <c r="CS84" s="587" t="n"/>
      <c r="CT84" s="587" t="n"/>
      <c r="CU84" s="587" t="n"/>
      <c r="CV84" s="587" t="n"/>
      <c r="CW84" s="587" t="n"/>
      <c r="CX84" s="587" t="n"/>
      <c r="CY84" s="587" t="n"/>
      <c r="CZ84" s="587" t="n"/>
      <c r="DA84" s="587" t="n"/>
      <c r="DB84" s="587" t="n"/>
      <c r="DC84" s="587" t="n"/>
      <c r="DD84" s="587" t="n"/>
      <c r="DE84" s="587" t="n"/>
      <c r="DF84" s="587" t="n"/>
      <c r="DG84" s="587" t="n"/>
      <c r="DH84" s="587" t="n"/>
      <c r="DI84" s="587" t="n"/>
      <c r="DJ84" s="587" t="n"/>
      <c r="DK84" s="587" t="n"/>
      <c r="DL84" s="587" t="n"/>
      <c r="DM84" s="587" t="n"/>
      <c r="DN84" s="587" t="n"/>
      <c r="DO84" s="587" t="n"/>
      <c r="DP84" s="587" t="n"/>
      <c r="DQ84" s="587" t="n"/>
      <c r="DR84" s="587" t="n"/>
      <c r="DS84" s="587" t="n"/>
      <c r="DT84" s="587" t="n"/>
      <c r="DU84" s="587" t="n"/>
      <c r="DV84" s="587" t="n"/>
      <c r="DW84" s="587" t="n"/>
      <c r="DX84" s="587" t="n"/>
      <c r="DY84" s="587" t="n"/>
      <c r="DZ84" s="587" t="n"/>
      <c r="EA84" s="587" t="n"/>
      <c r="EB84" s="587" t="n"/>
      <c r="EC84" s="587" t="n"/>
      <c r="ED84" s="587" t="n"/>
      <c r="EE84" s="587" t="n"/>
      <c r="EF84" s="587" t="n"/>
      <c r="EG84" s="587" t="n"/>
      <c r="EH84" s="587" t="n"/>
      <c r="EI84" s="587" t="n"/>
      <c r="EJ84" s="587" t="n"/>
      <c r="EK84" s="587" t="n"/>
      <c r="EL84" s="587" t="n"/>
      <c r="EM84" s="587" t="n"/>
      <c r="EN84" s="587" t="n"/>
      <c r="EO84" s="587" t="n"/>
      <c r="EP84" s="587" t="n"/>
      <c r="EQ84" s="587" t="n"/>
      <c r="ER84" s="587" t="n"/>
      <c r="ES84" s="587" t="n"/>
      <c r="ET84" s="587" t="n"/>
      <c r="EU84" s="587" t="n"/>
      <c r="EV84" s="587" t="n"/>
      <c r="EW84" s="587" t="n"/>
      <c r="EX84" s="587" t="n"/>
      <c r="EY84" s="587" t="n"/>
      <c r="EZ84" s="587" t="n"/>
      <c r="FA84" s="587" t="n"/>
      <c r="FB84" s="587" t="n"/>
      <c r="FC84" s="587" t="n"/>
      <c r="FD84" s="587" t="n"/>
      <c r="FE84" s="587" t="n"/>
      <c r="FF84" s="587" t="n"/>
      <c r="FG84" s="587" t="n"/>
      <c r="FH84" s="587" t="n"/>
      <c r="FI84" s="587" t="n"/>
      <c r="FJ84" s="587" t="n"/>
      <c r="FK84" s="587" t="n"/>
      <c r="FL84" s="587" t="n"/>
      <c r="FM84" s="587" t="n"/>
      <c r="FN84" s="587" t="n"/>
      <c r="FO84" s="587" t="n"/>
      <c r="FP84" s="587" t="n"/>
      <c r="FQ84" s="587" t="n"/>
      <c r="FR84" s="587" t="n"/>
      <c r="FS84" s="587" t="n"/>
      <c r="FT84" s="587" t="n"/>
      <c r="FU84" s="587" t="n"/>
      <c r="FV84" s="587" t="n"/>
      <c r="FW84" s="587" t="n"/>
      <c r="FX84" s="587" t="n"/>
      <c r="FY84" s="587" t="n"/>
      <c r="FZ84" s="587" t="n"/>
      <c r="GA84" s="587" t="n"/>
    </row>
    <row r="85" customFormat="1" s="568">
      <c r="A85" s="86" t="n"/>
      <c r="B85" s="85" t="n"/>
      <c r="C85" s="137">
        <f>E85*D$5</f>
        <v/>
      </c>
      <c r="D85" s="51" t="n"/>
      <c r="E85" s="137">
        <f>SUM(G85:HT85)</f>
        <v/>
      </c>
      <c r="F85" s="568">
        <f>IFERROR(IF($E85&gt;0.0000005,$E85/SUMIF($E$11:$E$140,"&gt;0.0000005"),""),"")</f>
        <v/>
      </c>
      <c r="H85" s="579" t="n"/>
      <c r="I85" s="579" t="n"/>
      <c r="J85" s="579" t="n"/>
      <c r="K85" s="579" t="n"/>
      <c r="L85" s="579" t="n"/>
      <c r="M85" s="579" t="n"/>
      <c r="N85" s="579" t="n"/>
      <c r="O85" s="579" t="n"/>
      <c r="P85" s="579" t="n"/>
      <c r="Q85" s="574" t="n"/>
      <c r="R85" s="579" t="n"/>
      <c r="S85" s="579" t="n"/>
      <c r="T85" s="579" t="n"/>
      <c r="U85" s="579" t="n"/>
      <c r="V85" s="579" t="n"/>
      <c r="W85" s="579" t="n"/>
      <c r="X85" s="579" t="n"/>
      <c r="Y85" s="579" t="n"/>
      <c r="Z85" s="574" t="n"/>
      <c r="AA85" s="574" t="n"/>
      <c r="AB85" s="574" t="n"/>
      <c r="AC85" s="574" t="n"/>
      <c r="AD85" s="574" t="n"/>
      <c r="AE85" s="574" t="n"/>
      <c r="AF85" s="574" t="n"/>
      <c r="AG85" s="579" t="n"/>
      <c r="AH85" s="574" t="n"/>
      <c r="AI85" s="579" t="n"/>
      <c r="AJ85" s="574" t="n"/>
      <c r="AK85" s="579" t="n"/>
      <c r="AL85" s="579" t="n"/>
      <c r="AM85" s="579" t="n"/>
      <c r="AN85" s="579" t="n"/>
      <c r="AO85" s="579" t="n"/>
      <c r="AP85" s="579" t="n"/>
      <c r="AQ85" s="579" t="n"/>
      <c r="AR85" s="579" t="n"/>
      <c r="AS85" s="579" t="n"/>
      <c r="AT85" s="579" t="n"/>
      <c r="CM85" s="587" t="n"/>
      <c r="CN85" s="587" t="n"/>
      <c r="CO85" s="587" t="n"/>
      <c r="CP85" s="587" t="n"/>
      <c r="CQ85" s="587" t="n"/>
      <c r="CR85" s="587" t="n"/>
      <c r="CS85" s="587" t="n"/>
      <c r="CT85" s="587" t="n"/>
      <c r="CU85" s="587" t="n"/>
      <c r="CV85" s="587" t="n"/>
      <c r="CW85" s="587" t="n"/>
      <c r="CX85" s="587" t="n"/>
      <c r="CY85" s="587" t="n"/>
      <c r="CZ85" s="587" t="n"/>
      <c r="DA85" s="587" t="n"/>
      <c r="DB85" s="587" t="n"/>
      <c r="DC85" s="587" t="n"/>
      <c r="DD85" s="587" t="n"/>
      <c r="DE85" s="587" t="n"/>
      <c r="DF85" s="587" t="n"/>
      <c r="DG85" s="587" t="n"/>
      <c r="DH85" s="587" t="n"/>
      <c r="DI85" s="587" t="n"/>
      <c r="DJ85" s="587" t="n"/>
      <c r="DK85" s="587" t="n"/>
      <c r="DL85" s="587" t="n"/>
      <c r="DM85" s="587" t="n"/>
      <c r="DN85" s="587" t="n"/>
      <c r="DO85" s="587" t="n"/>
      <c r="DP85" s="587" t="n"/>
      <c r="DQ85" s="587" t="n"/>
      <c r="DR85" s="587" t="n"/>
      <c r="DS85" s="587" t="n"/>
      <c r="DT85" s="587" t="n"/>
      <c r="DU85" s="587" t="n"/>
      <c r="DV85" s="587" t="n"/>
      <c r="DW85" s="587" t="n"/>
      <c r="DX85" s="587" t="n"/>
      <c r="DY85" s="587" t="n"/>
      <c r="DZ85" s="587" t="n"/>
      <c r="EA85" s="587" t="n"/>
      <c r="EB85" s="587" t="n"/>
      <c r="EC85" s="587" t="n"/>
      <c r="ED85" s="587" t="n"/>
      <c r="EE85" s="587" t="n"/>
      <c r="EF85" s="587" t="n"/>
      <c r="EG85" s="587" t="n"/>
      <c r="EH85" s="587" t="n"/>
      <c r="EI85" s="587" t="n"/>
      <c r="EJ85" s="587" t="n"/>
      <c r="EK85" s="587" t="n"/>
      <c r="EL85" s="587" t="n"/>
      <c r="EM85" s="587" t="n"/>
      <c r="EN85" s="587" t="n"/>
      <c r="EO85" s="587" t="n"/>
      <c r="EP85" s="587" t="n"/>
      <c r="EQ85" s="587" t="n"/>
      <c r="ER85" s="587" t="n"/>
      <c r="ES85" s="587" t="n"/>
      <c r="ET85" s="587" t="n"/>
      <c r="EU85" s="587" t="n"/>
      <c r="EV85" s="587" t="n"/>
      <c r="EW85" s="587" t="n"/>
      <c r="EX85" s="587" t="n"/>
      <c r="EY85" s="587" t="n"/>
      <c r="EZ85" s="587" t="n"/>
      <c r="FA85" s="587" t="n"/>
      <c r="FB85" s="587" t="n"/>
      <c r="FC85" s="587" t="n"/>
      <c r="FD85" s="587" t="n"/>
      <c r="FE85" s="587" t="n"/>
      <c r="FF85" s="587" t="n"/>
      <c r="FG85" s="587" t="n"/>
      <c r="FH85" s="587" t="n"/>
      <c r="FI85" s="587" t="n"/>
      <c r="FJ85" s="587" t="n"/>
      <c r="FK85" s="587" t="n"/>
      <c r="FL85" s="587" t="n"/>
      <c r="FM85" s="587" t="n"/>
      <c r="FN85" s="587" t="n"/>
      <c r="FO85" s="587" t="n"/>
      <c r="FP85" s="587" t="n"/>
      <c r="FQ85" s="587" t="n"/>
      <c r="FR85" s="587" t="n"/>
      <c r="FS85" s="587" t="n"/>
      <c r="FT85" s="587" t="n"/>
      <c r="FU85" s="587" t="n"/>
      <c r="FV85" s="587" t="n"/>
      <c r="FW85" s="587" t="n"/>
      <c r="FX85" s="587" t="n"/>
      <c r="FY85" s="587" t="n"/>
      <c r="FZ85" s="587" t="n"/>
      <c r="GA85" s="587"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4" t="n"/>
      <c r="R86" s="579" t="n"/>
      <c r="S86" s="579" t="n"/>
      <c r="T86" s="579" t="n"/>
      <c r="U86" s="579" t="n"/>
      <c r="V86" s="579" t="n"/>
      <c r="W86" s="579" t="n"/>
      <c r="X86" s="579" t="n"/>
      <c r="Y86" s="579" t="n"/>
      <c r="Z86" s="574" t="n"/>
      <c r="AA86" s="574" t="n"/>
      <c r="AB86" s="574" t="n"/>
      <c r="AC86" s="574" t="n"/>
      <c r="AD86" s="574" t="n"/>
      <c r="AE86" s="574" t="n"/>
      <c r="AF86" s="574" t="n"/>
      <c r="AG86" s="579" t="n"/>
      <c r="AH86" s="574" t="n"/>
      <c r="AI86" s="579" t="n"/>
      <c r="AJ86" s="574" t="n"/>
      <c r="AK86" s="579" t="n"/>
      <c r="AL86" s="579" t="n"/>
      <c r="AM86" s="579" t="n"/>
      <c r="AN86" s="579" t="n"/>
      <c r="AO86" s="579" t="n"/>
      <c r="AP86" s="579" t="n"/>
      <c r="AQ86" s="579" t="n"/>
      <c r="AR86" s="579" t="n"/>
      <c r="AS86" s="579" t="n"/>
      <c r="AT86" s="579" t="n"/>
      <c r="CM86" s="587" t="n"/>
      <c r="CN86" s="587" t="n"/>
      <c r="CO86" s="587" t="n"/>
      <c r="CP86" s="587" t="n"/>
      <c r="CQ86" s="587" t="n"/>
      <c r="CR86" s="587" t="n"/>
      <c r="CS86" s="587" t="n"/>
      <c r="CT86" s="587" t="n"/>
      <c r="CU86" s="587" t="n"/>
      <c r="CV86" s="587" t="n"/>
      <c r="CW86" s="587" t="n"/>
      <c r="CX86" s="587" t="n"/>
      <c r="CY86" s="587" t="n"/>
      <c r="CZ86" s="587" t="n"/>
      <c r="DA86" s="587" t="n"/>
      <c r="DB86" s="587" t="n"/>
      <c r="DC86" s="587" t="n"/>
      <c r="DD86" s="587" t="n"/>
      <c r="DE86" s="587" t="n"/>
      <c r="DF86" s="587" t="n"/>
      <c r="DG86" s="587" t="n"/>
      <c r="DH86" s="587" t="n"/>
      <c r="DI86" s="587" t="n"/>
      <c r="DJ86" s="587" t="n"/>
      <c r="DK86" s="587" t="n"/>
      <c r="DL86" s="587" t="n"/>
      <c r="DM86" s="587" t="n"/>
      <c r="DN86" s="587" t="n"/>
      <c r="DO86" s="587" t="n"/>
      <c r="DP86" s="587" t="n"/>
      <c r="DQ86" s="587" t="n"/>
      <c r="DR86" s="587" t="n"/>
      <c r="DS86" s="587" t="n"/>
      <c r="DT86" s="587" t="n"/>
      <c r="DU86" s="587" t="n"/>
      <c r="DV86" s="587" t="n"/>
      <c r="DW86" s="587" t="n"/>
      <c r="DX86" s="587" t="n"/>
      <c r="DY86" s="587" t="n"/>
      <c r="DZ86" s="587" t="n"/>
      <c r="EA86" s="587" t="n"/>
      <c r="EB86" s="587" t="n"/>
      <c r="EC86" s="587" t="n"/>
      <c r="ED86" s="587" t="n"/>
      <c r="EE86" s="587" t="n"/>
      <c r="EF86" s="587" t="n"/>
      <c r="EG86" s="587" t="n"/>
      <c r="EH86" s="587" t="n"/>
      <c r="EI86" s="587" t="n"/>
      <c r="EJ86" s="587" t="n"/>
      <c r="EK86" s="587" t="n"/>
      <c r="EL86" s="587" t="n"/>
      <c r="EM86" s="587" t="n"/>
      <c r="EN86" s="587" t="n"/>
      <c r="EO86" s="587" t="n"/>
      <c r="EP86" s="587" t="n"/>
      <c r="EQ86" s="587" t="n"/>
      <c r="ER86" s="587" t="n"/>
      <c r="ES86" s="587" t="n"/>
      <c r="ET86" s="587" t="n"/>
      <c r="EU86" s="587" t="n"/>
      <c r="EV86" s="587" t="n"/>
      <c r="EW86" s="587" t="n"/>
      <c r="EX86" s="587" t="n"/>
      <c r="EY86" s="587" t="n"/>
      <c r="EZ86" s="587" t="n"/>
      <c r="FA86" s="587" t="n"/>
      <c r="FB86" s="587" t="n"/>
      <c r="FC86" s="587" t="n"/>
      <c r="FD86" s="587" t="n"/>
      <c r="FE86" s="587" t="n"/>
      <c r="FF86" s="587" t="n"/>
      <c r="FG86" s="587" t="n"/>
      <c r="FH86" s="587" t="n"/>
      <c r="FI86" s="587" t="n"/>
      <c r="FJ86" s="587" t="n"/>
      <c r="FK86" s="587" t="n"/>
      <c r="FL86" s="587" t="n"/>
      <c r="FM86" s="587" t="n"/>
      <c r="FN86" s="587" t="n"/>
      <c r="FO86" s="587" t="n"/>
      <c r="FP86" s="587" t="n"/>
      <c r="FQ86" s="587" t="n"/>
      <c r="FR86" s="587" t="n"/>
      <c r="FS86" s="587" t="n"/>
      <c r="FT86" s="587" t="n"/>
      <c r="FU86" s="587" t="n"/>
      <c r="FV86" s="587" t="n"/>
      <c r="FW86" s="587" t="n"/>
      <c r="FX86" s="587" t="n"/>
      <c r="FY86" s="587" t="n"/>
      <c r="FZ86" s="587" t="n"/>
      <c r="GA86" s="587" t="n"/>
    </row>
    <row r="87" customFormat="1" s="568">
      <c r="A87" s="477" t="inlineStr">
        <is>
          <t>Notes</t>
        </is>
      </c>
      <c r="B87" s="478" t="n"/>
      <c r="C87" s="479" t="inlineStr">
        <is>
          <t>Net Acres</t>
        </is>
      </c>
      <c r="D87" s="476" t="inlineStr">
        <is>
          <t>Mineral Owner</t>
        </is>
      </c>
      <c r="E87" s="84" t="n"/>
      <c r="H87" s="579" t="n"/>
      <c r="I87" s="579" t="n"/>
      <c r="J87" s="579" t="n"/>
      <c r="K87" s="579" t="n"/>
      <c r="L87" s="579" t="n"/>
      <c r="M87" s="579" t="n"/>
      <c r="N87" s="579" t="n"/>
      <c r="O87" s="579" t="n"/>
      <c r="P87" s="579" t="n"/>
      <c r="Q87" s="574" t="n"/>
      <c r="R87" s="579" t="n"/>
      <c r="S87" s="579" t="n"/>
      <c r="T87" s="579" t="n"/>
      <c r="U87" s="579" t="n"/>
      <c r="V87" s="579" t="n"/>
      <c r="W87" s="579" t="n"/>
      <c r="X87" s="579" t="n"/>
      <c r="Y87" s="579" t="n"/>
      <c r="Z87" s="574" t="n"/>
      <c r="AA87" s="574" t="n"/>
      <c r="AB87" s="574" t="n"/>
      <c r="AC87" s="574" t="n"/>
      <c r="AD87" s="574" t="n"/>
      <c r="AE87" s="574" t="n"/>
      <c r="AF87" s="574" t="n"/>
      <c r="AG87" s="579" t="n"/>
      <c r="AH87" s="574" t="n"/>
      <c r="AI87" s="579" t="n"/>
      <c r="AJ87" s="574" t="n"/>
      <c r="AK87" s="579" t="n"/>
      <c r="AL87" s="579" t="n"/>
      <c r="AM87" s="579" t="n"/>
      <c r="AN87" s="579" t="n"/>
      <c r="AO87" s="579" t="n"/>
      <c r="AP87" s="579" t="n"/>
      <c r="AQ87" s="579" t="n"/>
      <c r="AR87" s="579" t="n"/>
      <c r="AS87" s="579" t="n"/>
      <c r="AT87" s="579" t="n"/>
      <c r="CM87" s="587" t="n"/>
      <c r="CN87" s="587" t="n"/>
      <c r="CO87" s="587" t="n"/>
      <c r="CP87" s="587" t="n"/>
      <c r="CQ87" s="587" t="n"/>
      <c r="CR87" s="587" t="n"/>
      <c r="CS87" s="587" t="n"/>
      <c r="CT87" s="587" t="n"/>
      <c r="CU87" s="587" t="n"/>
      <c r="CV87" s="587" t="n"/>
      <c r="CW87" s="587" t="n"/>
      <c r="CX87" s="587" t="n"/>
      <c r="CY87" s="587" t="n"/>
      <c r="CZ87" s="587" t="n"/>
      <c r="DA87" s="587" t="n"/>
      <c r="DB87" s="587" t="n"/>
      <c r="DC87" s="587" t="n"/>
      <c r="DD87" s="587" t="n"/>
      <c r="DE87" s="587" t="n"/>
      <c r="DF87" s="587" t="n"/>
      <c r="DG87" s="587" t="n"/>
      <c r="DH87" s="587" t="n"/>
      <c r="DI87" s="587" t="n"/>
      <c r="DJ87" s="587" t="n"/>
      <c r="DK87" s="587" t="n"/>
      <c r="DL87" s="587" t="n"/>
      <c r="DM87" s="587" t="n"/>
      <c r="DN87" s="587" t="n"/>
      <c r="DO87" s="587" t="n"/>
      <c r="DP87" s="587" t="n"/>
      <c r="DQ87" s="587" t="n"/>
      <c r="DR87" s="587" t="n"/>
      <c r="DS87" s="587" t="n"/>
      <c r="DT87" s="587" t="n"/>
      <c r="DU87" s="587" t="n"/>
      <c r="DV87" s="587" t="n"/>
      <c r="DW87" s="587" t="n"/>
      <c r="DX87" s="587" t="n"/>
      <c r="DY87" s="587" t="n"/>
      <c r="DZ87" s="587" t="n"/>
      <c r="EA87" s="587" t="n"/>
      <c r="EB87" s="587" t="n"/>
      <c r="EC87" s="587" t="n"/>
      <c r="ED87" s="587" t="n"/>
      <c r="EE87" s="587" t="n"/>
      <c r="EF87" s="587" t="n"/>
      <c r="EG87" s="587" t="n"/>
      <c r="EH87" s="587" t="n"/>
      <c r="EI87" s="587" t="n"/>
      <c r="EJ87" s="587" t="n"/>
      <c r="EK87" s="587" t="n"/>
      <c r="EL87" s="587" t="n"/>
      <c r="EM87" s="587" t="n"/>
      <c r="EN87" s="587" t="n"/>
      <c r="EO87" s="587" t="n"/>
      <c r="EP87" s="587" t="n"/>
      <c r="EQ87" s="587" t="n"/>
      <c r="ER87" s="587" t="n"/>
      <c r="ES87" s="587" t="n"/>
      <c r="ET87" s="587" t="n"/>
      <c r="EU87" s="587" t="n"/>
      <c r="EV87" s="587" t="n"/>
      <c r="EW87" s="587" t="n"/>
      <c r="EX87" s="587" t="n"/>
      <c r="EY87" s="587" t="n"/>
      <c r="EZ87" s="587" t="n"/>
      <c r="FA87" s="587" t="n"/>
      <c r="FB87" s="587" t="n"/>
      <c r="FC87" s="587" t="n"/>
      <c r="FD87" s="587" t="n"/>
      <c r="FE87" s="587" t="n"/>
      <c r="FF87" s="587" t="n"/>
      <c r="FG87" s="587" t="n"/>
      <c r="FH87" s="587" t="n"/>
      <c r="FI87" s="587" t="n"/>
      <c r="FJ87" s="587" t="n"/>
      <c r="FK87" s="587" t="n"/>
      <c r="FL87" s="587" t="n"/>
      <c r="FM87" s="587" t="n"/>
      <c r="FN87" s="587" t="n"/>
      <c r="FO87" s="587" t="n"/>
      <c r="FP87" s="587" t="n"/>
      <c r="FQ87" s="587" t="n"/>
      <c r="FR87" s="587" t="n"/>
      <c r="FS87" s="587" t="n"/>
      <c r="FT87" s="587" t="n"/>
      <c r="FU87" s="587" t="n"/>
      <c r="FV87" s="587" t="n"/>
      <c r="FW87" s="587" t="n"/>
      <c r="FX87" s="587" t="n"/>
      <c r="FY87" s="587" t="n"/>
      <c r="FZ87" s="587" t="n"/>
      <c r="GA87" s="587" t="n"/>
    </row>
    <row r="88" ht="25.5" customFormat="1" customHeight="1" s="568">
      <c r="A88" s="86" t="inlineStr">
        <is>
          <t>per Title summary (6/25/2026)</t>
        </is>
      </c>
      <c r="B88" s="85" t="n"/>
      <c r="C88" s="481" t="n">
        <v>0.75</v>
      </c>
      <c r="D88" s="114" t="inlineStr">
        <is>
          <t>Del Monte Royalty Partners, LLC</t>
        </is>
      </c>
      <c r="E88" s="84" t="n"/>
      <c r="H88" s="579" t="n"/>
      <c r="I88" s="579" t="n"/>
      <c r="J88" s="579" t="n"/>
      <c r="K88" s="579" t="n"/>
      <c r="L88" s="579" t="n"/>
      <c r="M88" s="579" t="n"/>
      <c r="N88" s="579" t="n"/>
      <c r="O88" s="579" t="n"/>
      <c r="P88" s="579" t="n"/>
      <c r="Q88" s="574" t="n"/>
      <c r="R88" s="579" t="n"/>
      <c r="S88" s="579" t="n"/>
      <c r="T88" s="579" t="n"/>
      <c r="U88" s="579" t="n"/>
      <c r="V88" s="579" t="n"/>
      <c r="W88" s="579" t="n"/>
      <c r="X88" s="579" t="n"/>
      <c r="Y88" s="579" t="n"/>
      <c r="Z88" s="574" t="n"/>
      <c r="AA88" s="574" t="n"/>
      <c r="AB88" s="574" t="n"/>
      <c r="AC88" s="574" t="n"/>
      <c r="AD88" s="574" t="n"/>
      <c r="AE88" s="574" t="n"/>
      <c r="AF88" s="574" t="n"/>
      <c r="AG88" s="579" t="n"/>
      <c r="AH88" s="574" t="n"/>
      <c r="AI88" s="579" t="n"/>
      <c r="AJ88" s="574" t="n"/>
      <c r="AK88" s="579" t="n"/>
      <c r="AL88" s="579" t="n"/>
      <c r="AM88" s="579" t="n"/>
      <c r="AN88" s="579" t="n"/>
      <c r="AO88" s="579" t="n"/>
      <c r="AP88" s="579" t="n"/>
      <c r="AQ88" s="579" t="n"/>
      <c r="AR88" s="579" t="n"/>
      <c r="AS88" s="579" t="n"/>
      <c r="AT88" s="579" t="n"/>
      <c r="CM88" s="587" t="n"/>
      <c r="CN88" s="587" t="n"/>
      <c r="CO88" s="587" t="n"/>
      <c r="CP88" s="587" t="n"/>
      <c r="CQ88" s="587" t="n"/>
      <c r="CR88" s="587" t="n"/>
      <c r="CS88" s="587" t="n"/>
      <c r="CT88" s="587" t="n"/>
      <c r="CU88" s="587" t="n"/>
      <c r="CV88" s="587" t="n"/>
      <c r="CW88" s="587" t="n"/>
      <c r="CX88" s="587" t="n"/>
      <c r="CY88" s="587" t="n"/>
      <c r="CZ88" s="587" t="n"/>
      <c r="DA88" s="587" t="n"/>
      <c r="DB88" s="587" t="n"/>
      <c r="DC88" s="587" t="n"/>
      <c r="DD88" s="587" t="n"/>
      <c r="DE88" s="587" t="n"/>
      <c r="DF88" s="587" t="n"/>
      <c r="DG88" s="587" t="n"/>
      <c r="DH88" s="587" t="n"/>
      <c r="DI88" s="587" t="n"/>
      <c r="DJ88" s="587" t="n"/>
      <c r="DK88" s="587" t="n"/>
      <c r="DL88" s="587" t="n"/>
      <c r="DM88" s="587" t="n"/>
      <c r="DN88" s="587" t="n"/>
      <c r="DO88" s="587" t="n"/>
      <c r="DP88" s="587" t="n"/>
      <c r="DQ88" s="587" t="n"/>
      <c r="DR88" s="587" t="n"/>
      <c r="DS88" s="587" t="n"/>
      <c r="DT88" s="587" t="n"/>
      <c r="DU88" s="587" t="n"/>
      <c r="DV88" s="587" t="n"/>
      <c r="DW88" s="587" t="n"/>
      <c r="DX88" s="587" t="n"/>
      <c r="DY88" s="587" t="n"/>
      <c r="DZ88" s="587" t="n"/>
      <c r="EA88" s="587" t="n"/>
      <c r="EB88" s="587" t="n"/>
      <c r="EC88" s="587" t="n"/>
      <c r="ED88" s="587" t="n"/>
      <c r="EE88" s="587" t="n"/>
      <c r="EF88" s="587" t="n"/>
      <c r="EG88" s="587" t="n"/>
      <c r="EH88" s="587" t="n"/>
      <c r="EI88" s="587" t="n"/>
      <c r="EJ88" s="587" t="n"/>
      <c r="EK88" s="587" t="n"/>
      <c r="EL88" s="587" t="n"/>
      <c r="EM88" s="587" t="n"/>
      <c r="EN88" s="587" t="n"/>
      <c r="EO88" s="587" t="n"/>
      <c r="EP88" s="587" t="n"/>
      <c r="EQ88" s="587" t="n"/>
      <c r="ER88" s="587" t="n"/>
      <c r="ES88" s="587" t="n"/>
      <c r="ET88" s="587" t="n"/>
      <c r="EU88" s="587" t="n"/>
      <c r="EV88" s="587" t="n"/>
      <c r="EW88" s="587" t="n"/>
      <c r="EX88" s="587" t="n"/>
      <c r="EY88" s="587" t="n"/>
      <c r="EZ88" s="587" t="n"/>
      <c r="FA88" s="587" t="n"/>
      <c r="FB88" s="587" t="n"/>
      <c r="FC88" s="587" t="n"/>
      <c r="FD88" s="587" t="n"/>
      <c r="FE88" s="587" t="n"/>
      <c r="FF88" s="587" t="n"/>
      <c r="FG88" s="587" t="n"/>
      <c r="FH88" s="587" t="n"/>
      <c r="FI88" s="587" t="n"/>
      <c r="FJ88" s="587" t="n"/>
      <c r="FK88" s="587" t="n"/>
      <c r="FL88" s="587" t="n"/>
      <c r="FM88" s="587" t="n"/>
      <c r="FN88" s="587" t="n"/>
      <c r="FO88" s="587" t="n"/>
      <c r="FP88" s="587" t="n"/>
      <c r="FQ88" s="587" t="n"/>
      <c r="FR88" s="587" t="n"/>
      <c r="FS88" s="587" t="n"/>
      <c r="FT88" s="587" t="n"/>
      <c r="FU88" s="587" t="n"/>
      <c r="FV88" s="587" t="n"/>
      <c r="FW88" s="587" t="n"/>
      <c r="FX88" s="587" t="n"/>
      <c r="FY88" s="587" t="n"/>
      <c r="FZ88" s="587" t="n"/>
      <c r="GA88" s="587" t="n"/>
    </row>
    <row r="89" ht="25.5" customFormat="1" customHeight="1" s="568">
      <c r="A89" s="86" t="inlineStr">
        <is>
          <t>per Title summary (6/25/2026)</t>
        </is>
      </c>
      <c r="B89" s="85" t="n"/>
      <c r="C89" s="481" t="n">
        <v>0.75</v>
      </c>
      <c r="D89" s="114" t="inlineStr">
        <is>
          <t>OKKI Industries, LLC</t>
        </is>
      </c>
      <c r="E89" s="84" t="n"/>
      <c r="Q89" s="574" t="n"/>
      <c r="Z89" s="574" t="n"/>
      <c r="AA89" s="574" t="n"/>
      <c r="AB89" s="574" t="n"/>
      <c r="AC89" s="574" t="n"/>
      <c r="AD89" s="574" t="n"/>
      <c r="AE89" s="574" t="n"/>
      <c r="AF89" s="574" t="n"/>
      <c r="AH89" s="574" t="n"/>
      <c r="AJ89" s="574" t="n"/>
      <c r="CM89" s="587" t="n"/>
      <c r="CN89" s="587" t="n"/>
      <c r="CO89" s="587" t="n"/>
      <c r="CP89" s="587" t="n"/>
      <c r="CQ89" s="587" t="n"/>
      <c r="CR89" s="587" t="n"/>
      <c r="CS89" s="587" t="n"/>
      <c r="CT89" s="587" t="n"/>
      <c r="CU89" s="587" t="n"/>
      <c r="CV89" s="587" t="n"/>
      <c r="CW89" s="587" t="n"/>
      <c r="CX89" s="587" t="n"/>
      <c r="CY89" s="587" t="n"/>
      <c r="CZ89" s="587" t="n"/>
      <c r="DA89" s="587" t="n"/>
      <c r="DB89" s="587" t="n"/>
      <c r="DC89" s="587" t="n"/>
      <c r="DD89" s="587" t="n"/>
      <c r="DE89" s="587" t="n"/>
      <c r="DF89" s="587" t="n"/>
      <c r="DG89" s="587" t="n"/>
      <c r="DH89" s="587" t="n"/>
      <c r="DI89" s="587" t="n"/>
      <c r="DJ89" s="587" t="n"/>
      <c r="DK89" s="587" t="n"/>
      <c r="DL89" s="587" t="n"/>
      <c r="DM89" s="587" t="n"/>
      <c r="DN89" s="587" t="n"/>
      <c r="DO89" s="587" t="n"/>
      <c r="DP89" s="587" t="n"/>
      <c r="DQ89" s="587" t="n"/>
      <c r="DR89" s="587" t="n"/>
      <c r="DS89" s="587" t="n"/>
      <c r="DT89" s="587" t="n"/>
      <c r="DU89" s="587" t="n"/>
      <c r="DV89" s="587" t="n"/>
      <c r="DW89" s="587" t="n"/>
      <c r="DX89" s="587" t="n"/>
      <c r="DY89" s="587" t="n"/>
      <c r="DZ89" s="587" t="n"/>
      <c r="EA89" s="587" t="n"/>
      <c r="EB89" s="587" t="n"/>
      <c r="EC89" s="587" t="n"/>
      <c r="ED89" s="587" t="n"/>
      <c r="EE89" s="587" t="n"/>
      <c r="EF89" s="587" t="n"/>
      <c r="EG89" s="587" t="n"/>
      <c r="EH89" s="587" t="n"/>
      <c r="EI89" s="587" t="n"/>
      <c r="EJ89" s="587" t="n"/>
      <c r="EK89" s="587" t="n"/>
      <c r="EL89" s="587" t="n"/>
      <c r="EM89" s="587" t="n"/>
      <c r="EN89" s="587" t="n"/>
      <c r="EO89" s="587" t="n"/>
      <c r="EP89" s="587" t="n"/>
      <c r="EQ89" s="587" t="n"/>
      <c r="ER89" s="587" t="n"/>
      <c r="ES89" s="587" t="n"/>
      <c r="ET89" s="587" t="n"/>
      <c r="EU89" s="587" t="n"/>
      <c r="EV89" s="587" t="n"/>
      <c r="EW89" s="587" t="n"/>
      <c r="EX89" s="587" t="n"/>
      <c r="EY89" s="587" t="n"/>
      <c r="EZ89" s="587" t="n"/>
      <c r="FA89" s="587" t="n"/>
      <c r="FB89" s="587" t="n"/>
      <c r="FC89" s="587" t="n"/>
      <c r="FD89" s="587" t="n"/>
      <c r="FE89" s="587" t="n"/>
      <c r="FF89" s="587" t="n"/>
      <c r="FG89" s="587" t="n"/>
      <c r="FH89" s="587" t="n"/>
      <c r="FI89" s="587" t="n"/>
      <c r="FJ89" s="587" t="n"/>
      <c r="FK89" s="587" t="n"/>
      <c r="FL89" s="587" t="n"/>
      <c r="FM89" s="587" t="n"/>
      <c r="FN89" s="587" t="n"/>
      <c r="FO89" s="587" t="n"/>
      <c r="FP89" s="587" t="n"/>
      <c r="FQ89" s="587" t="n"/>
      <c r="FR89" s="587" t="n"/>
      <c r="FS89" s="587" t="n"/>
      <c r="FT89" s="587" t="n"/>
      <c r="FU89" s="587" t="n"/>
      <c r="FV89" s="587" t="n"/>
      <c r="FW89" s="587" t="n"/>
      <c r="FX89" s="587" t="n"/>
      <c r="FY89" s="587" t="n"/>
      <c r="FZ89" s="587" t="n"/>
      <c r="GA89" s="587" t="n"/>
    </row>
    <row r="90" ht="25.5" customFormat="1" customHeight="1" s="568">
      <c r="A90" s="86" t="inlineStr">
        <is>
          <t>per Title — notice only (0 NMA)</t>
        </is>
      </c>
      <c r="B90" s="85" t="n"/>
      <c r="C90" s="482" t="n">
        <v>0</v>
      </c>
      <c r="D90" s="51" t="inlineStr">
        <is>
          <t>Paul R. Deutsch and/or Deborah A. Deutsch</t>
        </is>
      </c>
      <c r="E90" s="137" t="n"/>
      <c r="Q90" s="574" t="n"/>
      <c r="Z90" s="574" t="n"/>
      <c r="AA90" s="574" t="n"/>
      <c r="AB90" s="574" t="n"/>
      <c r="AC90" s="574" t="n"/>
      <c r="AD90" s="574" t="n"/>
      <c r="AE90" s="574" t="n"/>
      <c r="AF90" s="574" t="n"/>
      <c r="AH90" s="574" t="n"/>
      <c r="AJ90" s="574" t="n"/>
      <c r="CM90" s="587" t="n"/>
      <c r="CN90" s="587" t="n"/>
      <c r="CO90" s="587" t="n"/>
      <c r="CP90" s="587" t="n"/>
      <c r="CQ90" s="587" t="n"/>
      <c r="CR90" s="587" t="n"/>
      <c r="CS90" s="587" t="n"/>
      <c r="CT90" s="587" t="n"/>
      <c r="CU90" s="587" t="n"/>
      <c r="CV90" s="587" t="n"/>
      <c r="CW90" s="587" t="n"/>
      <c r="CX90" s="587" t="n"/>
      <c r="CY90" s="587" t="n"/>
      <c r="CZ90" s="587" t="n"/>
      <c r="DA90" s="587" t="n"/>
      <c r="DB90" s="587" t="n"/>
      <c r="DC90" s="587" t="n"/>
      <c r="DD90" s="587" t="n"/>
      <c r="DE90" s="587" t="n"/>
      <c r="DF90" s="587" t="n"/>
      <c r="DG90" s="587" t="n"/>
      <c r="DH90" s="587" t="n"/>
      <c r="DI90" s="587" t="n"/>
      <c r="DJ90" s="587" t="n"/>
      <c r="DK90" s="587" t="n"/>
      <c r="DL90" s="587" t="n"/>
      <c r="DM90" s="587" t="n"/>
      <c r="DN90" s="587" t="n"/>
      <c r="DO90" s="587" t="n"/>
      <c r="DP90" s="587" t="n"/>
      <c r="DQ90" s="587" t="n"/>
      <c r="DR90" s="587" t="n"/>
      <c r="DS90" s="587" t="n"/>
      <c r="DT90" s="587" t="n"/>
      <c r="DU90" s="587" t="n"/>
      <c r="DV90" s="587" t="n"/>
      <c r="DW90" s="587" t="n"/>
      <c r="DX90" s="587" t="n"/>
      <c r="DY90" s="587" t="n"/>
      <c r="DZ90" s="587" t="n"/>
      <c r="EA90" s="587" t="n"/>
      <c r="EB90" s="587" t="n"/>
      <c r="EC90" s="587" t="n"/>
      <c r="ED90" s="587" t="n"/>
      <c r="EE90" s="587" t="n"/>
      <c r="EF90" s="587" t="n"/>
      <c r="EG90" s="587" t="n"/>
      <c r="EH90" s="587" t="n"/>
      <c r="EI90" s="587" t="n"/>
      <c r="EJ90" s="587" t="n"/>
      <c r="EK90" s="587" t="n"/>
      <c r="EL90" s="587" t="n"/>
      <c r="EM90" s="587" t="n"/>
      <c r="EN90" s="587" t="n"/>
      <c r="EO90" s="587" t="n"/>
      <c r="EP90" s="587" t="n"/>
      <c r="EQ90" s="587" t="n"/>
      <c r="ER90" s="587" t="n"/>
      <c r="ES90" s="587" t="n"/>
      <c r="ET90" s="587" t="n"/>
      <c r="EU90" s="587" t="n"/>
      <c r="EV90" s="587" t="n"/>
      <c r="EW90" s="587" t="n"/>
      <c r="EX90" s="587" t="n"/>
      <c r="EY90" s="587" t="n"/>
      <c r="EZ90" s="587" t="n"/>
      <c r="FA90" s="587" t="n"/>
      <c r="FB90" s="587" t="n"/>
      <c r="FC90" s="587" t="n"/>
      <c r="FD90" s="587" t="n"/>
      <c r="FE90" s="587" t="n"/>
      <c r="FF90" s="587" t="n"/>
      <c r="FG90" s="587" t="n"/>
      <c r="FH90" s="587" t="n"/>
      <c r="FI90" s="587" t="n"/>
      <c r="FJ90" s="587" t="n"/>
      <c r="FK90" s="587" t="n"/>
      <c r="FL90" s="587" t="n"/>
      <c r="FM90" s="587" t="n"/>
      <c r="FN90" s="587" t="n"/>
      <c r="FO90" s="587" t="n"/>
      <c r="FP90" s="587" t="n"/>
      <c r="FQ90" s="587" t="n"/>
      <c r="FR90" s="587" t="n"/>
      <c r="FS90" s="587" t="n"/>
      <c r="FT90" s="587" t="n"/>
      <c r="FU90" s="587" t="n"/>
      <c r="FV90" s="587" t="n"/>
      <c r="FW90" s="587" t="n"/>
      <c r="FX90" s="587" t="n"/>
      <c r="FY90" s="587" t="n"/>
      <c r="FZ90" s="587" t="n"/>
      <c r="GA90" s="587" t="n"/>
    </row>
    <row r="91" ht="25.5" customFormat="1" customHeight="1" s="568">
      <c r="A91" s="86" t="inlineStr">
        <is>
          <t>per Title summary (6/25/2026)</t>
        </is>
      </c>
      <c r="B91" s="85" t="n"/>
      <c r="C91" s="481" t="n">
        <v>14.27</v>
      </c>
      <c r="D91" s="114" t="inlineStr">
        <is>
          <t>OKKI Industries, LLC</t>
        </is>
      </c>
      <c r="E91" s="84" t="n"/>
      <c r="Q91" s="574" t="n"/>
      <c r="Z91" s="574" t="n"/>
      <c r="AA91" s="574" t="n"/>
      <c r="AB91" s="574" t="n"/>
      <c r="AC91" s="574" t="n"/>
      <c r="AD91" s="574" t="n"/>
      <c r="AE91" s="574" t="n"/>
      <c r="AF91" s="574" t="n"/>
      <c r="AH91" s="574" t="n"/>
      <c r="AJ91" s="574" t="n"/>
      <c r="CM91" s="587" t="n"/>
      <c r="CN91" s="587" t="n"/>
      <c r="CO91" s="587" t="n"/>
      <c r="CP91" s="587" t="n"/>
      <c r="CQ91" s="587" t="n"/>
      <c r="CR91" s="587" t="n"/>
      <c r="CS91" s="587" t="n"/>
      <c r="CT91" s="587" t="n"/>
      <c r="CU91" s="587" t="n"/>
      <c r="CV91" s="587" t="n"/>
      <c r="CW91" s="587" t="n"/>
      <c r="CX91" s="587" t="n"/>
      <c r="CY91" s="587" t="n"/>
      <c r="CZ91" s="587" t="n"/>
      <c r="DA91" s="587" t="n"/>
      <c r="DB91" s="587" t="n"/>
      <c r="DC91" s="587" t="n"/>
      <c r="DD91" s="587" t="n"/>
      <c r="DE91" s="587" t="n"/>
      <c r="DF91" s="587" t="n"/>
      <c r="DG91" s="587" t="n"/>
      <c r="DH91" s="587" t="n"/>
      <c r="DI91" s="587" t="n"/>
      <c r="DJ91" s="587" t="n"/>
      <c r="DK91" s="587" t="n"/>
      <c r="DL91" s="587" t="n"/>
      <c r="DM91" s="587" t="n"/>
      <c r="DN91" s="587" t="n"/>
      <c r="DO91" s="587" t="n"/>
      <c r="DP91" s="587" t="n"/>
      <c r="DQ91" s="587" t="n"/>
      <c r="DR91" s="587" t="n"/>
      <c r="DS91" s="587" t="n"/>
      <c r="DT91" s="587" t="n"/>
      <c r="DU91" s="587" t="n"/>
      <c r="DV91" s="587" t="n"/>
      <c r="DW91" s="587" t="n"/>
      <c r="DX91" s="587" t="n"/>
      <c r="DY91" s="587" t="n"/>
      <c r="DZ91" s="587" t="n"/>
      <c r="EA91" s="587" t="n"/>
      <c r="EB91" s="587" t="n"/>
      <c r="EC91" s="587" t="n"/>
      <c r="ED91" s="587" t="n"/>
      <c r="EE91" s="587" t="n"/>
      <c r="EF91" s="587" t="n"/>
      <c r="EG91" s="587" t="n"/>
      <c r="EH91" s="587" t="n"/>
      <c r="EI91" s="587" t="n"/>
      <c r="EJ91" s="587" t="n"/>
      <c r="EK91" s="587" t="n"/>
      <c r="EL91" s="587" t="n"/>
      <c r="EM91" s="587" t="n"/>
      <c r="EN91" s="587" t="n"/>
      <c r="EO91" s="587" t="n"/>
      <c r="EP91" s="587" t="n"/>
      <c r="EQ91" s="587" t="n"/>
      <c r="ER91" s="587" t="n"/>
      <c r="ES91" s="587" t="n"/>
      <c r="ET91" s="587" t="n"/>
      <c r="EU91" s="587" t="n"/>
      <c r="EV91" s="587" t="n"/>
      <c r="EW91" s="587" t="n"/>
      <c r="EX91" s="587" t="n"/>
      <c r="EY91" s="587" t="n"/>
      <c r="EZ91" s="587" t="n"/>
      <c r="FA91" s="587" t="n"/>
      <c r="FB91" s="587" t="n"/>
      <c r="FC91" s="587" t="n"/>
      <c r="FD91" s="587" t="n"/>
      <c r="FE91" s="587" t="n"/>
      <c r="FF91" s="587" t="n"/>
      <c r="FG91" s="587" t="n"/>
      <c r="FH91" s="587" t="n"/>
      <c r="FI91" s="587" t="n"/>
      <c r="FJ91" s="587" t="n"/>
      <c r="FK91" s="587" t="n"/>
      <c r="FL91" s="587" t="n"/>
      <c r="FM91" s="587" t="n"/>
      <c r="FN91" s="587" t="n"/>
      <c r="FO91" s="587" t="n"/>
      <c r="FP91" s="587" t="n"/>
      <c r="FQ91" s="587" t="n"/>
      <c r="FR91" s="587" t="n"/>
      <c r="FS91" s="587" t="n"/>
      <c r="FT91" s="587" t="n"/>
      <c r="FU91" s="587" t="n"/>
      <c r="FV91" s="587" t="n"/>
      <c r="FW91" s="587" t="n"/>
      <c r="FX91" s="587" t="n"/>
      <c r="FY91" s="587" t="n"/>
      <c r="FZ91" s="587" t="n"/>
      <c r="GA91" s="587" t="n"/>
    </row>
    <row r="92" ht="25.5" customFormat="1" customHeight="1" s="568">
      <c r="A92" s="86" t="inlineStr">
        <is>
          <t>per Title summary (6/25/2026)</t>
        </is>
      </c>
      <c r="B92" s="85" t="n"/>
      <c r="C92" s="481" t="n">
        <v>14.27</v>
      </c>
      <c r="D92" s="114" t="inlineStr">
        <is>
          <t>Del Monte Royalty Partners, LLC</t>
        </is>
      </c>
      <c r="E92" s="137" t="n"/>
      <c r="Q92" s="574" t="n"/>
      <c r="Z92" s="574" t="n"/>
      <c r="AA92" s="574" t="n"/>
      <c r="AB92" s="574" t="n"/>
      <c r="AC92" s="574" t="n"/>
      <c r="AD92" s="574" t="n"/>
      <c r="AE92" s="574" t="n"/>
      <c r="AF92" s="574" t="n"/>
      <c r="AH92" s="574" t="n"/>
      <c r="AJ92" s="574" t="n"/>
      <c r="CM92" s="587" t="n"/>
      <c r="CN92" s="587" t="n"/>
      <c r="CO92" s="587" t="n"/>
      <c r="CP92" s="587" t="n"/>
      <c r="CQ92" s="587" t="n"/>
      <c r="CR92" s="587" t="n"/>
      <c r="CS92" s="587" t="n"/>
      <c r="CT92" s="587" t="n"/>
      <c r="CU92" s="587" t="n"/>
      <c r="CV92" s="587" t="n"/>
      <c r="CW92" s="587" t="n"/>
      <c r="CX92" s="587" t="n"/>
      <c r="CY92" s="587" t="n"/>
      <c r="CZ92" s="587" t="n"/>
      <c r="DA92" s="587" t="n"/>
      <c r="DB92" s="587" t="n"/>
      <c r="DC92" s="587" t="n"/>
      <c r="DD92" s="587" t="n"/>
      <c r="DE92" s="587" t="n"/>
      <c r="DF92" s="587" t="n"/>
      <c r="DG92" s="587" t="n"/>
      <c r="DH92" s="587" t="n"/>
      <c r="DI92" s="587" t="n"/>
      <c r="DJ92" s="587" t="n"/>
      <c r="DK92" s="587" t="n"/>
      <c r="DL92" s="587" t="n"/>
      <c r="DM92" s="587" t="n"/>
      <c r="DN92" s="587" t="n"/>
      <c r="DO92" s="587" t="n"/>
      <c r="DP92" s="587" t="n"/>
      <c r="DQ92" s="587" t="n"/>
      <c r="DR92" s="587" t="n"/>
      <c r="DS92" s="587" t="n"/>
      <c r="DT92" s="587" t="n"/>
      <c r="DU92" s="587" t="n"/>
      <c r="DV92" s="587" t="n"/>
      <c r="DW92" s="587" t="n"/>
      <c r="DX92" s="587" t="n"/>
      <c r="DY92" s="587" t="n"/>
      <c r="DZ92" s="587" t="n"/>
      <c r="EA92" s="587" t="n"/>
      <c r="EB92" s="587" t="n"/>
      <c r="EC92" s="587" t="n"/>
      <c r="ED92" s="587" t="n"/>
      <c r="EE92" s="587" t="n"/>
      <c r="EF92" s="587" t="n"/>
      <c r="EG92" s="587" t="n"/>
      <c r="EH92" s="587" t="n"/>
      <c r="EI92" s="587" t="n"/>
      <c r="EJ92" s="587" t="n"/>
      <c r="EK92" s="587" t="n"/>
      <c r="EL92" s="587" t="n"/>
      <c r="EM92" s="587" t="n"/>
      <c r="EN92" s="587" t="n"/>
      <c r="EO92" s="587" t="n"/>
      <c r="EP92" s="587" t="n"/>
      <c r="EQ92" s="587" t="n"/>
      <c r="ER92" s="587" t="n"/>
      <c r="ES92" s="587" t="n"/>
      <c r="ET92" s="587" t="n"/>
      <c r="EU92" s="587" t="n"/>
      <c r="EV92" s="587" t="n"/>
      <c r="EW92" s="587" t="n"/>
      <c r="EX92" s="587" t="n"/>
      <c r="EY92" s="587" t="n"/>
      <c r="EZ92" s="587" t="n"/>
      <c r="FA92" s="587" t="n"/>
      <c r="FB92" s="587" t="n"/>
      <c r="FC92" s="587" t="n"/>
      <c r="FD92" s="587" t="n"/>
      <c r="FE92" s="587" t="n"/>
      <c r="FF92" s="587" t="n"/>
      <c r="FG92" s="587" t="n"/>
      <c r="FH92" s="587" t="n"/>
      <c r="FI92" s="587" t="n"/>
      <c r="FJ92" s="587" t="n"/>
      <c r="FK92" s="587" t="n"/>
      <c r="FL92" s="587" t="n"/>
      <c r="FM92" s="587" t="n"/>
      <c r="FN92" s="587" t="n"/>
      <c r="FO92" s="587" t="n"/>
      <c r="FP92" s="587" t="n"/>
      <c r="FQ92" s="587" t="n"/>
      <c r="FR92" s="587" t="n"/>
      <c r="FS92" s="587" t="n"/>
      <c r="FT92" s="587" t="n"/>
      <c r="FU92" s="587" t="n"/>
      <c r="FV92" s="587" t="n"/>
      <c r="FW92" s="587" t="n"/>
      <c r="FX92" s="587" t="n"/>
      <c r="FY92" s="587" t="n"/>
      <c r="FZ92" s="587" t="n"/>
      <c r="GA92" s="587" t="n"/>
    </row>
    <row r="93" ht="25.5" customFormat="1" customHeight="1" s="568">
      <c r="A93" s="86" t="inlineStr">
        <is>
          <t>per Title summary (6/25/2026)</t>
        </is>
      </c>
      <c r="B93" s="85" t="n"/>
      <c r="C93" s="482" t="n">
        <v>1.5</v>
      </c>
      <c r="D93" s="114" t="inlineStr">
        <is>
          <t>Cardinal Land Company, LLC</t>
        </is>
      </c>
      <c r="E93" s="137" t="n"/>
      <c r="Q93" s="574" t="n"/>
      <c r="Z93" s="574" t="n"/>
      <c r="AA93" s="574" t="n"/>
      <c r="AB93" s="574" t="n"/>
      <c r="AC93" s="574" t="n"/>
      <c r="AD93" s="574" t="n"/>
      <c r="AE93" s="574" t="n"/>
      <c r="AF93" s="574" t="n"/>
      <c r="AH93" s="574" t="n"/>
      <c r="AJ93" s="574" t="n"/>
      <c r="CM93" s="587" t="n"/>
      <c r="CN93" s="587" t="n"/>
      <c r="CO93" s="587" t="n"/>
      <c r="CP93" s="587" t="n"/>
      <c r="CQ93" s="587" t="n"/>
      <c r="CR93" s="587" t="n"/>
      <c r="CS93" s="587" t="n"/>
      <c r="CT93" s="587" t="n"/>
      <c r="CU93" s="587" t="n"/>
      <c r="CV93" s="587" t="n"/>
      <c r="CW93" s="587" t="n"/>
      <c r="CX93" s="587" t="n"/>
      <c r="CY93" s="587" t="n"/>
      <c r="CZ93" s="587" t="n"/>
      <c r="DA93" s="587" t="n"/>
      <c r="DB93" s="587" t="n"/>
      <c r="DC93" s="587" t="n"/>
      <c r="DD93" s="587" t="n"/>
      <c r="DE93" s="587" t="n"/>
      <c r="DF93" s="587" t="n"/>
      <c r="DG93" s="587" t="n"/>
      <c r="DH93" s="587" t="n"/>
      <c r="DI93" s="587" t="n"/>
      <c r="DJ93" s="587" t="n"/>
      <c r="DK93" s="587" t="n"/>
      <c r="DL93" s="587" t="n"/>
      <c r="DM93" s="587" t="n"/>
      <c r="DN93" s="587" t="n"/>
      <c r="DO93" s="587" t="n"/>
      <c r="DP93" s="587" t="n"/>
      <c r="DQ93" s="587" t="n"/>
      <c r="DR93" s="587" t="n"/>
      <c r="DS93" s="587" t="n"/>
      <c r="DT93" s="587" t="n"/>
      <c r="DU93" s="587" t="n"/>
      <c r="DV93" s="587" t="n"/>
      <c r="DW93" s="587" t="n"/>
      <c r="DX93" s="587" t="n"/>
      <c r="DY93" s="587" t="n"/>
      <c r="DZ93" s="587" t="n"/>
      <c r="EA93" s="587" t="n"/>
      <c r="EB93" s="587" t="n"/>
      <c r="EC93" s="587" t="n"/>
      <c r="ED93" s="587" t="n"/>
      <c r="EE93" s="587" t="n"/>
      <c r="EF93" s="587" t="n"/>
      <c r="EG93" s="587" t="n"/>
      <c r="EH93" s="587" t="n"/>
      <c r="EI93" s="587" t="n"/>
      <c r="EJ93" s="587" t="n"/>
      <c r="EK93" s="587" t="n"/>
      <c r="EL93" s="587" t="n"/>
      <c r="EM93" s="587" t="n"/>
      <c r="EN93" s="587" t="n"/>
      <c r="EO93" s="587" t="n"/>
      <c r="EP93" s="587" t="n"/>
      <c r="EQ93" s="587" t="n"/>
      <c r="ER93" s="587" t="n"/>
      <c r="ES93" s="587" t="n"/>
      <c r="ET93" s="587" t="n"/>
      <c r="EU93" s="587" t="n"/>
      <c r="EV93" s="587" t="n"/>
      <c r="EW93" s="587" t="n"/>
      <c r="EX93" s="587" t="n"/>
      <c r="EY93" s="587" t="n"/>
      <c r="EZ93" s="587" t="n"/>
      <c r="FA93" s="587" t="n"/>
      <c r="FB93" s="587" t="n"/>
      <c r="FC93" s="587" t="n"/>
      <c r="FD93" s="587" t="n"/>
      <c r="FE93" s="587" t="n"/>
      <c r="FF93" s="587" t="n"/>
      <c r="FG93" s="587" t="n"/>
      <c r="FH93" s="587" t="n"/>
      <c r="FI93" s="587" t="n"/>
      <c r="FJ93" s="587" t="n"/>
      <c r="FK93" s="587" t="n"/>
      <c r="FL93" s="587" t="n"/>
      <c r="FM93" s="587" t="n"/>
      <c r="FN93" s="587" t="n"/>
      <c r="FO93" s="587" t="n"/>
      <c r="FP93" s="587" t="n"/>
      <c r="FQ93" s="587" t="n"/>
      <c r="FR93" s="587" t="n"/>
      <c r="FS93" s="587" t="n"/>
      <c r="FT93" s="587" t="n"/>
      <c r="FU93" s="587" t="n"/>
      <c r="FV93" s="587" t="n"/>
      <c r="FW93" s="587" t="n"/>
      <c r="FX93" s="587" t="n"/>
      <c r="FY93" s="587" t="n"/>
      <c r="FZ93" s="587" t="n"/>
      <c r="GA93" s="587" t="n"/>
    </row>
    <row r="94" ht="25.5" customFormat="1" customHeight="1" s="568">
      <c r="A94" s="86" t="inlineStr">
        <is>
          <t>per Title summary (6/25/2026)</t>
        </is>
      </c>
      <c r="B94" s="85" t="n"/>
      <c r="C94" s="481" t="n">
        <v>14.27</v>
      </c>
      <c r="D94" s="114" t="inlineStr">
        <is>
          <t>Longreach Energy 2, LLC</t>
        </is>
      </c>
      <c r="E94" s="137" t="n"/>
      <c r="Q94" s="574" t="n"/>
      <c r="Z94" s="574" t="n"/>
      <c r="AA94" s="574" t="n"/>
      <c r="AB94" s="574" t="n"/>
      <c r="AC94" s="574" t="n"/>
      <c r="AD94" s="574" t="n"/>
      <c r="AE94" s="574" t="n"/>
      <c r="AF94" s="574" t="n"/>
      <c r="AH94" s="574" t="n"/>
      <c r="AJ94" s="574" t="n"/>
      <c r="CM94" s="587" t="n"/>
      <c r="CN94" s="587" t="n"/>
      <c r="CO94" s="587" t="n"/>
      <c r="CP94" s="587" t="n"/>
      <c r="CQ94" s="587" t="n"/>
      <c r="CR94" s="587" t="n"/>
      <c r="CS94" s="587" t="n"/>
      <c r="CT94" s="587" t="n"/>
      <c r="CU94" s="587" t="n"/>
      <c r="CV94" s="587" t="n"/>
      <c r="CW94" s="587" t="n"/>
      <c r="CX94" s="587" t="n"/>
      <c r="CY94" s="587" t="n"/>
      <c r="CZ94" s="587" t="n"/>
      <c r="DA94" s="587" t="n"/>
      <c r="DB94" s="587" t="n"/>
      <c r="DC94" s="587" t="n"/>
      <c r="DD94" s="587" t="n"/>
      <c r="DE94" s="587" t="n"/>
      <c r="DF94" s="587" t="n"/>
      <c r="DG94" s="587" t="n"/>
      <c r="DH94" s="587" t="n"/>
      <c r="DI94" s="587" t="n"/>
      <c r="DJ94" s="587" t="n"/>
      <c r="DK94" s="587" t="n"/>
      <c r="DL94" s="587" t="n"/>
      <c r="DM94" s="587" t="n"/>
      <c r="DN94" s="587" t="n"/>
      <c r="DO94" s="587" t="n"/>
      <c r="DP94" s="587" t="n"/>
      <c r="DQ94" s="587" t="n"/>
      <c r="DR94" s="587" t="n"/>
      <c r="DS94" s="587" t="n"/>
      <c r="DT94" s="587" t="n"/>
      <c r="DU94" s="587" t="n"/>
      <c r="DV94" s="587" t="n"/>
      <c r="DW94" s="587" t="n"/>
      <c r="DX94" s="587" t="n"/>
      <c r="DY94" s="587" t="n"/>
      <c r="DZ94" s="587" t="n"/>
      <c r="EA94" s="587" t="n"/>
      <c r="EB94" s="587" t="n"/>
      <c r="EC94" s="587" t="n"/>
      <c r="ED94" s="587" t="n"/>
      <c r="EE94" s="587" t="n"/>
      <c r="EF94" s="587" t="n"/>
      <c r="EG94" s="587" t="n"/>
      <c r="EH94" s="587" t="n"/>
      <c r="EI94" s="587" t="n"/>
      <c r="EJ94" s="587" t="n"/>
      <c r="EK94" s="587" t="n"/>
      <c r="EL94" s="587" t="n"/>
      <c r="EM94" s="587" t="n"/>
      <c r="EN94" s="587" t="n"/>
      <c r="EO94" s="587" t="n"/>
      <c r="EP94" s="587" t="n"/>
      <c r="EQ94" s="587" t="n"/>
      <c r="ER94" s="587" t="n"/>
      <c r="ES94" s="587" t="n"/>
      <c r="ET94" s="587" t="n"/>
      <c r="EU94" s="587" t="n"/>
      <c r="EV94" s="587" t="n"/>
      <c r="EW94" s="587" t="n"/>
      <c r="EX94" s="587" t="n"/>
      <c r="EY94" s="587" t="n"/>
      <c r="EZ94" s="587" t="n"/>
      <c r="FA94" s="587" t="n"/>
      <c r="FB94" s="587" t="n"/>
      <c r="FC94" s="587" t="n"/>
      <c r="FD94" s="587" t="n"/>
      <c r="FE94" s="587" t="n"/>
      <c r="FF94" s="587" t="n"/>
      <c r="FG94" s="587" t="n"/>
      <c r="FH94" s="587" t="n"/>
      <c r="FI94" s="587" t="n"/>
      <c r="FJ94" s="587" t="n"/>
      <c r="FK94" s="587" t="n"/>
      <c r="FL94" s="587" t="n"/>
      <c r="FM94" s="587" t="n"/>
      <c r="FN94" s="587" t="n"/>
      <c r="FO94" s="587" t="n"/>
      <c r="FP94" s="587" t="n"/>
      <c r="FQ94" s="587" t="n"/>
      <c r="FR94" s="587" t="n"/>
      <c r="FS94" s="587" t="n"/>
      <c r="FT94" s="587" t="n"/>
      <c r="FU94" s="587" t="n"/>
      <c r="FV94" s="587" t="n"/>
      <c r="FW94" s="587" t="n"/>
      <c r="FX94" s="587" t="n"/>
      <c r="FY94" s="587" t="n"/>
      <c r="FZ94" s="587" t="n"/>
      <c r="GA94" s="587" t="n"/>
    </row>
    <row r="95" ht="25.5" customFormat="1" customHeight="1" s="568">
      <c r="A95" s="86" t="inlineStr">
        <is>
          <t>per Title summary (6/25/2026)</t>
        </is>
      </c>
      <c r="B95" s="85" t="n"/>
      <c r="C95" s="482" t="n">
        <v>14.27</v>
      </c>
      <c r="D95" s="114" t="inlineStr">
        <is>
          <t>Royfin Natural Gas, LLC</t>
        </is>
      </c>
      <c r="E95" s="137" t="n"/>
      <c r="Q95" s="574" t="n"/>
      <c r="Z95" s="574" t="n"/>
      <c r="AA95" s="574" t="n"/>
      <c r="AB95" s="574" t="n"/>
      <c r="AC95" s="574" t="n"/>
      <c r="AD95" s="574" t="n"/>
      <c r="AE95" s="574" t="n"/>
      <c r="AF95" s="574" t="n"/>
      <c r="AH95" s="574" t="n"/>
      <c r="AJ95" s="574" t="n"/>
      <c r="CM95" s="587" t="n"/>
      <c r="CN95" s="587" t="n"/>
      <c r="CO95" s="587" t="n"/>
      <c r="CP95" s="587" t="n"/>
      <c r="CQ95" s="587" t="n"/>
      <c r="CR95" s="587" t="n"/>
      <c r="CS95" s="587" t="n"/>
      <c r="CT95" s="587" t="n"/>
      <c r="CU95" s="587" t="n"/>
      <c r="CV95" s="587" t="n"/>
      <c r="CW95" s="587" t="n"/>
      <c r="CX95" s="587" t="n"/>
      <c r="CY95" s="587" t="n"/>
      <c r="CZ95" s="587" t="n"/>
      <c r="DA95" s="587" t="n"/>
      <c r="DB95" s="587" t="n"/>
      <c r="DC95" s="587" t="n"/>
      <c r="DD95" s="587" t="n"/>
      <c r="DE95" s="587" t="n"/>
      <c r="DF95" s="587" t="n"/>
      <c r="DG95" s="587" t="n"/>
      <c r="DH95" s="587" t="n"/>
      <c r="DI95" s="587" t="n"/>
      <c r="DJ95" s="587" t="n"/>
      <c r="DK95" s="587" t="n"/>
      <c r="DL95" s="587" t="n"/>
      <c r="DM95" s="587" t="n"/>
      <c r="DN95" s="587" t="n"/>
      <c r="DO95" s="587" t="n"/>
      <c r="DP95" s="587" t="n"/>
      <c r="DQ95" s="587" t="n"/>
      <c r="DR95" s="587" t="n"/>
      <c r="DS95" s="587" t="n"/>
      <c r="DT95" s="587" t="n"/>
      <c r="DU95" s="587" t="n"/>
      <c r="DV95" s="587" t="n"/>
      <c r="DW95" s="587" t="n"/>
      <c r="DX95" s="587" t="n"/>
      <c r="DY95" s="587" t="n"/>
      <c r="DZ95" s="587" t="n"/>
      <c r="EA95" s="587" t="n"/>
      <c r="EB95" s="587" t="n"/>
      <c r="EC95" s="587" t="n"/>
      <c r="ED95" s="587" t="n"/>
      <c r="EE95" s="587" t="n"/>
      <c r="EF95" s="587" t="n"/>
      <c r="EG95" s="587" t="n"/>
      <c r="EH95" s="587" t="n"/>
      <c r="EI95" s="587" t="n"/>
      <c r="EJ95" s="587" t="n"/>
      <c r="EK95" s="587" t="n"/>
      <c r="EL95" s="587" t="n"/>
      <c r="EM95" s="587" t="n"/>
      <c r="EN95" s="587" t="n"/>
      <c r="EO95" s="587" t="n"/>
      <c r="EP95" s="587" t="n"/>
      <c r="EQ95" s="587" t="n"/>
      <c r="ER95" s="587" t="n"/>
      <c r="ES95" s="587" t="n"/>
      <c r="ET95" s="587" t="n"/>
      <c r="EU95" s="587" t="n"/>
      <c r="EV95" s="587" t="n"/>
      <c r="EW95" s="587" t="n"/>
      <c r="EX95" s="587" t="n"/>
      <c r="EY95" s="587" t="n"/>
      <c r="EZ95" s="587" t="n"/>
      <c r="FA95" s="587" t="n"/>
      <c r="FB95" s="587" t="n"/>
      <c r="FC95" s="587" t="n"/>
      <c r="FD95" s="587" t="n"/>
      <c r="FE95" s="587" t="n"/>
      <c r="FF95" s="587" t="n"/>
      <c r="FG95" s="587" t="n"/>
      <c r="FH95" s="587" t="n"/>
      <c r="FI95" s="587" t="n"/>
      <c r="FJ95" s="587" t="n"/>
      <c r="FK95" s="587" t="n"/>
      <c r="FL95" s="587" t="n"/>
      <c r="FM95" s="587" t="n"/>
      <c r="FN95" s="587" t="n"/>
      <c r="FO95" s="587" t="n"/>
      <c r="FP95" s="587" t="n"/>
      <c r="FQ95" s="587" t="n"/>
      <c r="FR95" s="587" t="n"/>
      <c r="FS95" s="587" t="n"/>
      <c r="FT95" s="587" t="n"/>
      <c r="FU95" s="587" t="n"/>
      <c r="FV95" s="587" t="n"/>
      <c r="FW95" s="587" t="n"/>
      <c r="FX95" s="587" t="n"/>
      <c r="FY95" s="587" t="n"/>
      <c r="FZ95" s="587" t="n"/>
      <c r="GA95" s="587" t="n"/>
    </row>
    <row r="96" ht="25.5" customFormat="1" customHeight="1" s="568">
      <c r="A96" s="86" t="inlineStr">
        <is>
          <t>per Title summary (6/25/2026)</t>
        </is>
      </c>
      <c r="B96" s="85" t="n"/>
      <c r="C96" s="481" t="n">
        <v>14.27</v>
      </c>
      <c r="D96" s="114" t="inlineStr">
        <is>
          <t>Paul M. Bain GST Tax-Exempt Trust</t>
        </is>
      </c>
      <c r="E96" s="137" t="n"/>
      <c r="Q96" s="574" t="n"/>
      <c r="Z96" s="574" t="n"/>
      <c r="AA96" s="574" t="n"/>
      <c r="AB96" s="574" t="n"/>
      <c r="AC96" s="574" t="n"/>
      <c r="AD96" s="574" t="n"/>
      <c r="AE96" s="574" t="n"/>
      <c r="AF96" s="574" t="n"/>
      <c r="AH96" s="574" t="n"/>
      <c r="AJ96" s="574" t="n"/>
      <c r="CM96" s="587" t="n"/>
      <c r="CN96" s="587" t="n"/>
      <c r="CO96" s="587" t="n"/>
      <c r="CP96" s="587" t="n"/>
      <c r="CQ96" s="587" t="n"/>
      <c r="CR96" s="587" t="n"/>
      <c r="CS96" s="587" t="n"/>
      <c r="CT96" s="587" t="n"/>
      <c r="CU96" s="587" t="n"/>
      <c r="CV96" s="587" t="n"/>
      <c r="CW96" s="587" t="n"/>
      <c r="CX96" s="587" t="n"/>
      <c r="CY96" s="587" t="n"/>
      <c r="CZ96" s="587" t="n"/>
      <c r="DA96" s="587" t="n"/>
      <c r="DB96" s="587" t="n"/>
      <c r="DC96" s="587" t="n"/>
      <c r="DD96" s="587" t="n"/>
      <c r="DE96" s="587" t="n"/>
      <c r="DF96" s="587" t="n"/>
      <c r="DG96" s="587" t="n"/>
      <c r="DH96" s="587" t="n"/>
      <c r="DI96" s="587" t="n"/>
      <c r="DJ96" s="587" t="n"/>
      <c r="DK96" s="587" t="n"/>
      <c r="DL96" s="587" t="n"/>
      <c r="DM96" s="587" t="n"/>
      <c r="DN96" s="587" t="n"/>
      <c r="DO96" s="587" t="n"/>
      <c r="DP96" s="587" t="n"/>
      <c r="DQ96" s="587" t="n"/>
      <c r="DR96" s="587" t="n"/>
      <c r="DS96" s="587" t="n"/>
      <c r="DT96" s="587" t="n"/>
      <c r="DU96" s="587" t="n"/>
      <c r="DV96" s="587" t="n"/>
      <c r="DW96" s="587" t="n"/>
      <c r="DX96" s="587" t="n"/>
      <c r="DY96" s="587" t="n"/>
      <c r="DZ96" s="587" t="n"/>
      <c r="EA96" s="587" t="n"/>
      <c r="EB96" s="587" t="n"/>
      <c r="EC96" s="587" t="n"/>
      <c r="ED96" s="587" t="n"/>
      <c r="EE96" s="587" t="n"/>
      <c r="EF96" s="587" t="n"/>
      <c r="EG96" s="587" t="n"/>
      <c r="EH96" s="587" t="n"/>
      <c r="EI96" s="587" t="n"/>
      <c r="EJ96" s="587" t="n"/>
      <c r="EK96" s="587" t="n"/>
      <c r="EL96" s="587" t="n"/>
      <c r="EM96" s="587" t="n"/>
      <c r="EN96" s="587" t="n"/>
      <c r="EO96" s="587" t="n"/>
      <c r="EP96" s="587" t="n"/>
      <c r="EQ96" s="587" t="n"/>
      <c r="ER96" s="587" t="n"/>
      <c r="ES96" s="587" t="n"/>
      <c r="ET96" s="587" t="n"/>
      <c r="EU96" s="587" t="n"/>
      <c r="EV96" s="587" t="n"/>
      <c r="EW96" s="587" t="n"/>
      <c r="EX96" s="587" t="n"/>
      <c r="EY96" s="587" t="n"/>
      <c r="EZ96" s="587" t="n"/>
      <c r="FA96" s="587" t="n"/>
      <c r="FB96" s="587" t="n"/>
      <c r="FC96" s="587" t="n"/>
      <c r="FD96" s="587" t="n"/>
      <c r="FE96" s="587" t="n"/>
      <c r="FF96" s="587" t="n"/>
      <c r="FG96" s="587" t="n"/>
      <c r="FH96" s="587" t="n"/>
      <c r="FI96" s="587" t="n"/>
      <c r="FJ96" s="587" t="n"/>
      <c r="FK96" s="587" t="n"/>
      <c r="FL96" s="587" t="n"/>
      <c r="FM96" s="587" t="n"/>
      <c r="FN96" s="587" t="n"/>
      <c r="FO96" s="587" t="n"/>
      <c r="FP96" s="587" t="n"/>
      <c r="FQ96" s="587" t="n"/>
      <c r="FR96" s="587" t="n"/>
      <c r="FS96" s="587" t="n"/>
      <c r="FT96" s="587" t="n"/>
      <c r="FU96" s="587" t="n"/>
      <c r="FV96" s="587" t="n"/>
      <c r="FW96" s="587" t="n"/>
      <c r="FX96" s="587" t="n"/>
      <c r="FY96" s="587" t="n"/>
      <c r="FZ96" s="587" t="n"/>
      <c r="GA96" s="587" t="n"/>
    </row>
    <row r="97" ht="25.5" customFormat="1" customHeight="1" s="568">
      <c r="A97" s="86" t="inlineStr">
        <is>
          <t>per Title summary (6/25/2026)</t>
        </is>
      </c>
      <c r="B97" s="85" t="n"/>
      <c r="C97" s="482" t="n">
        <v>14.27</v>
      </c>
      <c r="D97" s="114" t="inlineStr">
        <is>
          <t>Anna T. Bain Gibson</t>
        </is>
      </c>
      <c r="E97" s="137" t="n"/>
      <c r="Q97" s="574" t="n"/>
      <c r="Z97" s="574" t="n"/>
      <c r="AA97" s="574" t="n"/>
      <c r="AB97" s="574" t="n"/>
      <c r="AC97" s="574" t="n"/>
      <c r="AD97" s="574" t="n"/>
      <c r="AE97" s="574" t="n"/>
      <c r="AF97" s="574" t="n"/>
      <c r="AH97" s="574" t="n"/>
      <c r="AJ97" s="574" t="n"/>
      <c r="CM97" s="587" t="n"/>
      <c r="CN97" s="587" t="n"/>
      <c r="CO97" s="587" t="n"/>
      <c r="CP97" s="587" t="n"/>
      <c r="CQ97" s="587" t="n"/>
      <c r="CR97" s="587" t="n"/>
      <c r="CS97" s="587" t="n"/>
      <c r="CT97" s="587" t="n"/>
      <c r="CU97" s="587" t="n"/>
      <c r="CV97" s="587" t="n"/>
      <c r="CW97" s="587" t="n"/>
      <c r="CX97" s="587" t="n"/>
      <c r="CY97" s="587" t="n"/>
      <c r="CZ97" s="587" t="n"/>
      <c r="DA97" s="587" t="n"/>
      <c r="DB97" s="587" t="n"/>
      <c r="DC97" s="587" t="n"/>
      <c r="DD97" s="587" t="n"/>
      <c r="DE97" s="587" t="n"/>
      <c r="DF97" s="587" t="n"/>
      <c r="DG97" s="587" t="n"/>
      <c r="DH97" s="587" t="n"/>
      <c r="DI97" s="587" t="n"/>
      <c r="DJ97" s="587" t="n"/>
      <c r="DK97" s="587" t="n"/>
      <c r="DL97" s="587" t="n"/>
      <c r="DM97" s="587" t="n"/>
      <c r="DN97" s="587" t="n"/>
      <c r="DO97" s="587" t="n"/>
      <c r="DP97" s="587" t="n"/>
      <c r="DQ97" s="587" t="n"/>
      <c r="DR97" s="587" t="n"/>
      <c r="DS97" s="587" t="n"/>
      <c r="DT97" s="587" t="n"/>
      <c r="DU97" s="587" t="n"/>
      <c r="DV97" s="587" t="n"/>
      <c r="DW97" s="587" t="n"/>
      <c r="DX97" s="587" t="n"/>
      <c r="DY97" s="587" t="n"/>
      <c r="DZ97" s="587" t="n"/>
      <c r="EA97" s="587" t="n"/>
      <c r="EB97" s="587" t="n"/>
      <c r="EC97" s="587" t="n"/>
      <c r="ED97" s="587" t="n"/>
      <c r="EE97" s="587" t="n"/>
      <c r="EF97" s="587" t="n"/>
      <c r="EG97" s="587" t="n"/>
      <c r="EH97" s="587" t="n"/>
      <c r="EI97" s="587" t="n"/>
      <c r="EJ97" s="587" t="n"/>
      <c r="EK97" s="587" t="n"/>
      <c r="EL97" s="587" t="n"/>
      <c r="EM97" s="587" t="n"/>
      <c r="EN97" s="587" t="n"/>
      <c r="EO97" s="587" t="n"/>
      <c r="EP97" s="587" t="n"/>
      <c r="EQ97" s="587" t="n"/>
      <c r="ER97" s="587" t="n"/>
      <c r="ES97" s="587" t="n"/>
      <c r="ET97" s="587" t="n"/>
      <c r="EU97" s="587" t="n"/>
      <c r="EV97" s="587" t="n"/>
      <c r="EW97" s="587" t="n"/>
      <c r="EX97" s="587" t="n"/>
      <c r="EY97" s="587" t="n"/>
      <c r="EZ97" s="587" t="n"/>
      <c r="FA97" s="587" t="n"/>
      <c r="FB97" s="587" t="n"/>
      <c r="FC97" s="587" t="n"/>
      <c r="FD97" s="587" t="n"/>
      <c r="FE97" s="587" t="n"/>
      <c r="FF97" s="587" t="n"/>
      <c r="FG97" s="587" t="n"/>
      <c r="FH97" s="587" t="n"/>
      <c r="FI97" s="587" t="n"/>
      <c r="FJ97" s="587" t="n"/>
      <c r="FK97" s="587" t="n"/>
      <c r="FL97" s="587" t="n"/>
      <c r="FM97" s="587" t="n"/>
      <c r="FN97" s="587" t="n"/>
      <c r="FO97" s="587" t="n"/>
      <c r="FP97" s="587" t="n"/>
      <c r="FQ97" s="587" t="n"/>
      <c r="FR97" s="587" t="n"/>
      <c r="FS97" s="587" t="n"/>
      <c r="FT97" s="587" t="n"/>
      <c r="FU97" s="587" t="n"/>
      <c r="FV97" s="587" t="n"/>
      <c r="FW97" s="587" t="n"/>
      <c r="FX97" s="587" t="n"/>
      <c r="FY97" s="587" t="n"/>
      <c r="FZ97" s="587" t="n"/>
      <c r="GA97" s="587" t="n"/>
    </row>
    <row r="98" ht="25.5" customFormat="1" customHeight="1" s="568">
      <c r="A98" s="86" t="inlineStr">
        <is>
          <t>per Title summary (6/25/2026)</t>
        </is>
      </c>
      <c r="B98" s="85" t="n"/>
      <c r="C98" s="481" t="n">
        <v>14.27</v>
      </c>
      <c r="D98" s="114" t="inlineStr">
        <is>
          <t>Brian Herman Kortright</t>
        </is>
      </c>
      <c r="E98" s="84" t="n"/>
      <c r="Q98" s="574" t="n"/>
      <c r="Z98" s="574" t="n"/>
      <c r="AA98" s="574" t="n"/>
      <c r="AB98" s="574" t="n"/>
      <c r="AC98" s="574" t="n"/>
      <c r="AD98" s="574" t="n"/>
      <c r="AE98" s="574" t="n"/>
      <c r="AF98" s="574" t="n"/>
      <c r="AH98" s="574" t="n"/>
      <c r="AJ98" s="574" t="n"/>
      <c r="CM98" s="587" t="n"/>
      <c r="CN98" s="587" t="n"/>
      <c r="CO98" s="587" t="n"/>
      <c r="CP98" s="587" t="n"/>
      <c r="CQ98" s="587" t="n"/>
      <c r="CR98" s="587" t="n"/>
      <c r="CS98" s="587" t="n"/>
      <c r="CT98" s="587" t="n"/>
      <c r="CU98" s="587" t="n"/>
      <c r="CV98" s="587" t="n"/>
      <c r="CW98" s="587" t="n"/>
      <c r="CX98" s="587" t="n"/>
      <c r="CY98" s="587" t="n"/>
      <c r="CZ98" s="587" t="n"/>
      <c r="DA98" s="587" t="n"/>
      <c r="DB98" s="587" t="n"/>
      <c r="DC98" s="587" t="n"/>
      <c r="DD98" s="587" t="n"/>
      <c r="DE98" s="587" t="n"/>
      <c r="DF98" s="587" t="n"/>
      <c r="DG98" s="587" t="n"/>
      <c r="DH98" s="587" t="n"/>
      <c r="DI98" s="587" t="n"/>
      <c r="DJ98" s="587" t="n"/>
      <c r="DK98" s="587" t="n"/>
      <c r="DL98" s="587" t="n"/>
      <c r="DM98" s="587" t="n"/>
      <c r="DN98" s="587" t="n"/>
      <c r="DO98" s="587" t="n"/>
      <c r="DP98" s="587" t="n"/>
      <c r="DQ98" s="587" t="n"/>
      <c r="DR98" s="587" t="n"/>
      <c r="DS98" s="587" t="n"/>
      <c r="DT98" s="587" t="n"/>
      <c r="DU98" s="587" t="n"/>
      <c r="DV98" s="587" t="n"/>
      <c r="DW98" s="587" t="n"/>
      <c r="DX98" s="587" t="n"/>
      <c r="DY98" s="587" t="n"/>
      <c r="DZ98" s="587" t="n"/>
      <c r="EA98" s="587" t="n"/>
      <c r="EB98" s="587" t="n"/>
      <c r="EC98" s="587" t="n"/>
      <c r="ED98" s="587" t="n"/>
      <c r="EE98" s="587" t="n"/>
      <c r="EF98" s="587" t="n"/>
      <c r="EG98" s="587" t="n"/>
      <c r="EH98" s="587" t="n"/>
      <c r="EI98" s="587" t="n"/>
      <c r="EJ98" s="587" t="n"/>
      <c r="EK98" s="587" t="n"/>
      <c r="EL98" s="587" t="n"/>
      <c r="EM98" s="587" t="n"/>
      <c r="EN98" s="587" t="n"/>
      <c r="EO98" s="587" t="n"/>
      <c r="EP98" s="587" t="n"/>
      <c r="EQ98" s="587" t="n"/>
      <c r="ER98" s="587" t="n"/>
      <c r="ES98" s="587" t="n"/>
      <c r="ET98" s="587" t="n"/>
      <c r="EU98" s="587" t="n"/>
      <c r="EV98" s="587" t="n"/>
      <c r="EW98" s="587" t="n"/>
      <c r="EX98" s="587" t="n"/>
      <c r="EY98" s="587" t="n"/>
      <c r="EZ98" s="587" t="n"/>
      <c r="FA98" s="587" t="n"/>
      <c r="FB98" s="587" t="n"/>
      <c r="FC98" s="587" t="n"/>
      <c r="FD98" s="587" t="n"/>
      <c r="FE98" s="587" t="n"/>
      <c r="FF98" s="587" t="n"/>
      <c r="FG98" s="587" t="n"/>
      <c r="FH98" s="587" t="n"/>
      <c r="FI98" s="587" t="n"/>
      <c r="FJ98" s="587" t="n"/>
      <c r="FK98" s="587" t="n"/>
      <c r="FL98" s="587" t="n"/>
      <c r="FM98" s="587" t="n"/>
      <c r="FN98" s="587" t="n"/>
      <c r="FO98" s="587" t="n"/>
      <c r="FP98" s="587" t="n"/>
      <c r="FQ98" s="587" t="n"/>
      <c r="FR98" s="587" t="n"/>
      <c r="FS98" s="587" t="n"/>
      <c r="FT98" s="587" t="n"/>
      <c r="FU98" s="587" t="n"/>
      <c r="FV98" s="587" t="n"/>
      <c r="FW98" s="587" t="n"/>
      <c r="FX98" s="587" t="n"/>
      <c r="FY98" s="587" t="n"/>
      <c r="FZ98" s="587" t="n"/>
      <c r="GA98" s="587" t="n"/>
    </row>
    <row r="99" ht="25.5" customFormat="1" customHeight="1" s="568">
      <c r="A99" s="86" t="inlineStr">
        <is>
          <t>per Title summary (6/25/2026)</t>
        </is>
      </c>
      <c r="B99" s="85" t="n"/>
      <c r="C99" s="481" t="n">
        <v>14.27</v>
      </c>
      <c r="D99" s="114" t="inlineStr">
        <is>
          <t>Eric Jansen</t>
        </is>
      </c>
      <c r="E99" s="84" t="n"/>
      <c r="Q99" s="574" t="n"/>
      <c r="Z99" s="574" t="n"/>
      <c r="AA99" s="574" t="n"/>
      <c r="AB99" s="574" t="n"/>
      <c r="AC99" s="574" t="n"/>
      <c r="AD99" s="574" t="n"/>
      <c r="AE99" s="574" t="n"/>
      <c r="AF99" s="574" t="n"/>
      <c r="AH99" s="574" t="n"/>
      <c r="AJ99" s="574" t="n"/>
      <c r="CM99" s="587" t="n"/>
      <c r="CN99" s="587" t="n"/>
      <c r="CO99" s="587" t="n"/>
      <c r="CP99" s="587" t="n"/>
      <c r="CQ99" s="587" t="n"/>
      <c r="CR99" s="587" t="n"/>
      <c r="CS99" s="587" t="n"/>
      <c r="CT99" s="587" t="n"/>
      <c r="CU99" s="587" t="n"/>
      <c r="CV99" s="587" t="n"/>
      <c r="CW99" s="587" t="n"/>
      <c r="CX99" s="587" t="n"/>
      <c r="CY99" s="587" t="n"/>
      <c r="CZ99" s="587" t="n"/>
      <c r="DA99" s="587" t="n"/>
      <c r="DB99" s="587" t="n"/>
      <c r="DC99" s="587" t="n"/>
      <c r="DD99" s="587" t="n"/>
      <c r="DE99" s="587" t="n"/>
      <c r="DF99" s="587" t="n"/>
      <c r="DG99" s="587" t="n"/>
      <c r="DH99" s="587" t="n"/>
      <c r="DI99" s="587" t="n"/>
      <c r="DJ99" s="587" t="n"/>
      <c r="DK99" s="587" t="n"/>
      <c r="DL99" s="587" t="n"/>
      <c r="DM99" s="587" t="n"/>
      <c r="DN99" s="587" t="n"/>
      <c r="DO99" s="587" t="n"/>
      <c r="DP99" s="587" t="n"/>
      <c r="DQ99" s="587" t="n"/>
      <c r="DR99" s="587" t="n"/>
      <c r="DS99" s="587" t="n"/>
      <c r="DT99" s="587" t="n"/>
      <c r="DU99" s="587" t="n"/>
      <c r="DV99" s="587" t="n"/>
      <c r="DW99" s="587" t="n"/>
      <c r="DX99" s="587" t="n"/>
      <c r="DY99" s="587" t="n"/>
      <c r="DZ99" s="587" t="n"/>
      <c r="EA99" s="587" t="n"/>
      <c r="EB99" s="587" t="n"/>
      <c r="EC99" s="587" t="n"/>
      <c r="ED99" s="587" t="n"/>
      <c r="EE99" s="587" t="n"/>
      <c r="EF99" s="587" t="n"/>
      <c r="EG99" s="587" t="n"/>
      <c r="EH99" s="587" t="n"/>
      <c r="EI99" s="587" t="n"/>
      <c r="EJ99" s="587" t="n"/>
      <c r="EK99" s="587" t="n"/>
      <c r="EL99" s="587" t="n"/>
      <c r="EM99" s="587" t="n"/>
      <c r="EN99" s="587" t="n"/>
      <c r="EO99" s="587" t="n"/>
      <c r="EP99" s="587" t="n"/>
      <c r="EQ99" s="587" t="n"/>
      <c r="ER99" s="587" t="n"/>
      <c r="ES99" s="587" t="n"/>
      <c r="ET99" s="587" t="n"/>
      <c r="EU99" s="587" t="n"/>
      <c r="EV99" s="587" t="n"/>
      <c r="EW99" s="587" t="n"/>
      <c r="EX99" s="587" t="n"/>
      <c r="EY99" s="587" t="n"/>
      <c r="EZ99" s="587" t="n"/>
      <c r="FA99" s="587" t="n"/>
      <c r="FB99" s="587" t="n"/>
      <c r="FC99" s="587" t="n"/>
      <c r="FD99" s="587" t="n"/>
      <c r="FE99" s="587" t="n"/>
      <c r="FF99" s="587" t="n"/>
      <c r="FG99" s="587" t="n"/>
      <c r="FH99" s="587" t="n"/>
      <c r="FI99" s="587" t="n"/>
      <c r="FJ99" s="587" t="n"/>
      <c r="FK99" s="587" t="n"/>
      <c r="FL99" s="587" t="n"/>
      <c r="FM99" s="587" t="n"/>
      <c r="FN99" s="587" t="n"/>
      <c r="FO99" s="587" t="n"/>
      <c r="FP99" s="587" t="n"/>
      <c r="FQ99" s="587" t="n"/>
      <c r="FR99" s="587" t="n"/>
      <c r="FS99" s="587" t="n"/>
      <c r="FT99" s="587" t="n"/>
      <c r="FU99" s="587" t="n"/>
      <c r="FV99" s="587" t="n"/>
      <c r="FW99" s="587" t="n"/>
      <c r="FX99" s="587" t="n"/>
      <c r="FY99" s="587" t="n"/>
      <c r="FZ99" s="587" t="n"/>
      <c r="GA99" s="587" t="n"/>
    </row>
    <row r="100" ht="25.5" customFormat="1" customHeight="1" s="568">
      <c r="A100" s="86" t="inlineStr">
        <is>
          <t>per Title summary (6/25/2026)</t>
        </is>
      </c>
      <c r="B100" s="85" t="n"/>
      <c r="C100" s="481" t="n">
        <v>14.27</v>
      </c>
      <c r="D100" s="114" t="inlineStr">
        <is>
          <t>The William A. Smith and Isa May Smith Family Revocable Trust dated February 26, 2015</t>
        </is>
      </c>
      <c r="E100" s="84" t="n"/>
      <c r="Q100" s="574" t="n"/>
      <c r="Z100" s="574" t="n"/>
      <c r="AA100" s="574" t="n"/>
      <c r="AB100" s="574" t="n"/>
      <c r="AC100" s="574" t="n"/>
      <c r="AD100" s="574" t="n"/>
      <c r="AE100" s="574" t="n"/>
      <c r="AF100" s="574" t="n"/>
      <c r="AH100" s="574" t="n"/>
      <c r="AJ100" s="574" t="n"/>
      <c r="CM100" s="587" t="n"/>
      <c r="CN100" s="587" t="n"/>
      <c r="CO100" s="587" t="n"/>
      <c r="CP100" s="587" t="n"/>
      <c r="CQ100" s="587" t="n"/>
      <c r="CR100" s="587" t="n"/>
      <c r="CS100" s="587" t="n"/>
      <c r="CT100" s="587" t="n"/>
      <c r="CU100" s="587" t="n"/>
      <c r="CV100" s="587" t="n"/>
      <c r="CW100" s="587" t="n"/>
      <c r="CX100" s="587" t="n"/>
      <c r="CY100" s="587" t="n"/>
      <c r="CZ100" s="587" t="n"/>
      <c r="DA100" s="587" t="n"/>
      <c r="DB100" s="587" t="n"/>
      <c r="DC100" s="587" t="n"/>
      <c r="DD100" s="587" t="n"/>
      <c r="DE100" s="587" t="n"/>
      <c r="DF100" s="587" t="n"/>
      <c r="DG100" s="587" t="n"/>
      <c r="DH100" s="587" t="n"/>
      <c r="DI100" s="587" t="n"/>
      <c r="DJ100" s="587" t="n"/>
      <c r="DK100" s="587" t="n"/>
      <c r="DL100" s="587" t="n"/>
      <c r="DM100" s="587" t="n"/>
      <c r="DN100" s="587" t="n"/>
      <c r="DO100" s="587" t="n"/>
      <c r="DP100" s="587" t="n"/>
      <c r="DQ100" s="587" t="n"/>
      <c r="DR100" s="587" t="n"/>
      <c r="DS100" s="587" t="n"/>
      <c r="DT100" s="587" t="n"/>
      <c r="DU100" s="587" t="n"/>
      <c r="DV100" s="587" t="n"/>
      <c r="DW100" s="587" t="n"/>
      <c r="DX100" s="587" t="n"/>
      <c r="DY100" s="587" t="n"/>
      <c r="DZ100" s="587" t="n"/>
      <c r="EA100" s="587" t="n"/>
      <c r="EB100" s="587" t="n"/>
      <c r="EC100" s="587" t="n"/>
      <c r="ED100" s="587" t="n"/>
      <c r="EE100" s="587" t="n"/>
      <c r="EF100" s="587" t="n"/>
      <c r="EG100" s="587" t="n"/>
      <c r="EH100" s="587" t="n"/>
      <c r="EI100" s="587" t="n"/>
      <c r="EJ100" s="587" t="n"/>
      <c r="EK100" s="587" t="n"/>
      <c r="EL100" s="587" t="n"/>
      <c r="EM100" s="587" t="n"/>
      <c r="EN100" s="587" t="n"/>
      <c r="EO100" s="587" t="n"/>
      <c r="EP100" s="587" t="n"/>
      <c r="EQ100" s="587" t="n"/>
      <c r="ER100" s="587" t="n"/>
      <c r="ES100" s="587" t="n"/>
      <c r="ET100" s="587" t="n"/>
      <c r="EU100" s="587" t="n"/>
      <c r="EV100" s="587" t="n"/>
      <c r="EW100" s="587" t="n"/>
      <c r="EX100" s="587" t="n"/>
      <c r="EY100" s="587" t="n"/>
      <c r="EZ100" s="587" t="n"/>
      <c r="FA100" s="587" t="n"/>
      <c r="FB100" s="587" t="n"/>
      <c r="FC100" s="587" t="n"/>
      <c r="FD100" s="587" t="n"/>
      <c r="FE100" s="587" t="n"/>
      <c r="FF100" s="587" t="n"/>
      <c r="FG100" s="587" t="n"/>
      <c r="FH100" s="587" t="n"/>
      <c r="FI100" s="587" t="n"/>
      <c r="FJ100" s="587" t="n"/>
      <c r="FK100" s="587" t="n"/>
      <c r="FL100" s="587" t="n"/>
      <c r="FM100" s="587" t="n"/>
      <c r="FN100" s="587" t="n"/>
      <c r="FO100" s="587" t="n"/>
      <c r="FP100" s="587" t="n"/>
      <c r="FQ100" s="587" t="n"/>
      <c r="FR100" s="587" t="n"/>
      <c r="FS100" s="587" t="n"/>
      <c r="FT100" s="587" t="n"/>
      <c r="FU100" s="587" t="n"/>
      <c r="FV100" s="587" t="n"/>
      <c r="FW100" s="587" t="n"/>
      <c r="FX100" s="587" t="n"/>
      <c r="FY100" s="587" t="n"/>
      <c r="FZ100" s="587" t="n"/>
      <c r="GA100" s="587" t="n"/>
    </row>
    <row r="101" ht="25.5" customFormat="1" customHeight="1" s="568">
      <c r="A101" s="86" t="inlineStr">
        <is>
          <t>per Title summary (6/25/2026)</t>
        </is>
      </c>
      <c r="B101" s="85" t="n"/>
      <c r="C101" s="481" t="n">
        <v>14.27</v>
      </c>
      <c r="D101" s="51" t="inlineStr">
        <is>
          <t>Jesse William Fuchs and Jinkee D. Acuero Fuchs, as Trustees</t>
        </is>
      </c>
      <c r="E101" s="84" t="n"/>
      <c r="Q101" s="574" t="n"/>
      <c r="Z101" s="574" t="n"/>
      <c r="AA101" s="574" t="n"/>
      <c r="AB101" s="574" t="n"/>
      <c r="AC101" s="574" t="n"/>
      <c r="AD101" s="574" t="n"/>
      <c r="AE101" s="574" t="n"/>
      <c r="AF101" s="574" t="n"/>
      <c r="AH101" s="574" t="n"/>
      <c r="AJ101" s="574" t="n"/>
      <c r="CM101" s="587" t="n"/>
      <c r="CN101" s="587" t="n"/>
      <c r="CO101" s="587" t="n"/>
      <c r="CP101" s="587" t="n"/>
      <c r="CQ101" s="587" t="n"/>
      <c r="CR101" s="587" t="n"/>
      <c r="CS101" s="587" t="n"/>
      <c r="CT101" s="587" t="n"/>
      <c r="CU101" s="587" t="n"/>
      <c r="CV101" s="587" t="n"/>
      <c r="CW101" s="587" t="n"/>
      <c r="CX101" s="587" t="n"/>
      <c r="CY101" s="587" t="n"/>
      <c r="CZ101" s="587" t="n"/>
      <c r="DA101" s="587" t="n"/>
      <c r="DB101" s="587" t="n"/>
      <c r="DC101" s="587" t="n"/>
      <c r="DD101" s="587" t="n"/>
      <c r="DE101" s="587" t="n"/>
      <c r="DF101" s="587" t="n"/>
      <c r="DG101" s="587" t="n"/>
      <c r="DH101" s="587" t="n"/>
      <c r="DI101" s="587" t="n"/>
      <c r="DJ101" s="587" t="n"/>
      <c r="DK101" s="587" t="n"/>
      <c r="DL101" s="587" t="n"/>
      <c r="DM101" s="587" t="n"/>
      <c r="DN101" s="587" t="n"/>
      <c r="DO101" s="587" t="n"/>
      <c r="DP101" s="587" t="n"/>
      <c r="DQ101" s="587" t="n"/>
      <c r="DR101" s="587" t="n"/>
      <c r="DS101" s="587" t="n"/>
      <c r="DT101" s="587" t="n"/>
      <c r="DU101" s="587" t="n"/>
      <c r="DV101" s="587" t="n"/>
      <c r="DW101" s="587" t="n"/>
      <c r="DX101" s="587" t="n"/>
      <c r="DY101" s="587" t="n"/>
      <c r="DZ101" s="587" t="n"/>
      <c r="EA101" s="587" t="n"/>
      <c r="EB101" s="587" t="n"/>
      <c r="EC101" s="587" t="n"/>
      <c r="ED101" s="587" t="n"/>
      <c r="EE101" s="587" t="n"/>
      <c r="EF101" s="587" t="n"/>
      <c r="EG101" s="587" t="n"/>
      <c r="EH101" s="587" t="n"/>
      <c r="EI101" s="587" t="n"/>
      <c r="EJ101" s="587" t="n"/>
      <c r="EK101" s="587" t="n"/>
      <c r="EL101" s="587" t="n"/>
      <c r="EM101" s="587" t="n"/>
      <c r="EN101" s="587" t="n"/>
      <c r="EO101" s="587" t="n"/>
      <c r="EP101" s="587" t="n"/>
      <c r="EQ101" s="587" t="n"/>
      <c r="ER101" s="587" t="n"/>
      <c r="ES101" s="587" t="n"/>
      <c r="ET101" s="587" t="n"/>
      <c r="EU101" s="587" t="n"/>
      <c r="EV101" s="587" t="n"/>
      <c r="EW101" s="587" t="n"/>
      <c r="EX101" s="587" t="n"/>
      <c r="EY101" s="587" t="n"/>
      <c r="EZ101" s="587" t="n"/>
      <c r="FA101" s="587" t="n"/>
      <c r="FB101" s="587" t="n"/>
      <c r="FC101" s="587" t="n"/>
      <c r="FD101" s="587" t="n"/>
      <c r="FE101" s="587" t="n"/>
      <c r="FF101" s="587" t="n"/>
      <c r="FG101" s="587" t="n"/>
      <c r="FH101" s="587" t="n"/>
      <c r="FI101" s="587" t="n"/>
      <c r="FJ101" s="587" t="n"/>
      <c r="FK101" s="587" t="n"/>
      <c r="FL101" s="587" t="n"/>
      <c r="FM101" s="587" t="n"/>
      <c r="FN101" s="587" t="n"/>
      <c r="FO101" s="587" t="n"/>
      <c r="FP101" s="587" t="n"/>
      <c r="FQ101" s="587" t="n"/>
      <c r="FR101" s="587" t="n"/>
      <c r="FS101" s="587" t="n"/>
      <c r="FT101" s="587" t="n"/>
      <c r="FU101" s="587" t="n"/>
      <c r="FV101" s="587" t="n"/>
      <c r="FW101" s="587" t="n"/>
      <c r="FX101" s="587" t="n"/>
      <c r="FY101" s="587" t="n"/>
      <c r="FZ101" s="587" t="n"/>
      <c r="GA101" s="587" t="n"/>
    </row>
    <row r="102" ht="25.5" customFormat="1" customHeight="1" s="568">
      <c r="A102" s="86" t="inlineStr">
        <is>
          <t>per Title summary; OGL 290, 3/16 roy</t>
        </is>
      </c>
      <c r="B102" s="85" t="n"/>
      <c r="C102" s="481" t="n">
        <v>14.3</v>
      </c>
      <c r="D102" s="51" t="inlineStr">
        <is>
          <t>Keri Lee Daigle Tucker Trust</t>
        </is>
      </c>
      <c r="E102" s="84" t="n"/>
      <c r="Q102" s="574" t="n"/>
      <c r="Z102" s="574" t="n"/>
      <c r="AA102" s="574" t="n"/>
      <c r="AB102" s="574" t="n"/>
      <c r="AC102" s="574" t="n"/>
      <c r="AD102" s="574" t="n"/>
      <c r="AE102" s="574" t="n"/>
      <c r="AF102" s="574" t="n"/>
      <c r="AH102" s="574" t="n"/>
      <c r="AJ102" s="574" t="n"/>
      <c r="CM102" s="587" t="n"/>
      <c r="CN102" s="587" t="n"/>
      <c r="CO102" s="587" t="n"/>
      <c r="CP102" s="587" t="n"/>
      <c r="CQ102" s="587" t="n"/>
      <c r="CR102" s="587" t="n"/>
      <c r="CS102" s="587" t="n"/>
      <c r="CT102" s="587" t="n"/>
      <c r="CU102" s="587" t="n"/>
      <c r="CV102" s="587" t="n"/>
      <c r="CW102" s="587" t="n"/>
      <c r="CX102" s="587" t="n"/>
      <c r="CY102" s="587" t="n"/>
      <c r="CZ102" s="587" t="n"/>
      <c r="DA102" s="587" t="n"/>
      <c r="DB102" s="587" t="n"/>
      <c r="DC102" s="587" t="n"/>
      <c r="DD102" s="587" t="n"/>
      <c r="DE102" s="587" t="n"/>
      <c r="DF102" s="587" t="n"/>
      <c r="DG102" s="587" t="n"/>
      <c r="DH102" s="587" t="n"/>
      <c r="DI102" s="587" t="n"/>
      <c r="DJ102" s="587" t="n"/>
      <c r="DK102" s="587" t="n"/>
      <c r="DL102" s="587" t="n"/>
      <c r="DM102" s="587" t="n"/>
      <c r="DN102" s="587" t="n"/>
      <c r="DO102" s="587" t="n"/>
      <c r="DP102" s="587" t="n"/>
      <c r="DQ102" s="587" t="n"/>
      <c r="DR102" s="587" t="n"/>
      <c r="DS102" s="587" t="n"/>
      <c r="DT102" s="587" t="n"/>
      <c r="DU102" s="587" t="n"/>
      <c r="DV102" s="587" t="n"/>
      <c r="DW102" s="587" t="n"/>
      <c r="DX102" s="587" t="n"/>
      <c r="DY102" s="587" t="n"/>
      <c r="DZ102" s="587" t="n"/>
      <c r="EA102" s="587" t="n"/>
      <c r="EB102" s="587" t="n"/>
      <c r="EC102" s="587" t="n"/>
      <c r="ED102" s="587" t="n"/>
      <c r="EE102" s="587" t="n"/>
      <c r="EF102" s="587" t="n"/>
      <c r="EG102" s="587" t="n"/>
      <c r="EH102" s="587" t="n"/>
      <c r="EI102" s="587" t="n"/>
      <c r="EJ102" s="587" t="n"/>
      <c r="EK102" s="587" t="n"/>
      <c r="EL102" s="587" t="n"/>
      <c r="EM102" s="587" t="n"/>
      <c r="EN102" s="587" t="n"/>
      <c r="EO102" s="587" t="n"/>
      <c r="EP102" s="587" t="n"/>
      <c r="EQ102" s="587" t="n"/>
      <c r="ER102" s="587" t="n"/>
      <c r="ES102" s="587" t="n"/>
      <c r="ET102" s="587" t="n"/>
      <c r="EU102" s="587" t="n"/>
      <c r="EV102" s="587" t="n"/>
      <c r="EW102" s="587" t="n"/>
      <c r="EX102" s="587" t="n"/>
      <c r="EY102" s="587" t="n"/>
      <c r="EZ102" s="587" t="n"/>
      <c r="FA102" s="587" t="n"/>
      <c r="FB102" s="587" t="n"/>
      <c r="FC102" s="587" t="n"/>
      <c r="FD102" s="587" t="n"/>
      <c r="FE102" s="587" t="n"/>
      <c r="FF102" s="587" t="n"/>
      <c r="FG102" s="587" t="n"/>
      <c r="FH102" s="587" t="n"/>
      <c r="FI102" s="587" t="n"/>
      <c r="FJ102" s="587" t="n"/>
      <c r="FK102" s="587" t="n"/>
      <c r="FL102" s="587" t="n"/>
      <c r="FM102" s="587" t="n"/>
      <c r="FN102" s="587" t="n"/>
      <c r="FO102" s="587" t="n"/>
      <c r="FP102" s="587" t="n"/>
      <c r="FQ102" s="587" t="n"/>
      <c r="FR102" s="587" t="n"/>
      <c r="FS102" s="587" t="n"/>
      <c r="FT102" s="587" t="n"/>
      <c r="FU102" s="587" t="n"/>
      <c r="FV102" s="587" t="n"/>
      <c r="FW102" s="587" t="n"/>
      <c r="FX102" s="587" t="n"/>
      <c r="FY102" s="587" t="n"/>
      <c r="FZ102" s="587" t="n"/>
      <c r="GA102" s="587" t="n"/>
    </row>
    <row r="103" customFormat="1" s="568">
      <c r="A103" s="86" t="n"/>
      <c r="B103" s="85" t="n"/>
      <c r="C103" s="483">
        <f>SUM(C88:C102)</f>
        <v/>
      </c>
      <c r="D103" s="480" t="inlineStr">
        <is>
          <t>TOTAL — current mineral ownership (NMA)</t>
        </is>
      </c>
      <c r="E103" s="84" t="n"/>
      <c r="Q103" s="574" t="n"/>
      <c r="Z103" s="574" t="n"/>
      <c r="AA103" s="574" t="n"/>
      <c r="AB103" s="574" t="n"/>
      <c r="AC103" s="574" t="n"/>
      <c r="AD103" s="574" t="n"/>
      <c r="AE103" s="574" t="n"/>
      <c r="AF103" s="574" t="n"/>
      <c r="AH103" s="574" t="n"/>
      <c r="AJ103" s="574" t="n"/>
      <c r="CM103" s="587" t="n"/>
      <c r="CN103" s="587" t="n"/>
      <c r="CO103" s="587" t="n"/>
      <c r="CP103" s="587" t="n"/>
      <c r="CQ103" s="587" t="n"/>
      <c r="CR103" s="587" t="n"/>
      <c r="CS103" s="587" t="n"/>
      <c r="CT103" s="587" t="n"/>
      <c r="CU103" s="587" t="n"/>
      <c r="CV103" s="587" t="n"/>
      <c r="CW103" s="587" t="n"/>
      <c r="CX103" s="587" t="n"/>
      <c r="CY103" s="587" t="n"/>
      <c r="CZ103" s="587" t="n"/>
      <c r="DA103" s="587" t="n"/>
      <c r="DB103" s="587" t="n"/>
      <c r="DC103" s="587" t="n"/>
      <c r="DD103" s="587" t="n"/>
      <c r="DE103" s="587" t="n"/>
      <c r="DF103" s="587" t="n"/>
      <c r="DG103" s="587" t="n"/>
      <c r="DH103" s="587" t="n"/>
      <c r="DI103" s="587" t="n"/>
      <c r="DJ103" s="587" t="n"/>
      <c r="DK103" s="587" t="n"/>
      <c r="DL103" s="587" t="n"/>
      <c r="DM103" s="587" t="n"/>
      <c r="DN103" s="587" t="n"/>
      <c r="DO103" s="587" t="n"/>
      <c r="DP103" s="587" t="n"/>
      <c r="DQ103" s="587" t="n"/>
      <c r="DR103" s="587" t="n"/>
      <c r="DS103" s="587" t="n"/>
      <c r="DT103" s="587" t="n"/>
      <c r="DU103" s="587" t="n"/>
      <c r="DV103" s="587" t="n"/>
      <c r="DW103" s="587" t="n"/>
      <c r="DX103" s="587" t="n"/>
      <c r="DY103" s="587" t="n"/>
      <c r="DZ103" s="587" t="n"/>
      <c r="EA103" s="587" t="n"/>
      <c r="EB103" s="587" t="n"/>
      <c r="EC103" s="587" t="n"/>
      <c r="ED103" s="587" t="n"/>
      <c r="EE103" s="587" t="n"/>
      <c r="EF103" s="587" t="n"/>
      <c r="EG103" s="587" t="n"/>
      <c r="EH103" s="587" t="n"/>
      <c r="EI103" s="587" t="n"/>
      <c r="EJ103" s="587" t="n"/>
      <c r="EK103" s="587" t="n"/>
      <c r="EL103" s="587" t="n"/>
      <c r="EM103" s="587" t="n"/>
      <c r="EN103" s="587" t="n"/>
      <c r="EO103" s="587" t="n"/>
      <c r="EP103" s="587" t="n"/>
      <c r="EQ103" s="587" t="n"/>
      <c r="ER103" s="587" t="n"/>
      <c r="ES103" s="587" t="n"/>
      <c r="ET103" s="587" t="n"/>
      <c r="EU103" s="587" t="n"/>
      <c r="EV103" s="587" t="n"/>
      <c r="EW103" s="587" t="n"/>
      <c r="EX103" s="587" t="n"/>
      <c r="EY103" s="587" t="n"/>
      <c r="EZ103" s="587" t="n"/>
      <c r="FA103" s="587" t="n"/>
      <c r="FB103" s="587" t="n"/>
      <c r="FC103" s="587" t="n"/>
      <c r="FD103" s="587" t="n"/>
      <c r="FE103" s="587" t="n"/>
      <c r="FF103" s="587" t="n"/>
      <c r="FG103" s="587" t="n"/>
      <c r="FH103" s="587" t="n"/>
      <c r="FI103" s="587" t="n"/>
      <c r="FJ103" s="587" t="n"/>
      <c r="FK103" s="587" t="n"/>
      <c r="FL103" s="587" t="n"/>
      <c r="FM103" s="587" t="n"/>
      <c r="FN103" s="587" t="n"/>
      <c r="FO103" s="587" t="n"/>
      <c r="FP103" s="587" t="n"/>
      <c r="FQ103" s="587" t="n"/>
      <c r="FR103" s="587" t="n"/>
      <c r="FS103" s="587" t="n"/>
      <c r="FT103" s="587" t="n"/>
      <c r="FU103" s="587" t="n"/>
      <c r="FV103" s="587" t="n"/>
      <c r="FW103" s="587" t="n"/>
      <c r="FX103" s="587" t="n"/>
      <c r="FY103" s="587" t="n"/>
      <c r="FZ103" s="587" t="n"/>
      <c r="GA103" s="587" t="n"/>
    </row>
    <row r="104" customFormat="1" s="568">
      <c r="A104" s="86" t="n"/>
      <c r="B104" s="85" t="n"/>
      <c r="C104" s="84" t="n"/>
      <c r="D104" s="68" t="n"/>
      <c r="E104" s="84" t="n"/>
      <c r="Q104" s="574" t="n"/>
      <c r="Z104" s="574" t="n"/>
      <c r="AA104" s="574" t="n"/>
      <c r="AB104" s="574" t="n"/>
      <c r="AC104" s="574" t="n"/>
      <c r="AD104" s="574" t="n"/>
      <c r="AE104" s="574" t="n"/>
      <c r="AF104" s="574" t="n"/>
      <c r="AH104" s="574" t="n"/>
      <c r="AJ104" s="574" t="n"/>
      <c r="CM104" s="587" t="n"/>
      <c r="CN104" s="587" t="n"/>
      <c r="CO104" s="587" t="n"/>
      <c r="CP104" s="587" t="n"/>
      <c r="CQ104" s="587" t="n"/>
      <c r="CR104" s="587" t="n"/>
      <c r="CS104" s="587" t="n"/>
      <c r="CT104" s="587" t="n"/>
      <c r="CU104" s="587" t="n"/>
      <c r="CV104" s="587" t="n"/>
      <c r="CW104" s="587" t="n"/>
      <c r="CX104" s="587" t="n"/>
      <c r="CY104" s="587" t="n"/>
      <c r="CZ104" s="587" t="n"/>
      <c r="DA104" s="587" t="n"/>
      <c r="DB104" s="587" t="n"/>
      <c r="DC104" s="587" t="n"/>
      <c r="DD104" s="587" t="n"/>
      <c r="DE104" s="587" t="n"/>
      <c r="DF104" s="587" t="n"/>
      <c r="DG104" s="587" t="n"/>
      <c r="DH104" s="587" t="n"/>
      <c r="DI104" s="587" t="n"/>
      <c r="DJ104" s="587" t="n"/>
      <c r="DK104" s="587" t="n"/>
      <c r="DL104" s="587" t="n"/>
      <c r="DM104" s="587" t="n"/>
      <c r="DN104" s="587" t="n"/>
      <c r="DO104" s="587" t="n"/>
      <c r="DP104" s="587" t="n"/>
      <c r="DQ104" s="587" t="n"/>
      <c r="DR104" s="587" t="n"/>
      <c r="DS104" s="587" t="n"/>
      <c r="DT104" s="587" t="n"/>
      <c r="DU104" s="587" t="n"/>
      <c r="DV104" s="587" t="n"/>
      <c r="DW104" s="587" t="n"/>
      <c r="DX104" s="587" t="n"/>
      <c r="DY104" s="587" t="n"/>
      <c r="DZ104" s="587" t="n"/>
      <c r="EA104" s="587" t="n"/>
      <c r="EB104" s="587" t="n"/>
      <c r="EC104" s="587" t="n"/>
      <c r="ED104" s="587" t="n"/>
      <c r="EE104" s="587" t="n"/>
      <c r="EF104" s="587" t="n"/>
      <c r="EG104" s="587" t="n"/>
      <c r="EH104" s="587" t="n"/>
      <c r="EI104" s="587" t="n"/>
      <c r="EJ104" s="587" t="n"/>
      <c r="EK104" s="587" t="n"/>
      <c r="EL104" s="587" t="n"/>
      <c r="EM104" s="587" t="n"/>
      <c r="EN104" s="587" t="n"/>
      <c r="EO104" s="587" t="n"/>
      <c r="EP104" s="587" t="n"/>
      <c r="EQ104" s="587" t="n"/>
      <c r="ER104" s="587" t="n"/>
      <c r="ES104" s="587" t="n"/>
      <c r="ET104" s="587" t="n"/>
      <c r="EU104" s="587" t="n"/>
      <c r="EV104" s="587" t="n"/>
      <c r="EW104" s="587" t="n"/>
      <c r="EX104" s="587" t="n"/>
      <c r="EY104" s="587" t="n"/>
      <c r="EZ104" s="587" t="n"/>
      <c r="FA104" s="587" t="n"/>
      <c r="FB104" s="587" t="n"/>
      <c r="FC104" s="587" t="n"/>
      <c r="FD104" s="587" t="n"/>
      <c r="FE104" s="587" t="n"/>
      <c r="FF104" s="587" t="n"/>
      <c r="FG104" s="587" t="n"/>
      <c r="FH104" s="587" t="n"/>
      <c r="FI104" s="587" t="n"/>
      <c r="FJ104" s="587" t="n"/>
      <c r="FK104" s="587" t="n"/>
      <c r="FL104" s="587" t="n"/>
      <c r="FM104" s="587" t="n"/>
      <c r="FN104" s="587" t="n"/>
      <c r="FO104" s="587" t="n"/>
      <c r="FP104" s="587" t="n"/>
      <c r="FQ104" s="587" t="n"/>
      <c r="FR104" s="587" t="n"/>
      <c r="FS104" s="587" t="n"/>
      <c r="FT104" s="587" t="n"/>
      <c r="FU104" s="587" t="n"/>
      <c r="FV104" s="587" t="n"/>
      <c r="FW104" s="587" t="n"/>
      <c r="FX104" s="587" t="n"/>
      <c r="FY104" s="587" t="n"/>
      <c r="FZ104" s="587" t="n"/>
      <c r="GA104" s="587" t="n"/>
    </row>
    <row r="105" customFormat="1" s="568">
      <c r="A105" s="86" t="n"/>
      <c r="B105" s="85" t="n"/>
      <c r="C105" s="84">
        <f>E105*D$5</f>
        <v/>
      </c>
      <c r="D105" s="68" t="n"/>
      <c r="E105" s="84">
        <f>SUM(G105:HT105)</f>
        <v/>
      </c>
      <c r="F105" s="568">
        <f>IFERROR(IF($E105&gt;0.0000005,$E105/SUMIF($E$11:$E$140,"&gt;0.0000005"),""),"")</f>
        <v/>
      </c>
      <c r="Q105" s="574" t="n"/>
      <c r="Z105" s="574" t="n"/>
      <c r="AA105" s="574" t="n"/>
      <c r="AB105" s="574" t="n"/>
      <c r="AC105" s="574" t="n"/>
      <c r="AD105" s="574" t="n"/>
      <c r="AE105" s="574" t="n"/>
      <c r="AF105" s="574" t="n"/>
      <c r="AH105" s="574" t="n"/>
      <c r="AJ105" s="574" t="n"/>
      <c r="CM105" s="587" t="n"/>
      <c r="CN105" s="587" t="n"/>
      <c r="CO105" s="587" t="n"/>
      <c r="CP105" s="587" t="n"/>
      <c r="CQ105" s="587" t="n"/>
      <c r="CR105" s="587" t="n"/>
      <c r="CS105" s="587" t="n"/>
      <c r="CT105" s="587" t="n"/>
      <c r="CU105" s="587" t="n"/>
      <c r="CV105" s="587" t="n"/>
      <c r="CW105" s="587" t="n"/>
      <c r="CX105" s="587" t="n"/>
      <c r="CY105" s="587" t="n"/>
      <c r="CZ105" s="587" t="n"/>
      <c r="DA105" s="587" t="n"/>
      <c r="DB105" s="587" t="n"/>
      <c r="DC105" s="587" t="n"/>
      <c r="DD105" s="587" t="n"/>
      <c r="DE105" s="587" t="n"/>
      <c r="DF105" s="587" t="n"/>
      <c r="DG105" s="587" t="n"/>
      <c r="DH105" s="587" t="n"/>
      <c r="DI105" s="587" t="n"/>
      <c r="DJ105" s="587" t="n"/>
      <c r="DK105" s="587" t="n"/>
      <c r="DL105" s="587" t="n"/>
      <c r="DM105" s="587" t="n"/>
      <c r="DN105" s="587" t="n"/>
      <c r="DO105" s="587" t="n"/>
      <c r="DP105" s="587" t="n"/>
      <c r="DQ105" s="587" t="n"/>
      <c r="DR105" s="587" t="n"/>
      <c r="DS105" s="587" t="n"/>
      <c r="DT105" s="587" t="n"/>
      <c r="DU105" s="587" t="n"/>
      <c r="DV105" s="587" t="n"/>
      <c r="DW105" s="587" t="n"/>
      <c r="DX105" s="587" t="n"/>
      <c r="DY105" s="587" t="n"/>
      <c r="DZ105" s="587" t="n"/>
      <c r="EA105" s="587" t="n"/>
      <c r="EB105" s="587" t="n"/>
      <c r="EC105" s="587" t="n"/>
      <c r="ED105" s="587" t="n"/>
      <c r="EE105" s="587" t="n"/>
      <c r="EF105" s="587" t="n"/>
      <c r="EG105" s="587" t="n"/>
      <c r="EH105" s="587" t="n"/>
      <c r="EI105" s="587" t="n"/>
      <c r="EJ105" s="587" t="n"/>
      <c r="EK105" s="587" t="n"/>
      <c r="EL105" s="587" t="n"/>
      <c r="EM105" s="587" t="n"/>
      <c r="EN105" s="587" t="n"/>
      <c r="EO105" s="587" t="n"/>
      <c r="EP105" s="587" t="n"/>
      <c r="EQ105" s="587" t="n"/>
      <c r="ER105" s="587" t="n"/>
      <c r="ES105" s="587" t="n"/>
      <c r="ET105" s="587" t="n"/>
      <c r="EU105" s="587" t="n"/>
      <c r="EV105" s="587" t="n"/>
      <c r="EW105" s="587" t="n"/>
      <c r="EX105" s="587" t="n"/>
      <c r="EY105" s="587" t="n"/>
      <c r="EZ105" s="587" t="n"/>
      <c r="FA105" s="587" t="n"/>
      <c r="FB105" s="587" t="n"/>
      <c r="FC105" s="587" t="n"/>
      <c r="FD105" s="587" t="n"/>
      <c r="FE105" s="587" t="n"/>
      <c r="FF105" s="587" t="n"/>
      <c r="FG105" s="587" t="n"/>
      <c r="FH105" s="587" t="n"/>
      <c r="FI105" s="587" t="n"/>
      <c r="FJ105" s="587" t="n"/>
      <c r="FK105" s="587" t="n"/>
      <c r="FL105" s="587" t="n"/>
      <c r="FM105" s="587" t="n"/>
      <c r="FN105" s="587" t="n"/>
      <c r="FO105" s="587" t="n"/>
      <c r="FP105" s="587" t="n"/>
      <c r="FQ105" s="587" t="n"/>
      <c r="FR105" s="587" t="n"/>
      <c r="FS105" s="587" t="n"/>
      <c r="FT105" s="587" t="n"/>
      <c r="FU105" s="587" t="n"/>
      <c r="FV105" s="587" t="n"/>
      <c r="FW105" s="587" t="n"/>
      <c r="FX105" s="587" t="n"/>
      <c r="FY105" s="587" t="n"/>
      <c r="FZ105" s="587" t="n"/>
      <c r="GA105" s="587" t="n"/>
    </row>
    <row r="106" customFormat="1" s="568">
      <c r="A106" s="86" t="n"/>
      <c r="B106" s="85" t="n"/>
      <c r="C106" s="84">
        <f>E106*D$5</f>
        <v/>
      </c>
      <c r="D106" s="68" t="n"/>
      <c r="E106" s="84">
        <f>SUM(G106:HT106)</f>
        <v/>
      </c>
      <c r="F106" s="568">
        <f>IFERROR(IF($E106&gt;0.0000005,$E106/SUMIF($E$11:$E$140,"&gt;0.0000005"),""),"")</f>
        <v/>
      </c>
      <c r="Q106" s="574" t="n"/>
      <c r="Z106" s="574" t="n"/>
      <c r="AA106" s="574" t="n"/>
      <c r="AB106" s="574" t="n"/>
      <c r="AC106" s="574" t="n"/>
      <c r="AD106" s="574" t="n"/>
      <c r="AE106" s="574" t="n"/>
      <c r="AF106" s="574" t="n"/>
      <c r="AH106" s="574" t="n"/>
      <c r="AJ106" s="574" t="n"/>
      <c r="CM106" s="587" t="n"/>
      <c r="CN106" s="587" t="n"/>
      <c r="CO106" s="587" t="n"/>
      <c r="CP106" s="587" t="n"/>
      <c r="CQ106" s="587" t="n"/>
      <c r="CR106" s="587" t="n"/>
      <c r="CS106" s="587" t="n"/>
      <c r="CT106" s="587" t="n"/>
      <c r="CU106" s="587" t="n"/>
      <c r="CV106" s="587" t="n"/>
      <c r="CW106" s="587" t="n"/>
      <c r="CX106" s="587" t="n"/>
      <c r="CY106" s="587" t="n"/>
      <c r="CZ106" s="587" t="n"/>
      <c r="DA106" s="587" t="n"/>
      <c r="DB106" s="587" t="n"/>
      <c r="DC106" s="587" t="n"/>
      <c r="DD106" s="587" t="n"/>
      <c r="DE106" s="587" t="n"/>
      <c r="DF106" s="587" t="n"/>
      <c r="DG106" s="587" t="n"/>
      <c r="DH106" s="587" t="n"/>
      <c r="DI106" s="587" t="n"/>
      <c r="DJ106" s="587" t="n"/>
      <c r="DK106" s="587" t="n"/>
      <c r="DL106" s="587" t="n"/>
      <c r="DM106" s="587" t="n"/>
      <c r="DN106" s="587" t="n"/>
      <c r="DO106" s="587" t="n"/>
      <c r="DP106" s="587" t="n"/>
      <c r="DQ106" s="587" t="n"/>
      <c r="DR106" s="587" t="n"/>
      <c r="DS106" s="587" t="n"/>
      <c r="DT106" s="587" t="n"/>
      <c r="DU106" s="587" t="n"/>
      <c r="DV106" s="587" t="n"/>
      <c r="DW106" s="587" t="n"/>
      <c r="DX106" s="587" t="n"/>
      <c r="DY106" s="587" t="n"/>
      <c r="DZ106" s="587" t="n"/>
      <c r="EA106" s="587" t="n"/>
      <c r="EB106" s="587" t="n"/>
      <c r="EC106" s="587" t="n"/>
      <c r="ED106" s="587" t="n"/>
      <c r="EE106" s="587" t="n"/>
      <c r="EF106" s="587" t="n"/>
      <c r="EG106" s="587" t="n"/>
      <c r="EH106" s="587" t="n"/>
      <c r="EI106" s="587" t="n"/>
      <c r="EJ106" s="587" t="n"/>
      <c r="EK106" s="587" t="n"/>
      <c r="EL106" s="587" t="n"/>
      <c r="EM106" s="587" t="n"/>
      <c r="EN106" s="587" t="n"/>
      <c r="EO106" s="587" t="n"/>
      <c r="EP106" s="587" t="n"/>
      <c r="EQ106" s="587" t="n"/>
      <c r="ER106" s="587" t="n"/>
      <c r="ES106" s="587" t="n"/>
      <c r="ET106" s="587" t="n"/>
      <c r="EU106" s="587" t="n"/>
      <c r="EV106" s="587" t="n"/>
      <c r="EW106" s="587" t="n"/>
      <c r="EX106" s="587" t="n"/>
      <c r="EY106" s="587" t="n"/>
      <c r="EZ106" s="587" t="n"/>
      <c r="FA106" s="587" t="n"/>
      <c r="FB106" s="587" t="n"/>
      <c r="FC106" s="587" t="n"/>
      <c r="FD106" s="587" t="n"/>
      <c r="FE106" s="587" t="n"/>
      <c r="FF106" s="587" t="n"/>
      <c r="FG106" s="587" t="n"/>
      <c r="FH106" s="587" t="n"/>
      <c r="FI106" s="587" t="n"/>
      <c r="FJ106" s="587" t="n"/>
      <c r="FK106" s="587" t="n"/>
      <c r="FL106" s="587" t="n"/>
      <c r="FM106" s="587" t="n"/>
      <c r="FN106" s="587" t="n"/>
      <c r="FO106" s="587" t="n"/>
      <c r="FP106" s="587" t="n"/>
      <c r="FQ106" s="587" t="n"/>
      <c r="FR106" s="587" t="n"/>
      <c r="FS106" s="587" t="n"/>
      <c r="FT106" s="587" t="n"/>
      <c r="FU106" s="587" t="n"/>
      <c r="FV106" s="587" t="n"/>
      <c r="FW106" s="587" t="n"/>
      <c r="FX106" s="587" t="n"/>
      <c r="FY106" s="587" t="n"/>
      <c r="FZ106" s="587" t="n"/>
      <c r="GA106" s="587" t="n"/>
    </row>
    <row r="107" customFormat="1" s="568">
      <c r="A107" s="86" t="n"/>
      <c r="B107" s="85" t="n"/>
      <c r="C107" s="84">
        <f>E107*D$5</f>
        <v/>
      </c>
      <c r="D107" s="68" t="n"/>
      <c r="E107" s="84">
        <f>SUM(G107:HT107)</f>
        <v/>
      </c>
      <c r="F107" s="568">
        <f>IFERROR(IF($E107&gt;0.0000005,$E107/SUMIF($E$11:$E$140,"&gt;0.0000005"),""),"")</f>
        <v/>
      </c>
      <c r="Q107" s="574" t="n"/>
      <c r="Z107" s="574" t="n"/>
      <c r="AA107" s="574" t="n"/>
      <c r="AB107" s="574" t="n"/>
      <c r="AC107" s="574" t="n"/>
      <c r="AD107" s="574" t="n"/>
      <c r="AE107" s="574" t="n"/>
      <c r="AF107" s="574" t="n"/>
      <c r="AH107" s="574" t="n"/>
      <c r="AJ107" s="574" t="n"/>
      <c r="CM107" s="587" t="n"/>
      <c r="CN107" s="587" t="n"/>
      <c r="CO107" s="587" t="n"/>
      <c r="CP107" s="587" t="n"/>
      <c r="CQ107" s="587" t="n"/>
      <c r="CR107" s="587" t="n"/>
      <c r="CS107" s="587" t="n"/>
      <c r="CT107" s="587" t="n"/>
      <c r="CU107" s="587" t="n"/>
      <c r="CV107" s="587" t="n"/>
      <c r="CW107" s="587" t="n"/>
      <c r="CX107" s="587" t="n"/>
      <c r="CY107" s="587" t="n"/>
      <c r="CZ107" s="587" t="n"/>
      <c r="DA107" s="587" t="n"/>
      <c r="DB107" s="587" t="n"/>
      <c r="DC107" s="587" t="n"/>
      <c r="DD107" s="587" t="n"/>
      <c r="DE107" s="587" t="n"/>
      <c r="DF107" s="587" t="n"/>
      <c r="DG107" s="587" t="n"/>
      <c r="DH107" s="587" t="n"/>
      <c r="DI107" s="587" t="n"/>
      <c r="DJ107" s="587" t="n"/>
      <c r="DK107" s="587" t="n"/>
      <c r="DL107" s="587" t="n"/>
      <c r="DM107" s="587" t="n"/>
      <c r="DN107" s="587" t="n"/>
      <c r="DO107" s="587" t="n"/>
      <c r="DP107" s="587" t="n"/>
      <c r="DQ107" s="587" t="n"/>
      <c r="DR107" s="587" t="n"/>
      <c r="DS107" s="587" t="n"/>
      <c r="DT107" s="587" t="n"/>
      <c r="DU107" s="587" t="n"/>
      <c r="DV107" s="587" t="n"/>
      <c r="DW107" s="587" t="n"/>
      <c r="DX107" s="587" t="n"/>
      <c r="DY107" s="587" t="n"/>
      <c r="DZ107" s="587" t="n"/>
      <c r="EA107" s="587" t="n"/>
      <c r="EB107" s="587" t="n"/>
      <c r="EC107" s="587" t="n"/>
      <c r="ED107" s="587" t="n"/>
      <c r="EE107" s="587" t="n"/>
      <c r="EF107" s="587" t="n"/>
      <c r="EG107" s="587" t="n"/>
      <c r="EH107" s="587" t="n"/>
      <c r="EI107" s="587" t="n"/>
      <c r="EJ107" s="587" t="n"/>
      <c r="EK107" s="587" t="n"/>
      <c r="EL107" s="587" t="n"/>
      <c r="EM107" s="587" t="n"/>
      <c r="EN107" s="587" t="n"/>
      <c r="EO107" s="587" t="n"/>
      <c r="EP107" s="587" t="n"/>
      <c r="EQ107" s="587" t="n"/>
      <c r="ER107" s="587" t="n"/>
      <c r="ES107" s="587" t="n"/>
      <c r="ET107" s="587" t="n"/>
      <c r="EU107" s="587" t="n"/>
      <c r="EV107" s="587" t="n"/>
      <c r="EW107" s="587" t="n"/>
      <c r="EX107" s="587" t="n"/>
      <c r="EY107" s="587" t="n"/>
      <c r="EZ107" s="587" t="n"/>
      <c r="FA107" s="587" t="n"/>
      <c r="FB107" s="587" t="n"/>
      <c r="FC107" s="587" t="n"/>
      <c r="FD107" s="587" t="n"/>
      <c r="FE107" s="587" t="n"/>
      <c r="FF107" s="587" t="n"/>
      <c r="FG107" s="587" t="n"/>
      <c r="FH107" s="587" t="n"/>
      <c r="FI107" s="587" t="n"/>
      <c r="FJ107" s="587" t="n"/>
      <c r="FK107" s="587" t="n"/>
      <c r="FL107" s="587" t="n"/>
      <c r="FM107" s="587" t="n"/>
      <c r="FN107" s="587" t="n"/>
      <c r="FO107" s="587" t="n"/>
      <c r="FP107" s="587" t="n"/>
      <c r="FQ107" s="587" t="n"/>
      <c r="FR107" s="587" t="n"/>
      <c r="FS107" s="587" t="n"/>
      <c r="FT107" s="587" t="n"/>
      <c r="FU107" s="587" t="n"/>
      <c r="FV107" s="587" t="n"/>
      <c r="FW107" s="587" t="n"/>
      <c r="FX107" s="587" t="n"/>
      <c r="FY107" s="587" t="n"/>
      <c r="FZ107" s="587" t="n"/>
      <c r="GA107" s="587" t="n"/>
    </row>
    <row r="108" customFormat="1" s="568">
      <c r="A108" s="86" t="n"/>
      <c r="B108" s="85" t="n"/>
      <c r="C108" s="84">
        <f>E108*D$5</f>
        <v/>
      </c>
      <c r="D108" s="68" t="n"/>
      <c r="E108" s="84">
        <f>SUM(G108:HT108)</f>
        <v/>
      </c>
      <c r="F108" s="568">
        <f>IFERROR(IF($E108&gt;0.0000005,$E108/SUMIF($E$11:$E$140,"&gt;0.0000005"),""),"")</f>
        <v/>
      </c>
      <c r="Q108" s="574" t="n"/>
      <c r="Z108" s="574" t="n"/>
      <c r="AA108" s="574" t="n"/>
      <c r="AB108" s="574" t="n"/>
      <c r="AC108" s="574" t="n"/>
      <c r="AD108" s="574" t="n"/>
      <c r="AE108" s="574" t="n"/>
      <c r="AF108" s="574" t="n"/>
      <c r="AH108" s="574" t="n"/>
      <c r="AJ108" s="574" t="n"/>
      <c r="CM108" s="587" t="n"/>
      <c r="CN108" s="587" t="n"/>
      <c r="CO108" s="587" t="n"/>
      <c r="CP108" s="587" t="n"/>
      <c r="CQ108" s="587" t="n"/>
      <c r="CR108" s="587" t="n"/>
      <c r="CS108" s="587" t="n"/>
      <c r="CT108" s="587" t="n"/>
      <c r="CU108" s="587" t="n"/>
      <c r="CV108" s="587" t="n"/>
      <c r="CW108" s="587" t="n"/>
      <c r="CX108" s="587" t="n"/>
      <c r="CY108" s="587" t="n"/>
      <c r="CZ108" s="587" t="n"/>
      <c r="DA108" s="587" t="n"/>
      <c r="DB108" s="587" t="n"/>
      <c r="DC108" s="587" t="n"/>
      <c r="DD108" s="587" t="n"/>
      <c r="DE108" s="587" t="n"/>
      <c r="DF108" s="587" t="n"/>
      <c r="DG108" s="587" t="n"/>
      <c r="DH108" s="587" t="n"/>
      <c r="DI108" s="587" t="n"/>
      <c r="DJ108" s="587" t="n"/>
      <c r="DK108" s="587" t="n"/>
      <c r="DL108" s="587" t="n"/>
      <c r="DM108" s="587" t="n"/>
      <c r="DN108" s="587" t="n"/>
      <c r="DO108" s="587" t="n"/>
      <c r="DP108" s="587" t="n"/>
      <c r="DQ108" s="587" t="n"/>
      <c r="DR108" s="587" t="n"/>
      <c r="DS108" s="587" t="n"/>
      <c r="DT108" s="587" t="n"/>
      <c r="DU108" s="587" t="n"/>
      <c r="DV108" s="587" t="n"/>
      <c r="DW108" s="587" t="n"/>
      <c r="DX108" s="587" t="n"/>
      <c r="DY108" s="587" t="n"/>
      <c r="DZ108" s="587" t="n"/>
      <c r="EA108" s="587" t="n"/>
      <c r="EB108" s="587" t="n"/>
      <c r="EC108" s="587" t="n"/>
      <c r="ED108" s="587" t="n"/>
      <c r="EE108" s="587" t="n"/>
      <c r="EF108" s="587" t="n"/>
      <c r="EG108" s="587" t="n"/>
      <c r="EH108" s="587" t="n"/>
      <c r="EI108" s="587" t="n"/>
      <c r="EJ108" s="587" t="n"/>
      <c r="EK108" s="587" t="n"/>
      <c r="EL108" s="587" t="n"/>
      <c r="EM108" s="587" t="n"/>
      <c r="EN108" s="587" t="n"/>
      <c r="EO108" s="587" t="n"/>
      <c r="EP108" s="587" t="n"/>
      <c r="EQ108" s="587" t="n"/>
      <c r="ER108" s="587" t="n"/>
      <c r="ES108" s="587" t="n"/>
      <c r="ET108" s="587" t="n"/>
      <c r="EU108" s="587" t="n"/>
      <c r="EV108" s="587" t="n"/>
      <c r="EW108" s="587" t="n"/>
      <c r="EX108" s="587" t="n"/>
      <c r="EY108" s="587" t="n"/>
      <c r="EZ108" s="587" t="n"/>
      <c r="FA108" s="587" t="n"/>
      <c r="FB108" s="587" t="n"/>
      <c r="FC108" s="587" t="n"/>
      <c r="FD108" s="587" t="n"/>
      <c r="FE108" s="587" t="n"/>
      <c r="FF108" s="587" t="n"/>
      <c r="FG108" s="587" t="n"/>
      <c r="FH108" s="587" t="n"/>
      <c r="FI108" s="587" t="n"/>
      <c r="FJ108" s="587" t="n"/>
      <c r="FK108" s="587" t="n"/>
      <c r="FL108" s="587" t="n"/>
      <c r="FM108" s="587" t="n"/>
      <c r="FN108" s="587" t="n"/>
      <c r="FO108" s="587" t="n"/>
      <c r="FP108" s="587" t="n"/>
      <c r="FQ108" s="587" t="n"/>
      <c r="FR108" s="587" t="n"/>
      <c r="FS108" s="587" t="n"/>
      <c r="FT108" s="587" t="n"/>
      <c r="FU108" s="587" t="n"/>
      <c r="FV108" s="587" t="n"/>
      <c r="FW108" s="587" t="n"/>
      <c r="FX108" s="587" t="n"/>
      <c r="FY108" s="587" t="n"/>
      <c r="FZ108" s="587" t="n"/>
      <c r="GA108" s="587" t="n"/>
    </row>
    <row r="109" customFormat="1" s="568">
      <c r="A109" s="86" t="n"/>
      <c r="B109" s="85" t="n"/>
      <c r="C109" s="84">
        <f>E109*D$5</f>
        <v/>
      </c>
      <c r="D109" s="68" t="n"/>
      <c r="E109" s="84">
        <f>SUM(G109:HT109)</f>
        <v/>
      </c>
      <c r="F109" s="568">
        <f>IFERROR(IF($E109&gt;0.0000005,$E109/SUMIF($E$11:$E$140,"&gt;0.0000005"),""),"")</f>
        <v/>
      </c>
      <c r="Q109" s="574" t="n"/>
      <c r="Z109" s="574" t="n"/>
      <c r="AA109" s="574" t="n"/>
      <c r="AB109" s="574" t="n"/>
      <c r="AC109" s="574" t="n"/>
      <c r="AD109" s="574" t="n"/>
      <c r="AE109" s="574" t="n"/>
      <c r="AF109" s="574" t="n"/>
      <c r="AH109" s="574" t="n"/>
      <c r="AJ109" s="574" t="n"/>
      <c r="CM109" s="587" t="n"/>
      <c r="CN109" s="587" t="n"/>
      <c r="CO109" s="587" t="n"/>
      <c r="CP109" s="587" t="n"/>
      <c r="CQ109" s="587" t="n"/>
      <c r="CR109" s="587" t="n"/>
      <c r="CS109" s="587" t="n"/>
      <c r="CT109" s="587" t="n"/>
      <c r="CU109" s="587" t="n"/>
      <c r="CV109" s="587" t="n"/>
      <c r="CW109" s="587" t="n"/>
      <c r="CX109" s="587" t="n"/>
      <c r="CY109" s="587" t="n"/>
      <c r="CZ109" s="587" t="n"/>
      <c r="DA109" s="587" t="n"/>
      <c r="DB109" s="587" t="n"/>
      <c r="DC109" s="587" t="n"/>
      <c r="DD109" s="587" t="n"/>
      <c r="DE109" s="587" t="n"/>
      <c r="DF109" s="587" t="n"/>
      <c r="DG109" s="587" t="n"/>
      <c r="DH109" s="587" t="n"/>
      <c r="DI109" s="587" t="n"/>
      <c r="DJ109" s="587" t="n"/>
      <c r="DK109" s="587" t="n"/>
      <c r="DL109" s="587" t="n"/>
      <c r="DM109" s="587" t="n"/>
      <c r="DN109" s="587" t="n"/>
      <c r="DO109" s="587" t="n"/>
      <c r="DP109" s="587" t="n"/>
      <c r="DQ109" s="587" t="n"/>
      <c r="DR109" s="587" t="n"/>
      <c r="DS109" s="587" t="n"/>
      <c r="DT109" s="587" t="n"/>
      <c r="DU109" s="587" t="n"/>
      <c r="DV109" s="587" t="n"/>
      <c r="DW109" s="587" t="n"/>
      <c r="DX109" s="587" t="n"/>
      <c r="DY109" s="587" t="n"/>
      <c r="DZ109" s="587" t="n"/>
      <c r="EA109" s="587" t="n"/>
      <c r="EB109" s="587" t="n"/>
      <c r="EC109" s="587" t="n"/>
      <c r="ED109" s="587" t="n"/>
      <c r="EE109" s="587" t="n"/>
      <c r="EF109" s="587" t="n"/>
      <c r="EG109" s="587" t="n"/>
      <c r="EH109" s="587" t="n"/>
      <c r="EI109" s="587" t="n"/>
      <c r="EJ109" s="587" t="n"/>
      <c r="EK109" s="587" t="n"/>
      <c r="EL109" s="587" t="n"/>
      <c r="EM109" s="587" t="n"/>
      <c r="EN109" s="587" t="n"/>
      <c r="EO109" s="587" t="n"/>
      <c r="EP109" s="587" t="n"/>
      <c r="EQ109" s="587" t="n"/>
      <c r="ER109" s="587" t="n"/>
      <c r="ES109" s="587" t="n"/>
      <c r="ET109" s="587" t="n"/>
      <c r="EU109" s="587" t="n"/>
      <c r="EV109" s="587" t="n"/>
      <c r="EW109" s="587" t="n"/>
      <c r="EX109" s="587" t="n"/>
      <c r="EY109" s="587" t="n"/>
      <c r="EZ109" s="587" t="n"/>
      <c r="FA109" s="587" t="n"/>
      <c r="FB109" s="587" t="n"/>
      <c r="FC109" s="587" t="n"/>
      <c r="FD109" s="587" t="n"/>
      <c r="FE109" s="587" t="n"/>
      <c r="FF109" s="587" t="n"/>
      <c r="FG109" s="587" t="n"/>
      <c r="FH109" s="587" t="n"/>
      <c r="FI109" s="587" t="n"/>
      <c r="FJ109" s="587" t="n"/>
      <c r="FK109" s="587" t="n"/>
      <c r="FL109" s="587" t="n"/>
      <c r="FM109" s="587" t="n"/>
      <c r="FN109" s="587" t="n"/>
      <c r="FO109" s="587" t="n"/>
      <c r="FP109" s="587" t="n"/>
      <c r="FQ109" s="587" t="n"/>
      <c r="FR109" s="587" t="n"/>
      <c r="FS109" s="587" t="n"/>
      <c r="FT109" s="587" t="n"/>
      <c r="FU109" s="587" t="n"/>
      <c r="FV109" s="587" t="n"/>
      <c r="FW109" s="587" t="n"/>
      <c r="FX109" s="587" t="n"/>
      <c r="FY109" s="587" t="n"/>
      <c r="FZ109" s="587" t="n"/>
      <c r="GA109" s="587" t="n"/>
    </row>
    <row r="110" customFormat="1" s="568">
      <c r="A110" s="86" t="n"/>
      <c r="B110" s="85" t="n"/>
      <c r="C110" s="84">
        <f>E110*D$5</f>
        <v/>
      </c>
      <c r="D110" s="68" t="n"/>
      <c r="E110" s="84">
        <f>SUM(G110:HT110)</f>
        <v/>
      </c>
      <c r="F110" s="568">
        <f>IFERROR(IF($E110&gt;0.0000005,$E110/SUMIF($E$11:$E$140,"&gt;0.0000005"),""),"")</f>
        <v/>
      </c>
      <c r="Q110" s="574" t="n"/>
      <c r="Z110" s="574" t="n"/>
      <c r="AA110" s="574" t="n"/>
      <c r="AB110" s="574" t="n"/>
      <c r="AC110" s="574" t="n"/>
      <c r="AD110" s="574" t="n"/>
      <c r="AE110" s="574" t="n"/>
      <c r="AF110" s="574" t="n"/>
      <c r="AH110" s="574" t="n"/>
      <c r="AJ110" s="574" t="n"/>
      <c r="CM110" s="587" t="n"/>
      <c r="CN110" s="587" t="n"/>
      <c r="CO110" s="587" t="n"/>
      <c r="CP110" s="587" t="n"/>
      <c r="CQ110" s="587" t="n"/>
      <c r="CR110" s="587" t="n"/>
      <c r="CS110" s="587" t="n"/>
      <c r="CT110" s="587" t="n"/>
      <c r="CU110" s="587" t="n"/>
      <c r="CV110" s="587" t="n"/>
      <c r="CW110" s="587" t="n"/>
      <c r="CX110" s="587" t="n"/>
      <c r="CY110" s="587" t="n"/>
      <c r="CZ110" s="587" t="n"/>
      <c r="DA110" s="587" t="n"/>
      <c r="DB110" s="587" t="n"/>
      <c r="DC110" s="587" t="n"/>
      <c r="DD110" s="587" t="n"/>
      <c r="DE110" s="587" t="n"/>
      <c r="DF110" s="587" t="n"/>
      <c r="DG110" s="587" t="n"/>
      <c r="DH110" s="587" t="n"/>
      <c r="DI110" s="587" t="n"/>
      <c r="DJ110" s="587" t="n"/>
      <c r="DK110" s="587" t="n"/>
      <c r="DL110" s="587" t="n"/>
      <c r="DM110" s="587" t="n"/>
      <c r="DN110" s="587" t="n"/>
      <c r="DO110" s="587" t="n"/>
      <c r="DP110" s="587" t="n"/>
      <c r="DQ110" s="587" t="n"/>
      <c r="DR110" s="587" t="n"/>
      <c r="DS110" s="587" t="n"/>
      <c r="DT110" s="587" t="n"/>
      <c r="DU110" s="587" t="n"/>
      <c r="DV110" s="587" t="n"/>
      <c r="DW110" s="587" t="n"/>
      <c r="DX110" s="587" t="n"/>
      <c r="DY110" s="587" t="n"/>
      <c r="DZ110" s="587" t="n"/>
      <c r="EA110" s="587" t="n"/>
      <c r="EB110" s="587" t="n"/>
      <c r="EC110" s="587" t="n"/>
      <c r="ED110" s="587" t="n"/>
      <c r="EE110" s="587" t="n"/>
      <c r="EF110" s="587" t="n"/>
      <c r="EG110" s="587" t="n"/>
      <c r="EH110" s="587" t="n"/>
      <c r="EI110" s="587" t="n"/>
      <c r="EJ110" s="587" t="n"/>
      <c r="EK110" s="587" t="n"/>
      <c r="EL110" s="587" t="n"/>
      <c r="EM110" s="587" t="n"/>
      <c r="EN110" s="587" t="n"/>
      <c r="EO110" s="587" t="n"/>
      <c r="EP110" s="587" t="n"/>
      <c r="EQ110" s="587" t="n"/>
      <c r="ER110" s="587" t="n"/>
      <c r="ES110" s="587" t="n"/>
      <c r="ET110" s="587" t="n"/>
      <c r="EU110" s="587" t="n"/>
      <c r="EV110" s="587" t="n"/>
      <c r="EW110" s="587" t="n"/>
      <c r="EX110" s="587" t="n"/>
      <c r="EY110" s="587" t="n"/>
      <c r="EZ110" s="587" t="n"/>
      <c r="FA110" s="587" t="n"/>
      <c r="FB110" s="587" t="n"/>
      <c r="FC110" s="587" t="n"/>
      <c r="FD110" s="587" t="n"/>
      <c r="FE110" s="587" t="n"/>
      <c r="FF110" s="587" t="n"/>
      <c r="FG110" s="587" t="n"/>
      <c r="FH110" s="587" t="n"/>
      <c r="FI110" s="587" t="n"/>
      <c r="FJ110" s="587" t="n"/>
      <c r="FK110" s="587" t="n"/>
      <c r="FL110" s="587" t="n"/>
      <c r="FM110" s="587" t="n"/>
      <c r="FN110" s="587" t="n"/>
      <c r="FO110" s="587" t="n"/>
      <c r="FP110" s="587" t="n"/>
      <c r="FQ110" s="587" t="n"/>
      <c r="FR110" s="587" t="n"/>
      <c r="FS110" s="587" t="n"/>
      <c r="FT110" s="587" t="n"/>
      <c r="FU110" s="587" t="n"/>
      <c r="FV110" s="587" t="n"/>
      <c r="FW110" s="587" t="n"/>
      <c r="FX110" s="587" t="n"/>
      <c r="FY110" s="587" t="n"/>
      <c r="FZ110" s="587" t="n"/>
      <c r="GA110" s="587" t="n"/>
    </row>
    <row r="111" customFormat="1" s="568">
      <c r="A111" s="86" t="n"/>
      <c r="B111" s="85" t="n"/>
      <c r="C111" s="84">
        <f>E111*D$5</f>
        <v/>
      </c>
      <c r="D111" s="68" t="n"/>
      <c r="E111" s="84">
        <f>SUM(G111:HT111)</f>
        <v/>
      </c>
      <c r="F111" s="568">
        <f>IFERROR(IF($E111&gt;0.0000005,$E111/SUMIF($E$11:$E$140,"&gt;0.0000005"),""),"")</f>
        <v/>
      </c>
      <c r="Q111" s="574" t="n"/>
      <c r="Z111" s="574" t="n"/>
      <c r="AA111" s="574" t="n"/>
      <c r="AB111" s="574" t="n"/>
      <c r="AC111" s="574" t="n"/>
      <c r="AD111" s="574" t="n"/>
      <c r="AE111" s="574" t="n"/>
      <c r="AF111" s="574" t="n"/>
      <c r="AH111" s="574" t="n"/>
      <c r="AJ111" s="574" t="n"/>
      <c r="CM111" s="587" t="n"/>
      <c r="CN111" s="587" t="n"/>
      <c r="CO111" s="587" t="n"/>
      <c r="CP111" s="587" t="n"/>
      <c r="CQ111" s="587" t="n"/>
      <c r="CR111" s="587" t="n"/>
      <c r="CS111" s="587" t="n"/>
      <c r="CT111" s="587" t="n"/>
      <c r="CU111" s="587" t="n"/>
      <c r="CV111" s="587" t="n"/>
      <c r="CW111" s="587" t="n"/>
      <c r="CX111" s="587" t="n"/>
      <c r="CY111" s="587" t="n"/>
      <c r="CZ111" s="587" t="n"/>
      <c r="DA111" s="587" t="n"/>
      <c r="DB111" s="587" t="n"/>
      <c r="DC111" s="587" t="n"/>
      <c r="DD111" s="587" t="n"/>
      <c r="DE111" s="587" t="n"/>
      <c r="DF111" s="587" t="n"/>
      <c r="DG111" s="587" t="n"/>
      <c r="DH111" s="587" t="n"/>
      <c r="DI111" s="587" t="n"/>
      <c r="DJ111" s="587" t="n"/>
      <c r="DK111" s="587" t="n"/>
      <c r="DL111" s="587" t="n"/>
      <c r="DM111" s="587" t="n"/>
      <c r="DN111" s="587" t="n"/>
      <c r="DO111" s="587" t="n"/>
      <c r="DP111" s="587" t="n"/>
      <c r="DQ111" s="587" t="n"/>
      <c r="DR111" s="587" t="n"/>
      <c r="DS111" s="587" t="n"/>
      <c r="DT111" s="587" t="n"/>
      <c r="DU111" s="587" t="n"/>
      <c r="DV111" s="587" t="n"/>
      <c r="DW111" s="587" t="n"/>
      <c r="DX111" s="587" t="n"/>
      <c r="DY111" s="587" t="n"/>
      <c r="DZ111" s="587" t="n"/>
      <c r="EA111" s="587" t="n"/>
      <c r="EB111" s="587" t="n"/>
      <c r="EC111" s="587" t="n"/>
      <c r="ED111" s="587" t="n"/>
      <c r="EE111" s="587" t="n"/>
      <c r="EF111" s="587" t="n"/>
      <c r="EG111" s="587" t="n"/>
      <c r="EH111" s="587" t="n"/>
      <c r="EI111" s="587" t="n"/>
      <c r="EJ111" s="587" t="n"/>
      <c r="EK111" s="587" t="n"/>
      <c r="EL111" s="587" t="n"/>
      <c r="EM111" s="587" t="n"/>
      <c r="EN111" s="587" t="n"/>
      <c r="EO111" s="587" t="n"/>
      <c r="EP111" s="587" t="n"/>
      <c r="EQ111" s="587" t="n"/>
      <c r="ER111" s="587" t="n"/>
      <c r="ES111" s="587" t="n"/>
      <c r="ET111" s="587" t="n"/>
      <c r="EU111" s="587" t="n"/>
      <c r="EV111" s="587" t="n"/>
      <c r="EW111" s="587" t="n"/>
      <c r="EX111" s="587" t="n"/>
      <c r="EY111" s="587" t="n"/>
      <c r="EZ111" s="587" t="n"/>
      <c r="FA111" s="587" t="n"/>
      <c r="FB111" s="587" t="n"/>
      <c r="FC111" s="587" t="n"/>
      <c r="FD111" s="587" t="n"/>
      <c r="FE111" s="587" t="n"/>
      <c r="FF111" s="587" t="n"/>
      <c r="FG111" s="587" t="n"/>
      <c r="FH111" s="587" t="n"/>
      <c r="FI111" s="587" t="n"/>
      <c r="FJ111" s="587" t="n"/>
      <c r="FK111" s="587" t="n"/>
      <c r="FL111" s="587" t="n"/>
      <c r="FM111" s="587" t="n"/>
      <c r="FN111" s="587" t="n"/>
      <c r="FO111" s="587" t="n"/>
      <c r="FP111" s="587" t="n"/>
      <c r="FQ111" s="587" t="n"/>
      <c r="FR111" s="587" t="n"/>
      <c r="FS111" s="587" t="n"/>
      <c r="FT111" s="587" t="n"/>
      <c r="FU111" s="587" t="n"/>
      <c r="FV111" s="587" t="n"/>
      <c r="FW111" s="587" t="n"/>
      <c r="FX111" s="587" t="n"/>
      <c r="FY111" s="587" t="n"/>
      <c r="FZ111" s="587" t="n"/>
      <c r="GA111" s="587" t="n"/>
    </row>
    <row r="112" customFormat="1" s="568">
      <c r="A112" s="86" t="n"/>
      <c r="B112" s="85" t="n"/>
      <c r="C112" s="84">
        <f>E112*D$5</f>
        <v/>
      </c>
      <c r="D112" s="68" t="n"/>
      <c r="E112" s="84">
        <f>SUM(G112:HT112)</f>
        <v/>
      </c>
      <c r="F112" s="568">
        <f>IFERROR(IF($E112&gt;0.0000005,$E112/SUMIF($E$11:$E$140,"&gt;0.0000005"),""),"")</f>
        <v/>
      </c>
      <c r="Q112" s="574" t="n"/>
      <c r="Z112" s="574" t="n"/>
      <c r="AA112" s="574" t="n"/>
      <c r="AB112" s="574" t="n"/>
      <c r="AC112" s="574" t="n"/>
      <c r="AD112" s="574" t="n"/>
      <c r="AE112" s="574" t="n"/>
      <c r="AF112" s="574" t="n"/>
      <c r="AH112" s="574" t="n"/>
      <c r="AJ112" s="574" t="n"/>
      <c r="CM112" s="587" t="n"/>
      <c r="CN112" s="587" t="n"/>
      <c r="CO112" s="587" t="n"/>
      <c r="CP112" s="587" t="n"/>
      <c r="CQ112" s="587" t="n"/>
      <c r="CR112" s="587" t="n"/>
      <c r="CS112" s="587" t="n"/>
      <c r="CT112" s="587" t="n"/>
      <c r="CU112" s="587" t="n"/>
      <c r="CV112" s="587" t="n"/>
      <c r="CW112" s="587" t="n"/>
      <c r="CX112" s="587" t="n"/>
      <c r="CY112" s="587" t="n"/>
      <c r="CZ112" s="587" t="n"/>
      <c r="DA112" s="587" t="n"/>
      <c r="DB112" s="587" t="n"/>
      <c r="DC112" s="587" t="n"/>
      <c r="DD112" s="587" t="n"/>
      <c r="DE112" s="587" t="n"/>
      <c r="DF112" s="587" t="n"/>
      <c r="DG112" s="587" t="n"/>
      <c r="DH112" s="587" t="n"/>
      <c r="DI112" s="587" t="n"/>
      <c r="DJ112" s="587" t="n"/>
      <c r="DK112" s="587" t="n"/>
      <c r="DL112" s="587" t="n"/>
      <c r="DM112" s="587" t="n"/>
      <c r="DN112" s="587" t="n"/>
      <c r="DO112" s="587" t="n"/>
      <c r="DP112" s="587" t="n"/>
      <c r="DQ112" s="587" t="n"/>
      <c r="DR112" s="587" t="n"/>
      <c r="DS112" s="587" t="n"/>
      <c r="DT112" s="587" t="n"/>
      <c r="DU112" s="587" t="n"/>
      <c r="DV112" s="587" t="n"/>
      <c r="DW112" s="587" t="n"/>
      <c r="DX112" s="587" t="n"/>
      <c r="DY112" s="587" t="n"/>
      <c r="DZ112" s="587" t="n"/>
      <c r="EA112" s="587" t="n"/>
      <c r="EB112" s="587" t="n"/>
      <c r="EC112" s="587" t="n"/>
      <c r="ED112" s="587" t="n"/>
      <c r="EE112" s="587" t="n"/>
      <c r="EF112" s="587" t="n"/>
      <c r="EG112" s="587" t="n"/>
      <c r="EH112" s="587" t="n"/>
      <c r="EI112" s="587" t="n"/>
      <c r="EJ112" s="587" t="n"/>
      <c r="EK112" s="587" t="n"/>
      <c r="EL112" s="587" t="n"/>
      <c r="EM112" s="587" t="n"/>
      <c r="EN112" s="587" t="n"/>
      <c r="EO112" s="587" t="n"/>
      <c r="EP112" s="587" t="n"/>
      <c r="EQ112" s="587" t="n"/>
      <c r="ER112" s="587" t="n"/>
      <c r="ES112" s="587" t="n"/>
      <c r="ET112" s="587" t="n"/>
      <c r="EU112" s="587" t="n"/>
      <c r="EV112" s="587" t="n"/>
      <c r="EW112" s="587" t="n"/>
      <c r="EX112" s="587" t="n"/>
      <c r="EY112" s="587" t="n"/>
      <c r="EZ112" s="587" t="n"/>
      <c r="FA112" s="587" t="n"/>
      <c r="FB112" s="587" t="n"/>
      <c r="FC112" s="587" t="n"/>
      <c r="FD112" s="587" t="n"/>
      <c r="FE112" s="587" t="n"/>
      <c r="FF112" s="587" t="n"/>
      <c r="FG112" s="587" t="n"/>
      <c r="FH112" s="587" t="n"/>
      <c r="FI112" s="587" t="n"/>
      <c r="FJ112" s="587" t="n"/>
      <c r="FK112" s="587" t="n"/>
      <c r="FL112" s="587" t="n"/>
      <c r="FM112" s="587" t="n"/>
      <c r="FN112" s="587" t="n"/>
      <c r="FO112" s="587" t="n"/>
      <c r="FP112" s="587" t="n"/>
      <c r="FQ112" s="587" t="n"/>
      <c r="FR112" s="587" t="n"/>
      <c r="FS112" s="587" t="n"/>
      <c r="FT112" s="587" t="n"/>
      <c r="FU112" s="587" t="n"/>
      <c r="FV112" s="587" t="n"/>
      <c r="FW112" s="587" t="n"/>
      <c r="FX112" s="587" t="n"/>
      <c r="FY112" s="587" t="n"/>
      <c r="FZ112" s="587" t="n"/>
      <c r="GA112" s="587" t="n"/>
    </row>
    <row r="113" customFormat="1" s="568">
      <c r="A113" s="86" t="n"/>
      <c r="B113" s="85" t="n"/>
      <c r="C113" s="84">
        <f>E113*D$5</f>
        <v/>
      </c>
      <c r="D113" s="68" t="n"/>
      <c r="E113" s="84">
        <f>SUM(G113:HT113)</f>
        <v/>
      </c>
      <c r="F113" s="568">
        <f>IFERROR(IF($E113&gt;0.0000005,$E113/SUMIF($E$11:$E$140,"&gt;0.0000005"),""),"")</f>
        <v/>
      </c>
      <c r="Q113" s="574" t="n"/>
      <c r="Z113" s="574" t="n"/>
      <c r="AA113" s="574" t="n"/>
      <c r="AB113" s="574" t="n"/>
      <c r="AC113" s="574" t="n"/>
      <c r="AD113" s="574" t="n"/>
      <c r="AE113" s="574" t="n"/>
      <c r="AF113" s="574" t="n"/>
      <c r="AH113" s="574" t="n"/>
      <c r="AJ113" s="574" t="n"/>
      <c r="CM113" s="587" t="n"/>
      <c r="CN113" s="587" t="n"/>
      <c r="CO113" s="587" t="n"/>
      <c r="CP113" s="587" t="n"/>
      <c r="CQ113" s="587" t="n"/>
      <c r="CR113" s="587" t="n"/>
      <c r="CS113" s="587" t="n"/>
      <c r="CT113" s="587" t="n"/>
      <c r="CU113" s="587" t="n"/>
      <c r="CV113" s="587" t="n"/>
      <c r="CW113" s="587" t="n"/>
      <c r="CX113" s="587" t="n"/>
      <c r="CY113" s="587" t="n"/>
      <c r="CZ113" s="587" t="n"/>
      <c r="DA113" s="587" t="n"/>
      <c r="DB113" s="587" t="n"/>
      <c r="DC113" s="587" t="n"/>
      <c r="DD113" s="587" t="n"/>
      <c r="DE113" s="587" t="n"/>
      <c r="DF113" s="587" t="n"/>
      <c r="DG113" s="587" t="n"/>
      <c r="DH113" s="587" t="n"/>
      <c r="DI113" s="587" t="n"/>
      <c r="DJ113" s="587" t="n"/>
      <c r="DK113" s="587" t="n"/>
      <c r="DL113" s="587" t="n"/>
      <c r="DM113" s="587" t="n"/>
      <c r="DN113" s="587" t="n"/>
      <c r="DO113" s="587" t="n"/>
      <c r="DP113" s="587" t="n"/>
      <c r="DQ113" s="587" t="n"/>
      <c r="DR113" s="587" t="n"/>
      <c r="DS113" s="587" t="n"/>
      <c r="DT113" s="587" t="n"/>
      <c r="DU113" s="587" t="n"/>
      <c r="DV113" s="587" t="n"/>
      <c r="DW113" s="587" t="n"/>
      <c r="DX113" s="587" t="n"/>
      <c r="DY113" s="587" t="n"/>
      <c r="DZ113" s="587" t="n"/>
      <c r="EA113" s="587" t="n"/>
      <c r="EB113" s="587" t="n"/>
      <c r="EC113" s="587" t="n"/>
      <c r="ED113" s="587" t="n"/>
      <c r="EE113" s="587" t="n"/>
      <c r="EF113" s="587" t="n"/>
      <c r="EG113" s="587" t="n"/>
      <c r="EH113" s="587" t="n"/>
      <c r="EI113" s="587" t="n"/>
      <c r="EJ113" s="587" t="n"/>
      <c r="EK113" s="587" t="n"/>
      <c r="EL113" s="587" t="n"/>
      <c r="EM113" s="587" t="n"/>
      <c r="EN113" s="587" t="n"/>
      <c r="EO113" s="587" t="n"/>
      <c r="EP113" s="587" t="n"/>
      <c r="EQ113" s="587" t="n"/>
      <c r="ER113" s="587" t="n"/>
      <c r="ES113" s="587" t="n"/>
      <c r="ET113" s="587" t="n"/>
      <c r="EU113" s="587" t="n"/>
      <c r="EV113" s="587" t="n"/>
      <c r="EW113" s="587" t="n"/>
      <c r="EX113" s="587" t="n"/>
      <c r="EY113" s="587" t="n"/>
      <c r="EZ113" s="587" t="n"/>
      <c r="FA113" s="587" t="n"/>
      <c r="FB113" s="587" t="n"/>
      <c r="FC113" s="587" t="n"/>
      <c r="FD113" s="587" t="n"/>
      <c r="FE113" s="587" t="n"/>
      <c r="FF113" s="587" t="n"/>
      <c r="FG113" s="587" t="n"/>
      <c r="FH113" s="587" t="n"/>
      <c r="FI113" s="587" t="n"/>
      <c r="FJ113" s="587" t="n"/>
      <c r="FK113" s="587" t="n"/>
      <c r="FL113" s="587" t="n"/>
      <c r="FM113" s="587" t="n"/>
      <c r="FN113" s="587" t="n"/>
      <c r="FO113" s="587" t="n"/>
      <c r="FP113" s="587" t="n"/>
      <c r="FQ113" s="587" t="n"/>
      <c r="FR113" s="587" t="n"/>
      <c r="FS113" s="587" t="n"/>
      <c r="FT113" s="587" t="n"/>
      <c r="FU113" s="587" t="n"/>
      <c r="FV113" s="587" t="n"/>
      <c r="FW113" s="587" t="n"/>
      <c r="FX113" s="587" t="n"/>
      <c r="FY113" s="587" t="n"/>
      <c r="FZ113" s="587" t="n"/>
      <c r="GA113" s="587" t="n"/>
    </row>
    <row r="114" customFormat="1" s="568">
      <c r="A114" s="86" t="n"/>
      <c r="B114" s="85" t="n"/>
      <c r="C114" s="84">
        <f>E114*D$5</f>
        <v/>
      </c>
      <c r="D114" s="68" t="n"/>
      <c r="E114" s="84">
        <f>SUM(G114:HT114)</f>
        <v/>
      </c>
      <c r="F114" s="568">
        <f>IFERROR(IF($E114&gt;0.0000005,$E114/SUMIF($E$11:$E$140,"&gt;0.0000005"),""),"")</f>
        <v/>
      </c>
      <c r="Q114" s="574" t="n"/>
      <c r="Z114" s="574" t="n"/>
      <c r="AA114" s="574" t="n"/>
      <c r="AB114" s="574" t="n"/>
      <c r="AC114" s="574" t="n"/>
      <c r="AD114" s="574" t="n"/>
      <c r="AE114" s="574" t="n"/>
      <c r="AF114" s="574" t="n"/>
      <c r="AH114" s="574" t="n"/>
      <c r="AJ114" s="574" t="n"/>
      <c r="CM114" s="587" t="n"/>
      <c r="CN114" s="587" t="n"/>
      <c r="CO114" s="587" t="n"/>
      <c r="CP114" s="587" t="n"/>
      <c r="CQ114" s="587" t="n"/>
      <c r="CR114" s="587" t="n"/>
      <c r="CS114" s="587" t="n"/>
      <c r="CT114" s="587" t="n"/>
      <c r="CU114" s="587" t="n"/>
      <c r="CV114" s="587" t="n"/>
      <c r="CW114" s="587" t="n"/>
      <c r="CX114" s="587" t="n"/>
      <c r="CY114" s="587" t="n"/>
      <c r="CZ114" s="587" t="n"/>
      <c r="DA114" s="587" t="n"/>
      <c r="DB114" s="587" t="n"/>
      <c r="DC114" s="587" t="n"/>
      <c r="DD114" s="587" t="n"/>
      <c r="DE114" s="587" t="n"/>
      <c r="DF114" s="587" t="n"/>
      <c r="DG114" s="587" t="n"/>
      <c r="DH114" s="587" t="n"/>
      <c r="DI114" s="587" t="n"/>
      <c r="DJ114" s="587" t="n"/>
      <c r="DK114" s="587" t="n"/>
      <c r="DL114" s="587" t="n"/>
      <c r="DM114" s="587" t="n"/>
      <c r="DN114" s="587" t="n"/>
      <c r="DO114" s="587" t="n"/>
      <c r="DP114" s="587" t="n"/>
      <c r="DQ114" s="587" t="n"/>
      <c r="DR114" s="587" t="n"/>
      <c r="DS114" s="587" t="n"/>
      <c r="DT114" s="587" t="n"/>
      <c r="DU114" s="587" t="n"/>
      <c r="DV114" s="587" t="n"/>
      <c r="DW114" s="587" t="n"/>
      <c r="DX114" s="587" t="n"/>
      <c r="DY114" s="587" t="n"/>
      <c r="DZ114" s="587" t="n"/>
      <c r="EA114" s="587" t="n"/>
      <c r="EB114" s="587" t="n"/>
      <c r="EC114" s="587" t="n"/>
      <c r="ED114" s="587" t="n"/>
      <c r="EE114" s="587" t="n"/>
      <c r="EF114" s="587" t="n"/>
      <c r="EG114" s="587" t="n"/>
      <c r="EH114" s="587" t="n"/>
      <c r="EI114" s="587" t="n"/>
      <c r="EJ114" s="587" t="n"/>
      <c r="EK114" s="587" t="n"/>
      <c r="EL114" s="587" t="n"/>
      <c r="EM114" s="587" t="n"/>
      <c r="EN114" s="587" t="n"/>
      <c r="EO114" s="587" t="n"/>
      <c r="EP114" s="587" t="n"/>
      <c r="EQ114" s="587" t="n"/>
      <c r="ER114" s="587" t="n"/>
      <c r="ES114" s="587" t="n"/>
      <c r="ET114" s="587" t="n"/>
      <c r="EU114" s="587" t="n"/>
      <c r="EV114" s="587" t="n"/>
      <c r="EW114" s="587" t="n"/>
      <c r="EX114" s="587" t="n"/>
      <c r="EY114" s="587" t="n"/>
      <c r="EZ114" s="587" t="n"/>
      <c r="FA114" s="587" t="n"/>
      <c r="FB114" s="587" t="n"/>
      <c r="FC114" s="587" t="n"/>
      <c r="FD114" s="587" t="n"/>
      <c r="FE114" s="587" t="n"/>
      <c r="FF114" s="587" t="n"/>
      <c r="FG114" s="587" t="n"/>
      <c r="FH114" s="587" t="n"/>
      <c r="FI114" s="587" t="n"/>
      <c r="FJ114" s="587" t="n"/>
      <c r="FK114" s="587" t="n"/>
      <c r="FL114" s="587" t="n"/>
      <c r="FM114" s="587" t="n"/>
      <c r="FN114" s="587" t="n"/>
      <c r="FO114" s="587" t="n"/>
      <c r="FP114" s="587" t="n"/>
      <c r="FQ114" s="587" t="n"/>
      <c r="FR114" s="587" t="n"/>
      <c r="FS114" s="587" t="n"/>
      <c r="FT114" s="587" t="n"/>
      <c r="FU114" s="587" t="n"/>
      <c r="FV114" s="587" t="n"/>
      <c r="FW114" s="587" t="n"/>
      <c r="FX114" s="587" t="n"/>
      <c r="FY114" s="587" t="n"/>
      <c r="FZ114" s="587" t="n"/>
      <c r="GA114" s="587" t="n"/>
    </row>
    <row r="115" customFormat="1" s="568">
      <c r="A115" s="86" t="n"/>
      <c r="B115" s="85" t="n"/>
      <c r="C115" s="84">
        <f>E115*D$5</f>
        <v/>
      </c>
      <c r="D115" s="68" t="n"/>
      <c r="E115" s="84">
        <f>SUM(G115:HT115)</f>
        <v/>
      </c>
      <c r="F115" s="568">
        <f>IFERROR(IF($E115&gt;0.0000005,$E115/SUMIF($E$11:$E$140,"&gt;0.0000005"),""),"")</f>
        <v/>
      </c>
      <c r="Q115" s="574" t="n"/>
      <c r="Z115" s="574" t="n"/>
      <c r="AA115" s="574" t="n"/>
      <c r="AB115" s="574" t="n"/>
      <c r="AC115" s="574" t="n"/>
      <c r="AD115" s="574" t="n"/>
      <c r="AE115" s="574" t="n"/>
      <c r="AF115" s="574" t="n"/>
      <c r="AH115" s="574" t="n"/>
      <c r="AJ115" s="574" t="n"/>
      <c r="CM115" s="587" t="n"/>
      <c r="CN115" s="587" t="n"/>
      <c r="CO115" s="587" t="n"/>
      <c r="CP115" s="587" t="n"/>
      <c r="CQ115" s="587" t="n"/>
      <c r="CR115" s="587" t="n"/>
      <c r="CS115" s="587" t="n"/>
      <c r="CT115" s="587" t="n"/>
      <c r="CU115" s="587" t="n"/>
      <c r="CV115" s="587" t="n"/>
      <c r="CW115" s="587" t="n"/>
      <c r="CX115" s="587" t="n"/>
      <c r="CY115" s="587" t="n"/>
      <c r="CZ115" s="587" t="n"/>
      <c r="DA115" s="587" t="n"/>
      <c r="DB115" s="587" t="n"/>
      <c r="DC115" s="587" t="n"/>
      <c r="DD115" s="587" t="n"/>
      <c r="DE115" s="587" t="n"/>
      <c r="DF115" s="587" t="n"/>
      <c r="DG115" s="587" t="n"/>
      <c r="DH115" s="587" t="n"/>
      <c r="DI115" s="587" t="n"/>
      <c r="DJ115" s="587" t="n"/>
      <c r="DK115" s="587" t="n"/>
      <c r="DL115" s="587" t="n"/>
      <c r="DM115" s="587" t="n"/>
      <c r="DN115" s="587" t="n"/>
      <c r="DO115" s="587" t="n"/>
      <c r="DP115" s="587" t="n"/>
      <c r="DQ115" s="587" t="n"/>
      <c r="DR115" s="587" t="n"/>
      <c r="DS115" s="587" t="n"/>
      <c r="DT115" s="587" t="n"/>
      <c r="DU115" s="587" t="n"/>
      <c r="DV115" s="587" t="n"/>
      <c r="DW115" s="587" t="n"/>
      <c r="DX115" s="587" t="n"/>
      <c r="DY115" s="587" t="n"/>
      <c r="DZ115" s="587" t="n"/>
      <c r="EA115" s="587" t="n"/>
      <c r="EB115" s="587" t="n"/>
      <c r="EC115" s="587" t="n"/>
      <c r="ED115" s="587" t="n"/>
      <c r="EE115" s="587" t="n"/>
      <c r="EF115" s="587" t="n"/>
      <c r="EG115" s="587" t="n"/>
      <c r="EH115" s="587" t="n"/>
      <c r="EI115" s="587" t="n"/>
      <c r="EJ115" s="587" t="n"/>
      <c r="EK115" s="587" t="n"/>
      <c r="EL115" s="587" t="n"/>
      <c r="EM115" s="587" t="n"/>
      <c r="EN115" s="587" t="n"/>
      <c r="EO115" s="587" t="n"/>
      <c r="EP115" s="587" t="n"/>
      <c r="EQ115" s="587" t="n"/>
      <c r="ER115" s="587" t="n"/>
      <c r="ES115" s="587" t="n"/>
      <c r="ET115" s="587" t="n"/>
      <c r="EU115" s="587" t="n"/>
      <c r="EV115" s="587" t="n"/>
      <c r="EW115" s="587" t="n"/>
      <c r="EX115" s="587" t="n"/>
      <c r="EY115" s="587" t="n"/>
      <c r="EZ115" s="587" t="n"/>
      <c r="FA115" s="587" t="n"/>
      <c r="FB115" s="587" t="n"/>
      <c r="FC115" s="587" t="n"/>
      <c r="FD115" s="587" t="n"/>
      <c r="FE115" s="587" t="n"/>
      <c r="FF115" s="587" t="n"/>
      <c r="FG115" s="587" t="n"/>
      <c r="FH115" s="587" t="n"/>
      <c r="FI115" s="587" t="n"/>
      <c r="FJ115" s="587" t="n"/>
      <c r="FK115" s="587" t="n"/>
      <c r="FL115" s="587" t="n"/>
      <c r="FM115" s="587" t="n"/>
      <c r="FN115" s="587" t="n"/>
      <c r="FO115" s="587" t="n"/>
      <c r="FP115" s="587" t="n"/>
      <c r="FQ115" s="587" t="n"/>
      <c r="FR115" s="587" t="n"/>
      <c r="FS115" s="587" t="n"/>
      <c r="FT115" s="587" t="n"/>
      <c r="FU115" s="587" t="n"/>
      <c r="FV115" s="587" t="n"/>
      <c r="FW115" s="587" t="n"/>
      <c r="FX115" s="587" t="n"/>
      <c r="FY115" s="587" t="n"/>
      <c r="FZ115" s="587" t="n"/>
      <c r="GA115" s="587" t="n"/>
    </row>
    <row r="116" customFormat="1" s="568">
      <c r="A116" s="86" t="n"/>
      <c r="B116" s="85" t="n"/>
      <c r="C116" s="84">
        <f>E116*D$5</f>
        <v/>
      </c>
      <c r="D116" s="68" t="n"/>
      <c r="E116" s="84">
        <f>SUM(G116:HT116)</f>
        <v/>
      </c>
      <c r="F116" s="568">
        <f>IFERROR(IF($E116&gt;0.0000005,$E116/SUMIF($E$11:$E$140,"&gt;0.0000005"),""),"")</f>
        <v/>
      </c>
      <c r="Q116" s="574" t="n"/>
      <c r="Z116" s="574" t="n"/>
      <c r="AA116" s="574" t="n"/>
      <c r="AB116" s="574" t="n"/>
      <c r="AC116" s="574" t="n"/>
      <c r="AD116" s="574" t="n"/>
      <c r="AE116" s="574" t="n"/>
      <c r="AF116" s="574" t="n"/>
      <c r="AH116" s="574" t="n"/>
      <c r="AJ116" s="574" t="n"/>
      <c r="CM116" s="587" t="n"/>
      <c r="CN116" s="587" t="n"/>
      <c r="CO116" s="587" t="n"/>
      <c r="CP116" s="587" t="n"/>
      <c r="CQ116" s="587" t="n"/>
      <c r="CR116" s="587" t="n"/>
      <c r="CS116" s="587" t="n"/>
      <c r="CT116" s="587" t="n"/>
      <c r="CU116" s="587" t="n"/>
      <c r="CV116" s="587" t="n"/>
      <c r="CW116" s="587" t="n"/>
      <c r="CX116" s="587" t="n"/>
      <c r="CY116" s="587" t="n"/>
      <c r="CZ116" s="587" t="n"/>
      <c r="DA116" s="587" t="n"/>
      <c r="DB116" s="587" t="n"/>
      <c r="DC116" s="587" t="n"/>
      <c r="DD116" s="587" t="n"/>
      <c r="DE116" s="587" t="n"/>
      <c r="DF116" s="587" t="n"/>
      <c r="DG116" s="587" t="n"/>
      <c r="DH116" s="587" t="n"/>
      <c r="DI116" s="587" t="n"/>
      <c r="DJ116" s="587" t="n"/>
      <c r="DK116" s="587" t="n"/>
      <c r="DL116" s="587" t="n"/>
      <c r="DM116" s="587" t="n"/>
      <c r="DN116" s="587" t="n"/>
      <c r="DO116" s="587" t="n"/>
      <c r="DP116" s="587" t="n"/>
      <c r="DQ116" s="587" t="n"/>
      <c r="DR116" s="587" t="n"/>
      <c r="DS116" s="587" t="n"/>
      <c r="DT116" s="587" t="n"/>
      <c r="DU116" s="587" t="n"/>
      <c r="DV116" s="587" t="n"/>
      <c r="DW116" s="587" t="n"/>
      <c r="DX116" s="587" t="n"/>
      <c r="DY116" s="587" t="n"/>
      <c r="DZ116" s="587" t="n"/>
      <c r="EA116" s="587" t="n"/>
      <c r="EB116" s="587" t="n"/>
      <c r="EC116" s="587" t="n"/>
      <c r="ED116" s="587" t="n"/>
      <c r="EE116" s="587" t="n"/>
      <c r="EF116" s="587" t="n"/>
      <c r="EG116" s="587" t="n"/>
      <c r="EH116" s="587" t="n"/>
      <c r="EI116" s="587" t="n"/>
      <c r="EJ116" s="587" t="n"/>
      <c r="EK116" s="587" t="n"/>
      <c r="EL116" s="587" t="n"/>
      <c r="EM116" s="587" t="n"/>
      <c r="EN116" s="587" t="n"/>
      <c r="EO116" s="587" t="n"/>
      <c r="EP116" s="587" t="n"/>
      <c r="EQ116" s="587" t="n"/>
      <c r="ER116" s="587" t="n"/>
      <c r="ES116" s="587" t="n"/>
      <c r="ET116" s="587" t="n"/>
      <c r="EU116" s="587" t="n"/>
      <c r="EV116" s="587" t="n"/>
      <c r="EW116" s="587" t="n"/>
      <c r="EX116" s="587" t="n"/>
      <c r="EY116" s="587" t="n"/>
      <c r="EZ116" s="587" t="n"/>
      <c r="FA116" s="587" t="n"/>
      <c r="FB116" s="587" t="n"/>
      <c r="FC116" s="587" t="n"/>
      <c r="FD116" s="587" t="n"/>
      <c r="FE116" s="587" t="n"/>
      <c r="FF116" s="587" t="n"/>
      <c r="FG116" s="587" t="n"/>
      <c r="FH116" s="587" t="n"/>
      <c r="FI116" s="587" t="n"/>
      <c r="FJ116" s="587" t="n"/>
      <c r="FK116" s="587" t="n"/>
      <c r="FL116" s="587" t="n"/>
      <c r="FM116" s="587" t="n"/>
      <c r="FN116" s="587" t="n"/>
      <c r="FO116" s="587" t="n"/>
      <c r="FP116" s="587" t="n"/>
      <c r="FQ116" s="587" t="n"/>
      <c r="FR116" s="587" t="n"/>
      <c r="FS116" s="587" t="n"/>
      <c r="FT116" s="587" t="n"/>
      <c r="FU116" s="587" t="n"/>
      <c r="FV116" s="587" t="n"/>
      <c r="FW116" s="587" t="n"/>
      <c r="FX116" s="587" t="n"/>
      <c r="FY116" s="587" t="n"/>
      <c r="FZ116" s="587" t="n"/>
      <c r="GA116" s="587" t="n"/>
    </row>
    <row r="117" customFormat="1" s="568">
      <c r="A117" s="86" t="n"/>
      <c r="B117" s="85" t="n"/>
      <c r="C117" s="84">
        <f>E117*D$5</f>
        <v/>
      </c>
      <c r="D117" s="68" t="n"/>
      <c r="E117" s="84">
        <f>SUM(G117:HT117)</f>
        <v/>
      </c>
      <c r="F117" s="568">
        <f>IFERROR(IF($E117&gt;0.0000005,$E117/SUMIF($E$11:$E$140,"&gt;0.0000005"),""),"")</f>
        <v/>
      </c>
      <c r="Q117" s="574" t="n"/>
      <c r="Z117" s="574" t="n"/>
      <c r="AA117" s="574" t="n"/>
      <c r="AB117" s="574" t="n"/>
      <c r="AC117" s="574" t="n"/>
      <c r="AD117" s="574" t="n"/>
      <c r="AE117" s="574" t="n"/>
      <c r="AF117" s="574" t="n"/>
      <c r="AH117" s="574" t="n"/>
      <c r="AJ117" s="574" t="n"/>
      <c r="CM117" s="587" t="n"/>
      <c r="CN117" s="587" t="n"/>
      <c r="CO117" s="587" t="n"/>
      <c r="CP117" s="587" t="n"/>
      <c r="CQ117" s="587" t="n"/>
      <c r="CR117" s="587" t="n"/>
      <c r="CS117" s="587" t="n"/>
      <c r="CT117" s="587" t="n"/>
      <c r="CU117" s="587" t="n"/>
      <c r="CV117" s="587" t="n"/>
      <c r="CW117" s="587" t="n"/>
      <c r="CX117" s="587" t="n"/>
      <c r="CY117" s="587" t="n"/>
      <c r="CZ117" s="587" t="n"/>
      <c r="DA117" s="587" t="n"/>
      <c r="DB117" s="587" t="n"/>
      <c r="DC117" s="587" t="n"/>
      <c r="DD117" s="587" t="n"/>
      <c r="DE117" s="587" t="n"/>
      <c r="DF117" s="587" t="n"/>
      <c r="DG117" s="587" t="n"/>
      <c r="DH117" s="587" t="n"/>
      <c r="DI117" s="587" t="n"/>
      <c r="DJ117" s="587" t="n"/>
      <c r="DK117" s="587" t="n"/>
      <c r="DL117" s="587" t="n"/>
      <c r="DM117" s="587" t="n"/>
      <c r="DN117" s="587" t="n"/>
      <c r="DO117" s="587" t="n"/>
      <c r="DP117" s="587" t="n"/>
      <c r="DQ117" s="587" t="n"/>
      <c r="DR117" s="587" t="n"/>
      <c r="DS117" s="587" t="n"/>
      <c r="DT117" s="587" t="n"/>
      <c r="DU117" s="587" t="n"/>
      <c r="DV117" s="587" t="n"/>
      <c r="DW117" s="587" t="n"/>
      <c r="DX117" s="587" t="n"/>
      <c r="DY117" s="587" t="n"/>
      <c r="DZ117" s="587" t="n"/>
      <c r="EA117" s="587" t="n"/>
      <c r="EB117" s="587" t="n"/>
      <c r="EC117" s="587" t="n"/>
      <c r="ED117" s="587" t="n"/>
      <c r="EE117" s="587" t="n"/>
      <c r="EF117" s="587" t="n"/>
      <c r="EG117" s="587" t="n"/>
      <c r="EH117" s="587" t="n"/>
      <c r="EI117" s="587" t="n"/>
      <c r="EJ117" s="587" t="n"/>
      <c r="EK117" s="587" t="n"/>
      <c r="EL117" s="587" t="n"/>
      <c r="EM117" s="587" t="n"/>
      <c r="EN117" s="587" t="n"/>
      <c r="EO117" s="587" t="n"/>
      <c r="EP117" s="587" t="n"/>
      <c r="EQ117" s="587" t="n"/>
      <c r="ER117" s="587" t="n"/>
      <c r="ES117" s="587" t="n"/>
      <c r="ET117" s="587" t="n"/>
      <c r="EU117" s="587" t="n"/>
      <c r="EV117" s="587" t="n"/>
      <c r="EW117" s="587" t="n"/>
      <c r="EX117" s="587" t="n"/>
      <c r="EY117" s="587" t="n"/>
      <c r="EZ117" s="587" t="n"/>
      <c r="FA117" s="587" t="n"/>
      <c r="FB117" s="587" t="n"/>
      <c r="FC117" s="587" t="n"/>
      <c r="FD117" s="587" t="n"/>
      <c r="FE117" s="587" t="n"/>
      <c r="FF117" s="587" t="n"/>
      <c r="FG117" s="587" t="n"/>
      <c r="FH117" s="587" t="n"/>
      <c r="FI117" s="587" t="n"/>
      <c r="FJ117" s="587" t="n"/>
      <c r="FK117" s="587" t="n"/>
      <c r="FL117" s="587" t="n"/>
      <c r="FM117" s="587" t="n"/>
      <c r="FN117" s="587" t="n"/>
      <c r="FO117" s="587" t="n"/>
      <c r="FP117" s="587" t="n"/>
      <c r="FQ117" s="587" t="n"/>
      <c r="FR117" s="587" t="n"/>
      <c r="FS117" s="587" t="n"/>
      <c r="FT117" s="587" t="n"/>
      <c r="FU117" s="587" t="n"/>
      <c r="FV117" s="587" t="n"/>
      <c r="FW117" s="587" t="n"/>
      <c r="FX117" s="587" t="n"/>
      <c r="FY117" s="587" t="n"/>
      <c r="FZ117" s="587" t="n"/>
      <c r="GA117" s="587" t="n"/>
    </row>
    <row r="118" customFormat="1" s="568">
      <c r="A118" s="86" t="n"/>
      <c r="B118" s="85" t="n"/>
      <c r="C118" s="84">
        <f>E118*D$5</f>
        <v/>
      </c>
      <c r="D118" s="68" t="n"/>
      <c r="E118" s="84">
        <f>SUM(G118:HT118)</f>
        <v/>
      </c>
      <c r="F118" s="568">
        <f>IFERROR(IF($E118&gt;0.0000005,$E118/SUMIF($E$11:$E$140,"&gt;0.0000005"),""),"")</f>
        <v/>
      </c>
      <c r="Q118" s="574" t="n"/>
      <c r="Z118" s="574" t="n"/>
      <c r="AA118" s="574" t="n"/>
      <c r="AB118" s="574" t="n"/>
      <c r="AC118" s="574" t="n"/>
      <c r="AD118" s="574" t="n"/>
      <c r="AE118" s="574" t="n"/>
      <c r="AF118" s="574" t="n"/>
      <c r="AH118" s="574" t="n"/>
      <c r="AJ118" s="574" t="n"/>
      <c r="CM118" s="587" t="n"/>
      <c r="CN118" s="587" t="n"/>
      <c r="CO118" s="587" t="n"/>
      <c r="CP118" s="587" t="n"/>
      <c r="CQ118" s="587" t="n"/>
      <c r="CR118" s="587" t="n"/>
      <c r="CS118" s="587" t="n"/>
      <c r="CT118" s="587" t="n"/>
      <c r="CU118" s="587" t="n"/>
      <c r="CV118" s="587" t="n"/>
      <c r="CW118" s="587" t="n"/>
      <c r="CX118" s="587" t="n"/>
      <c r="CY118" s="587" t="n"/>
      <c r="CZ118" s="587" t="n"/>
      <c r="DA118" s="587" t="n"/>
      <c r="DB118" s="587" t="n"/>
      <c r="DC118" s="587" t="n"/>
      <c r="DD118" s="587" t="n"/>
      <c r="DE118" s="587" t="n"/>
      <c r="DF118" s="587" t="n"/>
      <c r="DG118" s="587" t="n"/>
      <c r="DH118" s="587" t="n"/>
      <c r="DI118" s="587" t="n"/>
      <c r="DJ118" s="587" t="n"/>
      <c r="DK118" s="587" t="n"/>
      <c r="DL118" s="587" t="n"/>
      <c r="DM118" s="587" t="n"/>
      <c r="DN118" s="587" t="n"/>
      <c r="DO118" s="587" t="n"/>
      <c r="DP118" s="587" t="n"/>
      <c r="DQ118" s="587" t="n"/>
      <c r="DR118" s="587" t="n"/>
      <c r="DS118" s="587" t="n"/>
      <c r="DT118" s="587" t="n"/>
      <c r="DU118" s="587" t="n"/>
      <c r="DV118" s="587" t="n"/>
      <c r="DW118" s="587" t="n"/>
      <c r="DX118" s="587" t="n"/>
      <c r="DY118" s="587" t="n"/>
      <c r="DZ118" s="587" t="n"/>
      <c r="EA118" s="587" t="n"/>
      <c r="EB118" s="587" t="n"/>
      <c r="EC118" s="587" t="n"/>
      <c r="ED118" s="587" t="n"/>
      <c r="EE118" s="587" t="n"/>
      <c r="EF118" s="587" t="n"/>
      <c r="EG118" s="587" t="n"/>
      <c r="EH118" s="587" t="n"/>
      <c r="EI118" s="587" t="n"/>
      <c r="EJ118" s="587" t="n"/>
      <c r="EK118" s="587" t="n"/>
      <c r="EL118" s="587" t="n"/>
      <c r="EM118" s="587" t="n"/>
      <c r="EN118" s="587" t="n"/>
      <c r="EO118" s="587" t="n"/>
      <c r="EP118" s="587" t="n"/>
      <c r="EQ118" s="587" t="n"/>
      <c r="ER118" s="587" t="n"/>
      <c r="ES118" s="587" t="n"/>
      <c r="ET118" s="587" t="n"/>
      <c r="EU118" s="587" t="n"/>
      <c r="EV118" s="587" t="n"/>
      <c r="EW118" s="587" t="n"/>
      <c r="EX118" s="587" t="n"/>
      <c r="EY118" s="587" t="n"/>
      <c r="EZ118" s="587" t="n"/>
      <c r="FA118" s="587" t="n"/>
      <c r="FB118" s="587" t="n"/>
      <c r="FC118" s="587" t="n"/>
      <c r="FD118" s="587" t="n"/>
      <c r="FE118" s="587" t="n"/>
      <c r="FF118" s="587" t="n"/>
      <c r="FG118" s="587" t="n"/>
      <c r="FH118" s="587" t="n"/>
      <c r="FI118" s="587" t="n"/>
      <c r="FJ118" s="587" t="n"/>
      <c r="FK118" s="587" t="n"/>
      <c r="FL118" s="587" t="n"/>
      <c r="FM118" s="587" t="n"/>
      <c r="FN118" s="587" t="n"/>
      <c r="FO118" s="587" t="n"/>
      <c r="FP118" s="587" t="n"/>
      <c r="FQ118" s="587" t="n"/>
      <c r="FR118" s="587" t="n"/>
      <c r="FS118" s="587" t="n"/>
      <c r="FT118" s="587" t="n"/>
      <c r="FU118" s="587" t="n"/>
      <c r="FV118" s="587" t="n"/>
      <c r="FW118" s="587" t="n"/>
      <c r="FX118" s="587" t="n"/>
      <c r="FY118" s="587" t="n"/>
      <c r="FZ118" s="587" t="n"/>
      <c r="GA118" s="587" t="n"/>
    </row>
    <row r="119" customFormat="1" s="568">
      <c r="A119" s="86" t="n"/>
      <c r="B119" s="85" t="n"/>
      <c r="C119" s="84">
        <f>E119*D$5</f>
        <v/>
      </c>
      <c r="D119" s="68" t="n"/>
      <c r="E119" s="84">
        <f>SUM(G119:HT119)</f>
        <v/>
      </c>
      <c r="F119" s="568">
        <f>IFERROR(IF($E119&gt;0.0000005,$E119/SUMIF($E$11:$E$140,"&gt;0.0000005"),""),"")</f>
        <v/>
      </c>
      <c r="Q119" s="574" t="n"/>
      <c r="Z119" s="574" t="n"/>
      <c r="AA119" s="574" t="n"/>
      <c r="AB119" s="574" t="n"/>
      <c r="AC119" s="574" t="n"/>
      <c r="AD119" s="574" t="n"/>
      <c r="AE119" s="574" t="n"/>
      <c r="AF119" s="574" t="n"/>
      <c r="AH119" s="574" t="n"/>
      <c r="AJ119" s="574" t="n"/>
      <c r="CM119" s="587" t="n"/>
      <c r="CN119" s="587" t="n"/>
      <c r="CO119" s="587" t="n"/>
      <c r="CP119" s="587" t="n"/>
      <c r="CQ119" s="587" t="n"/>
      <c r="CR119" s="587" t="n"/>
      <c r="CS119" s="587" t="n"/>
      <c r="CT119" s="587" t="n"/>
      <c r="CU119" s="587" t="n"/>
      <c r="CV119" s="587" t="n"/>
      <c r="CW119" s="587" t="n"/>
      <c r="CX119" s="587" t="n"/>
      <c r="CY119" s="587" t="n"/>
      <c r="CZ119" s="587" t="n"/>
      <c r="DA119" s="587" t="n"/>
      <c r="DB119" s="587" t="n"/>
      <c r="DC119" s="587" t="n"/>
      <c r="DD119" s="587" t="n"/>
      <c r="DE119" s="587" t="n"/>
      <c r="DF119" s="587" t="n"/>
      <c r="DG119" s="587" t="n"/>
      <c r="DH119" s="587" t="n"/>
      <c r="DI119" s="587" t="n"/>
      <c r="DJ119" s="587" t="n"/>
      <c r="DK119" s="587" t="n"/>
      <c r="DL119" s="587" t="n"/>
      <c r="DM119" s="587" t="n"/>
      <c r="DN119" s="587" t="n"/>
      <c r="DO119" s="587" t="n"/>
      <c r="DP119" s="587" t="n"/>
      <c r="DQ119" s="587" t="n"/>
      <c r="DR119" s="587" t="n"/>
      <c r="DS119" s="587" t="n"/>
      <c r="DT119" s="587" t="n"/>
      <c r="DU119" s="587" t="n"/>
      <c r="DV119" s="587" t="n"/>
      <c r="DW119" s="587" t="n"/>
      <c r="DX119" s="587" t="n"/>
      <c r="DY119" s="587" t="n"/>
      <c r="DZ119" s="587" t="n"/>
      <c r="EA119" s="587" t="n"/>
      <c r="EB119" s="587" t="n"/>
      <c r="EC119" s="587" t="n"/>
      <c r="ED119" s="587" t="n"/>
      <c r="EE119" s="587" t="n"/>
      <c r="EF119" s="587" t="n"/>
      <c r="EG119" s="587" t="n"/>
      <c r="EH119" s="587" t="n"/>
      <c r="EI119" s="587" t="n"/>
      <c r="EJ119" s="587" t="n"/>
      <c r="EK119" s="587" t="n"/>
      <c r="EL119" s="587" t="n"/>
      <c r="EM119" s="587" t="n"/>
      <c r="EN119" s="587" t="n"/>
      <c r="EO119" s="587" t="n"/>
      <c r="EP119" s="587" t="n"/>
      <c r="EQ119" s="587" t="n"/>
      <c r="ER119" s="587" t="n"/>
      <c r="ES119" s="587" t="n"/>
      <c r="ET119" s="587" t="n"/>
      <c r="EU119" s="587" t="n"/>
      <c r="EV119" s="587" t="n"/>
      <c r="EW119" s="587" t="n"/>
      <c r="EX119" s="587" t="n"/>
      <c r="EY119" s="587" t="n"/>
      <c r="EZ119" s="587" t="n"/>
      <c r="FA119" s="587" t="n"/>
      <c r="FB119" s="587" t="n"/>
      <c r="FC119" s="587" t="n"/>
      <c r="FD119" s="587" t="n"/>
      <c r="FE119" s="587" t="n"/>
      <c r="FF119" s="587" t="n"/>
      <c r="FG119" s="587" t="n"/>
      <c r="FH119" s="587" t="n"/>
      <c r="FI119" s="587" t="n"/>
      <c r="FJ119" s="587" t="n"/>
      <c r="FK119" s="587" t="n"/>
      <c r="FL119" s="587" t="n"/>
      <c r="FM119" s="587" t="n"/>
      <c r="FN119" s="587" t="n"/>
      <c r="FO119" s="587" t="n"/>
      <c r="FP119" s="587" t="n"/>
      <c r="FQ119" s="587" t="n"/>
      <c r="FR119" s="587" t="n"/>
      <c r="FS119" s="587" t="n"/>
      <c r="FT119" s="587" t="n"/>
      <c r="FU119" s="587" t="n"/>
      <c r="FV119" s="587" t="n"/>
      <c r="FW119" s="587" t="n"/>
      <c r="FX119" s="587" t="n"/>
      <c r="FY119" s="587" t="n"/>
      <c r="FZ119" s="587" t="n"/>
      <c r="GA119" s="587" t="n"/>
    </row>
    <row r="120" customFormat="1" s="568">
      <c r="A120" s="86" t="n"/>
      <c r="B120" s="85" t="n"/>
      <c r="C120" s="84">
        <f>E120*D$5</f>
        <v/>
      </c>
      <c r="D120" s="68" t="n"/>
      <c r="E120" s="84">
        <f>SUM(G120:HT120)</f>
        <v/>
      </c>
      <c r="F120" s="568">
        <f>IFERROR(IF($E120&gt;0.0000005,$E120/SUMIF($E$11:$E$140,"&gt;0.0000005"),""),"")</f>
        <v/>
      </c>
      <c r="Q120" s="574" t="n"/>
      <c r="Z120" s="574" t="n"/>
      <c r="AA120" s="574" t="n"/>
      <c r="AB120" s="574" t="n"/>
      <c r="AC120" s="574" t="n"/>
      <c r="AD120" s="574" t="n"/>
      <c r="AE120" s="574" t="n"/>
      <c r="AF120" s="574" t="n"/>
      <c r="AH120" s="574" t="n"/>
      <c r="AJ120" s="574" t="n"/>
      <c r="CM120" s="587" t="n"/>
      <c r="CN120" s="587" t="n"/>
      <c r="CO120" s="587" t="n"/>
      <c r="CP120" s="587" t="n"/>
      <c r="CQ120" s="587" t="n"/>
      <c r="CR120" s="587" t="n"/>
      <c r="CS120" s="587" t="n"/>
      <c r="CT120" s="587" t="n"/>
      <c r="CU120" s="587" t="n"/>
      <c r="CV120" s="587" t="n"/>
      <c r="CW120" s="587" t="n"/>
      <c r="CX120" s="587" t="n"/>
      <c r="CY120" s="587" t="n"/>
      <c r="CZ120" s="587" t="n"/>
      <c r="DA120" s="587" t="n"/>
      <c r="DB120" s="587" t="n"/>
      <c r="DC120" s="587" t="n"/>
      <c r="DD120" s="587" t="n"/>
      <c r="DE120" s="587" t="n"/>
      <c r="DF120" s="587" t="n"/>
      <c r="DG120" s="587" t="n"/>
      <c r="DH120" s="587" t="n"/>
      <c r="DI120" s="587" t="n"/>
      <c r="DJ120" s="587" t="n"/>
      <c r="DK120" s="587" t="n"/>
      <c r="DL120" s="587" t="n"/>
      <c r="DM120" s="587" t="n"/>
      <c r="DN120" s="587" t="n"/>
      <c r="DO120" s="587" t="n"/>
      <c r="DP120" s="587" t="n"/>
      <c r="DQ120" s="587" t="n"/>
      <c r="DR120" s="587" t="n"/>
      <c r="DS120" s="587" t="n"/>
      <c r="DT120" s="587" t="n"/>
      <c r="DU120" s="587" t="n"/>
      <c r="DV120" s="587" t="n"/>
      <c r="DW120" s="587" t="n"/>
      <c r="DX120" s="587" t="n"/>
      <c r="DY120" s="587" t="n"/>
      <c r="DZ120" s="587" t="n"/>
      <c r="EA120" s="587" t="n"/>
      <c r="EB120" s="587" t="n"/>
      <c r="EC120" s="587" t="n"/>
      <c r="ED120" s="587" t="n"/>
      <c r="EE120" s="587" t="n"/>
      <c r="EF120" s="587" t="n"/>
      <c r="EG120" s="587" t="n"/>
      <c r="EH120" s="587" t="n"/>
      <c r="EI120" s="587" t="n"/>
      <c r="EJ120" s="587" t="n"/>
      <c r="EK120" s="587" t="n"/>
      <c r="EL120" s="587" t="n"/>
      <c r="EM120" s="587" t="n"/>
      <c r="EN120" s="587" t="n"/>
      <c r="EO120" s="587" t="n"/>
      <c r="EP120" s="587" t="n"/>
      <c r="EQ120" s="587" t="n"/>
      <c r="ER120" s="587" t="n"/>
      <c r="ES120" s="587" t="n"/>
      <c r="ET120" s="587" t="n"/>
      <c r="EU120" s="587" t="n"/>
      <c r="EV120" s="587" t="n"/>
      <c r="EW120" s="587" t="n"/>
      <c r="EX120" s="587" t="n"/>
      <c r="EY120" s="587" t="n"/>
      <c r="EZ120" s="587" t="n"/>
      <c r="FA120" s="587" t="n"/>
      <c r="FB120" s="587" t="n"/>
      <c r="FC120" s="587" t="n"/>
      <c r="FD120" s="587" t="n"/>
      <c r="FE120" s="587" t="n"/>
      <c r="FF120" s="587" t="n"/>
      <c r="FG120" s="587" t="n"/>
      <c r="FH120" s="587" t="n"/>
      <c r="FI120" s="587" t="n"/>
      <c r="FJ120" s="587" t="n"/>
      <c r="FK120" s="587" t="n"/>
      <c r="FL120" s="587" t="n"/>
      <c r="FM120" s="587" t="n"/>
      <c r="FN120" s="587" t="n"/>
      <c r="FO120" s="587" t="n"/>
      <c r="FP120" s="587" t="n"/>
      <c r="FQ120" s="587" t="n"/>
      <c r="FR120" s="587" t="n"/>
      <c r="FS120" s="587" t="n"/>
      <c r="FT120" s="587" t="n"/>
      <c r="FU120" s="587" t="n"/>
      <c r="FV120" s="587" t="n"/>
      <c r="FW120" s="587" t="n"/>
      <c r="FX120" s="587" t="n"/>
      <c r="FY120" s="587" t="n"/>
      <c r="FZ120" s="587" t="n"/>
      <c r="GA120" s="587" t="n"/>
    </row>
    <row r="121" customFormat="1" s="568">
      <c r="A121" s="86" t="n"/>
      <c r="B121" s="85" t="n"/>
      <c r="C121" s="84">
        <f>E121*D$5</f>
        <v/>
      </c>
      <c r="D121" s="68" t="n"/>
      <c r="E121" s="84">
        <f>SUM(G121:HT121)</f>
        <v/>
      </c>
      <c r="F121" s="568">
        <f>IFERROR(IF($E121&gt;0.0000005,$E121/SUMIF($E$11:$E$140,"&gt;0.0000005"),""),"")</f>
        <v/>
      </c>
      <c r="Q121" s="574" t="n"/>
      <c r="Z121" s="574" t="n"/>
      <c r="AA121" s="574" t="n"/>
      <c r="AB121" s="574" t="n"/>
      <c r="AC121" s="574" t="n"/>
      <c r="AD121" s="574" t="n"/>
      <c r="AE121" s="574" t="n"/>
      <c r="AF121" s="574" t="n"/>
      <c r="AH121" s="574" t="n"/>
      <c r="AJ121" s="574" t="n"/>
      <c r="CM121" s="587" t="n"/>
      <c r="CN121" s="587" t="n"/>
      <c r="CO121" s="587" t="n"/>
      <c r="CP121" s="587" t="n"/>
      <c r="CQ121" s="587" t="n"/>
      <c r="CR121" s="587" t="n"/>
      <c r="CS121" s="587" t="n"/>
      <c r="CT121" s="587" t="n"/>
      <c r="CU121" s="587" t="n"/>
      <c r="CV121" s="587" t="n"/>
      <c r="CW121" s="587" t="n"/>
      <c r="CX121" s="587" t="n"/>
      <c r="CY121" s="587" t="n"/>
      <c r="CZ121" s="587" t="n"/>
      <c r="DA121" s="587" t="n"/>
      <c r="DB121" s="587" t="n"/>
      <c r="DC121" s="587" t="n"/>
      <c r="DD121" s="587" t="n"/>
      <c r="DE121" s="587" t="n"/>
      <c r="DF121" s="587" t="n"/>
      <c r="DG121" s="587" t="n"/>
      <c r="DH121" s="587" t="n"/>
      <c r="DI121" s="587" t="n"/>
      <c r="DJ121" s="587" t="n"/>
      <c r="DK121" s="587" t="n"/>
      <c r="DL121" s="587" t="n"/>
      <c r="DM121" s="587" t="n"/>
      <c r="DN121" s="587" t="n"/>
      <c r="DO121" s="587" t="n"/>
      <c r="DP121" s="587" t="n"/>
      <c r="DQ121" s="587" t="n"/>
      <c r="DR121" s="587" t="n"/>
      <c r="DS121" s="587" t="n"/>
      <c r="DT121" s="587" t="n"/>
      <c r="DU121" s="587" t="n"/>
      <c r="DV121" s="587" t="n"/>
      <c r="DW121" s="587" t="n"/>
      <c r="DX121" s="587" t="n"/>
      <c r="DY121" s="587" t="n"/>
      <c r="DZ121" s="587" t="n"/>
      <c r="EA121" s="587" t="n"/>
      <c r="EB121" s="587" t="n"/>
      <c r="EC121" s="587" t="n"/>
      <c r="ED121" s="587" t="n"/>
      <c r="EE121" s="587" t="n"/>
      <c r="EF121" s="587" t="n"/>
      <c r="EG121" s="587" t="n"/>
      <c r="EH121" s="587" t="n"/>
      <c r="EI121" s="587" t="n"/>
      <c r="EJ121" s="587" t="n"/>
      <c r="EK121" s="587" t="n"/>
      <c r="EL121" s="587" t="n"/>
      <c r="EM121" s="587" t="n"/>
      <c r="EN121" s="587" t="n"/>
      <c r="EO121" s="587" t="n"/>
      <c r="EP121" s="587" t="n"/>
      <c r="EQ121" s="587" t="n"/>
      <c r="ER121" s="587" t="n"/>
      <c r="ES121" s="587" t="n"/>
      <c r="ET121" s="587" t="n"/>
      <c r="EU121" s="587" t="n"/>
      <c r="EV121" s="587" t="n"/>
      <c r="EW121" s="587" t="n"/>
      <c r="EX121" s="587" t="n"/>
      <c r="EY121" s="587" t="n"/>
      <c r="EZ121" s="587" t="n"/>
      <c r="FA121" s="587" t="n"/>
      <c r="FB121" s="587" t="n"/>
      <c r="FC121" s="587" t="n"/>
      <c r="FD121" s="587" t="n"/>
      <c r="FE121" s="587" t="n"/>
      <c r="FF121" s="587" t="n"/>
      <c r="FG121" s="587" t="n"/>
      <c r="FH121" s="587" t="n"/>
      <c r="FI121" s="587" t="n"/>
      <c r="FJ121" s="587" t="n"/>
      <c r="FK121" s="587" t="n"/>
      <c r="FL121" s="587" t="n"/>
      <c r="FM121" s="587" t="n"/>
      <c r="FN121" s="587" t="n"/>
      <c r="FO121" s="587" t="n"/>
      <c r="FP121" s="587" t="n"/>
      <c r="FQ121" s="587" t="n"/>
      <c r="FR121" s="587" t="n"/>
      <c r="FS121" s="587" t="n"/>
      <c r="FT121" s="587" t="n"/>
      <c r="FU121" s="587" t="n"/>
      <c r="FV121" s="587" t="n"/>
      <c r="FW121" s="587" t="n"/>
      <c r="FX121" s="587" t="n"/>
      <c r="FY121" s="587" t="n"/>
      <c r="FZ121" s="587" t="n"/>
      <c r="GA121" s="587" t="n"/>
    </row>
    <row r="122" customFormat="1" s="568">
      <c r="A122" s="86" t="n"/>
      <c r="B122" s="85" t="n"/>
      <c r="C122" s="84">
        <f>E122*D$5</f>
        <v/>
      </c>
      <c r="D122" s="68" t="n"/>
      <c r="E122" s="84">
        <f>SUM(G122:HT122)</f>
        <v/>
      </c>
      <c r="F122" s="568">
        <f>IFERROR(IF($E122&gt;0.0000005,$E122/SUMIF($E$11:$E$140,"&gt;0.0000005"),""),"")</f>
        <v/>
      </c>
      <c r="Q122" s="574" t="n"/>
      <c r="Z122" s="574" t="n"/>
      <c r="AA122" s="574" t="n"/>
      <c r="AB122" s="574" t="n"/>
      <c r="AC122" s="574" t="n"/>
      <c r="AD122" s="574" t="n"/>
      <c r="AE122" s="574" t="n"/>
      <c r="AF122" s="574" t="n"/>
      <c r="AH122" s="574" t="n"/>
      <c r="AJ122" s="574" t="n"/>
      <c r="CM122" s="587" t="n"/>
      <c r="CN122" s="587" t="n"/>
      <c r="CO122" s="587" t="n"/>
      <c r="CP122" s="587" t="n"/>
      <c r="CQ122" s="587" t="n"/>
      <c r="CR122" s="587" t="n"/>
      <c r="CS122" s="587" t="n"/>
      <c r="CT122" s="587" t="n"/>
      <c r="CU122" s="587" t="n"/>
      <c r="CV122" s="587" t="n"/>
      <c r="CW122" s="587" t="n"/>
      <c r="CX122" s="587" t="n"/>
      <c r="CY122" s="587" t="n"/>
      <c r="CZ122" s="587" t="n"/>
      <c r="DA122" s="587" t="n"/>
      <c r="DB122" s="587" t="n"/>
      <c r="DC122" s="587" t="n"/>
      <c r="DD122" s="587" t="n"/>
      <c r="DE122" s="587" t="n"/>
      <c r="DF122" s="587" t="n"/>
      <c r="DG122" s="587" t="n"/>
      <c r="DH122" s="587" t="n"/>
      <c r="DI122" s="587" t="n"/>
      <c r="DJ122" s="587" t="n"/>
      <c r="DK122" s="587" t="n"/>
      <c r="DL122" s="587" t="n"/>
      <c r="DM122" s="587" t="n"/>
      <c r="DN122" s="587" t="n"/>
      <c r="DO122" s="587" t="n"/>
      <c r="DP122" s="587" t="n"/>
      <c r="DQ122" s="587" t="n"/>
      <c r="DR122" s="587" t="n"/>
      <c r="DS122" s="587" t="n"/>
      <c r="DT122" s="587" t="n"/>
      <c r="DU122" s="587" t="n"/>
      <c r="DV122" s="587" t="n"/>
      <c r="DW122" s="587" t="n"/>
      <c r="DX122" s="587" t="n"/>
      <c r="DY122" s="587" t="n"/>
      <c r="DZ122" s="587" t="n"/>
      <c r="EA122" s="587" t="n"/>
      <c r="EB122" s="587" t="n"/>
      <c r="EC122" s="587" t="n"/>
      <c r="ED122" s="587" t="n"/>
      <c r="EE122" s="587" t="n"/>
      <c r="EF122" s="587" t="n"/>
      <c r="EG122" s="587" t="n"/>
      <c r="EH122" s="587" t="n"/>
      <c r="EI122" s="587" t="n"/>
      <c r="EJ122" s="587" t="n"/>
      <c r="EK122" s="587" t="n"/>
      <c r="EL122" s="587" t="n"/>
      <c r="EM122" s="587" t="n"/>
      <c r="EN122" s="587" t="n"/>
      <c r="EO122" s="587" t="n"/>
      <c r="EP122" s="587" t="n"/>
      <c r="EQ122" s="587" t="n"/>
      <c r="ER122" s="587" t="n"/>
      <c r="ES122" s="587" t="n"/>
      <c r="ET122" s="587" t="n"/>
      <c r="EU122" s="587" t="n"/>
      <c r="EV122" s="587" t="n"/>
      <c r="EW122" s="587" t="n"/>
      <c r="EX122" s="587" t="n"/>
      <c r="EY122" s="587" t="n"/>
      <c r="EZ122" s="587" t="n"/>
      <c r="FA122" s="587" t="n"/>
      <c r="FB122" s="587" t="n"/>
      <c r="FC122" s="587" t="n"/>
      <c r="FD122" s="587" t="n"/>
      <c r="FE122" s="587" t="n"/>
      <c r="FF122" s="587" t="n"/>
      <c r="FG122" s="587" t="n"/>
      <c r="FH122" s="587" t="n"/>
      <c r="FI122" s="587" t="n"/>
      <c r="FJ122" s="587" t="n"/>
      <c r="FK122" s="587" t="n"/>
      <c r="FL122" s="587" t="n"/>
      <c r="FM122" s="587" t="n"/>
      <c r="FN122" s="587" t="n"/>
      <c r="FO122" s="587" t="n"/>
      <c r="FP122" s="587" t="n"/>
      <c r="FQ122" s="587" t="n"/>
      <c r="FR122" s="587" t="n"/>
      <c r="FS122" s="587" t="n"/>
      <c r="FT122" s="587" t="n"/>
      <c r="FU122" s="587" t="n"/>
      <c r="FV122" s="587" t="n"/>
      <c r="FW122" s="587" t="n"/>
      <c r="FX122" s="587" t="n"/>
      <c r="FY122" s="587" t="n"/>
      <c r="FZ122" s="587" t="n"/>
      <c r="GA122" s="587" t="n"/>
    </row>
    <row r="123" customFormat="1" s="568">
      <c r="A123" s="86" t="n"/>
      <c r="B123" s="85" t="n"/>
      <c r="C123" s="84">
        <f>E123*D$5</f>
        <v/>
      </c>
      <c r="D123" s="68" t="n"/>
      <c r="E123" s="84">
        <f>SUM(G123:HT123)</f>
        <v/>
      </c>
      <c r="F123" s="568">
        <f>IFERROR(IF($E123&gt;0.0000005,$E123/SUMIF($E$11:$E$140,"&gt;0.0000005"),""),"")</f>
        <v/>
      </c>
      <c r="Q123" s="574" t="n"/>
      <c r="Z123" s="574" t="n"/>
      <c r="AA123" s="574" t="n"/>
      <c r="AB123" s="574" t="n"/>
      <c r="AC123" s="574" t="n"/>
      <c r="AD123" s="574" t="n"/>
      <c r="AE123" s="574" t="n"/>
      <c r="AF123" s="574" t="n"/>
      <c r="AH123" s="574" t="n"/>
      <c r="AJ123" s="574" t="n"/>
      <c r="CM123" s="587" t="n"/>
      <c r="CN123" s="587" t="n"/>
      <c r="CO123" s="587" t="n"/>
      <c r="CP123" s="587" t="n"/>
      <c r="CQ123" s="587" t="n"/>
      <c r="CR123" s="587" t="n"/>
      <c r="CS123" s="587" t="n"/>
      <c r="CT123" s="587" t="n"/>
      <c r="CU123" s="587" t="n"/>
      <c r="CV123" s="587" t="n"/>
      <c r="CW123" s="587" t="n"/>
      <c r="CX123" s="587" t="n"/>
      <c r="CY123" s="587" t="n"/>
      <c r="CZ123" s="587" t="n"/>
      <c r="DA123" s="587" t="n"/>
      <c r="DB123" s="587" t="n"/>
      <c r="DC123" s="587" t="n"/>
      <c r="DD123" s="587" t="n"/>
      <c r="DE123" s="587" t="n"/>
      <c r="DF123" s="587" t="n"/>
      <c r="DG123" s="587" t="n"/>
      <c r="DH123" s="587" t="n"/>
      <c r="DI123" s="587" t="n"/>
      <c r="DJ123" s="587" t="n"/>
      <c r="DK123" s="587" t="n"/>
      <c r="DL123" s="587" t="n"/>
      <c r="DM123" s="587" t="n"/>
      <c r="DN123" s="587" t="n"/>
      <c r="DO123" s="587" t="n"/>
      <c r="DP123" s="587" t="n"/>
      <c r="DQ123" s="587" t="n"/>
      <c r="DR123" s="587" t="n"/>
      <c r="DS123" s="587" t="n"/>
      <c r="DT123" s="587" t="n"/>
      <c r="DU123" s="587" t="n"/>
      <c r="DV123" s="587" t="n"/>
      <c r="DW123" s="587" t="n"/>
      <c r="DX123" s="587" t="n"/>
      <c r="DY123" s="587" t="n"/>
      <c r="DZ123" s="587" t="n"/>
      <c r="EA123" s="587" t="n"/>
      <c r="EB123" s="587" t="n"/>
      <c r="EC123" s="587" t="n"/>
      <c r="ED123" s="587" t="n"/>
      <c r="EE123" s="587" t="n"/>
      <c r="EF123" s="587" t="n"/>
      <c r="EG123" s="587" t="n"/>
      <c r="EH123" s="587" t="n"/>
      <c r="EI123" s="587" t="n"/>
      <c r="EJ123" s="587" t="n"/>
      <c r="EK123" s="587" t="n"/>
      <c r="EL123" s="587" t="n"/>
      <c r="EM123" s="587" t="n"/>
      <c r="EN123" s="587" t="n"/>
      <c r="EO123" s="587" t="n"/>
      <c r="EP123" s="587" t="n"/>
      <c r="EQ123" s="587" t="n"/>
      <c r="ER123" s="587" t="n"/>
      <c r="ES123" s="587" t="n"/>
      <c r="ET123" s="587" t="n"/>
      <c r="EU123" s="587" t="n"/>
      <c r="EV123" s="587" t="n"/>
      <c r="EW123" s="587" t="n"/>
      <c r="EX123" s="587" t="n"/>
      <c r="EY123" s="587" t="n"/>
      <c r="EZ123" s="587" t="n"/>
      <c r="FA123" s="587" t="n"/>
      <c r="FB123" s="587" t="n"/>
      <c r="FC123" s="587" t="n"/>
      <c r="FD123" s="587" t="n"/>
      <c r="FE123" s="587" t="n"/>
      <c r="FF123" s="587" t="n"/>
      <c r="FG123" s="587" t="n"/>
      <c r="FH123" s="587" t="n"/>
      <c r="FI123" s="587" t="n"/>
      <c r="FJ123" s="587" t="n"/>
      <c r="FK123" s="587" t="n"/>
      <c r="FL123" s="587" t="n"/>
      <c r="FM123" s="587" t="n"/>
      <c r="FN123" s="587" t="n"/>
      <c r="FO123" s="587" t="n"/>
      <c r="FP123" s="587" t="n"/>
      <c r="FQ123" s="587" t="n"/>
      <c r="FR123" s="587" t="n"/>
      <c r="FS123" s="587" t="n"/>
      <c r="FT123" s="587" t="n"/>
      <c r="FU123" s="587" t="n"/>
      <c r="FV123" s="587" t="n"/>
      <c r="FW123" s="587" t="n"/>
      <c r="FX123" s="587" t="n"/>
      <c r="FY123" s="587" t="n"/>
      <c r="FZ123" s="587" t="n"/>
      <c r="GA123" s="587" t="n"/>
    </row>
    <row r="124" customFormat="1" s="568">
      <c r="A124" s="86" t="n"/>
      <c r="B124" s="85" t="n"/>
      <c r="C124" s="84">
        <f>E124*D$5</f>
        <v/>
      </c>
      <c r="D124" s="68" t="n"/>
      <c r="E124" s="84">
        <f>SUM(G124:HT124)</f>
        <v/>
      </c>
      <c r="F124" s="568">
        <f>IFERROR(IF($E124&gt;0.0000005,$E124/SUMIF($E$11:$E$140,"&gt;0.0000005"),""),"")</f>
        <v/>
      </c>
      <c r="Q124" s="574" t="n"/>
      <c r="Z124" s="574" t="n"/>
      <c r="AA124" s="574" t="n"/>
      <c r="AB124" s="574" t="n"/>
      <c r="AC124" s="574" t="n"/>
      <c r="AD124" s="574" t="n"/>
      <c r="AE124" s="574" t="n"/>
      <c r="AF124" s="574" t="n"/>
      <c r="AH124" s="574" t="n"/>
      <c r="AJ124" s="574" t="n"/>
      <c r="CM124" s="587" t="n"/>
      <c r="CN124" s="587" t="n"/>
      <c r="CO124" s="587" t="n"/>
      <c r="CP124" s="587" t="n"/>
      <c r="CQ124" s="587" t="n"/>
      <c r="CR124" s="587" t="n"/>
      <c r="CS124" s="587" t="n"/>
      <c r="CT124" s="587" t="n"/>
      <c r="CU124" s="587" t="n"/>
      <c r="CV124" s="587" t="n"/>
      <c r="CW124" s="587" t="n"/>
      <c r="CX124" s="587" t="n"/>
      <c r="CY124" s="587" t="n"/>
      <c r="CZ124" s="587" t="n"/>
      <c r="DA124" s="587" t="n"/>
      <c r="DB124" s="587" t="n"/>
      <c r="DC124" s="587" t="n"/>
      <c r="DD124" s="587" t="n"/>
      <c r="DE124" s="587" t="n"/>
      <c r="DF124" s="587" t="n"/>
      <c r="DG124" s="587" t="n"/>
      <c r="DH124" s="587" t="n"/>
      <c r="DI124" s="587" t="n"/>
      <c r="DJ124" s="587" t="n"/>
      <c r="DK124" s="587" t="n"/>
      <c r="DL124" s="587" t="n"/>
      <c r="DM124" s="587" t="n"/>
      <c r="DN124" s="587" t="n"/>
      <c r="DO124" s="587" t="n"/>
      <c r="DP124" s="587" t="n"/>
      <c r="DQ124" s="587" t="n"/>
      <c r="DR124" s="587" t="n"/>
      <c r="DS124" s="587" t="n"/>
      <c r="DT124" s="587" t="n"/>
      <c r="DU124" s="587" t="n"/>
      <c r="DV124" s="587" t="n"/>
      <c r="DW124" s="587" t="n"/>
      <c r="DX124" s="587" t="n"/>
      <c r="DY124" s="587" t="n"/>
      <c r="DZ124" s="587" t="n"/>
      <c r="EA124" s="587" t="n"/>
      <c r="EB124" s="587" t="n"/>
      <c r="EC124" s="587" t="n"/>
      <c r="ED124" s="587" t="n"/>
      <c r="EE124" s="587" t="n"/>
      <c r="EF124" s="587" t="n"/>
      <c r="EG124" s="587" t="n"/>
      <c r="EH124" s="587" t="n"/>
      <c r="EI124" s="587" t="n"/>
      <c r="EJ124" s="587" t="n"/>
      <c r="EK124" s="587" t="n"/>
      <c r="EL124" s="587" t="n"/>
      <c r="EM124" s="587" t="n"/>
      <c r="EN124" s="587" t="n"/>
      <c r="EO124" s="587" t="n"/>
      <c r="EP124" s="587" t="n"/>
      <c r="EQ124" s="587" t="n"/>
      <c r="ER124" s="587" t="n"/>
      <c r="ES124" s="587" t="n"/>
      <c r="ET124" s="587" t="n"/>
      <c r="EU124" s="587" t="n"/>
      <c r="EV124" s="587" t="n"/>
      <c r="EW124" s="587" t="n"/>
      <c r="EX124" s="587" t="n"/>
      <c r="EY124" s="587" t="n"/>
      <c r="EZ124" s="587" t="n"/>
      <c r="FA124" s="587" t="n"/>
      <c r="FB124" s="587" t="n"/>
      <c r="FC124" s="587" t="n"/>
      <c r="FD124" s="587" t="n"/>
      <c r="FE124" s="587" t="n"/>
      <c r="FF124" s="587" t="n"/>
      <c r="FG124" s="587" t="n"/>
      <c r="FH124" s="587" t="n"/>
      <c r="FI124" s="587" t="n"/>
      <c r="FJ124" s="587" t="n"/>
      <c r="FK124" s="587" t="n"/>
      <c r="FL124" s="587" t="n"/>
      <c r="FM124" s="587" t="n"/>
      <c r="FN124" s="587" t="n"/>
      <c r="FO124" s="587" t="n"/>
      <c r="FP124" s="587" t="n"/>
      <c r="FQ124" s="587" t="n"/>
      <c r="FR124" s="587" t="n"/>
      <c r="FS124" s="587" t="n"/>
      <c r="FT124" s="587" t="n"/>
      <c r="FU124" s="587" t="n"/>
      <c r="FV124" s="587" t="n"/>
      <c r="FW124" s="587" t="n"/>
      <c r="FX124" s="587" t="n"/>
      <c r="FY124" s="587" t="n"/>
      <c r="FZ124" s="587" t="n"/>
      <c r="GA124" s="587" t="n"/>
    </row>
    <row r="125" customFormat="1" s="568">
      <c r="A125" s="86" t="n"/>
      <c r="B125" s="85" t="n"/>
      <c r="C125" s="84">
        <f>E125*D$5</f>
        <v/>
      </c>
      <c r="D125" s="68" t="n"/>
      <c r="E125" s="84">
        <f>SUM(G125:HT125)</f>
        <v/>
      </c>
      <c r="F125" s="568">
        <f>IFERROR(IF($E125&gt;0.0000005,$E125/SUMIF($E$11:$E$140,"&gt;0.0000005"),""),"")</f>
        <v/>
      </c>
      <c r="Q125" s="574" t="n"/>
      <c r="Z125" s="574" t="n"/>
      <c r="AA125" s="574" t="n"/>
      <c r="AB125" s="574" t="n"/>
      <c r="AC125" s="574" t="n"/>
      <c r="AD125" s="574" t="n"/>
      <c r="AE125" s="574" t="n"/>
      <c r="AF125" s="574" t="n"/>
      <c r="AH125" s="574" t="n"/>
      <c r="AJ125" s="574" t="n"/>
      <c r="CM125" s="587" t="n"/>
      <c r="CN125" s="587" t="n"/>
      <c r="CO125" s="587" t="n"/>
      <c r="CP125" s="587" t="n"/>
      <c r="CQ125" s="587" t="n"/>
      <c r="CR125" s="587" t="n"/>
      <c r="CS125" s="587" t="n"/>
      <c r="CT125" s="587" t="n"/>
      <c r="CU125" s="587" t="n"/>
      <c r="CV125" s="587" t="n"/>
      <c r="CW125" s="587" t="n"/>
      <c r="CX125" s="587" t="n"/>
      <c r="CY125" s="587" t="n"/>
      <c r="CZ125" s="587" t="n"/>
      <c r="DA125" s="587" t="n"/>
      <c r="DB125" s="587" t="n"/>
      <c r="DC125" s="587" t="n"/>
      <c r="DD125" s="587" t="n"/>
      <c r="DE125" s="587" t="n"/>
      <c r="DF125" s="587" t="n"/>
      <c r="DG125" s="587" t="n"/>
      <c r="DH125" s="587" t="n"/>
      <c r="DI125" s="587" t="n"/>
      <c r="DJ125" s="587" t="n"/>
      <c r="DK125" s="587" t="n"/>
      <c r="DL125" s="587" t="n"/>
      <c r="DM125" s="587" t="n"/>
      <c r="DN125" s="587" t="n"/>
      <c r="DO125" s="587" t="n"/>
      <c r="DP125" s="587" t="n"/>
      <c r="DQ125" s="587" t="n"/>
      <c r="DR125" s="587" t="n"/>
      <c r="DS125" s="587" t="n"/>
      <c r="DT125" s="587" t="n"/>
      <c r="DU125" s="587" t="n"/>
      <c r="DV125" s="587" t="n"/>
      <c r="DW125" s="587" t="n"/>
      <c r="DX125" s="587" t="n"/>
      <c r="DY125" s="587" t="n"/>
      <c r="DZ125" s="587" t="n"/>
      <c r="EA125" s="587" t="n"/>
      <c r="EB125" s="587" t="n"/>
      <c r="EC125" s="587" t="n"/>
      <c r="ED125" s="587" t="n"/>
      <c r="EE125" s="587" t="n"/>
      <c r="EF125" s="587" t="n"/>
      <c r="EG125" s="587" t="n"/>
      <c r="EH125" s="587" t="n"/>
      <c r="EI125" s="587" t="n"/>
      <c r="EJ125" s="587" t="n"/>
      <c r="EK125" s="587" t="n"/>
      <c r="EL125" s="587" t="n"/>
      <c r="EM125" s="587" t="n"/>
      <c r="EN125" s="587" t="n"/>
      <c r="EO125" s="587" t="n"/>
      <c r="EP125" s="587" t="n"/>
      <c r="EQ125" s="587" t="n"/>
      <c r="ER125" s="587" t="n"/>
      <c r="ES125" s="587" t="n"/>
      <c r="ET125" s="587" t="n"/>
      <c r="EU125" s="587" t="n"/>
      <c r="EV125" s="587" t="n"/>
      <c r="EW125" s="587" t="n"/>
      <c r="EX125" s="587" t="n"/>
      <c r="EY125" s="587" t="n"/>
      <c r="EZ125" s="587" t="n"/>
      <c r="FA125" s="587" t="n"/>
      <c r="FB125" s="587" t="n"/>
      <c r="FC125" s="587" t="n"/>
      <c r="FD125" s="587" t="n"/>
      <c r="FE125" s="587" t="n"/>
      <c r="FF125" s="587" t="n"/>
      <c r="FG125" s="587" t="n"/>
      <c r="FH125" s="587" t="n"/>
      <c r="FI125" s="587" t="n"/>
      <c r="FJ125" s="587" t="n"/>
      <c r="FK125" s="587" t="n"/>
      <c r="FL125" s="587" t="n"/>
      <c r="FM125" s="587" t="n"/>
      <c r="FN125" s="587" t="n"/>
      <c r="FO125" s="587" t="n"/>
      <c r="FP125" s="587" t="n"/>
      <c r="FQ125" s="587" t="n"/>
      <c r="FR125" s="587" t="n"/>
      <c r="FS125" s="587" t="n"/>
      <c r="FT125" s="587" t="n"/>
      <c r="FU125" s="587" t="n"/>
      <c r="FV125" s="587" t="n"/>
      <c r="FW125" s="587" t="n"/>
      <c r="FX125" s="587" t="n"/>
      <c r="FY125" s="587" t="n"/>
      <c r="FZ125" s="587" t="n"/>
      <c r="GA125" s="587" t="n"/>
    </row>
    <row r="126" customFormat="1" s="568">
      <c r="A126" s="86" t="n"/>
      <c r="B126" s="85" t="n"/>
      <c r="C126" s="84">
        <f>E126*D$5</f>
        <v/>
      </c>
      <c r="D126" s="68" t="n"/>
      <c r="E126" s="84">
        <f>SUM(G126:HT126)</f>
        <v/>
      </c>
      <c r="F126" s="568">
        <f>IFERROR(IF($E126&gt;0.0000005,$E126/SUMIF($E$11:$E$140,"&gt;0.0000005"),""),"")</f>
        <v/>
      </c>
      <c r="Q126" s="574" t="n"/>
      <c r="Z126" s="574" t="n"/>
      <c r="AA126" s="574" t="n"/>
      <c r="AB126" s="574" t="n"/>
      <c r="AC126" s="574" t="n"/>
      <c r="AD126" s="574" t="n"/>
      <c r="AE126" s="574" t="n"/>
      <c r="AF126" s="574" t="n"/>
      <c r="AH126" s="574" t="n"/>
      <c r="AJ126" s="574" t="n"/>
      <c r="CM126" s="587" t="n"/>
      <c r="CN126" s="587" t="n"/>
      <c r="CO126" s="587" t="n"/>
      <c r="CP126" s="587" t="n"/>
      <c r="CQ126" s="587" t="n"/>
      <c r="CR126" s="587" t="n"/>
      <c r="CS126" s="587" t="n"/>
      <c r="CT126" s="587" t="n"/>
      <c r="CU126" s="587" t="n"/>
      <c r="CV126" s="587" t="n"/>
      <c r="CW126" s="587" t="n"/>
      <c r="CX126" s="587" t="n"/>
      <c r="CY126" s="587" t="n"/>
      <c r="CZ126" s="587" t="n"/>
      <c r="DA126" s="587" t="n"/>
      <c r="DB126" s="587" t="n"/>
      <c r="DC126" s="587" t="n"/>
      <c r="DD126" s="587" t="n"/>
      <c r="DE126" s="587" t="n"/>
      <c r="DF126" s="587" t="n"/>
      <c r="DG126" s="587" t="n"/>
      <c r="DH126" s="587" t="n"/>
      <c r="DI126" s="587" t="n"/>
      <c r="DJ126" s="587" t="n"/>
      <c r="DK126" s="587" t="n"/>
      <c r="DL126" s="587" t="n"/>
      <c r="DM126" s="587" t="n"/>
      <c r="DN126" s="587" t="n"/>
      <c r="DO126" s="587" t="n"/>
      <c r="DP126" s="587" t="n"/>
      <c r="DQ126" s="587" t="n"/>
      <c r="DR126" s="587" t="n"/>
      <c r="DS126" s="587" t="n"/>
      <c r="DT126" s="587" t="n"/>
      <c r="DU126" s="587" t="n"/>
      <c r="DV126" s="587" t="n"/>
      <c r="DW126" s="587" t="n"/>
      <c r="DX126" s="587" t="n"/>
      <c r="DY126" s="587" t="n"/>
      <c r="DZ126" s="587" t="n"/>
      <c r="EA126" s="587" t="n"/>
      <c r="EB126" s="587" t="n"/>
      <c r="EC126" s="587" t="n"/>
      <c r="ED126" s="587" t="n"/>
      <c r="EE126" s="587" t="n"/>
      <c r="EF126" s="587" t="n"/>
      <c r="EG126" s="587" t="n"/>
      <c r="EH126" s="587" t="n"/>
      <c r="EI126" s="587" t="n"/>
      <c r="EJ126" s="587" t="n"/>
      <c r="EK126" s="587" t="n"/>
      <c r="EL126" s="587" t="n"/>
      <c r="EM126" s="587" t="n"/>
      <c r="EN126" s="587" t="n"/>
      <c r="EO126" s="587" t="n"/>
      <c r="EP126" s="587" t="n"/>
      <c r="EQ126" s="587" t="n"/>
      <c r="ER126" s="587" t="n"/>
      <c r="ES126" s="587" t="n"/>
      <c r="ET126" s="587" t="n"/>
      <c r="EU126" s="587" t="n"/>
      <c r="EV126" s="587" t="n"/>
      <c r="EW126" s="587" t="n"/>
      <c r="EX126" s="587" t="n"/>
      <c r="EY126" s="587" t="n"/>
      <c r="EZ126" s="587" t="n"/>
      <c r="FA126" s="587" t="n"/>
      <c r="FB126" s="587" t="n"/>
      <c r="FC126" s="587" t="n"/>
      <c r="FD126" s="587" t="n"/>
      <c r="FE126" s="587" t="n"/>
      <c r="FF126" s="587" t="n"/>
      <c r="FG126" s="587" t="n"/>
      <c r="FH126" s="587" t="n"/>
      <c r="FI126" s="587" t="n"/>
      <c r="FJ126" s="587" t="n"/>
      <c r="FK126" s="587" t="n"/>
      <c r="FL126" s="587" t="n"/>
      <c r="FM126" s="587" t="n"/>
      <c r="FN126" s="587" t="n"/>
      <c r="FO126" s="587" t="n"/>
      <c r="FP126" s="587" t="n"/>
      <c r="FQ126" s="587" t="n"/>
      <c r="FR126" s="587" t="n"/>
      <c r="FS126" s="587" t="n"/>
      <c r="FT126" s="587" t="n"/>
      <c r="FU126" s="587" t="n"/>
      <c r="FV126" s="587" t="n"/>
      <c r="FW126" s="587" t="n"/>
      <c r="FX126" s="587" t="n"/>
      <c r="FY126" s="587" t="n"/>
      <c r="FZ126" s="587" t="n"/>
      <c r="GA126" s="587" t="n"/>
    </row>
    <row r="127" customFormat="1" s="568">
      <c r="A127" s="86" t="n"/>
      <c r="B127" s="85" t="n"/>
      <c r="C127" s="84">
        <f>E127*D$5</f>
        <v/>
      </c>
      <c r="D127" s="68" t="n"/>
      <c r="E127" s="84">
        <f>SUM(G127:HT127)</f>
        <v/>
      </c>
      <c r="F127" s="568">
        <f>IFERROR(IF($E127&gt;0.0000005,$E127/SUMIF($E$11:$E$140,"&gt;0.0000005"),""),"")</f>
        <v/>
      </c>
      <c r="Q127" s="574" t="n"/>
      <c r="Z127" s="574" t="n"/>
      <c r="AA127" s="574" t="n"/>
      <c r="AB127" s="574" t="n"/>
      <c r="AC127" s="574" t="n"/>
      <c r="AD127" s="574" t="n"/>
      <c r="AE127" s="574" t="n"/>
      <c r="AF127" s="574" t="n"/>
      <c r="AH127" s="574" t="n"/>
      <c r="AJ127" s="574" t="n"/>
      <c r="CM127" s="587" t="n"/>
      <c r="CN127" s="587" t="n"/>
      <c r="CO127" s="587" t="n"/>
      <c r="CP127" s="587" t="n"/>
      <c r="CQ127" s="587" t="n"/>
      <c r="CR127" s="587" t="n"/>
      <c r="CS127" s="587" t="n"/>
      <c r="CT127" s="587" t="n"/>
      <c r="CU127" s="587" t="n"/>
      <c r="CV127" s="587" t="n"/>
      <c r="CW127" s="587" t="n"/>
      <c r="CX127" s="587" t="n"/>
      <c r="CY127" s="587" t="n"/>
      <c r="CZ127" s="587" t="n"/>
      <c r="DA127" s="587" t="n"/>
      <c r="DB127" s="587" t="n"/>
      <c r="DC127" s="587" t="n"/>
      <c r="DD127" s="587" t="n"/>
      <c r="DE127" s="587" t="n"/>
      <c r="DF127" s="587" t="n"/>
      <c r="DG127" s="587" t="n"/>
      <c r="DH127" s="587" t="n"/>
      <c r="DI127" s="587" t="n"/>
      <c r="DJ127" s="587" t="n"/>
      <c r="DK127" s="587" t="n"/>
      <c r="DL127" s="587" t="n"/>
      <c r="DM127" s="587" t="n"/>
      <c r="DN127" s="587" t="n"/>
      <c r="DO127" s="587" t="n"/>
      <c r="DP127" s="587" t="n"/>
      <c r="DQ127" s="587" t="n"/>
      <c r="DR127" s="587" t="n"/>
      <c r="DS127" s="587" t="n"/>
      <c r="DT127" s="587" t="n"/>
      <c r="DU127" s="587" t="n"/>
      <c r="DV127" s="587" t="n"/>
      <c r="DW127" s="587" t="n"/>
      <c r="DX127" s="587" t="n"/>
      <c r="DY127" s="587" t="n"/>
      <c r="DZ127" s="587" t="n"/>
      <c r="EA127" s="587" t="n"/>
      <c r="EB127" s="587" t="n"/>
      <c r="EC127" s="587" t="n"/>
      <c r="ED127" s="587" t="n"/>
      <c r="EE127" s="587" t="n"/>
      <c r="EF127" s="587" t="n"/>
      <c r="EG127" s="587" t="n"/>
      <c r="EH127" s="587" t="n"/>
      <c r="EI127" s="587" t="n"/>
      <c r="EJ127" s="587" t="n"/>
      <c r="EK127" s="587" t="n"/>
      <c r="EL127" s="587" t="n"/>
      <c r="EM127" s="587" t="n"/>
      <c r="EN127" s="587" t="n"/>
      <c r="EO127" s="587" t="n"/>
      <c r="EP127" s="587" t="n"/>
      <c r="EQ127" s="587" t="n"/>
      <c r="ER127" s="587" t="n"/>
      <c r="ES127" s="587" t="n"/>
      <c r="ET127" s="587" t="n"/>
      <c r="EU127" s="587" t="n"/>
      <c r="EV127" s="587" t="n"/>
      <c r="EW127" s="587" t="n"/>
      <c r="EX127" s="587" t="n"/>
      <c r="EY127" s="587" t="n"/>
      <c r="EZ127" s="587" t="n"/>
      <c r="FA127" s="587" t="n"/>
      <c r="FB127" s="587" t="n"/>
      <c r="FC127" s="587" t="n"/>
      <c r="FD127" s="587" t="n"/>
      <c r="FE127" s="587" t="n"/>
      <c r="FF127" s="587" t="n"/>
      <c r="FG127" s="587" t="n"/>
      <c r="FH127" s="587" t="n"/>
      <c r="FI127" s="587" t="n"/>
      <c r="FJ127" s="587" t="n"/>
      <c r="FK127" s="587" t="n"/>
      <c r="FL127" s="587" t="n"/>
      <c r="FM127" s="587" t="n"/>
      <c r="FN127" s="587" t="n"/>
      <c r="FO127" s="587" t="n"/>
      <c r="FP127" s="587" t="n"/>
      <c r="FQ127" s="587" t="n"/>
      <c r="FR127" s="587" t="n"/>
      <c r="FS127" s="587" t="n"/>
      <c r="FT127" s="587" t="n"/>
      <c r="FU127" s="587" t="n"/>
      <c r="FV127" s="587" t="n"/>
      <c r="FW127" s="587" t="n"/>
      <c r="FX127" s="587" t="n"/>
      <c r="FY127" s="587" t="n"/>
      <c r="FZ127" s="587" t="n"/>
      <c r="GA127" s="587" t="n"/>
    </row>
    <row r="128" customFormat="1" s="568">
      <c r="A128" s="86" t="n"/>
      <c r="B128" s="85" t="n"/>
      <c r="C128" s="84">
        <f>E128*D$5</f>
        <v/>
      </c>
      <c r="D128" s="68" t="n"/>
      <c r="E128" s="84">
        <f>SUM(G128:HT128)</f>
        <v/>
      </c>
      <c r="F128" s="568">
        <f>IFERROR(IF($E128&gt;0.0000005,$E128/SUMIF($E$11:$E$140,"&gt;0.0000005"),""),"")</f>
        <v/>
      </c>
      <c r="Q128" s="574" t="n"/>
      <c r="Z128" s="574" t="n"/>
      <c r="AA128" s="574" t="n"/>
      <c r="AB128" s="574" t="n"/>
      <c r="AC128" s="574" t="n"/>
      <c r="AD128" s="574" t="n"/>
      <c r="AE128" s="574" t="n"/>
      <c r="AF128" s="574" t="n"/>
      <c r="AH128" s="574" t="n"/>
      <c r="AJ128" s="574" t="n"/>
      <c r="CM128" s="587" t="n"/>
      <c r="CN128" s="587" t="n"/>
      <c r="CO128" s="587" t="n"/>
      <c r="CP128" s="587" t="n"/>
      <c r="CQ128" s="587" t="n"/>
      <c r="CR128" s="587" t="n"/>
      <c r="CS128" s="587" t="n"/>
      <c r="CT128" s="587" t="n"/>
      <c r="CU128" s="587" t="n"/>
      <c r="CV128" s="587" t="n"/>
      <c r="CW128" s="587" t="n"/>
      <c r="CX128" s="587" t="n"/>
      <c r="CY128" s="587" t="n"/>
      <c r="CZ128" s="587" t="n"/>
      <c r="DA128" s="587" t="n"/>
      <c r="DB128" s="587" t="n"/>
      <c r="DC128" s="587" t="n"/>
      <c r="DD128" s="587" t="n"/>
      <c r="DE128" s="587" t="n"/>
      <c r="DF128" s="587" t="n"/>
      <c r="DG128" s="587" t="n"/>
      <c r="DH128" s="587" t="n"/>
      <c r="DI128" s="587" t="n"/>
      <c r="DJ128" s="587" t="n"/>
      <c r="DK128" s="587" t="n"/>
      <c r="DL128" s="587" t="n"/>
      <c r="DM128" s="587" t="n"/>
      <c r="DN128" s="587" t="n"/>
      <c r="DO128" s="587" t="n"/>
      <c r="DP128" s="587" t="n"/>
      <c r="DQ128" s="587" t="n"/>
      <c r="DR128" s="587" t="n"/>
      <c r="DS128" s="587" t="n"/>
      <c r="DT128" s="587" t="n"/>
      <c r="DU128" s="587" t="n"/>
      <c r="DV128" s="587" t="n"/>
      <c r="DW128" s="587" t="n"/>
      <c r="DX128" s="587" t="n"/>
      <c r="DY128" s="587" t="n"/>
      <c r="DZ128" s="587" t="n"/>
      <c r="EA128" s="587" t="n"/>
      <c r="EB128" s="587" t="n"/>
      <c r="EC128" s="587" t="n"/>
      <c r="ED128" s="587" t="n"/>
      <c r="EE128" s="587" t="n"/>
      <c r="EF128" s="587" t="n"/>
      <c r="EG128" s="587" t="n"/>
      <c r="EH128" s="587" t="n"/>
      <c r="EI128" s="587" t="n"/>
      <c r="EJ128" s="587" t="n"/>
      <c r="EK128" s="587" t="n"/>
      <c r="EL128" s="587" t="n"/>
      <c r="EM128" s="587" t="n"/>
      <c r="EN128" s="587" t="n"/>
      <c r="EO128" s="587" t="n"/>
      <c r="EP128" s="587" t="n"/>
      <c r="EQ128" s="587" t="n"/>
      <c r="ER128" s="587" t="n"/>
      <c r="ES128" s="587" t="n"/>
      <c r="ET128" s="587" t="n"/>
      <c r="EU128" s="587" t="n"/>
      <c r="EV128" s="587" t="n"/>
      <c r="EW128" s="587" t="n"/>
      <c r="EX128" s="587" t="n"/>
      <c r="EY128" s="587" t="n"/>
      <c r="EZ128" s="587" t="n"/>
      <c r="FA128" s="587" t="n"/>
      <c r="FB128" s="587" t="n"/>
      <c r="FC128" s="587" t="n"/>
      <c r="FD128" s="587" t="n"/>
      <c r="FE128" s="587" t="n"/>
      <c r="FF128" s="587" t="n"/>
      <c r="FG128" s="587" t="n"/>
      <c r="FH128" s="587" t="n"/>
      <c r="FI128" s="587" t="n"/>
      <c r="FJ128" s="587" t="n"/>
      <c r="FK128" s="587" t="n"/>
      <c r="FL128" s="587" t="n"/>
      <c r="FM128" s="587" t="n"/>
      <c r="FN128" s="587" t="n"/>
      <c r="FO128" s="587" t="n"/>
      <c r="FP128" s="587" t="n"/>
      <c r="FQ128" s="587" t="n"/>
      <c r="FR128" s="587" t="n"/>
      <c r="FS128" s="587" t="n"/>
      <c r="FT128" s="587" t="n"/>
      <c r="FU128" s="587" t="n"/>
      <c r="FV128" s="587" t="n"/>
      <c r="FW128" s="587" t="n"/>
      <c r="FX128" s="587" t="n"/>
      <c r="FY128" s="587" t="n"/>
      <c r="FZ128" s="587" t="n"/>
      <c r="GA128" s="587" t="n"/>
    </row>
    <row r="129" customFormat="1" s="568">
      <c r="A129" s="86" t="n"/>
      <c r="B129" s="85" t="n"/>
      <c r="C129" s="84">
        <f>E129*D$5</f>
        <v/>
      </c>
      <c r="D129" s="68" t="n"/>
      <c r="E129" s="84">
        <f>SUM(G129:HT129)</f>
        <v/>
      </c>
      <c r="F129" s="568">
        <f>IFERROR(IF($E129&gt;0.0000005,$E129/SUMIF($E$11:$E$140,"&gt;0.0000005"),""),"")</f>
        <v/>
      </c>
      <c r="Q129" s="574" t="n"/>
      <c r="Z129" s="574" t="n"/>
      <c r="AA129" s="574" t="n"/>
      <c r="AB129" s="574" t="n"/>
      <c r="AC129" s="574" t="n"/>
      <c r="AD129" s="574" t="n"/>
      <c r="AE129" s="574" t="n"/>
      <c r="AF129" s="574" t="n"/>
      <c r="AH129" s="574" t="n"/>
      <c r="AJ129" s="574" t="n"/>
      <c r="CM129" s="587" t="n"/>
      <c r="CN129" s="587" t="n"/>
      <c r="CO129" s="587" t="n"/>
      <c r="CP129" s="587" t="n"/>
      <c r="CQ129" s="587" t="n"/>
      <c r="CR129" s="587" t="n"/>
      <c r="CS129" s="587" t="n"/>
      <c r="CT129" s="587" t="n"/>
      <c r="CU129" s="587" t="n"/>
      <c r="CV129" s="587" t="n"/>
      <c r="CW129" s="587" t="n"/>
      <c r="CX129" s="587" t="n"/>
      <c r="CY129" s="587" t="n"/>
      <c r="CZ129" s="587" t="n"/>
      <c r="DA129" s="587" t="n"/>
      <c r="DB129" s="587" t="n"/>
      <c r="DC129" s="587" t="n"/>
      <c r="DD129" s="587" t="n"/>
      <c r="DE129" s="587" t="n"/>
      <c r="DF129" s="587" t="n"/>
      <c r="DG129" s="587" t="n"/>
      <c r="DH129" s="587" t="n"/>
      <c r="DI129" s="587" t="n"/>
      <c r="DJ129" s="587" t="n"/>
      <c r="DK129" s="587" t="n"/>
      <c r="DL129" s="587" t="n"/>
      <c r="DM129" s="587" t="n"/>
      <c r="DN129" s="587" t="n"/>
      <c r="DO129" s="587" t="n"/>
      <c r="DP129" s="587" t="n"/>
      <c r="DQ129" s="587" t="n"/>
      <c r="DR129" s="587" t="n"/>
      <c r="DS129" s="587" t="n"/>
      <c r="DT129" s="587" t="n"/>
      <c r="DU129" s="587" t="n"/>
      <c r="DV129" s="587" t="n"/>
      <c r="DW129" s="587" t="n"/>
      <c r="DX129" s="587" t="n"/>
      <c r="DY129" s="587" t="n"/>
      <c r="DZ129" s="587" t="n"/>
      <c r="EA129" s="587" t="n"/>
      <c r="EB129" s="587" t="n"/>
      <c r="EC129" s="587" t="n"/>
      <c r="ED129" s="587" t="n"/>
      <c r="EE129" s="587" t="n"/>
      <c r="EF129" s="587" t="n"/>
      <c r="EG129" s="587" t="n"/>
      <c r="EH129" s="587" t="n"/>
      <c r="EI129" s="587" t="n"/>
      <c r="EJ129" s="587" t="n"/>
      <c r="EK129" s="587" t="n"/>
      <c r="EL129" s="587" t="n"/>
      <c r="EM129" s="587" t="n"/>
      <c r="EN129" s="587" t="n"/>
      <c r="EO129" s="587" t="n"/>
      <c r="EP129" s="587" t="n"/>
      <c r="EQ129" s="587" t="n"/>
      <c r="ER129" s="587" t="n"/>
      <c r="ES129" s="587" t="n"/>
      <c r="ET129" s="587" t="n"/>
      <c r="EU129" s="587" t="n"/>
      <c r="EV129" s="587" t="n"/>
      <c r="EW129" s="587" t="n"/>
      <c r="EX129" s="587" t="n"/>
      <c r="EY129" s="587" t="n"/>
      <c r="EZ129" s="587" t="n"/>
      <c r="FA129" s="587" t="n"/>
      <c r="FB129" s="587" t="n"/>
      <c r="FC129" s="587" t="n"/>
      <c r="FD129" s="587" t="n"/>
      <c r="FE129" s="587" t="n"/>
      <c r="FF129" s="587" t="n"/>
      <c r="FG129" s="587" t="n"/>
      <c r="FH129" s="587" t="n"/>
      <c r="FI129" s="587" t="n"/>
      <c r="FJ129" s="587" t="n"/>
      <c r="FK129" s="587" t="n"/>
      <c r="FL129" s="587" t="n"/>
      <c r="FM129" s="587" t="n"/>
      <c r="FN129" s="587" t="n"/>
      <c r="FO129" s="587" t="n"/>
      <c r="FP129" s="587" t="n"/>
      <c r="FQ129" s="587" t="n"/>
      <c r="FR129" s="587" t="n"/>
      <c r="FS129" s="587" t="n"/>
      <c r="FT129" s="587" t="n"/>
      <c r="FU129" s="587" t="n"/>
      <c r="FV129" s="587" t="n"/>
      <c r="FW129" s="587" t="n"/>
      <c r="FX129" s="587" t="n"/>
      <c r="FY129" s="587" t="n"/>
      <c r="FZ129" s="587" t="n"/>
      <c r="GA129" s="587" t="n"/>
    </row>
    <row r="130" customFormat="1" s="568">
      <c r="A130" s="86" t="n"/>
      <c r="B130" s="85" t="n"/>
      <c r="C130" s="84">
        <f>E130*D$5</f>
        <v/>
      </c>
      <c r="D130" s="68" t="n"/>
      <c r="E130" s="84">
        <f>SUM(G130:HT130)</f>
        <v/>
      </c>
      <c r="F130" s="568">
        <f>IFERROR(IF($E130&gt;0.0000005,$E130/SUMIF($E$11:$E$140,"&gt;0.0000005"),""),"")</f>
        <v/>
      </c>
      <c r="Q130" s="574" t="n"/>
      <c r="Z130" s="574" t="n"/>
      <c r="AA130" s="574" t="n"/>
      <c r="AB130" s="574" t="n"/>
      <c r="AC130" s="574" t="n"/>
      <c r="AD130" s="574" t="n"/>
      <c r="AE130" s="574" t="n"/>
      <c r="AF130" s="574" t="n"/>
      <c r="AH130" s="574" t="n"/>
      <c r="AJ130" s="574" t="n"/>
      <c r="CM130" s="587" t="n"/>
      <c r="CN130" s="587" t="n"/>
      <c r="CO130" s="587" t="n"/>
      <c r="CP130" s="587" t="n"/>
      <c r="CQ130" s="587" t="n"/>
      <c r="CR130" s="587" t="n"/>
      <c r="CS130" s="587" t="n"/>
      <c r="CT130" s="587" t="n"/>
      <c r="CU130" s="587" t="n"/>
      <c r="CV130" s="587" t="n"/>
      <c r="CW130" s="587" t="n"/>
      <c r="CX130" s="587" t="n"/>
      <c r="CY130" s="587" t="n"/>
      <c r="CZ130" s="587" t="n"/>
      <c r="DA130" s="587" t="n"/>
      <c r="DB130" s="587" t="n"/>
      <c r="DC130" s="587" t="n"/>
      <c r="DD130" s="587" t="n"/>
      <c r="DE130" s="587" t="n"/>
      <c r="DF130" s="587" t="n"/>
      <c r="DG130" s="587" t="n"/>
      <c r="DH130" s="587" t="n"/>
      <c r="DI130" s="587" t="n"/>
      <c r="DJ130" s="587" t="n"/>
      <c r="DK130" s="587" t="n"/>
      <c r="DL130" s="587" t="n"/>
      <c r="DM130" s="587" t="n"/>
      <c r="DN130" s="587" t="n"/>
      <c r="DO130" s="587" t="n"/>
      <c r="DP130" s="587" t="n"/>
      <c r="DQ130" s="587" t="n"/>
      <c r="DR130" s="587" t="n"/>
      <c r="DS130" s="587" t="n"/>
      <c r="DT130" s="587" t="n"/>
      <c r="DU130" s="587" t="n"/>
      <c r="DV130" s="587" t="n"/>
      <c r="DW130" s="587" t="n"/>
      <c r="DX130" s="587" t="n"/>
      <c r="DY130" s="587" t="n"/>
      <c r="DZ130" s="587" t="n"/>
      <c r="EA130" s="587" t="n"/>
      <c r="EB130" s="587" t="n"/>
      <c r="EC130" s="587" t="n"/>
      <c r="ED130" s="587" t="n"/>
      <c r="EE130" s="587" t="n"/>
      <c r="EF130" s="587" t="n"/>
      <c r="EG130" s="587" t="n"/>
      <c r="EH130" s="587" t="n"/>
      <c r="EI130" s="587" t="n"/>
      <c r="EJ130" s="587" t="n"/>
      <c r="EK130" s="587" t="n"/>
      <c r="EL130" s="587" t="n"/>
      <c r="EM130" s="587" t="n"/>
      <c r="EN130" s="587" t="n"/>
      <c r="EO130" s="587" t="n"/>
      <c r="EP130" s="587" t="n"/>
      <c r="EQ130" s="587" t="n"/>
      <c r="ER130" s="587" t="n"/>
      <c r="ES130" s="587" t="n"/>
      <c r="ET130" s="587" t="n"/>
      <c r="EU130" s="587" t="n"/>
      <c r="EV130" s="587" t="n"/>
      <c r="EW130" s="587" t="n"/>
      <c r="EX130" s="587" t="n"/>
      <c r="EY130" s="587" t="n"/>
      <c r="EZ130" s="587" t="n"/>
      <c r="FA130" s="587" t="n"/>
      <c r="FB130" s="587" t="n"/>
      <c r="FC130" s="587" t="n"/>
      <c r="FD130" s="587" t="n"/>
      <c r="FE130" s="587" t="n"/>
      <c r="FF130" s="587" t="n"/>
      <c r="FG130" s="587" t="n"/>
      <c r="FH130" s="587" t="n"/>
      <c r="FI130" s="587" t="n"/>
      <c r="FJ130" s="587" t="n"/>
      <c r="FK130" s="587" t="n"/>
      <c r="FL130" s="587" t="n"/>
      <c r="FM130" s="587" t="n"/>
      <c r="FN130" s="587" t="n"/>
      <c r="FO130" s="587" t="n"/>
      <c r="FP130" s="587" t="n"/>
      <c r="FQ130" s="587" t="n"/>
      <c r="FR130" s="587" t="n"/>
      <c r="FS130" s="587" t="n"/>
      <c r="FT130" s="587" t="n"/>
      <c r="FU130" s="587" t="n"/>
      <c r="FV130" s="587" t="n"/>
      <c r="FW130" s="587" t="n"/>
      <c r="FX130" s="587" t="n"/>
      <c r="FY130" s="587" t="n"/>
      <c r="FZ130" s="587" t="n"/>
      <c r="GA130" s="587" t="n"/>
    </row>
    <row r="131" customFormat="1" s="568">
      <c r="A131" s="86" t="n"/>
      <c r="B131" s="85" t="n"/>
      <c r="C131" s="84">
        <f>E131*D$5</f>
        <v/>
      </c>
      <c r="D131" s="68" t="n"/>
      <c r="E131" s="84">
        <f>SUM(G131:HT131)</f>
        <v/>
      </c>
      <c r="F131" s="568">
        <f>IFERROR(IF($E131&gt;0.0000005,$E131/SUMIF($E$11:$E$140,"&gt;0.0000005"),""),"")</f>
        <v/>
      </c>
      <c r="Q131" s="574" t="n"/>
      <c r="Z131" s="574" t="n"/>
      <c r="AA131" s="574" t="n"/>
      <c r="AB131" s="574" t="n"/>
      <c r="AC131" s="574" t="n"/>
      <c r="AD131" s="574" t="n"/>
      <c r="AE131" s="574" t="n"/>
      <c r="AF131" s="574" t="n"/>
      <c r="AH131" s="574" t="n"/>
      <c r="AJ131" s="574" t="n"/>
      <c r="CM131" s="587" t="n"/>
      <c r="CN131" s="587" t="n"/>
      <c r="CO131" s="587" t="n"/>
      <c r="CP131" s="587" t="n"/>
      <c r="CQ131" s="587" t="n"/>
      <c r="CR131" s="587" t="n"/>
      <c r="CS131" s="587" t="n"/>
      <c r="CT131" s="587" t="n"/>
      <c r="CU131" s="587" t="n"/>
      <c r="CV131" s="587" t="n"/>
      <c r="CW131" s="587" t="n"/>
      <c r="CX131" s="587" t="n"/>
      <c r="CY131" s="587" t="n"/>
      <c r="CZ131" s="587" t="n"/>
      <c r="DA131" s="587" t="n"/>
      <c r="DB131" s="587" t="n"/>
      <c r="DC131" s="587" t="n"/>
      <c r="DD131" s="587" t="n"/>
      <c r="DE131" s="587" t="n"/>
      <c r="DF131" s="587" t="n"/>
      <c r="DG131" s="587" t="n"/>
      <c r="DH131" s="587" t="n"/>
      <c r="DI131" s="587" t="n"/>
      <c r="DJ131" s="587" t="n"/>
      <c r="DK131" s="587" t="n"/>
      <c r="DL131" s="587" t="n"/>
      <c r="DM131" s="587" t="n"/>
      <c r="DN131" s="587" t="n"/>
      <c r="DO131" s="587" t="n"/>
      <c r="DP131" s="587" t="n"/>
      <c r="DQ131" s="587" t="n"/>
      <c r="DR131" s="587" t="n"/>
      <c r="DS131" s="587" t="n"/>
      <c r="DT131" s="587" t="n"/>
      <c r="DU131" s="587" t="n"/>
      <c r="DV131" s="587" t="n"/>
      <c r="DW131" s="587" t="n"/>
      <c r="DX131" s="587" t="n"/>
      <c r="DY131" s="587" t="n"/>
      <c r="DZ131" s="587" t="n"/>
      <c r="EA131" s="587" t="n"/>
      <c r="EB131" s="587" t="n"/>
      <c r="EC131" s="587" t="n"/>
      <c r="ED131" s="587" t="n"/>
      <c r="EE131" s="587" t="n"/>
      <c r="EF131" s="587" t="n"/>
      <c r="EG131" s="587" t="n"/>
      <c r="EH131" s="587" t="n"/>
      <c r="EI131" s="587" t="n"/>
      <c r="EJ131" s="587" t="n"/>
      <c r="EK131" s="587" t="n"/>
      <c r="EL131" s="587" t="n"/>
      <c r="EM131" s="587" t="n"/>
      <c r="EN131" s="587" t="n"/>
      <c r="EO131" s="587" t="n"/>
      <c r="EP131" s="587" t="n"/>
      <c r="EQ131" s="587" t="n"/>
      <c r="ER131" s="587" t="n"/>
      <c r="ES131" s="587" t="n"/>
      <c r="ET131" s="587" t="n"/>
      <c r="EU131" s="587" t="n"/>
      <c r="EV131" s="587" t="n"/>
      <c r="EW131" s="587" t="n"/>
      <c r="EX131" s="587" t="n"/>
      <c r="EY131" s="587" t="n"/>
      <c r="EZ131" s="587" t="n"/>
      <c r="FA131" s="587" t="n"/>
      <c r="FB131" s="587" t="n"/>
      <c r="FC131" s="587" t="n"/>
      <c r="FD131" s="587" t="n"/>
      <c r="FE131" s="587" t="n"/>
      <c r="FF131" s="587" t="n"/>
      <c r="FG131" s="587" t="n"/>
      <c r="FH131" s="587" t="n"/>
      <c r="FI131" s="587" t="n"/>
      <c r="FJ131" s="587" t="n"/>
      <c r="FK131" s="587" t="n"/>
      <c r="FL131" s="587" t="n"/>
      <c r="FM131" s="587" t="n"/>
      <c r="FN131" s="587" t="n"/>
      <c r="FO131" s="587" t="n"/>
      <c r="FP131" s="587" t="n"/>
      <c r="FQ131" s="587" t="n"/>
      <c r="FR131" s="587" t="n"/>
      <c r="FS131" s="587" t="n"/>
      <c r="FT131" s="587" t="n"/>
      <c r="FU131" s="587" t="n"/>
      <c r="FV131" s="587" t="n"/>
      <c r="FW131" s="587" t="n"/>
      <c r="FX131" s="587" t="n"/>
      <c r="FY131" s="587" t="n"/>
      <c r="FZ131" s="587" t="n"/>
      <c r="GA131" s="587" t="n"/>
    </row>
    <row r="132" customFormat="1" s="568">
      <c r="A132" s="86" t="n"/>
      <c r="B132" s="85" t="n"/>
      <c r="C132" s="84">
        <f>E132*D$5</f>
        <v/>
      </c>
      <c r="D132" s="68" t="n"/>
      <c r="E132" s="84">
        <f>SUM(G132:HT132)</f>
        <v/>
      </c>
      <c r="F132" s="568">
        <f>IFERROR(IF($E132&gt;0.0000005,$E132/SUMIF($E$11:$E$140,"&gt;0.0000005"),""),"")</f>
        <v/>
      </c>
      <c r="Q132" s="574" t="n"/>
      <c r="Z132" s="574" t="n"/>
      <c r="AA132" s="574" t="n"/>
      <c r="AB132" s="574" t="n"/>
      <c r="AC132" s="574" t="n"/>
      <c r="AD132" s="574" t="n"/>
      <c r="AE132" s="574" t="n"/>
      <c r="AF132" s="574" t="n"/>
      <c r="AH132" s="574" t="n"/>
      <c r="AJ132" s="574" t="n"/>
      <c r="CM132" s="587" t="n"/>
      <c r="CN132" s="587" t="n"/>
      <c r="CO132" s="587" t="n"/>
      <c r="CP132" s="587" t="n"/>
      <c r="CQ132" s="587" t="n"/>
      <c r="CR132" s="587" t="n"/>
      <c r="CS132" s="587" t="n"/>
      <c r="CT132" s="587" t="n"/>
      <c r="CU132" s="587" t="n"/>
      <c r="CV132" s="587" t="n"/>
      <c r="CW132" s="587" t="n"/>
      <c r="CX132" s="587" t="n"/>
      <c r="CY132" s="587" t="n"/>
      <c r="CZ132" s="587" t="n"/>
      <c r="DA132" s="587" t="n"/>
      <c r="DB132" s="587" t="n"/>
      <c r="DC132" s="587" t="n"/>
      <c r="DD132" s="587" t="n"/>
      <c r="DE132" s="587" t="n"/>
      <c r="DF132" s="587" t="n"/>
      <c r="DG132" s="587" t="n"/>
      <c r="DH132" s="587" t="n"/>
      <c r="DI132" s="587" t="n"/>
      <c r="DJ132" s="587" t="n"/>
      <c r="DK132" s="587" t="n"/>
      <c r="DL132" s="587" t="n"/>
      <c r="DM132" s="587" t="n"/>
      <c r="DN132" s="587" t="n"/>
      <c r="DO132" s="587" t="n"/>
      <c r="DP132" s="587" t="n"/>
      <c r="DQ132" s="587" t="n"/>
      <c r="DR132" s="587" t="n"/>
      <c r="DS132" s="587" t="n"/>
      <c r="DT132" s="587" t="n"/>
      <c r="DU132" s="587" t="n"/>
      <c r="DV132" s="587" t="n"/>
      <c r="DW132" s="587" t="n"/>
      <c r="DX132" s="587" t="n"/>
      <c r="DY132" s="587" t="n"/>
      <c r="DZ132" s="587" t="n"/>
      <c r="EA132" s="587" t="n"/>
      <c r="EB132" s="587" t="n"/>
      <c r="EC132" s="587" t="n"/>
      <c r="ED132" s="587" t="n"/>
      <c r="EE132" s="587" t="n"/>
      <c r="EF132" s="587" t="n"/>
      <c r="EG132" s="587" t="n"/>
      <c r="EH132" s="587" t="n"/>
      <c r="EI132" s="587" t="n"/>
      <c r="EJ132" s="587" t="n"/>
      <c r="EK132" s="587" t="n"/>
      <c r="EL132" s="587" t="n"/>
      <c r="EM132" s="587" t="n"/>
      <c r="EN132" s="587" t="n"/>
      <c r="EO132" s="587" t="n"/>
      <c r="EP132" s="587" t="n"/>
      <c r="EQ132" s="587" t="n"/>
      <c r="ER132" s="587" t="n"/>
      <c r="ES132" s="587" t="n"/>
      <c r="ET132" s="587" t="n"/>
      <c r="EU132" s="587" t="n"/>
      <c r="EV132" s="587" t="n"/>
      <c r="EW132" s="587" t="n"/>
      <c r="EX132" s="587" t="n"/>
      <c r="EY132" s="587" t="n"/>
      <c r="EZ132" s="587" t="n"/>
      <c r="FA132" s="587" t="n"/>
      <c r="FB132" s="587" t="n"/>
      <c r="FC132" s="587" t="n"/>
      <c r="FD132" s="587" t="n"/>
      <c r="FE132" s="587" t="n"/>
      <c r="FF132" s="587" t="n"/>
      <c r="FG132" s="587" t="n"/>
      <c r="FH132" s="587" t="n"/>
      <c r="FI132" s="587" t="n"/>
      <c r="FJ132" s="587" t="n"/>
      <c r="FK132" s="587" t="n"/>
      <c r="FL132" s="587" t="n"/>
      <c r="FM132" s="587" t="n"/>
      <c r="FN132" s="587" t="n"/>
      <c r="FO132" s="587" t="n"/>
      <c r="FP132" s="587" t="n"/>
      <c r="FQ132" s="587" t="n"/>
      <c r="FR132" s="587" t="n"/>
      <c r="FS132" s="587" t="n"/>
      <c r="FT132" s="587" t="n"/>
      <c r="FU132" s="587" t="n"/>
      <c r="FV132" s="587" t="n"/>
      <c r="FW132" s="587" t="n"/>
      <c r="FX132" s="587" t="n"/>
      <c r="FY132" s="587" t="n"/>
      <c r="FZ132" s="587" t="n"/>
      <c r="GA132" s="587" t="n"/>
    </row>
    <row r="133" customFormat="1" s="568">
      <c r="A133" s="86" t="n"/>
      <c r="B133" s="85" t="n"/>
      <c r="C133" s="84">
        <f>E133*D$5</f>
        <v/>
      </c>
      <c r="D133" s="68" t="n"/>
      <c r="E133" s="84">
        <f>SUM(G133:HT133)</f>
        <v/>
      </c>
      <c r="F133" s="568">
        <f>IFERROR(IF($E133&gt;0.0000005,$E133/SUMIF($E$11:$E$140,"&gt;0.0000005"),""),"")</f>
        <v/>
      </c>
      <c r="Q133" s="574" t="n"/>
      <c r="Z133" s="574" t="n"/>
      <c r="AA133" s="574" t="n"/>
      <c r="AB133" s="574" t="n"/>
      <c r="AC133" s="574" t="n"/>
      <c r="AD133" s="574" t="n"/>
      <c r="AE133" s="574" t="n"/>
      <c r="AF133" s="574" t="n"/>
      <c r="AH133" s="574" t="n"/>
      <c r="AJ133" s="574" t="n"/>
      <c r="CM133" s="587" t="n"/>
      <c r="CN133" s="587" t="n"/>
      <c r="CO133" s="587" t="n"/>
      <c r="CP133" s="587" t="n"/>
      <c r="CQ133" s="587" t="n"/>
      <c r="CR133" s="587" t="n"/>
      <c r="CS133" s="587" t="n"/>
      <c r="CT133" s="587" t="n"/>
      <c r="CU133" s="587" t="n"/>
      <c r="CV133" s="587" t="n"/>
      <c r="CW133" s="587" t="n"/>
      <c r="CX133" s="587" t="n"/>
      <c r="CY133" s="587" t="n"/>
      <c r="CZ133" s="587" t="n"/>
      <c r="DA133" s="587" t="n"/>
      <c r="DB133" s="587" t="n"/>
      <c r="DC133" s="587" t="n"/>
      <c r="DD133" s="587" t="n"/>
      <c r="DE133" s="587" t="n"/>
      <c r="DF133" s="587" t="n"/>
      <c r="DG133" s="587" t="n"/>
      <c r="DH133" s="587" t="n"/>
      <c r="DI133" s="587" t="n"/>
      <c r="DJ133" s="587" t="n"/>
      <c r="DK133" s="587" t="n"/>
      <c r="DL133" s="587" t="n"/>
      <c r="DM133" s="587" t="n"/>
      <c r="DN133" s="587" t="n"/>
      <c r="DO133" s="587" t="n"/>
      <c r="DP133" s="587" t="n"/>
      <c r="DQ133" s="587" t="n"/>
      <c r="DR133" s="587" t="n"/>
      <c r="DS133" s="587" t="n"/>
      <c r="DT133" s="587" t="n"/>
      <c r="DU133" s="587" t="n"/>
      <c r="DV133" s="587" t="n"/>
      <c r="DW133" s="587" t="n"/>
      <c r="DX133" s="587" t="n"/>
      <c r="DY133" s="587" t="n"/>
      <c r="DZ133" s="587" t="n"/>
      <c r="EA133" s="587" t="n"/>
      <c r="EB133" s="587" t="n"/>
      <c r="EC133" s="587" t="n"/>
      <c r="ED133" s="587" t="n"/>
      <c r="EE133" s="587" t="n"/>
      <c r="EF133" s="587" t="n"/>
      <c r="EG133" s="587" t="n"/>
      <c r="EH133" s="587" t="n"/>
      <c r="EI133" s="587" t="n"/>
      <c r="EJ133" s="587" t="n"/>
      <c r="EK133" s="587" t="n"/>
      <c r="EL133" s="587" t="n"/>
      <c r="EM133" s="587" t="n"/>
      <c r="EN133" s="587" t="n"/>
      <c r="EO133" s="587" t="n"/>
      <c r="EP133" s="587" t="n"/>
      <c r="EQ133" s="587" t="n"/>
      <c r="ER133" s="587" t="n"/>
      <c r="ES133" s="587" t="n"/>
      <c r="ET133" s="587" t="n"/>
      <c r="EU133" s="587" t="n"/>
      <c r="EV133" s="587" t="n"/>
      <c r="EW133" s="587" t="n"/>
      <c r="EX133" s="587" t="n"/>
      <c r="EY133" s="587" t="n"/>
      <c r="EZ133" s="587" t="n"/>
      <c r="FA133" s="587" t="n"/>
      <c r="FB133" s="587" t="n"/>
      <c r="FC133" s="587" t="n"/>
      <c r="FD133" s="587" t="n"/>
      <c r="FE133" s="587" t="n"/>
      <c r="FF133" s="587" t="n"/>
      <c r="FG133" s="587" t="n"/>
      <c r="FH133" s="587" t="n"/>
      <c r="FI133" s="587" t="n"/>
      <c r="FJ133" s="587" t="n"/>
      <c r="FK133" s="587" t="n"/>
      <c r="FL133" s="587" t="n"/>
      <c r="FM133" s="587" t="n"/>
      <c r="FN133" s="587" t="n"/>
      <c r="FO133" s="587" t="n"/>
      <c r="FP133" s="587" t="n"/>
      <c r="FQ133" s="587" t="n"/>
      <c r="FR133" s="587" t="n"/>
      <c r="FS133" s="587" t="n"/>
      <c r="FT133" s="587" t="n"/>
      <c r="FU133" s="587" t="n"/>
      <c r="FV133" s="587" t="n"/>
      <c r="FW133" s="587" t="n"/>
      <c r="FX133" s="587" t="n"/>
      <c r="FY133" s="587" t="n"/>
      <c r="FZ133" s="587" t="n"/>
      <c r="GA133" s="587" t="n"/>
    </row>
    <row r="134" customFormat="1" s="568">
      <c r="A134" s="86" t="n"/>
      <c r="B134" s="85" t="n"/>
      <c r="C134" s="84">
        <f>E134*D$5</f>
        <v/>
      </c>
      <c r="D134" s="68" t="n"/>
      <c r="E134" s="84">
        <f>SUM(G134:HT134)</f>
        <v/>
      </c>
      <c r="F134" s="568">
        <f>IFERROR(IF($E134&gt;0.0000005,$E134/SUMIF($E$11:$E$140,"&gt;0.0000005"),""),"")</f>
        <v/>
      </c>
      <c r="Q134" s="574" t="n"/>
      <c r="Z134" s="574" t="n"/>
      <c r="AA134" s="574" t="n"/>
      <c r="AB134" s="574" t="n"/>
      <c r="AC134" s="574" t="n"/>
      <c r="AD134" s="574" t="n"/>
      <c r="AE134" s="574" t="n"/>
      <c r="AF134" s="574" t="n"/>
      <c r="AH134" s="574" t="n"/>
      <c r="AJ134" s="574" t="n"/>
      <c r="CM134" s="587" t="n"/>
      <c r="CN134" s="587" t="n"/>
      <c r="CO134" s="587" t="n"/>
      <c r="CP134" s="587" t="n"/>
      <c r="CQ134" s="587" t="n"/>
      <c r="CR134" s="587" t="n"/>
      <c r="CS134" s="587" t="n"/>
      <c r="CT134" s="587" t="n"/>
      <c r="CU134" s="587" t="n"/>
      <c r="CV134" s="587" t="n"/>
      <c r="CW134" s="587" t="n"/>
      <c r="CX134" s="587" t="n"/>
      <c r="CY134" s="587" t="n"/>
      <c r="CZ134" s="587" t="n"/>
      <c r="DA134" s="587" t="n"/>
      <c r="DB134" s="587" t="n"/>
      <c r="DC134" s="587" t="n"/>
      <c r="DD134" s="587" t="n"/>
      <c r="DE134" s="587" t="n"/>
      <c r="DF134" s="587" t="n"/>
      <c r="DG134" s="587" t="n"/>
      <c r="DH134" s="587" t="n"/>
      <c r="DI134" s="587" t="n"/>
      <c r="DJ134" s="587" t="n"/>
      <c r="DK134" s="587" t="n"/>
      <c r="DL134" s="587" t="n"/>
      <c r="DM134" s="587" t="n"/>
      <c r="DN134" s="587" t="n"/>
      <c r="DO134" s="587" t="n"/>
      <c r="DP134" s="587" t="n"/>
      <c r="DQ134" s="587" t="n"/>
      <c r="DR134" s="587" t="n"/>
      <c r="DS134" s="587" t="n"/>
      <c r="DT134" s="587" t="n"/>
      <c r="DU134" s="587" t="n"/>
      <c r="DV134" s="587" t="n"/>
      <c r="DW134" s="587" t="n"/>
      <c r="DX134" s="587" t="n"/>
      <c r="DY134" s="587" t="n"/>
      <c r="DZ134" s="587" t="n"/>
      <c r="EA134" s="587" t="n"/>
      <c r="EB134" s="587" t="n"/>
      <c r="EC134" s="587" t="n"/>
      <c r="ED134" s="587" t="n"/>
      <c r="EE134" s="587" t="n"/>
      <c r="EF134" s="587" t="n"/>
      <c r="EG134" s="587" t="n"/>
      <c r="EH134" s="587" t="n"/>
      <c r="EI134" s="587" t="n"/>
      <c r="EJ134" s="587" t="n"/>
      <c r="EK134" s="587" t="n"/>
      <c r="EL134" s="587" t="n"/>
      <c r="EM134" s="587" t="n"/>
      <c r="EN134" s="587" t="n"/>
      <c r="EO134" s="587" t="n"/>
      <c r="EP134" s="587" t="n"/>
      <c r="EQ134" s="587" t="n"/>
      <c r="ER134" s="587" t="n"/>
      <c r="ES134" s="587" t="n"/>
      <c r="ET134" s="587" t="n"/>
      <c r="EU134" s="587" t="n"/>
      <c r="EV134" s="587" t="n"/>
      <c r="EW134" s="587" t="n"/>
      <c r="EX134" s="587" t="n"/>
      <c r="EY134" s="587" t="n"/>
      <c r="EZ134" s="587" t="n"/>
      <c r="FA134" s="587" t="n"/>
      <c r="FB134" s="587" t="n"/>
      <c r="FC134" s="587" t="n"/>
      <c r="FD134" s="587" t="n"/>
      <c r="FE134" s="587" t="n"/>
      <c r="FF134" s="587" t="n"/>
      <c r="FG134" s="587" t="n"/>
      <c r="FH134" s="587" t="n"/>
      <c r="FI134" s="587" t="n"/>
      <c r="FJ134" s="587" t="n"/>
      <c r="FK134" s="587" t="n"/>
      <c r="FL134" s="587" t="n"/>
      <c r="FM134" s="587" t="n"/>
      <c r="FN134" s="587" t="n"/>
      <c r="FO134" s="587" t="n"/>
      <c r="FP134" s="587" t="n"/>
      <c r="FQ134" s="587" t="n"/>
      <c r="FR134" s="587" t="n"/>
      <c r="FS134" s="587" t="n"/>
      <c r="FT134" s="587" t="n"/>
      <c r="FU134" s="587" t="n"/>
      <c r="FV134" s="587" t="n"/>
      <c r="FW134" s="587" t="n"/>
      <c r="FX134" s="587" t="n"/>
      <c r="FY134" s="587" t="n"/>
      <c r="FZ134" s="587" t="n"/>
      <c r="GA134" s="587" t="n"/>
    </row>
    <row r="135" customFormat="1" s="568">
      <c r="A135" s="86" t="n"/>
      <c r="B135" s="85" t="n"/>
      <c r="C135" s="84">
        <f>E135*D$5</f>
        <v/>
      </c>
      <c r="D135" s="68" t="n"/>
      <c r="E135" s="84">
        <f>SUM(G135:HT135)</f>
        <v/>
      </c>
      <c r="F135" s="568">
        <f>IFERROR(IF($E135&gt;0.0000005,$E135/SUMIF($E$11:$E$140,"&gt;0.0000005"),""),"")</f>
        <v/>
      </c>
      <c r="Q135" s="574" t="n"/>
      <c r="Z135" s="574" t="n"/>
      <c r="AA135" s="574" t="n"/>
      <c r="AB135" s="574" t="n"/>
      <c r="AC135" s="574" t="n"/>
      <c r="AD135" s="574" t="n"/>
      <c r="AE135" s="574" t="n"/>
      <c r="AF135" s="574" t="n"/>
      <c r="AH135" s="574" t="n"/>
      <c r="AJ135" s="574" t="n"/>
      <c r="CM135" s="587" t="n"/>
      <c r="CN135" s="587" t="n"/>
      <c r="CO135" s="587" t="n"/>
      <c r="CP135" s="587" t="n"/>
      <c r="CQ135" s="587" t="n"/>
      <c r="CR135" s="587" t="n"/>
      <c r="CS135" s="587" t="n"/>
      <c r="CT135" s="587" t="n"/>
      <c r="CU135" s="587" t="n"/>
      <c r="CV135" s="587" t="n"/>
      <c r="CW135" s="587" t="n"/>
      <c r="CX135" s="587" t="n"/>
      <c r="CY135" s="587" t="n"/>
      <c r="CZ135" s="587" t="n"/>
      <c r="DA135" s="587" t="n"/>
      <c r="DB135" s="587" t="n"/>
      <c r="DC135" s="587" t="n"/>
      <c r="DD135" s="587" t="n"/>
      <c r="DE135" s="587" t="n"/>
      <c r="DF135" s="587" t="n"/>
      <c r="DG135" s="587" t="n"/>
      <c r="DH135" s="587" t="n"/>
      <c r="DI135" s="587" t="n"/>
      <c r="DJ135" s="587" t="n"/>
      <c r="DK135" s="587" t="n"/>
      <c r="DL135" s="587" t="n"/>
      <c r="DM135" s="587" t="n"/>
      <c r="DN135" s="587" t="n"/>
      <c r="DO135" s="587" t="n"/>
      <c r="DP135" s="587" t="n"/>
      <c r="DQ135" s="587" t="n"/>
      <c r="DR135" s="587" t="n"/>
      <c r="DS135" s="587" t="n"/>
      <c r="DT135" s="587" t="n"/>
      <c r="DU135" s="587" t="n"/>
      <c r="DV135" s="587" t="n"/>
      <c r="DW135" s="587" t="n"/>
      <c r="DX135" s="587" t="n"/>
      <c r="DY135" s="587" t="n"/>
      <c r="DZ135" s="587" t="n"/>
      <c r="EA135" s="587" t="n"/>
      <c r="EB135" s="587" t="n"/>
      <c r="EC135" s="587" t="n"/>
      <c r="ED135" s="587" t="n"/>
      <c r="EE135" s="587" t="n"/>
      <c r="EF135" s="587" t="n"/>
      <c r="EG135" s="587" t="n"/>
      <c r="EH135" s="587" t="n"/>
      <c r="EI135" s="587" t="n"/>
      <c r="EJ135" s="587" t="n"/>
      <c r="EK135" s="587" t="n"/>
      <c r="EL135" s="587" t="n"/>
      <c r="EM135" s="587" t="n"/>
      <c r="EN135" s="587" t="n"/>
      <c r="EO135" s="587" t="n"/>
      <c r="EP135" s="587" t="n"/>
      <c r="EQ135" s="587" t="n"/>
      <c r="ER135" s="587" t="n"/>
      <c r="ES135" s="587" t="n"/>
      <c r="ET135" s="587" t="n"/>
      <c r="EU135" s="587" t="n"/>
      <c r="EV135" s="587" t="n"/>
      <c r="EW135" s="587" t="n"/>
      <c r="EX135" s="587" t="n"/>
      <c r="EY135" s="587" t="n"/>
      <c r="EZ135" s="587" t="n"/>
      <c r="FA135" s="587" t="n"/>
      <c r="FB135" s="587" t="n"/>
      <c r="FC135" s="587" t="n"/>
      <c r="FD135" s="587" t="n"/>
      <c r="FE135" s="587" t="n"/>
      <c r="FF135" s="587" t="n"/>
      <c r="FG135" s="587" t="n"/>
      <c r="FH135" s="587" t="n"/>
      <c r="FI135" s="587" t="n"/>
      <c r="FJ135" s="587" t="n"/>
      <c r="FK135" s="587" t="n"/>
      <c r="FL135" s="587" t="n"/>
      <c r="FM135" s="587" t="n"/>
      <c r="FN135" s="587" t="n"/>
      <c r="FO135" s="587" t="n"/>
      <c r="FP135" s="587" t="n"/>
      <c r="FQ135" s="587" t="n"/>
      <c r="FR135" s="587" t="n"/>
      <c r="FS135" s="587" t="n"/>
      <c r="FT135" s="587" t="n"/>
      <c r="FU135" s="587" t="n"/>
      <c r="FV135" s="587" t="n"/>
      <c r="FW135" s="587" t="n"/>
      <c r="FX135" s="587" t="n"/>
      <c r="FY135" s="587" t="n"/>
      <c r="FZ135" s="587" t="n"/>
      <c r="GA135" s="587" t="n"/>
    </row>
    <row r="136" customFormat="1" s="568">
      <c r="A136" s="86" t="n"/>
      <c r="B136" s="85" t="n"/>
      <c r="C136" s="84">
        <f>E136*D$5</f>
        <v/>
      </c>
      <c r="D136" s="68" t="n"/>
      <c r="E136" s="84">
        <f>SUM(G136:HT136)</f>
        <v/>
      </c>
      <c r="F136" s="568">
        <f>IFERROR(IF($E136&gt;0.0000005,$E136/SUMIF($E$11:$E$140,"&gt;0.0000005"),""),"")</f>
        <v/>
      </c>
      <c r="Q136" s="574" t="n"/>
      <c r="Z136" s="574" t="n"/>
      <c r="AA136" s="574" t="n"/>
      <c r="AB136" s="574" t="n"/>
      <c r="AC136" s="574" t="n"/>
      <c r="AD136" s="574" t="n"/>
      <c r="AE136" s="574" t="n"/>
      <c r="AF136" s="574" t="n"/>
      <c r="AH136" s="574" t="n"/>
      <c r="AJ136" s="574" t="n"/>
      <c r="CM136" s="587" t="n"/>
      <c r="CN136" s="587" t="n"/>
      <c r="CO136" s="587" t="n"/>
      <c r="CP136" s="587" t="n"/>
      <c r="CQ136" s="587" t="n"/>
      <c r="CR136" s="587" t="n"/>
      <c r="CS136" s="587" t="n"/>
      <c r="CT136" s="587" t="n"/>
      <c r="CU136" s="587" t="n"/>
      <c r="CV136" s="587" t="n"/>
      <c r="CW136" s="587" t="n"/>
      <c r="CX136" s="587" t="n"/>
      <c r="CY136" s="587" t="n"/>
      <c r="CZ136" s="587" t="n"/>
      <c r="DA136" s="587" t="n"/>
      <c r="DB136" s="587" t="n"/>
      <c r="DC136" s="587" t="n"/>
      <c r="DD136" s="587" t="n"/>
      <c r="DE136" s="587" t="n"/>
      <c r="DF136" s="587" t="n"/>
      <c r="DG136" s="587" t="n"/>
      <c r="DH136" s="587" t="n"/>
      <c r="DI136" s="587" t="n"/>
      <c r="DJ136" s="587" t="n"/>
      <c r="DK136" s="587" t="n"/>
      <c r="DL136" s="587" t="n"/>
      <c r="DM136" s="587" t="n"/>
      <c r="DN136" s="587" t="n"/>
      <c r="DO136" s="587" t="n"/>
      <c r="DP136" s="587" t="n"/>
      <c r="DQ136" s="587" t="n"/>
      <c r="DR136" s="587" t="n"/>
      <c r="DS136" s="587" t="n"/>
      <c r="DT136" s="587" t="n"/>
      <c r="DU136" s="587" t="n"/>
      <c r="DV136" s="587" t="n"/>
      <c r="DW136" s="587" t="n"/>
      <c r="DX136" s="587" t="n"/>
      <c r="DY136" s="587" t="n"/>
      <c r="DZ136" s="587" t="n"/>
      <c r="EA136" s="587" t="n"/>
      <c r="EB136" s="587" t="n"/>
      <c r="EC136" s="587" t="n"/>
      <c r="ED136" s="587" t="n"/>
      <c r="EE136" s="587" t="n"/>
      <c r="EF136" s="587" t="n"/>
      <c r="EG136" s="587" t="n"/>
      <c r="EH136" s="587" t="n"/>
      <c r="EI136" s="587" t="n"/>
      <c r="EJ136" s="587" t="n"/>
      <c r="EK136" s="587" t="n"/>
      <c r="EL136" s="587" t="n"/>
      <c r="EM136" s="587" t="n"/>
      <c r="EN136" s="587" t="n"/>
      <c r="EO136" s="587" t="n"/>
      <c r="EP136" s="587" t="n"/>
      <c r="EQ136" s="587" t="n"/>
      <c r="ER136" s="587" t="n"/>
      <c r="ES136" s="587" t="n"/>
      <c r="ET136" s="587" t="n"/>
      <c r="EU136" s="587" t="n"/>
      <c r="EV136" s="587" t="n"/>
      <c r="EW136" s="587" t="n"/>
      <c r="EX136" s="587" t="n"/>
      <c r="EY136" s="587" t="n"/>
      <c r="EZ136" s="587" t="n"/>
      <c r="FA136" s="587" t="n"/>
      <c r="FB136" s="587" t="n"/>
      <c r="FC136" s="587" t="n"/>
      <c r="FD136" s="587" t="n"/>
      <c r="FE136" s="587" t="n"/>
      <c r="FF136" s="587" t="n"/>
      <c r="FG136" s="587" t="n"/>
      <c r="FH136" s="587" t="n"/>
      <c r="FI136" s="587" t="n"/>
      <c r="FJ136" s="587" t="n"/>
      <c r="FK136" s="587" t="n"/>
      <c r="FL136" s="587" t="n"/>
      <c r="FM136" s="587" t="n"/>
      <c r="FN136" s="587" t="n"/>
      <c r="FO136" s="587" t="n"/>
      <c r="FP136" s="587" t="n"/>
      <c r="FQ136" s="587" t="n"/>
      <c r="FR136" s="587" t="n"/>
      <c r="FS136" s="587" t="n"/>
      <c r="FT136" s="587" t="n"/>
      <c r="FU136" s="587" t="n"/>
      <c r="FV136" s="587" t="n"/>
      <c r="FW136" s="587" t="n"/>
      <c r="FX136" s="587" t="n"/>
      <c r="FY136" s="587" t="n"/>
      <c r="FZ136" s="587" t="n"/>
      <c r="GA136" s="587" t="n"/>
    </row>
    <row r="137" customFormat="1" s="568">
      <c r="A137" s="86" t="n"/>
      <c r="B137" s="85" t="n"/>
      <c r="C137" s="84">
        <f>E137*D$5</f>
        <v/>
      </c>
      <c r="D137" s="68" t="n"/>
      <c r="E137" s="84">
        <f>SUM(G137:HT137)</f>
        <v/>
      </c>
      <c r="F137" s="568">
        <f>IFERROR(IF($E137&gt;0.0000005,$E137/SUMIF($E$11:$E$140,"&gt;0.0000005"),""),"")</f>
        <v/>
      </c>
      <c r="Q137" s="574" t="n"/>
      <c r="Z137" s="574" t="n"/>
      <c r="AA137" s="574" t="n"/>
      <c r="AB137" s="574" t="n"/>
      <c r="AC137" s="574" t="n"/>
      <c r="AD137" s="574" t="n"/>
      <c r="AE137" s="574" t="n"/>
      <c r="AF137" s="574" t="n"/>
      <c r="AH137" s="574" t="n"/>
      <c r="AJ137" s="574" t="n"/>
      <c r="CM137" s="587" t="n"/>
      <c r="CN137" s="587" t="n"/>
      <c r="CO137" s="587" t="n"/>
      <c r="CP137" s="587" t="n"/>
      <c r="CQ137" s="587" t="n"/>
      <c r="CR137" s="587" t="n"/>
      <c r="CS137" s="587" t="n"/>
      <c r="CT137" s="587" t="n"/>
      <c r="CU137" s="587" t="n"/>
      <c r="CV137" s="587" t="n"/>
      <c r="CW137" s="587" t="n"/>
      <c r="CX137" s="587" t="n"/>
      <c r="CY137" s="587" t="n"/>
      <c r="CZ137" s="587" t="n"/>
      <c r="DA137" s="587" t="n"/>
      <c r="DB137" s="587" t="n"/>
      <c r="DC137" s="587" t="n"/>
      <c r="DD137" s="587" t="n"/>
      <c r="DE137" s="587" t="n"/>
      <c r="DF137" s="587" t="n"/>
      <c r="DG137" s="587" t="n"/>
      <c r="DH137" s="587" t="n"/>
      <c r="DI137" s="587" t="n"/>
      <c r="DJ137" s="587" t="n"/>
      <c r="DK137" s="587" t="n"/>
      <c r="DL137" s="587" t="n"/>
      <c r="DM137" s="587" t="n"/>
      <c r="DN137" s="587" t="n"/>
      <c r="DO137" s="587" t="n"/>
      <c r="DP137" s="587" t="n"/>
      <c r="DQ137" s="587" t="n"/>
      <c r="DR137" s="587" t="n"/>
      <c r="DS137" s="587" t="n"/>
      <c r="DT137" s="587" t="n"/>
      <c r="DU137" s="587" t="n"/>
      <c r="DV137" s="587" t="n"/>
      <c r="DW137" s="587" t="n"/>
      <c r="DX137" s="587" t="n"/>
      <c r="DY137" s="587" t="n"/>
      <c r="DZ137" s="587" t="n"/>
      <c r="EA137" s="587" t="n"/>
      <c r="EB137" s="587" t="n"/>
      <c r="EC137" s="587" t="n"/>
      <c r="ED137" s="587" t="n"/>
      <c r="EE137" s="587" t="n"/>
      <c r="EF137" s="587" t="n"/>
      <c r="EG137" s="587" t="n"/>
      <c r="EH137" s="587" t="n"/>
      <c r="EI137" s="587" t="n"/>
      <c r="EJ137" s="587" t="n"/>
      <c r="EK137" s="587" t="n"/>
      <c r="EL137" s="587" t="n"/>
      <c r="EM137" s="587" t="n"/>
      <c r="EN137" s="587" t="n"/>
      <c r="EO137" s="587" t="n"/>
      <c r="EP137" s="587" t="n"/>
      <c r="EQ137" s="587" t="n"/>
      <c r="ER137" s="587" t="n"/>
      <c r="ES137" s="587" t="n"/>
      <c r="ET137" s="587" t="n"/>
      <c r="EU137" s="587" t="n"/>
      <c r="EV137" s="587" t="n"/>
      <c r="EW137" s="587" t="n"/>
      <c r="EX137" s="587" t="n"/>
      <c r="EY137" s="587" t="n"/>
      <c r="EZ137" s="587" t="n"/>
      <c r="FA137" s="587" t="n"/>
      <c r="FB137" s="587" t="n"/>
      <c r="FC137" s="587" t="n"/>
      <c r="FD137" s="587" t="n"/>
      <c r="FE137" s="587" t="n"/>
      <c r="FF137" s="587" t="n"/>
      <c r="FG137" s="587" t="n"/>
      <c r="FH137" s="587" t="n"/>
      <c r="FI137" s="587" t="n"/>
      <c r="FJ137" s="587" t="n"/>
      <c r="FK137" s="587" t="n"/>
      <c r="FL137" s="587" t="n"/>
      <c r="FM137" s="587" t="n"/>
      <c r="FN137" s="587" t="n"/>
      <c r="FO137" s="587" t="n"/>
      <c r="FP137" s="587" t="n"/>
      <c r="FQ137" s="587" t="n"/>
      <c r="FR137" s="587" t="n"/>
      <c r="FS137" s="587" t="n"/>
      <c r="FT137" s="587" t="n"/>
      <c r="FU137" s="587" t="n"/>
      <c r="FV137" s="587" t="n"/>
      <c r="FW137" s="587" t="n"/>
      <c r="FX137" s="587" t="n"/>
      <c r="FY137" s="587" t="n"/>
      <c r="FZ137" s="587" t="n"/>
      <c r="GA137" s="587" t="n"/>
    </row>
    <row r="138" customFormat="1" s="568">
      <c r="A138" s="86" t="n"/>
      <c r="B138" s="85" t="n"/>
      <c r="C138" s="84">
        <f>E138*D$5</f>
        <v/>
      </c>
      <c r="D138" s="68" t="n"/>
      <c r="E138" s="84">
        <f>SUM(G138:HT138)</f>
        <v/>
      </c>
      <c r="F138" s="568">
        <f>IFERROR(IF($E138&gt;0.0000005,$E138/SUMIF($E$11:$E$140,"&gt;0.0000005"),""),"")</f>
        <v/>
      </c>
      <c r="Q138" s="574" t="n"/>
      <c r="Z138" s="574" t="n"/>
      <c r="AA138" s="574" t="n"/>
      <c r="AB138" s="574" t="n"/>
      <c r="AC138" s="574" t="n"/>
      <c r="AD138" s="574" t="n"/>
      <c r="AE138" s="574" t="n"/>
      <c r="AF138" s="574" t="n"/>
      <c r="AH138" s="574" t="n"/>
      <c r="AJ138" s="574" t="n"/>
      <c r="CM138" s="587" t="n"/>
      <c r="CN138" s="587" t="n"/>
      <c r="CO138" s="587" t="n"/>
      <c r="CP138" s="587" t="n"/>
      <c r="CQ138" s="587" t="n"/>
      <c r="CR138" s="587" t="n"/>
      <c r="CS138" s="587" t="n"/>
      <c r="CT138" s="587" t="n"/>
      <c r="CU138" s="587" t="n"/>
      <c r="CV138" s="587" t="n"/>
      <c r="CW138" s="587" t="n"/>
      <c r="CX138" s="587" t="n"/>
      <c r="CY138" s="587" t="n"/>
      <c r="CZ138" s="587" t="n"/>
      <c r="DA138" s="587" t="n"/>
      <c r="DB138" s="587" t="n"/>
      <c r="DC138" s="587" t="n"/>
      <c r="DD138" s="587" t="n"/>
      <c r="DE138" s="587" t="n"/>
      <c r="DF138" s="587" t="n"/>
      <c r="DG138" s="587" t="n"/>
      <c r="DH138" s="587" t="n"/>
      <c r="DI138" s="587" t="n"/>
      <c r="DJ138" s="587" t="n"/>
      <c r="DK138" s="587" t="n"/>
      <c r="DL138" s="587" t="n"/>
      <c r="DM138" s="587" t="n"/>
      <c r="DN138" s="587" t="n"/>
      <c r="DO138" s="587" t="n"/>
      <c r="DP138" s="587" t="n"/>
      <c r="DQ138" s="587" t="n"/>
      <c r="DR138" s="587" t="n"/>
      <c r="DS138" s="587" t="n"/>
      <c r="DT138" s="587" t="n"/>
      <c r="DU138" s="587" t="n"/>
      <c r="DV138" s="587" t="n"/>
      <c r="DW138" s="587" t="n"/>
      <c r="DX138" s="587" t="n"/>
      <c r="DY138" s="587" t="n"/>
      <c r="DZ138" s="587" t="n"/>
      <c r="EA138" s="587" t="n"/>
      <c r="EB138" s="587" t="n"/>
      <c r="EC138" s="587" t="n"/>
      <c r="ED138" s="587" t="n"/>
      <c r="EE138" s="587" t="n"/>
      <c r="EF138" s="587" t="n"/>
      <c r="EG138" s="587" t="n"/>
      <c r="EH138" s="587" t="n"/>
      <c r="EI138" s="587" t="n"/>
      <c r="EJ138" s="587" t="n"/>
      <c r="EK138" s="587" t="n"/>
      <c r="EL138" s="587" t="n"/>
      <c r="EM138" s="587" t="n"/>
      <c r="EN138" s="587" t="n"/>
      <c r="EO138" s="587" t="n"/>
      <c r="EP138" s="587" t="n"/>
      <c r="EQ138" s="587" t="n"/>
      <c r="ER138" s="587" t="n"/>
      <c r="ES138" s="587" t="n"/>
      <c r="ET138" s="587" t="n"/>
      <c r="EU138" s="587" t="n"/>
      <c r="EV138" s="587" t="n"/>
      <c r="EW138" s="587" t="n"/>
      <c r="EX138" s="587" t="n"/>
      <c r="EY138" s="587" t="n"/>
      <c r="EZ138" s="587" t="n"/>
      <c r="FA138" s="587" t="n"/>
      <c r="FB138" s="587" t="n"/>
      <c r="FC138" s="587" t="n"/>
      <c r="FD138" s="587" t="n"/>
      <c r="FE138" s="587" t="n"/>
      <c r="FF138" s="587" t="n"/>
      <c r="FG138" s="587" t="n"/>
      <c r="FH138" s="587" t="n"/>
      <c r="FI138" s="587" t="n"/>
      <c r="FJ138" s="587" t="n"/>
      <c r="FK138" s="587" t="n"/>
      <c r="FL138" s="587" t="n"/>
      <c r="FM138" s="587" t="n"/>
      <c r="FN138" s="587" t="n"/>
      <c r="FO138" s="587" t="n"/>
      <c r="FP138" s="587" t="n"/>
      <c r="FQ138" s="587" t="n"/>
      <c r="FR138" s="587" t="n"/>
      <c r="FS138" s="587" t="n"/>
      <c r="FT138" s="587" t="n"/>
      <c r="FU138" s="587" t="n"/>
      <c r="FV138" s="587" t="n"/>
      <c r="FW138" s="587" t="n"/>
      <c r="FX138" s="587" t="n"/>
      <c r="FY138" s="587" t="n"/>
      <c r="FZ138" s="587" t="n"/>
      <c r="GA138" s="587" t="n"/>
    </row>
    <row r="139" customFormat="1" s="568">
      <c r="A139" s="86" t="n"/>
      <c r="B139" s="85" t="n"/>
      <c r="C139" s="84">
        <f>E139*D$5</f>
        <v/>
      </c>
      <c r="D139" s="68" t="n"/>
      <c r="E139" s="84">
        <f>SUM(G139:HT139)</f>
        <v/>
      </c>
      <c r="F139" s="568">
        <f>IFERROR(IF($E139&gt;0.0000005,$E139/SUMIF($E$11:$E$140,"&gt;0.0000005"),""),"")</f>
        <v/>
      </c>
      <c r="Q139" s="574" t="n"/>
      <c r="Z139" s="574" t="n"/>
      <c r="AA139" s="574" t="n"/>
      <c r="AB139" s="574" t="n"/>
      <c r="AC139" s="574" t="n"/>
      <c r="AD139" s="574" t="n"/>
      <c r="AE139" s="574" t="n"/>
      <c r="AF139" s="574" t="n"/>
      <c r="AH139" s="574" t="n"/>
      <c r="AJ139" s="574" t="n"/>
      <c r="CM139" s="587" t="n"/>
      <c r="CN139" s="587" t="n"/>
      <c r="CO139" s="587" t="n"/>
      <c r="CP139" s="587" t="n"/>
      <c r="CQ139" s="587" t="n"/>
      <c r="CR139" s="587" t="n"/>
      <c r="CS139" s="587" t="n"/>
      <c r="CT139" s="587" t="n"/>
      <c r="CU139" s="587" t="n"/>
      <c r="CV139" s="587" t="n"/>
      <c r="CW139" s="587" t="n"/>
      <c r="CX139" s="587" t="n"/>
      <c r="CY139" s="587" t="n"/>
      <c r="CZ139" s="587" t="n"/>
      <c r="DA139" s="587" t="n"/>
      <c r="DB139" s="587" t="n"/>
      <c r="DC139" s="587" t="n"/>
      <c r="DD139" s="587" t="n"/>
      <c r="DE139" s="587" t="n"/>
      <c r="DF139" s="587" t="n"/>
      <c r="DG139" s="587" t="n"/>
      <c r="DH139" s="587" t="n"/>
      <c r="DI139" s="587" t="n"/>
      <c r="DJ139" s="587" t="n"/>
      <c r="DK139" s="587" t="n"/>
      <c r="DL139" s="587" t="n"/>
      <c r="DM139" s="587" t="n"/>
      <c r="DN139" s="587" t="n"/>
      <c r="DO139" s="587" t="n"/>
      <c r="DP139" s="587" t="n"/>
      <c r="DQ139" s="587" t="n"/>
      <c r="DR139" s="587" t="n"/>
      <c r="DS139" s="587" t="n"/>
      <c r="DT139" s="587" t="n"/>
      <c r="DU139" s="587" t="n"/>
      <c r="DV139" s="587" t="n"/>
      <c r="DW139" s="587" t="n"/>
      <c r="DX139" s="587" t="n"/>
      <c r="DY139" s="587" t="n"/>
      <c r="DZ139" s="587" t="n"/>
      <c r="EA139" s="587" t="n"/>
      <c r="EB139" s="587" t="n"/>
      <c r="EC139" s="587" t="n"/>
      <c r="ED139" s="587" t="n"/>
      <c r="EE139" s="587" t="n"/>
      <c r="EF139" s="587" t="n"/>
      <c r="EG139" s="587" t="n"/>
      <c r="EH139" s="587" t="n"/>
      <c r="EI139" s="587" t="n"/>
      <c r="EJ139" s="587" t="n"/>
      <c r="EK139" s="587" t="n"/>
      <c r="EL139" s="587" t="n"/>
      <c r="EM139" s="587" t="n"/>
      <c r="EN139" s="587" t="n"/>
      <c r="EO139" s="587" t="n"/>
      <c r="EP139" s="587" t="n"/>
      <c r="EQ139" s="587" t="n"/>
      <c r="ER139" s="587" t="n"/>
      <c r="ES139" s="587" t="n"/>
      <c r="ET139" s="587" t="n"/>
      <c r="EU139" s="587" t="n"/>
      <c r="EV139" s="587" t="n"/>
      <c r="EW139" s="587" t="n"/>
      <c r="EX139" s="587" t="n"/>
      <c r="EY139" s="587" t="n"/>
      <c r="EZ139" s="587" t="n"/>
      <c r="FA139" s="587" t="n"/>
      <c r="FB139" s="587" t="n"/>
      <c r="FC139" s="587" t="n"/>
      <c r="FD139" s="587" t="n"/>
      <c r="FE139" s="587" t="n"/>
      <c r="FF139" s="587" t="n"/>
      <c r="FG139" s="587" t="n"/>
      <c r="FH139" s="587" t="n"/>
      <c r="FI139" s="587" t="n"/>
      <c r="FJ139" s="587" t="n"/>
      <c r="FK139" s="587" t="n"/>
      <c r="FL139" s="587" t="n"/>
      <c r="FM139" s="587" t="n"/>
      <c r="FN139" s="587" t="n"/>
      <c r="FO139" s="587" t="n"/>
      <c r="FP139" s="587" t="n"/>
      <c r="FQ139" s="587" t="n"/>
      <c r="FR139" s="587" t="n"/>
      <c r="FS139" s="587" t="n"/>
      <c r="FT139" s="587" t="n"/>
      <c r="FU139" s="587" t="n"/>
      <c r="FV139" s="587" t="n"/>
      <c r="FW139" s="587" t="n"/>
      <c r="FX139" s="587" t="n"/>
      <c r="FY139" s="587" t="n"/>
      <c r="FZ139" s="587" t="n"/>
      <c r="GA139" s="587" t="n"/>
    </row>
    <row r="140" customFormat="1" s="568">
      <c r="A140" s="86" t="n"/>
      <c r="B140" s="85" t="n"/>
      <c r="C140" s="84">
        <f>E140*D$5</f>
        <v/>
      </c>
      <c r="D140" s="68" t="n"/>
      <c r="E140" s="84">
        <f>SUM(G140:HT140)</f>
        <v/>
      </c>
      <c r="F140" s="568">
        <f>IFERROR(IF($E140&gt;0.0000005,$E140/SUMIF($E$11:$E$140,"&gt;0.0000005"),""),"")</f>
        <v/>
      </c>
      <c r="Q140" s="574" t="n"/>
      <c r="Z140" s="574" t="n"/>
      <c r="AA140" s="574" t="n"/>
      <c r="AB140" s="574" t="n"/>
      <c r="AC140" s="574" t="n"/>
      <c r="AD140" s="574" t="n"/>
      <c r="AE140" s="574" t="n"/>
      <c r="AF140" s="574" t="n"/>
      <c r="AH140" s="574" t="n"/>
      <c r="AJ140" s="574" t="n"/>
      <c r="CM140" s="587" t="n"/>
      <c r="CN140" s="587" t="n"/>
      <c r="CO140" s="587" t="n"/>
      <c r="CP140" s="587" t="n"/>
      <c r="CQ140" s="587" t="n"/>
      <c r="CR140" s="587" t="n"/>
      <c r="CS140" s="587" t="n"/>
      <c r="CT140" s="587" t="n"/>
      <c r="CU140" s="587" t="n"/>
      <c r="CV140" s="587" t="n"/>
      <c r="CW140" s="587" t="n"/>
      <c r="CX140" s="587" t="n"/>
      <c r="CY140" s="587" t="n"/>
      <c r="CZ140" s="587" t="n"/>
      <c r="DA140" s="587" t="n"/>
      <c r="DB140" s="587" t="n"/>
      <c r="DC140" s="587" t="n"/>
      <c r="DD140" s="587" t="n"/>
      <c r="DE140" s="587" t="n"/>
      <c r="DF140" s="587" t="n"/>
      <c r="DG140" s="587" t="n"/>
      <c r="DH140" s="587" t="n"/>
      <c r="DI140" s="587" t="n"/>
      <c r="DJ140" s="587" t="n"/>
      <c r="DK140" s="587" t="n"/>
      <c r="DL140" s="587" t="n"/>
      <c r="DM140" s="587" t="n"/>
      <c r="DN140" s="587" t="n"/>
      <c r="DO140" s="587" t="n"/>
      <c r="DP140" s="587" t="n"/>
      <c r="DQ140" s="587" t="n"/>
      <c r="DR140" s="587" t="n"/>
      <c r="DS140" s="587" t="n"/>
      <c r="DT140" s="587" t="n"/>
      <c r="DU140" s="587" t="n"/>
      <c r="DV140" s="587" t="n"/>
      <c r="DW140" s="587" t="n"/>
      <c r="DX140" s="587" t="n"/>
      <c r="DY140" s="587" t="n"/>
      <c r="DZ140" s="587" t="n"/>
      <c r="EA140" s="587" t="n"/>
      <c r="EB140" s="587" t="n"/>
      <c r="EC140" s="587" t="n"/>
      <c r="ED140" s="587" t="n"/>
      <c r="EE140" s="587" t="n"/>
      <c r="EF140" s="587" t="n"/>
      <c r="EG140" s="587" t="n"/>
      <c r="EH140" s="587" t="n"/>
      <c r="EI140" s="587" t="n"/>
      <c r="EJ140" s="587" t="n"/>
      <c r="EK140" s="587" t="n"/>
      <c r="EL140" s="587" t="n"/>
      <c r="EM140" s="587" t="n"/>
      <c r="EN140" s="587" t="n"/>
      <c r="EO140" s="587" t="n"/>
      <c r="EP140" s="587" t="n"/>
      <c r="EQ140" s="587" t="n"/>
      <c r="ER140" s="587" t="n"/>
      <c r="ES140" s="587" t="n"/>
      <c r="ET140" s="587" t="n"/>
      <c r="EU140" s="587" t="n"/>
      <c r="EV140" s="587" t="n"/>
      <c r="EW140" s="587" t="n"/>
      <c r="EX140" s="587" t="n"/>
      <c r="EY140" s="587" t="n"/>
      <c r="EZ140" s="587" t="n"/>
      <c r="FA140" s="587" t="n"/>
      <c r="FB140" s="587" t="n"/>
      <c r="FC140" s="587" t="n"/>
      <c r="FD140" s="587" t="n"/>
      <c r="FE140" s="587" t="n"/>
      <c r="FF140" s="587" t="n"/>
      <c r="FG140" s="587" t="n"/>
      <c r="FH140" s="587" t="n"/>
      <c r="FI140" s="587" t="n"/>
      <c r="FJ140" s="587" t="n"/>
      <c r="FK140" s="587" t="n"/>
      <c r="FL140" s="587" t="n"/>
      <c r="FM140" s="587" t="n"/>
      <c r="FN140" s="587" t="n"/>
      <c r="FO140" s="587" t="n"/>
      <c r="FP140" s="587" t="n"/>
      <c r="FQ140" s="587" t="n"/>
      <c r="FR140" s="587" t="n"/>
      <c r="FS140" s="587" t="n"/>
      <c r="FT140" s="587" t="n"/>
      <c r="FU140" s="587" t="n"/>
      <c r="FV140" s="587" t="n"/>
      <c r="FW140" s="587" t="n"/>
      <c r="FX140" s="587" t="n"/>
      <c r="FY140" s="587" t="n"/>
      <c r="FZ140" s="587" t="n"/>
      <c r="GA140" s="587" t="n"/>
    </row>
    <row r="141" customFormat="1" s="568">
      <c r="A141" s="86" t="n"/>
      <c r="B141" s="85" t="n"/>
      <c r="C141" s="84">
        <f>E141*D$5</f>
        <v/>
      </c>
      <c r="D141" s="68" t="n"/>
      <c r="E141" s="84">
        <f>SUM(G141:HT141)</f>
        <v/>
      </c>
      <c r="Q141" s="574" t="n"/>
      <c r="Z141" s="574" t="n"/>
      <c r="AA141" s="574" t="n"/>
      <c r="AB141" s="574" t="n"/>
      <c r="AC141" s="574" t="n"/>
      <c r="AD141" s="574" t="n"/>
      <c r="AE141" s="574" t="n"/>
      <c r="AF141" s="574" t="n"/>
      <c r="AH141" s="574" t="n"/>
      <c r="AJ141" s="574" t="n"/>
      <c r="CM141" s="587" t="n"/>
      <c r="CN141" s="587" t="n"/>
      <c r="CO141" s="587" t="n"/>
      <c r="CP141" s="587" t="n"/>
      <c r="CQ141" s="587" t="n"/>
      <c r="CR141" s="587" t="n"/>
      <c r="CS141" s="587" t="n"/>
      <c r="CT141" s="587" t="n"/>
      <c r="CU141" s="587" t="n"/>
      <c r="CV141" s="587" t="n"/>
      <c r="CW141" s="587" t="n"/>
      <c r="CX141" s="587" t="n"/>
      <c r="CY141" s="587" t="n"/>
      <c r="CZ141" s="587" t="n"/>
      <c r="DA141" s="587" t="n"/>
      <c r="DB141" s="587" t="n"/>
      <c r="DC141" s="587" t="n"/>
      <c r="DD141" s="587" t="n"/>
      <c r="DE141" s="587" t="n"/>
      <c r="DF141" s="587" t="n"/>
      <c r="DG141" s="587" t="n"/>
      <c r="DH141" s="587" t="n"/>
      <c r="DI141" s="587" t="n"/>
      <c r="DJ141" s="587" t="n"/>
      <c r="DK141" s="587" t="n"/>
      <c r="DL141" s="587" t="n"/>
      <c r="DM141" s="587" t="n"/>
      <c r="DN141" s="587" t="n"/>
      <c r="DO141" s="587" t="n"/>
      <c r="DP141" s="587" t="n"/>
      <c r="DQ141" s="587" t="n"/>
      <c r="DR141" s="587" t="n"/>
      <c r="DS141" s="587" t="n"/>
      <c r="DT141" s="587" t="n"/>
      <c r="DU141" s="587" t="n"/>
      <c r="DV141" s="587" t="n"/>
      <c r="DW141" s="587" t="n"/>
      <c r="DX141" s="587" t="n"/>
      <c r="DY141" s="587" t="n"/>
      <c r="DZ141" s="587" t="n"/>
      <c r="EA141" s="587" t="n"/>
      <c r="EB141" s="587" t="n"/>
      <c r="EC141" s="587" t="n"/>
      <c r="ED141" s="587" t="n"/>
      <c r="EE141" s="587" t="n"/>
      <c r="EF141" s="587" t="n"/>
      <c r="EG141" s="587" t="n"/>
      <c r="EH141" s="587" t="n"/>
      <c r="EI141" s="587" t="n"/>
      <c r="EJ141" s="587" t="n"/>
      <c r="EK141" s="587" t="n"/>
      <c r="EL141" s="587" t="n"/>
      <c r="EM141" s="587" t="n"/>
      <c r="EN141" s="587" t="n"/>
      <c r="EO141" s="587" t="n"/>
      <c r="EP141" s="587" t="n"/>
      <c r="EQ141" s="587" t="n"/>
      <c r="ER141" s="587" t="n"/>
      <c r="ES141" s="587" t="n"/>
      <c r="ET141" s="587" t="n"/>
      <c r="EU141" s="587" t="n"/>
      <c r="EV141" s="587" t="n"/>
      <c r="EW141" s="587" t="n"/>
      <c r="EX141" s="587" t="n"/>
      <c r="EY141" s="587" t="n"/>
      <c r="EZ141" s="587" t="n"/>
      <c r="FA141" s="587" t="n"/>
      <c r="FB141" s="587" t="n"/>
      <c r="FC141" s="587" t="n"/>
      <c r="FD141" s="587" t="n"/>
      <c r="FE141" s="587" t="n"/>
      <c r="FF141" s="587" t="n"/>
      <c r="FG141" s="587" t="n"/>
      <c r="FH141" s="587" t="n"/>
      <c r="FI141" s="587" t="n"/>
      <c r="FJ141" s="587" t="n"/>
      <c r="FK141" s="587" t="n"/>
      <c r="FL141" s="587" t="n"/>
      <c r="FM141" s="587" t="n"/>
      <c r="FN141" s="587" t="n"/>
      <c r="FO141" s="587" t="n"/>
      <c r="FP141" s="587" t="n"/>
      <c r="FQ141" s="587" t="n"/>
      <c r="FR141" s="587" t="n"/>
      <c r="FS141" s="587" t="n"/>
      <c r="FT141" s="587" t="n"/>
      <c r="FU141" s="587" t="n"/>
      <c r="FV141" s="587" t="n"/>
      <c r="FW141" s="587" t="n"/>
      <c r="FX141" s="587" t="n"/>
      <c r="FY141" s="587" t="n"/>
      <c r="FZ141" s="587" t="n"/>
      <c r="GA141" s="587" t="n"/>
    </row>
    <row r="142" customFormat="1" s="568">
      <c r="A142" s="86" t="n"/>
      <c r="B142" s="85" t="n"/>
      <c r="C142" s="84">
        <f>E142*D$5</f>
        <v/>
      </c>
      <c r="D142" s="68" t="n"/>
      <c r="E142" s="84">
        <f>SUM(G142:HT142)</f>
        <v/>
      </c>
      <c r="Q142" s="574" t="n"/>
      <c r="Z142" s="574" t="n"/>
      <c r="AA142" s="574" t="n"/>
      <c r="AB142" s="574" t="n"/>
      <c r="AC142" s="574" t="n"/>
      <c r="AD142" s="574" t="n"/>
      <c r="AE142" s="574" t="n"/>
      <c r="AF142" s="574" t="n"/>
      <c r="AH142" s="574" t="n"/>
      <c r="AJ142" s="574" t="n"/>
      <c r="CM142" s="587" t="n"/>
      <c r="CN142" s="587" t="n"/>
      <c r="CO142" s="587" t="n"/>
      <c r="CP142" s="587" t="n"/>
      <c r="CQ142" s="587" t="n"/>
      <c r="CR142" s="587" t="n"/>
      <c r="CS142" s="587" t="n"/>
      <c r="CT142" s="587" t="n"/>
      <c r="CU142" s="587" t="n"/>
      <c r="CV142" s="587" t="n"/>
      <c r="CW142" s="587" t="n"/>
      <c r="CX142" s="587" t="n"/>
      <c r="CY142" s="587" t="n"/>
      <c r="CZ142" s="587" t="n"/>
      <c r="DA142" s="587" t="n"/>
      <c r="DB142" s="587" t="n"/>
      <c r="DC142" s="587" t="n"/>
      <c r="DD142" s="587" t="n"/>
      <c r="DE142" s="587" t="n"/>
      <c r="DF142" s="587" t="n"/>
      <c r="DG142" s="587" t="n"/>
      <c r="DH142" s="587" t="n"/>
      <c r="DI142" s="587" t="n"/>
      <c r="DJ142" s="587" t="n"/>
      <c r="DK142" s="587" t="n"/>
      <c r="DL142" s="587" t="n"/>
      <c r="DM142" s="587" t="n"/>
      <c r="DN142" s="587" t="n"/>
      <c r="DO142" s="587" t="n"/>
      <c r="DP142" s="587" t="n"/>
      <c r="DQ142" s="587" t="n"/>
      <c r="DR142" s="587" t="n"/>
      <c r="DS142" s="587" t="n"/>
      <c r="DT142" s="587" t="n"/>
      <c r="DU142" s="587" t="n"/>
      <c r="DV142" s="587" t="n"/>
      <c r="DW142" s="587" t="n"/>
      <c r="DX142" s="587" t="n"/>
      <c r="DY142" s="587" t="n"/>
      <c r="DZ142" s="587" t="n"/>
      <c r="EA142" s="587" t="n"/>
      <c r="EB142" s="587" t="n"/>
      <c r="EC142" s="587" t="n"/>
      <c r="ED142" s="587" t="n"/>
      <c r="EE142" s="587" t="n"/>
      <c r="EF142" s="587" t="n"/>
      <c r="EG142" s="587" t="n"/>
      <c r="EH142" s="587" t="n"/>
      <c r="EI142" s="587" t="n"/>
      <c r="EJ142" s="587" t="n"/>
      <c r="EK142" s="587" t="n"/>
      <c r="EL142" s="587" t="n"/>
      <c r="EM142" s="587" t="n"/>
      <c r="EN142" s="587" t="n"/>
      <c r="EO142" s="587" t="n"/>
      <c r="EP142" s="587" t="n"/>
      <c r="EQ142" s="587" t="n"/>
      <c r="ER142" s="587" t="n"/>
      <c r="ES142" s="587" t="n"/>
      <c r="ET142" s="587" t="n"/>
      <c r="EU142" s="587" t="n"/>
      <c r="EV142" s="587" t="n"/>
      <c r="EW142" s="587" t="n"/>
      <c r="EX142" s="587" t="n"/>
      <c r="EY142" s="587" t="n"/>
      <c r="EZ142" s="587" t="n"/>
      <c r="FA142" s="587" t="n"/>
      <c r="FB142" s="587" t="n"/>
      <c r="FC142" s="587" t="n"/>
      <c r="FD142" s="587" t="n"/>
      <c r="FE142" s="587" t="n"/>
      <c r="FF142" s="587" t="n"/>
      <c r="FG142" s="587" t="n"/>
      <c r="FH142" s="587" t="n"/>
      <c r="FI142" s="587" t="n"/>
      <c r="FJ142" s="587" t="n"/>
      <c r="FK142" s="587" t="n"/>
      <c r="FL142" s="587" t="n"/>
      <c r="FM142" s="587" t="n"/>
      <c r="FN142" s="587" t="n"/>
      <c r="FO142" s="587" t="n"/>
      <c r="FP142" s="587" t="n"/>
      <c r="FQ142" s="587" t="n"/>
      <c r="FR142" s="587" t="n"/>
      <c r="FS142" s="587" t="n"/>
      <c r="FT142" s="587" t="n"/>
      <c r="FU142" s="587" t="n"/>
      <c r="FV142" s="587" t="n"/>
      <c r="FW142" s="587" t="n"/>
      <c r="FX142" s="587" t="n"/>
      <c r="FY142" s="587" t="n"/>
      <c r="FZ142" s="587" t="n"/>
      <c r="GA142" s="587" t="n"/>
    </row>
    <row r="143" customFormat="1" s="568">
      <c r="A143" s="86" t="n"/>
      <c r="B143" s="85" t="n"/>
      <c r="C143" s="84">
        <f>E143*D$5</f>
        <v/>
      </c>
      <c r="D143" s="68" t="n"/>
      <c r="E143" s="84">
        <f>SUM(G143:HT143)</f>
        <v/>
      </c>
      <c r="Q143" s="574" t="n"/>
      <c r="Z143" s="574" t="n"/>
      <c r="AA143" s="574" t="n"/>
      <c r="AB143" s="574" t="n"/>
      <c r="AC143" s="574" t="n"/>
      <c r="AD143" s="574" t="n"/>
      <c r="AE143" s="574" t="n"/>
      <c r="AF143" s="574" t="n"/>
      <c r="AH143" s="574" t="n"/>
      <c r="AJ143" s="574" t="n"/>
      <c r="CM143" s="587" t="n"/>
      <c r="CN143" s="587" t="n"/>
      <c r="CO143" s="587" t="n"/>
      <c r="CP143" s="587" t="n"/>
      <c r="CQ143" s="587" t="n"/>
      <c r="CR143" s="587" t="n"/>
      <c r="CS143" s="587" t="n"/>
      <c r="CT143" s="587" t="n"/>
      <c r="CU143" s="587" t="n"/>
      <c r="CV143" s="587" t="n"/>
      <c r="CW143" s="587" t="n"/>
      <c r="CX143" s="587" t="n"/>
      <c r="CY143" s="587" t="n"/>
      <c r="CZ143" s="587" t="n"/>
      <c r="DA143" s="587" t="n"/>
      <c r="DB143" s="587" t="n"/>
      <c r="DC143" s="587" t="n"/>
      <c r="DD143" s="587" t="n"/>
      <c r="DE143" s="587" t="n"/>
      <c r="DF143" s="587" t="n"/>
      <c r="DG143" s="587" t="n"/>
      <c r="DH143" s="587" t="n"/>
      <c r="DI143" s="587" t="n"/>
      <c r="DJ143" s="587" t="n"/>
      <c r="DK143" s="587" t="n"/>
      <c r="DL143" s="587" t="n"/>
      <c r="DM143" s="587" t="n"/>
      <c r="DN143" s="587" t="n"/>
      <c r="DO143" s="587" t="n"/>
      <c r="DP143" s="587" t="n"/>
      <c r="DQ143" s="587" t="n"/>
      <c r="DR143" s="587" t="n"/>
      <c r="DS143" s="587" t="n"/>
      <c r="DT143" s="587" t="n"/>
      <c r="DU143" s="587" t="n"/>
      <c r="DV143" s="587" t="n"/>
      <c r="DW143" s="587" t="n"/>
      <c r="DX143" s="587" t="n"/>
      <c r="DY143" s="587" t="n"/>
      <c r="DZ143" s="587" t="n"/>
      <c r="EA143" s="587" t="n"/>
      <c r="EB143" s="587" t="n"/>
      <c r="EC143" s="587" t="n"/>
      <c r="ED143" s="587" t="n"/>
      <c r="EE143" s="587" t="n"/>
      <c r="EF143" s="587" t="n"/>
      <c r="EG143" s="587" t="n"/>
      <c r="EH143" s="587" t="n"/>
      <c r="EI143" s="587" t="n"/>
      <c r="EJ143" s="587" t="n"/>
      <c r="EK143" s="587" t="n"/>
      <c r="EL143" s="587" t="n"/>
      <c r="EM143" s="587" t="n"/>
      <c r="EN143" s="587" t="n"/>
      <c r="EO143" s="587" t="n"/>
      <c r="EP143" s="587" t="n"/>
      <c r="EQ143" s="587" t="n"/>
      <c r="ER143" s="587" t="n"/>
      <c r="ES143" s="587" t="n"/>
      <c r="ET143" s="587" t="n"/>
      <c r="EU143" s="587" t="n"/>
      <c r="EV143" s="587" t="n"/>
      <c r="EW143" s="587" t="n"/>
      <c r="EX143" s="587" t="n"/>
      <c r="EY143" s="587" t="n"/>
      <c r="EZ143" s="587" t="n"/>
      <c r="FA143" s="587" t="n"/>
      <c r="FB143" s="587" t="n"/>
      <c r="FC143" s="587" t="n"/>
      <c r="FD143" s="587" t="n"/>
      <c r="FE143" s="587" t="n"/>
      <c r="FF143" s="587" t="n"/>
      <c r="FG143" s="587" t="n"/>
      <c r="FH143" s="587" t="n"/>
      <c r="FI143" s="587" t="n"/>
      <c r="FJ143" s="587" t="n"/>
      <c r="FK143" s="587" t="n"/>
      <c r="FL143" s="587" t="n"/>
      <c r="FM143" s="587" t="n"/>
      <c r="FN143" s="587" t="n"/>
      <c r="FO143" s="587" t="n"/>
      <c r="FP143" s="587" t="n"/>
      <c r="FQ143" s="587" t="n"/>
      <c r="FR143" s="587" t="n"/>
      <c r="FS143" s="587" t="n"/>
      <c r="FT143" s="587" t="n"/>
      <c r="FU143" s="587" t="n"/>
      <c r="FV143" s="587" t="n"/>
      <c r="FW143" s="587" t="n"/>
      <c r="FX143" s="587" t="n"/>
      <c r="FY143" s="587" t="n"/>
      <c r="FZ143" s="587" t="n"/>
      <c r="GA143" s="587" t="n"/>
    </row>
    <row r="144" customFormat="1" s="568">
      <c r="A144" s="86" t="n"/>
      <c r="B144" s="85" t="n"/>
      <c r="C144" s="84">
        <f>E144*D$5</f>
        <v/>
      </c>
      <c r="D144" s="68" t="n"/>
      <c r="E144" s="84">
        <f>SUM(G144:HT144)</f>
        <v/>
      </c>
      <c r="Q144" s="574" t="n"/>
      <c r="Z144" s="574" t="n"/>
      <c r="AA144" s="574" t="n"/>
      <c r="AB144" s="574" t="n"/>
      <c r="AC144" s="574" t="n"/>
      <c r="AD144" s="574" t="n"/>
      <c r="AE144" s="574" t="n"/>
      <c r="AF144" s="574" t="n"/>
      <c r="AH144" s="574" t="n"/>
      <c r="AJ144" s="574" t="n"/>
      <c r="CM144" s="587" t="n"/>
      <c r="CN144" s="587" t="n"/>
      <c r="CO144" s="587" t="n"/>
      <c r="CP144" s="587" t="n"/>
      <c r="CQ144" s="587" t="n"/>
      <c r="CR144" s="587" t="n"/>
      <c r="CS144" s="587" t="n"/>
      <c r="CT144" s="587" t="n"/>
      <c r="CU144" s="587" t="n"/>
      <c r="CV144" s="587" t="n"/>
      <c r="CW144" s="587" t="n"/>
      <c r="CX144" s="587" t="n"/>
      <c r="CY144" s="587" t="n"/>
      <c r="CZ144" s="587" t="n"/>
      <c r="DA144" s="587" t="n"/>
      <c r="DB144" s="587" t="n"/>
      <c r="DC144" s="587" t="n"/>
      <c r="DD144" s="587" t="n"/>
      <c r="DE144" s="587" t="n"/>
      <c r="DF144" s="587" t="n"/>
      <c r="DG144" s="587" t="n"/>
      <c r="DH144" s="587" t="n"/>
      <c r="DI144" s="587" t="n"/>
      <c r="DJ144" s="587" t="n"/>
      <c r="DK144" s="587" t="n"/>
      <c r="DL144" s="587" t="n"/>
      <c r="DM144" s="587" t="n"/>
      <c r="DN144" s="587" t="n"/>
      <c r="DO144" s="587" t="n"/>
      <c r="DP144" s="587" t="n"/>
      <c r="DQ144" s="587" t="n"/>
      <c r="DR144" s="587" t="n"/>
      <c r="DS144" s="587" t="n"/>
      <c r="DT144" s="587" t="n"/>
      <c r="DU144" s="587" t="n"/>
      <c r="DV144" s="587" t="n"/>
      <c r="DW144" s="587" t="n"/>
      <c r="DX144" s="587" t="n"/>
      <c r="DY144" s="587" t="n"/>
      <c r="DZ144" s="587" t="n"/>
      <c r="EA144" s="587" t="n"/>
      <c r="EB144" s="587" t="n"/>
      <c r="EC144" s="587" t="n"/>
      <c r="ED144" s="587" t="n"/>
      <c r="EE144" s="587" t="n"/>
      <c r="EF144" s="587" t="n"/>
      <c r="EG144" s="587" t="n"/>
      <c r="EH144" s="587" t="n"/>
      <c r="EI144" s="587" t="n"/>
      <c r="EJ144" s="587" t="n"/>
      <c r="EK144" s="587" t="n"/>
      <c r="EL144" s="587" t="n"/>
      <c r="EM144" s="587" t="n"/>
      <c r="EN144" s="587" t="n"/>
      <c r="EO144" s="587" t="n"/>
      <c r="EP144" s="587" t="n"/>
      <c r="EQ144" s="587" t="n"/>
      <c r="ER144" s="587" t="n"/>
      <c r="ES144" s="587" t="n"/>
      <c r="ET144" s="587" t="n"/>
      <c r="EU144" s="587" t="n"/>
      <c r="EV144" s="587" t="n"/>
      <c r="EW144" s="587" t="n"/>
      <c r="EX144" s="587" t="n"/>
      <c r="EY144" s="587" t="n"/>
      <c r="EZ144" s="587" t="n"/>
      <c r="FA144" s="587" t="n"/>
      <c r="FB144" s="587" t="n"/>
      <c r="FC144" s="587" t="n"/>
      <c r="FD144" s="587" t="n"/>
      <c r="FE144" s="587" t="n"/>
      <c r="FF144" s="587" t="n"/>
      <c r="FG144" s="587" t="n"/>
      <c r="FH144" s="587" t="n"/>
      <c r="FI144" s="587" t="n"/>
      <c r="FJ144" s="587" t="n"/>
      <c r="FK144" s="587" t="n"/>
      <c r="FL144" s="587" t="n"/>
      <c r="FM144" s="587" t="n"/>
      <c r="FN144" s="587" t="n"/>
      <c r="FO144" s="587" t="n"/>
      <c r="FP144" s="587" t="n"/>
      <c r="FQ144" s="587" t="n"/>
      <c r="FR144" s="587" t="n"/>
      <c r="FS144" s="587" t="n"/>
      <c r="FT144" s="587" t="n"/>
      <c r="FU144" s="587" t="n"/>
      <c r="FV144" s="587" t="n"/>
      <c r="FW144" s="587" t="n"/>
      <c r="FX144" s="587" t="n"/>
      <c r="FY144" s="587" t="n"/>
      <c r="FZ144" s="587" t="n"/>
      <c r="GA144" s="587" t="n"/>
    </row>
    <row r="145" customFormat="1" s="568">
      <c r="A145" s="86" t="n"/>
      <c r="B145" s="85" t="n"/>
      <c r="C145" s="84">
        <f>E145*D$5</f>
        <v/>
      </c>
      <c r="D145" s="68" t="n"/>
      <c r="E145" s="84">
        <f>SUM(G145:HT145)</f>
        <v/>
      </c>
      <c r="Q145" s="574" t="n"/>
      <c r="Z145" s="574" t="n"/>
      <c r="AA145" s="574" t="n"/>
      <c r="AB145" s="574" t="n"/>
      <c r="AC145" s="574" t="n"/>
      <c r="AD145" s="574" t="n"/>
      <c r="AE145" s="574" t="n"/>
      <c r="AF145" s="574" t="n"/>
      <c r="AH145" s="574" t="n"/>
      <c r="AJ145" s="574" t="n"/>
      <c r="CM145" s="587" t="n"/>
      <c r="CN145" s="587" t="n"/>
      <c r="CO145" s="587" t="n"/>
      <c r="CP145" s="587" t="n"/>
      <c r="CQ145" s="587" t="n"/>
      <c r="CR145" s="587" t="n"/>
      <c r="CS145" s="587" t="n"/>
      <c r="CT145" s="587" t="n"/>
      <c r="CU145" s="587" t="n"/>
      <c r="CV145" s="587" t="n"/>
      <c r="CW145" s="587" t="n"/>
      <c r="CX145" s="587" t="n"/>
      <c r="CY145" s="587" t="n"/>
      <c r="CZ145" s="587" t="n"/>
      <c r="DA145" s="587" t="n"/>
      <c r="DB145" s="587" t="n"/>
      <c r="DC145" s="587" t="n"/>
      <c r="DD145" s="587" t="n"/>
      <c r="DE145" s="587" t="n"/>
      <c r="DF145" s="587" t="n"/>
      <c r="DG145" s="587" t="n"/>
      <c r="DH145" s="587" t="n"/>
      <c r="DI145" s="587" t="n"/>
      <c r="DJ145" s="587" t="n"/>
      <c r="DK145" s="587" t="n"/>
      <c r="DL145" s="587" t="n"/>
      <c r="DM145" s="587" t="n"/>
      <c r="DN145" s="587" t="n"/>
      <c r="DO145" s="587" t="n"/>
      <c r="DP145" s="587" t="n"/>
      <c r="DQ145" s="587" t="n"/>
      <c r="DR145" s="587" t="n"/>
      <c r="DS145" s="587" t="n"/>
      <c r="DT145" s="587" t="n"/>
      <c r="DU145" s="587" t="n"/>
      <c r="DV145" s="587" t="n"/>
      <c r="DW145" s="587" t="n"/>
      <c r="DX145" s="587" t="n"/>
      <c r="DY145" s="587" t="n"/>
      <c r="DZ145" s="587" t="n"/>
      <c r="EA145" s="587" t="n"/>
      <c r="EB145" s="587" t="n"/>
      <c r="EC145" s="587" t="n"/>
      <c r="ED145" s="587" t="n"/>
      <c r="EE145" s="587" t="n"/>
      <c r="EF145" s="587" t="n"/>
      <c r="EG145" s="587" t="n"/>
      <c r="EH145" s="587" t="n"/>
      <c r="EI145" s="587" t="n"/>
      <c r="EJ145" s="587" t="n"/>
      <c r="EK145" s="587" t="n"/>
      <c r="EL145" s="587" t="n"/>
      <c r="EM145" s="587" t="n"/>
      <c r="EN145" s="587" t="n"/>
      <c r="EO145" s="587" t="n"/>
      <c r="EP145" s="587" t="n"/>
      <c r="EQ145" s="587" t="n"/>
      <c r="ER145" s="587" t="n"/>
      <c r="ES145" s="587" t="n"/>
      <c r="ET145" s="587" t="n"/>
      <c r="EU145" s="587" t="n"/>
      <c r="EV145" s="587" t="n"/>
      <c r="EW145" s="587" t="n"/>
      <c r="EX145" s="587" t="n"/>
      <c r="EY145" s="587" t="n"/>
      <c r="EZ145" s="587" t="n"/>
      <c r="FA145" s="587" t="n"/>
      <c r="FB145" s="587" t="n"/>
      <c r="FC145" s="587" t="n"/>
      <c r="FD145" s="587" t="n"/>
      <c r="FE145" s="587" t="n"/>
      <c r="FF145" s="587" t="n"/>
      <c r="FG145" s="587" t="n"/>
      <c r="FH145" s="587" t="n"/>
      <c r="FI145" s="587" t="n"/>
      <c r="FJ145" s="587" t="n"/>
      <c r="FK145" s="587" t="n"/>
      <c r="FL145" s="587" t="n"/>
      <c r="FM145" s="587" t="n"/>
      <c r="FN145" s="587" t="n"/>
      <c r="FO145" s="587" t="n"/>
      <c r="FP145" s="587" t="n"/>
      <c r="FQ145" s="587" t="n"/>
      <c r="FR145" s="587" t="n"/>
      <c r="FS145" s="587" t="n"/>
      <c r="FT145" s="587" t="n"/>
      <c r="FU145" s="587" t="n"/>
      <c r="FV145" s="587" t="n"/>
      <c r="FW145" s="587" t="n"/>
      <c r="FX145" s="587" t="n"/>
      <c r="FY145" s="587" t="n"/>
      <c r="FZ145" s="587" t="n"/>
      <c r="GA145" s="587" t="n"/>
    </row>
    <row r="146" customFormat="1" s="568">
      <c r="A146" s="86" t="n"/>
      <c r="B146" s="85" t="n"/>
      <c r="C146" s="84">
        <f>E146*D$5</f>
        <v/>
      </c>
      <c r="D146" s="68" t="n"/>
      <c r="E146" s="84">
        <f>SUM(G146:HT146)</f>
        <v/>
      </c>
      <c r="Q146" s="574" t="n"/>
      <c r="Z146" s="574" t="n"/>
      <c r="AA146" s="574" t="n"/>
      <c r="AB146" s="574" t="n"/>
      <c r="AC146" s="574" t="n"/>
      <c r="AD146" s="574" t="n"/>
      <c r="AE146" s="574" t="n"/>
      <c r="AF146" s="574" t="n"/>
      <c r="AH146" s="574" t="n"/>
      <c r="AJ146" s="574" t="n"/>
      <c r="CM146" s="587" t="n"/>
      <c r="CN146" s="587" t="n"/>
      <c r="CO146" s="587" t="n"/>
      <c r="CP146" s="587" t="n"/>
      <c r="CQ146" s="587" t="n"/>
      <c r="CR146" s="587" t="n"/>
      <c r="CS146" s="587" t="n"/>
      <c r="CT146" s="587" t="n"/>
      <c r="CU146" s="587" t="n"/>
      <c r="CV146" s="587" t="n"/>
      <c r="CW146" s="587" t="n"/>
      <c r="CX146" s="587" t="n"/>
      <c r="CY146" s="587" t="n"/>
      <c r="CZ146" s="587" t="n"/>
      <c r="DA146" s="587" t="n"/>
      <c r="DB146" s="587" t="n"/>
      <c r="DC146" s="587" t="n"/>
      <c r="DD146" s="587" t="n"/>
      <c r="DE146" s="587" t="n"/>
      <c r="DF146" s="587" t="n"/>
      <c r="DG146" s="587" t="n"/>
      <c r="DH146" s="587" t="n"/>
      <c r="DI146" s="587" t="n"/>
      <c r="DJ146" s="587" t="n"/>
      <c r="DK146" s="587" t="n"/>
      <c r="DL146" s="587" t="n"/>
      <c r="DM146" s="587" t="n"/>
      <c r="DN146" s="587" t="n"/>
      <c r="DO146" s="587" t="n"/>
      <c r="DP146" s="587" t="n"/>
      <c r="DQ146" s="587" t="n"/>
      <c r="DR146" s="587" t="n"/>
      <c r="DS146" s="587" t="n"/>
      <c r="DT146" s="587" t="n"/>
      <c r="DU146" s="587" t="n"/>
      <c r="DV146" s="587" t="n"/>
      <c r="DW146" s="587" t="n"/>
      <c r="DX146" s="587" t="n"/>
      <c r="DY146" s="587" t="n"/>
      <c r="DZ146" s="587" t="n"/>
      <c r="EA146" s="587" t="n"/>
      <c r="EB146" s="587" t="n"/>
      <c r="EC146" s="587" t="n"/>
      <c r="ED146" s="587" t="n"/>
      <c r="EE146" s="587" t="n"/>
      <c r="EF146" s="587" t="n"/>
      <c r="EG146" s="587" t="n"/>
      <c r="EH146" s="587" t="n"/>
      <c r="EI146" s="587" t="n"/>
      <c r="EJ146" s="587" t="n"/>
      <c r="EK146" s="587" t="n"/>
      <c r="EL146" s="587" t="n"/>
      <c r="EM146" s="587" t="n"/>
      <c r="EN146" s="587" t="n"/>
      <c r="EO146" s="587" t="n"/>
      <c r="EP146" s="587" t="n"/>
      <c r="EQ146" s="587" t="n"/>
      <c r="ER146" s="587" t="n"/>
      <c r="ES146" s="587" t="n"/>
      <c r="ET146" s="587" t="n"/>
      <c r="EU146" s="587" t="n"/>
      <c r="EV146" s="587" t="n"/>
      <c r="EW146" s="587" t="n"/>
      <c r="EX146" s="587" t="n"/>
      <c r="EY146" s="587" t="n"/>
      <c r="EZ146" s="587" t="n"/>
      <c r="FA146" s="587" t="n"/>
      <c r="FB146" s="587" t="n"/>
      <c r="FC146" s="587" t="n"/>
      <c r="FD146" s="587" t="n"/>
      <c r="FE146" s="587" t="n"/>
      <c r="FF146" s="587" t="n"/>
      <c r="FG146" s="587" t="n"/>
      <c r="FH146" s="587" t="n"/>
      <c r="FI146" s="587" t="n"/>
      <c r="FJ146" s="587" t="n"/>
      <c r="FK146" s="587" t="n"/>
      <c r="FL146" s="587" t="n"/>
      <c r="FM146" s="587" t="n"/>
      <c r="FN146" s="587" t="n"/>
      <c r="FO146" s="587" t="n"/>
      <c r="FP146" s="587" t="n"/>
      <c r="FQ146" s="587" t="n"/>
      <c r="FR146" s="587" t="n"/>
      <c r="FS146" s="587" t="n"/>
      <c r="FT146" s="587" t="n"/>
      <c r="FU146" s="587" t="n"/>
      <c r="FV146" s="587" t="n"/>
      <c r="FW146" s="587" t="n"/>
      <c r="FX146" s="587" t="n"/>
      <c r="FY146" s="587" t="n"/>
      <c r="FZ146" s="587" t="n"/>
      <c r="GA146" s="587" t="n"/>
    </row>
    <row r="147" customFormat="1" s="568">
      <c r="A147" s="86" t="n"/>
      <c r="B147" s="85" t="n"/>
      <c r="C147" s="84">
        <f>E147*D$5</f>
        <v/>
      </c>
      <c r="D147" s="68" t="n"/>
      <c r="E147" s="84">
        <f>SUM(G147:HT147)</f>
        <v/>
      </c>
      <c r="Q147" s="574" t="n"/>
      <c r="Z147" s="574" t="n"/>
      <c r="AA147" s="574" t="n"/>
      <c r="AB147" s="574" t="n"/>
      <c r="AC147" s="574" t="n"/>
      <c r="AD147" s="574" t="n"/>
      <c r="AE147" s="574" t="n"/>
      <c r="AF147" s="574" t="n"/>
      <c r="AH147" s="574" t="n"/>
      <c r="AJ147" s="574" t="n"/>
      <c r="CM147" s="587" t="n"/>
      <c r="CN147" s="587" t="n"/>
      <c r="CO147" s="587" t="n"/>
      <c r="CP147" s="587" t="n"/>
      <c r="CQ147" s="587" t="n"/>
      <c r="CR147" s="587" t="n"/>
      <c r="CS147" s="587" t="n"/>
      <c r="CT147" s="587" t="n"/>
      <c r="CU147" s="587" t="n"/>
      <c r="CV147" s="587" t="n"/>
      <c r="CW147" s="587" t="n"/>
      <c r="CX147" s="587" t="n"/>
      <c r="CY147" s="587" t="n"/>
      <c r="CZ147" s="587" t="n"/>
      <c r="DA147" s="587" t="n"/>
      <c r="DB147" s="587" t="n"/>
      <c r="DC147" s="587" t="n"/>
      <c r="DD147" s="587" t="n"/>
      <c r="DE147" s="587" t="n"/>
      <c r="DF147" s="587" t="n"/>
      <c r="DG147" s="587" t="n"/>
      <c r="DH147" s="587" t="n"/>
      <c r="DI147" s="587" t="n"/>
      <c r="DJ147" s="587" t="n"/>
      <c r="DK147" s="587" t="n"/>
      <c r="DL147" s="587" t="n"/>
      <c r="DM147" s="587" t="n"/>
      <c r="DN147" s="587" t="n"/>
      <c r="DO147" s="587" t="n"/>
      <c r="DP147" s="587" t="n"/>
      <c r="DQ147" s="587" t="n"/>
      <c r="DR147" s="587" t="n"/>
      <c r="DS147" s="587" t="n"/>
      <c r="DT147" s="587" t="n"/>
      <c r="DU147" s="587" t="n"/>
      <c r="DV147" s="587" t="n"/>
      <c r="DW147" s="587" t="n"/>
      <c r="DX147" s="587" t="n"/>
      <c r="DY147" s="587" t="n"/>
      <c r="DZ147" s="587" t="n"/>
      <c r="EA147" s="587" t="n"/>
      <c r="EB147" s="587" t="n"/>
      <c r="EC147" s="587" t="n"/>
      <c r="ED147" s="587" t="n"/>
      <c r="EE147" s="587" t="n"/>
      <c r="EF147" s="587" t="n"/>
      <c r="EG147" s="587" t="n"/>
      <c r="EH147" s="587" t="n"/>
      <c r="EI147" s="587" t="n"/>
      <c r="EJ147" s="587" t="n"/>
      <c r="EK147" s="587" t="n"/>
      <c r="EL147" s="587" t="n"/>
      <c r="EM147" s="587" t="n"/>
      <c r="EN147" s="587" t="n"/>
      <c r="EO147" s="587" t="n"/>
      <c r="EP147" s="587" t="n"/>
      <c r="EQ147" s="587" t="n"/>
      <c r="ER147" s="587" t="n"/>
      <c r="ES147" s="587" t="n"/>
      <c r="ET147" s="587" t="n"/>
      <c r="EU147" s="587" t="n"/>
      <c r="EV147" s="587" t="n"/>
      <c r="EW147" s="587" t="n"/>
      <c r="EX147" s="587" t="n"/>
      <c r="EY147" s="587" t="n"/>
      <c r="EZ147" s="587" t="n"/>
      <c r="FA147" s="587" t="n"/>
      <c r="FB147" s="587" t="n"/>
      <c r="FC147" s="587" t="n"/>
      <c r="FD147" s="587" t="n"/>
      <c r="FE147" s="587" t="n"/>
      <c r="FF147" s="587" t="n"/>
      <c r="FG147" s="587" t="n"/>
      <c r="FH147" s="587" t="n"/>
      <c r="FI147" s="587" t="n"/>
      <c r="FJ147" s="587" t="n"/>
      <c r="FK147" s="587" t="n"/>
      <c r="FL147" s="587" t="n"/>
      <c r="FM147" s="587" t="n"/>
      <c r="FN147" s="587" t="n"/>
      <c r="FO147" s="587" t="n"/>
      <c r="FP147" s="587" t="n"/>
      <c r="FQ147" s="587" t="n"/>
      <c r="FR147" s="587" t="n"/>
      <c r="FS147" s="587" t="n"/>
      <c r="FT147" s="587" t="n"/>
      <c r="FU147" s="587" t="n"/>
      <c r="FV147" s="587" t="n"/>
      <c r="FW147" s="587" t="n"/>
      <c r="FX147" s="587" t="n"/>
      <c r="FY147" s="587" t="n"/>
      <c r="FZ147" s="587" t="n"/>
      <c r="GA147" s="587" t="n"/>
    </row>
    <row r="148" customFormat="1" s="568">
      <c r="A148" s="86" t="n"/>
      <c r="B148" s="85" t="n"/>
      <c r="C148" s="84">
        <f>E148*D$5</f>
        <v/>
      </c>
      <c r="D148" s="68" t="n"/>
      <c r="E148" s="84">
        <f>SUM(G148:HT148)</f>
        <v/>
      </c>
      <c r="Q148" s="574" t="n"/>
      <c r="Z148" s="574" t="n"/>
      <c r="AA148" s="574" t="n"/>
      <c r="AB148" s="574" t="n"/>
      <c r="AC148" s="574" t="n"/>
      <c r="AD148" s="574" t="n"/>
      <c r="AE148" s="574" t="n"/>
      <c r="AF148" s="574" t="n"/>
      <c r="AH148" s="574" t="n"/>
      <c r="AJ148" s="574" t="n"/>
      <c r="CM148" s="587" t="n"/>
      <c r="CN148" s="587" t="n"/>
      <c r="CO148" s="587" t="n"/>
      <c r="CP148" s="587" t="n"/>
      <c r="CQ148" s="587" t="n"/>
      <c r="CR148" s="587" t="n"/>
      <c r="CS148" s="587" t="n"/>
      <c r="CT148" s="587" t="n"/>
      <c r="CU148" s="587" t="n"/>
      <c r="CV148" s="587" t="n"/>
      <c r="CW148" s="587" t="n"/>
      <c r="CX148" s="587" t="n"/>
      <c r="CY148" s="587" t="n"/>
      <c r="CZ148" s="587" t="n"/>
      <c r="DA148" s="587" t="n"/>
      <c r="DB148" s="587" t="n"/>
      <c r="DC148" s="587" t="n"/>
      <c r="DD148" s="587" t="n"/>
      <c r="DE148" s="587" t="n"/>
      <c r="DF148" s="587" t="n"/>
      <c r="DG148" s="587" t="n"/>
      <c r="DH148" s="587" t="n"/>
      <c r="DI148" s="587" t="n"/>
      <c r="DJ148" s="587" t="n"/>
      <c r="DK148" s="587" t="n"/>
      <c r="DL148" s="587" t="n"/>
      <c r="DM148" s="587" t="n"/>
      <c r="DN148" s="587" t="n"/>
      <c r="DO148" s="587" t="n"/>
      <c r="DP148" s="587" t="n"/>
      <c r="DQ148" s="587" t="n"/>
      <c r="DR148" s="587" t="n"/>
      <c r="DS148" s="587" t="n"/>
      <c r="DT148" s="587" t="n"/>
      <c r="DU148" s="587" t="n"/>
      <c r="DV148" s="587" t="n"/>
      <c r="DW148" s="587" t="n"/>
      <c r="DX148" s="587" t="n"/>
      <c r="DY148" s="587" t="n"/>
      <c r="DZ148" s="587" t="n"/>
      <c r="EA148" s="587" t="n"/>
      <c r="EB148" s="587" t="n"/>
      <c r="EC148" s="587" t="n"/>
      <c r="ED148" s="587" t="n"/>
      <c r="EE148" s="587" t="n"/>
      <c r="EF148" s="587" t="n"/>
      <c r="EG148" s="587" t="n"/>
      <c r="EH148" s="587" t="n"/>
      <c r="EI148" s="587" t="n"/>
      <c r="EJ148" s="587" t="n"/>
      <c r="EK148" s="587" t="n"/>
      <c r="EL148" s="587" t="n"/>
      <c r="EM148" s="587" t="n"/>
      <c r="EN148" s="587" t="n"/>
      <c r="EO148" s="587" t="n"/>
      <c r="EP148" s="587" t="n"/>
      <c r="EQ148" s="587" t="n"/>
      <c r="ER148" s="587" t="n"/>
      <c r="ES148" s="587" t="n"/>
      <c r="ET148" s="587" t="n"/>
      <c r="EU148" s="587" t="n"/>
      <c r="EV148" s="587" t="n"/>
      <c r="EW148" s="587" t="n"/>
      <c r="EX148" s="587" t="n"/>
      <c r="EY148" s="587" t="n"/>
      <c r="EZ148" s="587" t="n"/>
      <c r="FA148" s="587" t="n"/>
      <c r="FB148" s="587" t="n"/>
      <c r="FC148" s="587" t="n"/>
      <c r="FD148" s="587" t="n"/>
      <c r="FE148" s="587" t="n"/>
      <c r="FF148" s="587" t="n"/>
      <c r="FG148" s="587" t="n"/>
      <c r="FH148" s="587" t="n"/>
      <c r="FI148" s="587" t="n"/>
      <c r="FJ148" s="587" t="n"/>
      <c r="FK148" s="587" t="n"/>
      <c r="FL148" s="587" t="n"/>
      <c r="FM148" s="587" t="n"/>
      <c r="FN148" s="587" t="n"/>
      <c r="FO148" s="587" t="n"/>
      <c r="FP148" s="587" t="n"/>
      <c r="FQ148" s="587" t="n"/>
      <c r="FR148" s="587" t="n"/>
      <c r="FS148" s="587" t="n"/>
      <c r="FT148" s="587" t="n"/>
      <c r="FU148" s="587" t="n"/>
      <c r="FV148" s="587" t="n"/>
      <c r="FW148" s="587" t="n"/>
      <c r="FX148" s="587" t="n"/>
      <c r="FY148" s="587" t="n"/>
      <c r="FZ148" s="587" t="n"/>
      <c r="GA148" s="587" t="n"/>
    </row>
    <row r="149" customFormat="1" s="568">
      <c r="A149" s="86" t="n"/>
      <c r="B149" s="85" t="n"/>
      <c r="C149" s="84">
        <f>E149*D$5</f>
        <v/>
      </c>
      <c r="D149" s="68" t="n"/>
      <c r="E149" s="84">
        <f>SUM(G149:HT149)</f>
        <v/>
      </c>
      <c r="Q149" s="574" t="n"/>
      <c r="Z149" s="574" t="n"/>
      <c r="AA149" s="574" t="n"/>
      <c r="AB149" s="574" t="n"/>
      <c r="AC149" s="574" t="n"/>
      <c r="AD149" s="574" t="n"/>
      <c r="AE149" s="574" t="n"/>
      <c r="AF149" s="574" t="n"/>
      <c r="AH149" s="574" t="n"/>
      <c r="AJ149" s="574" t="n"/>
      <c r="CM149" s="587" t="n"/>
      <c r="CN149" s="587" t="n"/>
      <c r="CO149" s="587" t="n"/>
      <c r="CP149" s="587" t="n"/>
      <c r="CQ149" s="587" t="n"/>
      <c r="CR149" s="587" t="n"/>
      <c r="CS149" s="587" t="n"/>
      <c r="CT149" s="587" t="n"/>
      <c r="CU149" s="587" t="n"/>
      <c r="CV149" s="587" t="n"/>
      <c r="CW149" s="587" t="n"/>
      <c r="CX149" s="587" t="n"/>
      <c r="CY149" s="587" t="n"/>
      <c r="CZ149" s="587" t="n"/>
      <c r="DA149" s="587" t="n"/>
      <c r="DB149" s="587" t="n"/>
      <c r="DC149" s="587" t="n"/>
      <c r="DD149" s="587" t="n"/>
      <c r="DE149" s="587" t="n"/>
      <c r="DF149" s="587" t="n"/>
      <c r="DG149" s="587" t="n"/>
      <c r="DH149" s="587" t="n"/>
      <c r="DI149" s="587" t="n"/>
      <c r="DJ149" s="587" t="n"/>
      <c r="DK149" s="587" t="n"/>
      <c r="DL149" s="587" t="n"/>
      <c r="DM149" s="587" t="n"/>
      <c r="DN149" s="587" t="n"/>
      <c r="DO149" s="587" t="n"/>
      <c r="DP149" s="587" t="n"/>
      <c r="DQ149" s="587" t="n"/>
      <c r="DR149" s="587" t="n"/>
      <c r="DS149" s="587" t="n"/>
      <c r="DT149" s="587" t="n"/>
      <c r="DU149" s="587" t="n"/>
      <c r="DV149" s="587" t="n"/>
      <c r="DW149" s="587" t="n"/>
      <c r="DX149" s="587" t="n"/>
      <c r="DY149" s="587" t="n"/>
      <c r="DZ149" s="587" t="n"/>
      <c r="EA149" s="587" t="n"/>
      <c r="EB149" s="587" t="n"/>
      <c r="EC149" s="587" t="n"/>
      <c r="ED149" s="587" t="n"/>
      <c r="EE149" s="587" t="n"/>
      <c r="EF149" s="587" t="n"/>
      <c r="EG149" s="587" t="n"/>
      <c r="EH149" s="587" t="n"/>
      <c r="EI149" s="587" t="n"/>
      <c r="EJ149" s="587" t="n"/>
      <c r="EK149" s="587" t="n"/>
      <c r="EL149" s="587" t="n"/>
      <c r="EM149" s="587" t="n"/>
      <c r="EN149" s="587" t="n"/>
      <c r="EO149" s="587" t="n"/>
      <c r="EP149" s="587" t="n"/>
      <c r="EQ149" s="587" t="n"/>
      <c r="ER149" s="587" t="n"/>
      <c r="ES149" s="587" t="n"/>
      <c r="ET149" s="587" t="n"/>
      <c r="EU149" s="587" t="n"/>
      <c r="EV149" s="587" t="n"/>
      <c r="EW149" s="587" t="n"/>
      <c r="EX149" s="587" t="n"/>
      <c r="EY149" s="587" t="n"/>
      <c r="EZ149" s="587" t="n"/>
      <c r="FA149" s="587" t="n"/>
      <c r="FB149" s="587" t="n"/>
      <c r="FC149" s="587" t="n"/>
      <c r="FD149" s="587" t="n"/>
      <c r="FE149" s="587" t="n"/>
      <c r="FF149" s="587" t="n"/>
      <c r="FG149" s="587" t="n"/>
      <c r="FH149" s="587" t="n"/>
      <c r="FI149" s="587" t="n"/>
      <c r="FJ149" s="587" t="n"/>
      <c r="FK149" s="587" t="n"/>
      <c r="FL149" s="587" t="n"/>
      <c r="FM149" s="587" t="n"/>
      <c r="FN149" s="587" t="n"/>
      <c r="FO149" s="587" t="n"/>
      <c r="FP149" s="587" t="n"/>
      <c r="FQ149" s="587" t="n"/>
      <c r="FR149" s="587" t="n"/>
      <c r="FS149" s="587" t="n"/>
      <c r="FT149" s="587" t="n"/>
      <c r="FU149" s="587" t="n"/>
      <c r="FV149" s="587" t="n"/>
      <c r="FW149" s="587" t="n"/>
      <c r="FX149" s="587" t="n"/>
      <c r="FY149" s="587" t="n"/>
      <c r="FZ149" s="587" t="n"/>
      <c r="GA149" s="587" t="n"/>
    </row>
    <row r="150" customFormat="1" s="568">
      <c r="A150" s="86" t="n"/>
      <c r="B150" s="85" t="n"/>
      <c r="C150" s="84">
        <f>E150*D$5</f>
        <v/>
      </c>
      <c r="D150" s="68" t="n"/>
      <c r="E150" s="84">
        <f>SUM(G150:HT150)</f>
        <v/>
      </c>
      <c r="Q150" s="574" t="n"/>
      <c r="Z150" s="574" t="n"/>
      <c r="AA150" s="574" t="n"/>
      <c r="AB150" s="574" t="n"/>
      <c r="AC150" s="574" t="n"/>
      <c r="AD150" s="574" t="n"/>
      <c r="AE150" s="574" t="n"/>
      <c r="AF150" s="574" t="n"/>
      <c r="AH150" s="574" t="n"/>
      <c r="AJ150" s="574" t="n"/>
      <c r="CM150" s="587" t="n"/>
      <c r="CN150" s="587" t="n"/>
      <c r="CO150" s="587" t="n"/>
      <c r="CP150" s="587" t="n"/>
      <c r="CQ150" s="587" t="n"/>
      <c r="CR150" s="587" t="n"/>
      <c r="CS150" s="587" t="n"/>
      <c r="CT150" s="587" t="n"/>
      <c r="CU150" s="587" t="n"/>
      <c r="CV150" s="587" t="n"/>
      <c r="CW150" s="587" t="n"/>
      <c r="CX150" s="587" t="n"/>
      <c r="CY150" s="587" t="n"/>
      <c r="CZ150" s="587" t="n"/>
      <c r="DA150" s="587" t="n"/>
      <c r="DB150" s="587" t="n"/>
      <c r="DC150" s="587" t="n"/>
      <c r="DD150" s="587" t="n"/>
      <c r="DE150" s="587" t="n"/>
      <c r="DF150" s="587" t="n"/>
      <c r="DG150" s="587" t="n"/>
      <c r="DH150" s="587" t="n"/>
      <c r="DI150" s="587" t="n"/>
      <c r="DJ150" s="587" t="n"/>
      <c r="DK150" s="587" t="n"/>
      <c r="DL150" s="587" t="n"/>
      <c r="DM150" s="587" t="n"/>
      <c r="DN150" s="587" t="n"/>
      <c r="DO150" s="587" t="n"/>
      <c r="DP150" s="587" t="n"/>
      <c r="DQ150" s="587" t="n"/>
      <c r="DR150" s="587" t="n"/>
      <c r="DS150" s="587" t="n"/>
      <c r="DT150" s="587" t="n"/>
      <c r="DU150" s="587" t="n"/>
      <c r="DV150" s="587" t="n"/>
      <c r="DW150" s="587" t="n"/>
      <c r="DX150" s="587" t="n"/>
      <c r="DY150" s="587" t="n"/>
      <c r="DZ150" s="587" t="n"/>
      <c r="EA150" s="587" t="n"/>
      <c r="EB150" s="587" t="n"/>
      <c r="EC150" s="587" t="n"/>
      <c r="ED150" s="587" t="n"/>
      <c r="EE150" s="587" t="n"/>
      <c r="EF150" s="587" t="n"/>
      <c r="EG150" s="587" t="n"/>
      <c r="EH150" s="587" t="n"/>
      <c r="EI150" s="587" t="n"/>
      <c r="EJ150" s="587" t="n"/>
      <c r="EK150" s="587" t="n"/>
      <c r="EL150" s="587" t="n"/>
      <c r="EM150" s="587" t="n"/>
      <c r="EN150" s="587" t="n"/>
      <c r="EO150" s="587" t="n"/>
      <c r="EP150" s="587" t="n"/>
      <c r="EQ150" s="587" t="n"/>
      <c r="ER150" s="587" t="n"/>
      <c r="ES150" s="587" t="n"/>
      <c r="ET150" s="587" t="n"/>
      <c r="EU150" s="587" t="n"/>
      <c r="EV150" s="587" t="n"/>
      <c r="EW150" s="587" t="n"/>
      <c r="EX150" s="587" t="n"/>
      <c r="EY150" s="587" t="n"/>
      <c r="EZ150" s="587" t="n"/>
      <c r="FA150" s="587" t="n"/>
      <c r="FB150" s="587" t="n"/>
      <c r="FC150" s="587" t="n"/>
      <c r="FD150" s="587" t="n"/>
      <c r="FE150" s="587" t="n"/>
      <c r="FF150" s="587" t="n"/>
      <c r="FG150" s="587" t="n"/>
      <c r="FH150" s="587" t="n"/>
      <c r="FI150" s="587" t="n"/>
      <c r="FJ150" s="587" t="n"/>
      <c r="FK150" s="587" t="n"/>
      <c r="FL150" s="587" t="n"/>
      <c r="FM150" s="587" t="n"/>
      <c r="FN150" s="587" t="n"/>
      <c r="FO150" s="587" t="n"/>
      <c r="FP150" s="587" t="n"/>
      <c r="FQ150" s="587" t="n"/>
      <c r="FR150" s="587" t="n"/>
      <c r="FS150" s="587" t="n"/>
      <c r="FT150" s="587" t="n"/>
      <c r="FU150" s="587" t="n"/>
      <c r="FV150" s="587" t="n"/>
      <c r="FW150" s="587" t="n"/>
      <c r="FX150" s="587" t="n"/>
      <c r="FY150" s="587" t="n"/>
      <c r="FZ150" s="587" t="n"/>
      <c r="GA150" s="587" t="n"/>
    </row>
    <row r="151" customFormat="1" s="568">
      <c r="A151" s="86" t="n"/>
      <c r="B151" s="85" t="n"/>
      <c r="C151" s="84">
        <f>E151*D$5</f>
        <v/>
      </c>
      <c r="D151" s="68" t="n"/>
      <c r="E151" s="84">
        <f>SUM(G151:HT151)</f>
        <v/>
      </c>
      <c r="Q151" s="574" t="n"/>
      <c r="Z151" s="574" t="n"/>
      <c r="AA151" s="574" t="n"/>
      <c r="AB151" s="574" t="n"/>
      <c r="AC151" s="574" t="n"/>
      <c r="AD151" s="574" t="n"/>
      <c r="AE151" s="574" t="n"/>
      <c r="AF151" s="574" t="n"/>
      <c r="AH151" s="574" t="n"/>
      <c r="AJ151" s="574" t="n"/>
      <c r="CM151" s="587" t="n"/>
      <c r="CN151" s="587" t="n"/>
      <c r="CO151" s="587" t="n"/>
      <c r="CP151" s="587" t="n"/>
      <c r="CQ151" s="587" t="n"/>
      <c r="CR151" s="587" t="n"/>
      <c r="CS151" s="587" t="n"/>
      <c r="CT151" s="587" t="n"/>
      <c r="CU151" s="587" t="n"/>
      <c r="CV151" s="587" t="n"/>
      <c r="CW151" s="587" t="n"/>
      <c r="CX151" s="587" t="n"/>
      <c r="CY151" s="587" t="n"/>
      <c r="CZ151" s="587" t="n"/>
      <c r="DA151" s="587" t="n"/>
      <c r="DB151" s="587" t="n"/>
      <c r="DC151" s="587" t="n"/>
      <c r="DD151" s="587" t="n"/>
      <c r="DE151" s="587" t="n"/>
      <c r="DF151" s="587" t="n"/>
      <c r="DG151" s="587" t="n"/>
      <c r="DH151" s="587" t="n"/>
      <c r="DI151" s="587" t="n"/>
      <c r="DJ151" s="587" t="n"/>
      <c r="DK151" s="587" t="n"/>
      <c r="DL151" s="587" t="n"/>
      <c r="DM151" s="587" t="n"/>
      <c r="DN151" s="587" t="n"/>
      <c r="DO151" s="587" t="n"/>
      <c r="DP151" s="587" t="n"/>
      <c r="DQ151" s="587" t="n"/>
      <c r="DR151" s="587" t="n"/>
      <c r="DS151" s="587" t="n"/>
      <c r="DT151" s="587" t="n"/>
      <c r="DU151" s="587" t="n"/>
      <c r="DV151" s="587" t="n"/>
      <c r="DW151" s="587" t="n"/>
      <c r="DX151" s="587" t="n"/>
      <c r="DY151" s="587" t="n"/>
      <c r="DZ151" s="587" t="n"/>
      <c r="EA151" s="587" t="n"/>
      <c r="EB151" s="587" t="n"/>
      <c r="EC151" s="587" t="n"/>
      <c r="ED151" s="587" t="n"/>
      <c r="EE151" s="587" t="n"/>
      <c r="EF151" s="587" t="n"/>
      <c r="EG151" s="587" t="n"/>
      <c r="EH151" s="587" t="n"/>
      <c r="EI151" s="587" t="n"/>
      <c r="EJ151" s="587" t="n"/>
      <c r="EK151" s="587" t="n"/>
      <c r="EL151" s="587" t="n"/>
      <c r="EM151" s="587" t="n"/>
      <c r="EN151" s="587" t="n"/>
      <c r="EO151" s="587" t="n"/>
      <c r="EP151" s="587" t="n"/>
      <c r="EQ151" s="587" t="n"/>
      <c r="ER151" s="587" t="n"/>
      <c r="ES151" s="587" t="n"/>
      <c r="ET151" s="587" t="n"/>
      <c r="EU151" s="587" t="n"/>
      <c r="EV151" s="587" t="n"/>
      <c r="EW151" s="587" t="n"/>
      <c r="EX151" s="587" t="n"/>
      <c r="EY151" s="587" t="n"/>
      <c r="EZ151" s="587" t="n"/>
      <c r="FA151" s="587" t="n"/>
      <c r="FB151" s="587" t="n"/>
      <c r="FC151" s="587" t="n"/>
      <c r="FD151" s="587" t="n"/>
      <c r="FE151" s="587" t="n"/>
      <c r="FF151" s="587" t="n"/>
      <c r="FG151" s="587" t="n"/>
      <c r="FH151" s="587" t="n"/>
      <c r="FI151" s="587" t="n"/>
      <c r="FJ151" s="587" t="n"/>
      <c r="FK151" s="587" t="n"/>
      <c r="FL151" s="587" t="n"/>
      <c r="FM151" s="587" t="n"/>
      <c r="FN151" s="587" t="n"/>
      <c r="FO151" s="587" t="n"/>
      <c r="FP151" s="587" t="n"/>
      <c r="FQ151" s="587" t="n"/>
      <c r="FR151" s="587" t="n"/>
      <c r="FS151" s="587" t="n"/>
      <c r="FT151" s="587" t="n"/>
      <c r="FU151" s="587" t="n"/>
      <c r="FV151" s="587" t="n"/>
      <c r="FW151" s="587" t="n"/>
      <c r="FX151" s="587" t="n"/>
      <c r="FY151" s="587" t="n"/>
      <c r="FZ151" s="587" t="n"/>
      <c r="GA151" s="587" t="n"/>
    </row>
    <row r="152" customFormat="1" s="568">
      <c r="A152" s="86" t="n"/>
      <c r="B152" s="85" t="n"/>
      <c r="C152" s="84">
        <f>E152*D$5</f>
        <v/>
      </c>
      <c r="D152" s="68" t="n"/>
      <c r="E152" s="84">
        <f>SUM(G152:HT152)</f>
        <v/>
      </c>
      <c r="Q152" s="574" t="n"/>
      <c r="Z152" s="574" t="n"/>
      <c r="AA152" s="574" t="n"/>
      <c r="AB152" s="574" t="n"/>
      <c r="AC152" s="574" t="n"/>
      <c r="AD152" s="574" t="n"/>
      <c r="AE152" s="574" t="n"/>
      <c r="AF152" s="574" t="n"/>
      <c r="AH152" s="574" t="n"/>
      <c r="AJ152" s="574" t="n"/>
      <c r="CM152" s="587" t="n"/>
      <c r="CN152" s="587" t="n"/>
      <c r="CO152" s="587" t="n"/>
      <c r="CP152" s="587" t="n"/>
      <c r="CQ152" s="587" t="n"/>
      <c r="CR152" s="587" t="n"/>
      <c r="CS152" s="587" t="n"/>
      <c r="CT152" s="587" t="n"/>
      <c r="CU152" s="587" t="n"/>
      <c r="CV152" s="587" t="n"/>
      <c r="CW152" s="587" t="n"/>
      <c r="CX152" s="587" t="n"/>
      <c r="CY152" s="587" t="n"/>
      <c r="CZ152" s="587" t="n"/>
      <c r="DA152" s="587" t="n"/>
      <c r="DB152" s="587" t="n"/>
      <c r="DC152" s="587" t="n"/>
      <c r="DD152" s="587" t="n"/>
      <c r="DE152" s="587" t="n"/>
      <c r="DF152" s="587" t="n"/>
      <c r="DG152" s="587" t="n"/>
      <c r="DH152" s="587" t="n"/>
      <c r="DI152" s="587" t="n"/>
      <c r="DJ152" s="587" t="n"/>
      <c r="DK152" s="587" t="n"/>
      <c r="DL152" s="587" t="n"/>
      <c r="DM152" s="587" t="n"/>
      <c r="DN152" s="587" t="n"/>
      <c r="DO152" s="587" t="n"/>
      <c r="DP152" s="587" t="n"/>
      <c r="DQ152" s="587" t="n"/>
      <c r="DR152" s="587" t="n"/>
      <c r="DS152" s="587" t="n"/>
      <c r="DT152" s="587" t="n"/>
      <c r="DU152" s="587" t="n"/>
      <c r="DV152" s="587" t="n"/>
      <c r="DW152" s="587" t="n"/>
      <c r="DX152" s="587" t="n"/>
      <c r="DY152" s="587" t="n"/>
      <c r="DZ152" s="587" t="n"/>
      <c r="EA152" s="587" t="n"/>
      <c r="EB152" s="587" t="n"/>
      <c r="EC152" s="587" t="n"/>
      <c r="ED152" s="587" t="n"/>
      <c r="EE152" s="587" t="n"/>
      <c r="EF152" s="587" t="n"/>
      <c r="EG152" s="587" t="n"/>
      <c r="EH152" s="587" t="n"/>
      <c r="EI152" s="587" t="n"/>
      <c r="EJ152" s="587" t="n"/>
      <c r="EK152" s="587" t="n"/>
      <c r="EL152" s="587" t="n"/>
      <c r="EM152" s="587" t="n"/>
      <c r="EN152" s="587" t="n"/>
      <c r="EO152" s="587" t="n"/>
      <c r="EP152" s="587" t="n"/>
      <c r="EQ152" s="587" t="n"/>
      <c r="ER152" s="587" t="n"/>
      <c r="ES152" s="587" t="n"/>
      <c r="ET152" s="587" t="n"/>
      <c r="EU152" s="587" t="n"/>
      <c r="EV152" s="587" t="n"/>
      <c r="EW152" s="587" t="n"/>
      <c r="EX152" s="587" t="n"/>
      <c r="EY152" s="587" t="n"/>
      <c r="EZ152" s="587" t="n"/>
      <c r="FA152" s="587" t="n"/>
      <c r="FB152" s="587" t="n"/>
      <c r="FC152" s="587" t="n"/>
      <c r="FD152" s="587" t="n"/>
      <c r="FE152" s="587" t="n"/>
      <c r="FF152" s="587" t="n"/>
      <c r="FG152" s="587" t="n"/>
      <c r="FH152" s="587" t="n"/>
      <c r="FI152" s="587" t="n"/>
      <c r="FJ152" s="587" t="n"/>
      <c r="FK152" s="587" t="n"/>
      <c r="FL152" s="587" t="n"/>
      <c r="FM152" s="587" t="n"/>
      <c r="FN152" s="587" t="n"/>
      <c r="FO152" s="587" t="n"/>
      <c r="FP152" s="587" t="n"/>
      <c r="FQ152" s="587" t="n"/>
      <c r="FR152" s="587" t="n"/>
      <c r="FS152" s="587" t="n"/>
      <c r="FT152" s="587" t="n"/>
      <c r="FU152" s="587" t="n"/>
      <c r="FV152" s="587" t="n"/>
      <c r="FW152" s="587" t="n"/>
      <c r="FX152" s="587" t="n"/>
      <c r="FY152" s="587" t="n"/>
      <c r="FZ152" s="587" t="n"/>
      <c r="GA152" s="587" t="n"/>
    </row>
    <row r="153" customFormat="1" s="568">
      <c r="A153" s="86" t="n"/>
      <c r="B153" s="85" t="n"/>
      <c r="C153" s="84">
        <f>E153*D$5</f>
        <v/>
      </c>
      <c r="D153" s="68" t="n"/>
      <c r="E153" s="84">
        <f>SUM(G153:HT153)</f>
        <v/>
      </c>
      <c r="Q153" s="574" t="n"/>
      <c r="Z153" s="574" t="n"/>
      <c r="AA153" s="574" t="n"/>
      <c r="AB153" s="574" t="n"/>
      <c r="AC153" s="574" t="n"/>
      <c r="AD153" s="574" t="n"/>
      <c r="AE153" s="574" t="n"/>
      <c r="AF153" s="574" t="n"/>
      <c r="AH153" s="574" t="n"/>
      <c r="AJ153" s="574" t="n"/>
      <c r="CM153" s="587" t="n"/>
      <c r="CN153" s="587" t="n"/>
      <c r="CO153" s="587" t="n"/>
      <c r="CP153" s="587" t="n"/>
      <c r="CQ153" s="587" t="n"/>
      <c r="CR153" s="587" t="n"/>
      <c r="CS153" s="587" t="n"/>
      <c r="CT153" s="587" t="n"/>
      <c r="CU153" s="587" t="n"/>
      <c r="CV153" s="587" t="n"/>
      <c r="CW153" s="587" t="n"/>
      <c r="CX153" s="587" t="n"/>
      <c r="CY153" s="587" t="n"/>
      <c r="CZ153" s="587" t="n"/>
      <c r="DA153" s="587" t="n"/>
      <c r="DB153" s="587" t="n"/>
      <c r="DC153" s="587" t="n"/>
      <c r="DD153" s="587" t="n"/>
      <c r="DE153" s="587" t="n"/>
      <c r="DF153" s="587" t="n"/>
      <c r="DG153" s="587" t="n"/>
      <c r="DH153" s="587" t="n"/>
      <c r="DI153" s="587" t="n"/>
      <c r="DJ153" s="587" t="n"/>
      <c r="DK153" s="587" t="n"/>
      <c r="DL153" s="587" t="n"/>
      <c r="DM153" s="587" t="n"/>
      <c r="DN153" s="587" t="n"/>
      <c r="DO153" s="587" t="n"/>
      <c r="DP153" s="587" t="n"/>
      <c r="DQ153" s="587" t="n"/>
      <c r="DR153" s="587" t="n"/>
      <c r="DS153" s="587" t="n"/>
      <c r="DT153" s="587" t="n"/>
      <c r="DU153" s="587" t="n"/>
      <c r="DV153" s="587" t="n"/>
      <c r="DW153" s="587" t="n"/>
      <c r="DX153" s="587" t="n"/>
      <c r="DY153" s="587" t="n"/>
      <c r="DZ153" s="587" t="n"/>
      <c r="EA153" s="587" t="n"/>
      <c r="EB153" s="587" t="n"/>
      <c r="EC153" s="587" t="n"/>
      <c r="ED153" s="587" t="n"/>
      <c r="EE153" s="587" t="n"/>
      <c r="EF153" s="587" t="n"/>
      <c r="EG153" s="587" t="n"/>
      <c r="EH153" s="587" t="n"/>
      <c r="EI153" s="587" t="n"/>
      <c r="EJ153" s="587" t="n"/>
      <c r="EK153" s="587" t="n"/>
      <c r="EL153" s="587" t="n"/>
      <c r="EM153" s="587" t="n"/>
      <c r="EN153" s="587" t="n"/>
      <c r="EO153" s="587" t="n"/>
      <c r="EP153" s="587" t="n"/>
      <c r="EQ153" s="587" t="n"/>
      <c r="ER153" s="587" t="n"/>
      <c r="ES153" s="587" t="n"/>
      <c r="ET153" s="587" t="n"/>
      <c r="EU153" s="587" t="n"/>
      <c r="EV153" s="587" t="n"/>
      <c r="EW153" s="587" t="n"/>
      <c r="EX153" s="587" t="n"/>
      <c r="EY153" s="587" t="n"/>
      <c r="EZ153" s="587" t="n"/>
      <c r="FA153" s="587" t="n"/>
      <c r="FB153" s="587" t="n"/>
      <c r="FC153" s="587" t="n"/>
      <c r="FD153" s="587" t="n"/>
      <c r="FE153" s="587" t="n"/>
      <c r="FF153" s="587" t="n"/>
      <c r="FG153" s="587" t="n"/>
      <c r="FH153" s="587" t="n"/>
      <c r="FI153" s="587" t="n"/>
      <c r="FJ153" s="587" t="n"/>
      <c r="FK153" s="587" t="n"/>
      <c r="FL153" s="587" t="n"/>
      <c r="FM153" s="587" t="n"/>
      <c r="FN153" s="587" t="n"/>
      <c r="FO153" s="587" t="n"/>
      <c r="FP153" s="587" t="n"/>
      <c r="FQ153" s="587" t="n"/>
      <c r="FR153" s="587" t="n"/>
      <c r="FS153" s="587" t="n"/>
      <c r="FT153" s="587" t="n"/>
      <c r="FU153" s="587" t="n"/>
      <c r="FV153" s="587" t="n"/>
      <c r="FW153" s="587" t="n"/>
      <c r="FX153" s="587" t="n"/>
      <c r="FY153" s="587" t="n"/>
      <c r="FZ153" s="587" t="n"/>
      <c r="GA153" s="587" t="n"/>
    </row>
    <row r="154" customFormat="1" s="568">
      <c r="A154" s="86" t="n"/>
      <c r="B154" s="85" t="n"/>
      <c r="C154" s="84">
        <f>E154*D$5</f>
        <v/>
      </c>
      <c r="D154" s="68" t="n"/>
      <c r="E154" s="84">
        <f>SUM(G154:HT154)</f>
        <v/>
      </c>
      <c r="Q154" s="574" t="n"/>
      <c r="Z154" s="574" t="n"/>
      <c r="AA154" s="574" t="n"/>
      <c r="AB154" s="574" t="n"/>
      <c r="AC154" s="574" t="n"/>
      <c r="AD154" s="574" t="n"/>
      <c r="AE154" s="574" t="n"/>
      <c r="AF154" s="574" t="n"/>
      <c r="AH154" s="574" t="n"/>
      <c r="AJ154" s="574" t="n"/>
      <c r="CM154" s="587" t="n"/>
      <c r="CN154" s="587" t="n"/>
      <c r="CO154" s="587" t="n"/>
      <c r="CP154" s="587" t="n"/>
      <c r="CQ154" s="587" t="n"/>
      <c r="CR154" s="587" t="n"/>
      <c r="CS154" s="587" t="n"/>
      <c r="CT154" s="587" t="n"/>
      <c r="CU154" s="587" t="n"/>
      <c r="CV154" s="587" t="n"/>
      <c r="CW154" s="587" t="n"/>
      <c r="CX154" s="587" t="n"/>
      <c r="CY154" s="587" t="n"/>
      <c r="CZ154" s="587" t="n"/>
      <c r="DA154" s="587" t="n"/>
      <c r="DB154" s="587" t="n"/>
      <c r="DC154" s="587" t="n"/>
      <c r="DD154" s="587" t="n"/>
      <c r="DE154" s="587" t="n"/>
      <c r="DF154" s="587" t="n"/>
      <c r="DG154" s="587" t="n"/>
      <c r="DH154" s="587" t="n"/>
      <c r="DI154" s="587" t="n"/>
      <c r="DJ154" s="587" t="n"/>
      <c r="DK154" s="587" t="n"/>
      <c r="DL154" s="587" t="n"/>
      <c r="DM154" s="587" t="n"/>
      <c r="DN154" s="587" t="n"/>
      <c r="DO154" s="587" t="n"/>
      <c r="DP154" s="587" t="n"/>
      <c r="DQ154" s="587" t="n"/>
      <c r="DR154" s="587" t="n"/>
      <c r="DS154" s="587" t="n"/>
      <c r="DT154" s="587" t="n"/>
      <c r="DU154" s="587" t="n"/>
      <c r="DV154" s="587" t="n"/>
      <c r="DW154" s="587" t="n"/>
      <c r="DX154" s="587" t="n"/>
      <c r="DY154" s="587" t="n"/>
      <c r="DZ154" s="587" t="n"/>
      <c r="EA154" s="587" t="n"/>
      <c r="EB154" s="587" t="n"/>
      <c r="EC154" s="587" t="n"/>
      <c r="ED154" s="587" t="n"/>
      <c r="EE154" s="587" t="n"/>
      <c r="EF154" s="587" t="n"/>
      <c r="EG154" s="587" t="n"/>
      <c r="EH154" s="587" t="n"/>
      <c r="EI154" s="587" t="n"/>
      <c r="EJ154" s="587" t="n"/>
      <c r="EK154" s="587" t="n"/>
      <c r="EL154" s="587" t="n"/>
      <c r="EM154" s="587" t="n"/>
      <c r="EN154" s="587" t="n"/>
      <c r="EO154" s="587" t="n"/>
      <c r="EP154" s="587" t="n"/>
      <c r="EQ154" s="587" t="n"/>
      <c r="ER154" s="587" t="n"/>
      <c r="ES154" s="587" t="n"/>
      <c r="ET154" s="587" t="n"/>
      <c r="EU154" s="587" t="n"/>
      <c r="EV154" s="587" t="n"/>
      <c r="EW154" s="587" t="n"/>
      <c r="EX154" s="587" t="n"/>
      <c r="EY154" s="587" t="n"/>
      <c r="EZ154" s="587" t="n"/>
      <c r="FA154" s="587" t="n"/>
      <c r="FB154" s="587" t="n"/>
      <c r="FC154" s="587" t="n"/>
      <c r="FD154" s="587" t="n"/>
      <c r="FE154" s="587" t="n"/>
      <c r="FF154" s="587" t="n"/>
      <c r="FG154" s="587" t="n"/>
      <c r="FH154" s="587" t="n"/>
      <c r="FI154" s="587" t="n"/>
      <c r="FJ154" s="587" t="n"/>
      <c r="FK154" s="587" t="n"/>
      <c r="FL154" s="587" t="n"/>
      <c r="FM154" s="587" t="n"/>
      <c r="FN154" s="587" t="n"/>
      <c r="FO154" s="587" t="n"/>
      <c r="FP154" s="587" t="n"/>
      <c r="FQ154" s="587" t="n"/>
      <c r="FR154" s="587" t="n"/>
      <c r="FS154" s="587" t="n"/>
      <c r="FT154" s="587" t="n"/>
      <c r="FU154" s="587" t="n"/>
      <c r="FV154" s="587" t="n"/>
      <c r="FW154" s="587" t="n"/>
      <c r="FX154" s="587" t="n"/>
      <c r="FY154" s="587" t="n"/>
      <c r="FZ154" s="587" t="n"/>
      <c r="GA154" s="587" t="n"/>
    </row>
    <row r="155" customFormat="1" s="568">
      <c r="A155" s="86" t="n"/>
      <c r="B155" s="85" t="n"/>
      <c r="C155" s="84">
        <f>E155*D$5</f>
        <v/>
      </c>
      <c r="D155" s="68" t="n"/>
      <c r="E155" s="84">
        <f>SUM(G155:HT155)</f>
        <v/>
      </c>
      <c r="Q155" s="574" t="n"/>
      <c r="Z155" s="574" t="n"/>
      <c r="AA155" s="574" t="n"/>
      <c r="AB155" s="574" t="n"/>
      <c r="AC155" s="574" t="n"/>
      <c r="AD155" s="574" t="n"/>
      <c r="AE155" s="574" t="n"/>
      <c r="AF155" s="574" t="n"/>
      <c r="AH155" s="574" t="n"/>
      <c r="AJ155" s="574" t="n"/>
      <c r="CM155" s="587" t="n"/>
      <c r="CN155" s="587" t="n"/>
      <c r="CO155" s="587" t="n"/>
      <c r="CP155" s="587" t="n"/>
      <c r="CQ155" s="587" t="n"/>
      <c r="CR155" s="587" t="n"/>
      <c r="CS155" s="587" t="n"/>
      <c r="CT155" s="587" t="n"/>
      <c r="CU155" s="587" t="n"/>
      <c r="CV155" s="587" t="n"/>
      <c r="CW155" s="587" t="n"/>
      <c r="CX155" s="587" t="n"/>
      <c r="CY155" s="587" t="n"/>
      <c r="CZ155" s="587" t="n"/>
      <c r="DA155" s="587" t="n"/>
      <c r="DB155" s="587" t="n"/>
      <c r="DC155" s="587" t="n"/>
      <c r="DD155" s="587" t="n"/>
      <c r="DE155" s="587" t="n"/>
      <c r="DF155" s="587" t="n"/>
      <c r="DG155" s="587" t="n"/>
      <c r="DH155" s="587" t="n"/>
      <c r="DI155" s="587" t="n"/>
      <c r="DJ155" s="587" t="n"/>
      <c r="DK155" s="587" t="n"/>
      <c r="DL155" s="587" t="n"/>
      <c r="DM155" s="587" t="n"/>
      <c r="DN155" s="587" t="n"/>
      <c r="DO155" s="587" t="n"/>
      <c r="DP155" s="587" t="n"/>
      <c r="DQ155" s="587" t="n"/>
      <c r="DR155" s="587" t="n"/>
      <c r="DS155" s="587" t="n"/>
      <c r="DT155" s="587" t="n"/>
      <c r="DU155" s="587" t="n"/>
      <c r="DV155" s="587" t="n"/>
      <c r="DW155" s="587" t="n"/>
      <c r="DX155" s="587" t="n"/>
      <c r="DY155" s="587" t="n"/>
      <c r="DZ155" s="587" t="n"/>
      <c r="EA155" s="587" t="n"/>
      <c r="EB155" s="587" t="n"/>
      <c r="EC155" s="587" t="n"/>
      <c r="ED155" s="587" t="n"/>
      <c r="EE155" s="587" t="n"/>
      <c r="EF155" s="587" t="n"/>
      <c r="EG155" s="587" t="n"/>
      <c r="EH155" s="587" t="n"/>
      <c r="EI155" s="587" t="n"/>
      <c r="EJ155" s="587" t="n"/>
      <c r="EK155" s="587" t="n"/>
      <c r="EL155" s="587" t="n"/>
      <c r="EM155" s="587" t="n"/>
      <c r="EN155" s="587" t="n"/>
      <c r="EO155" s="587" t="n"/>
      <c r="EP155" s="587" t="n"/>
      <c r="EQ155" s="587" t="n"/>
      <c r="ER155" s="587" t="n"/>
      <c r="ES155" s="587" t="n"/>
      <c r="ET155" s="587" t="n"/>
      <c r="EU155" s="587" t="n"/>
      <c r="EV155" s="587" t="n"/>
      <c r="EW155" s="587" t="n"/>
      <c r="EX155" s="587" t="n"/>
      <c r="EY155" s="587" t="n"/>
      <c r="EZ155" s="587" t="n"/>
      <c r="FA155" s="587" t="n"/>
      <c r="FB155" s="587" t="n"/>
      <c r="FC155" s="587" t="n"/>
      <c r="FD155" s="587" t="n"/>
      <c r="FE155" s="587" t="n"/>
      <c r="FF155" s="587" t="n"/>
      <c r="FG155" s="587" t="n"/>
      <c r="FH155" s="587" t="n"/>
      <c r="FI155" s="587" t="n"/>
      <c r="FJ155" s="587" t="n"/>
      <c r="FK155" s="587" t="n"/>
      <c r="FL155" s="587" t="n"/>
      <c r="FM155" s="587" t="n"/>
      <c r="FN155" s="587" t="n"/>
      <c r="FO155" s="587" t="n"/>
      <c r="FP155" s="587" t="n"/>
      <c r="FQ155" s="587" t="n"/>
      <c r="FR155" s="587" t="n"/>
      <c r="FS155" s="587" t="n"/>
      <c r="FT155" s="587" t="n"/>
      <c r="FU155" s="587" t="n"/>
      <c r="FV155" s="587" t="n"/>
      <c r="FW155" s="587" t="n"/>
      <c r="FX155" s="587" t="n"/>
      <c r="FY155" s="587" t="n"/>
      <c r="FZ155" s="587" t="n"/>
      <c r="GA155" s="587" t="n"/>
    </row>
    <row r="156" customFormat="1" s="568">
      <c r="A156" s="86" t="n"/>
      <c r="B156" s="85" t="n"/>
      <c r="C156" s="84">
        <f>E156*D$5</f>
        <v/>
      </c>
      <c r="D156" s="68" t="n"/>
      <c r="E156" s="84">
        <f>SUM(G156:HT156)</f>
        <v/>
      </c>
      <c r="Q156" s="574" t="n"/>
      <c r="Z156" s="574" t="n"/>
      <c r="AA156" s="574" t="n"/>
      <c r="AB156" s="574" t="n"/>
      <c r="AC156" s="574" t="n"/>
      <c r="AD156" s="574" t="n"/>
      <c r="AE156" s="574" t="n"/>
      <c r="AF156" s="574" t="n"/>
      <c r="AH156" s="574" t="n"/>
      <c r="AJ156" s="574" t="n"/>
      <c r="CM156" s="587" t="n"/>
      <c r="CN156" s="587" t="n"/>
      <c r="CO156" s="587" t="n"/>
      <c r="CP156" s="587" t="n"/>
      <c r="CQ156" s="587" t="n"/>
      <c r="CR156" s="587" t="n"/>
      <c r="CS156" s="587" t="n"/>
      <c r="CT156" s="587" t="n"/>
      <c r="CU156" s="587" t="n"/>
      <c r="CV156" s="587" t="n"/>
      <c r="CW156" s="587" t="n"/>
      <c r="CX156" s="587" t="n"/>
      <c r="CY156" s="587" t="n"/>
      <c r="CZ156" s="587" t="n"/>
      <c r="DA156" s="587" t="n"/>
      <c r="DB156" s="587" t="n"/>
      <c r="DC156" s="587" t="n"/>
      <c r="DD156" s="587" t="n"/>
      <c r="DE156" s="587" t="n"/>
      <c r="DF156" s="587" t="n"/>
      <c r="DG156" s="587" t="n"/>
      <c r="DH156" s="587" t="n"/>
      <c r="DI156" s="587" t="n"/>
      <c r="DJ156" s="587" t="n"/>
      <c r="DK156" s="587" t="n"/>
      <c r="DL156" s="587" t="n"/>
      <c r="DM156" s="587" t="n"/>
      <c r="DN156" s="587" t="n"/>
      <c r="DO156" s="587" t="n"/>
      <c r="DP156" s="587" t="n"/>
      <c r="DQ156" s="587" t="n"/>
      <c r="DR156" s="587" t="n"/>
      <c r="DS156" s="587" t="n"/>
      <c r="DT156" s="587" t="n"/>
      <c r="DU156" s="587" t="n"/>
      <c r="DV156" s="587" t="n"/>
      <c r="DW156" s="587" t="n"/>
      <c r="DX156" s="587" t="n"/>
      <c r="DY156" s="587" t="n"/>
      <c r="DZ156" s="587" t="n"/>
      <c r="EA156" s="587" t="n"/>
      <c r="EB156" s="587" t="n"/>
      <c r="EC156" s="587" t="n"/>
      <c r="ED156" s="587" t="n"/>
      <c r="EE156" s="587" t="n"/>
      <c r="EF156" s="587" t="n"/>
      <c r="EG156" s="587" t="n"/>
      <c r="EH156" s="587" t="n"/>
      <c r="EI156" s="587" t="n"/>
      <c r="EJ156" s="587" t="n"/>
      <c r="EK156" s="587" t="n"/>
      <c r="EL156" s="587" t="n"/>
      <c r="EM156" s="587" t="n"/>
      <c r="EN156" s="587" t="n"/>
      <c r="EO156" s="587" t="n"/>
      <c r="EP156" s="587" t="n"/>
      <c r="EQ156" s="587" t="n"/>
      <c r="ER156" s="587" t="n"/>
      <c r="ES156" s="587" t="n"/>
      <c r="ET156" s="587" t="n"/>
      <c r="EU156" s="587" t="n"/>
      <c r="EV156" s="587" t="n"/>
      <c r="EW156" s="587" t="n"/>
      <c r="EX156" s="587" t="n"/>
      <c r="EY156" s="587" t="n"/>
      <c r="EZ156" s="587" t="n"/>
      <c r="FA156" s="587" t="n"/>
      <c r="FB156" s="587" t="n"/>
      <c r="FC156" s="587" t="n"/>
      <c r="FD156" s="587" t="n"/>
      <c r="FE156" s="587" t="n"/>
      <c r="FF156" s="587" t="n"/>
      <c r="FG156" s="587" t="n"/>
      <c r="FH156" s="587" t="n"/>
      <c r="FI156" s="587" t="n"/>
      <c r="FJ156" s="587" t="n"/>
      <c r="FK156" s="587" t="n"/>
      <c r="FL156" s="587" t="n"/>
      <c r="FM156" s="587" t="n"/>
      <c r="FN156" s="587" t="n"/>
      <c r="FO156" s="587" t="n"/>
      <c r="FP156" s="587" t="n"/>
      <c r="FQ156" s="587" t="n"/>
      <c r="FR156" s="587" t="n"/>
      <c r="FS156" s="587" t="n"/>
      <c r="FT156" s="587" t="n"/>
      <c r="FU156" s="587" t="n"/>
      <c r="FV156" s="587" t="n"/>
      <c r="FW156" s="587" t="n"/>
      <c r="FX156" s="587" t="n"/>
      <c r="FY156" s="587" t="n"/>
      <c r="FZ156" s="587" t="n"/>
      <c r="GA156" s="587" t="n"/>
    </row>
    <row r="157" customFormat="1" s="568">
      <c r="A157" s="86" t="n"/>
      <c r="B157" s="85" t="n"/>
      <c r="C157" s="84">
        <f>E157*D$5</f>
        <v/>
      </c>
      <c r="D157" s="68" t="n"/>
      <c r="E157" s="84">
        <f>SUM(G157:HT157)</f>
        <v/>
      </c>
      <c r="Q157" s="574" t="n"/>
      <c r="Z157" s="574" t="n"/>
      <c r="AA157" s="574" t="n"/>
      <c r="AB157" s="574" t="n"/>
      <c r="AC157" s="574" t="n"/>
      <c r="AD157" s="574" t="n"/>
      <c r="AE157" s="574" t="n"/>
      <c r="AF157" s="574" t="n"/>
      <c r="AH157" s="574" t="n"/>
      <c r="AJ157" s="574" t="n"/>
      <c r="CM157" s="587" t="n"/>
      <c r="CN157" s="587" t="n"/>
      <c r="CO157" s="587" t="n"/>
      <c r="CP157" s="587" t="n"/>
      <c r="CQ157" s="587" t="n"/>
      <c r="CR157" s="587" t="n"/>
      <c r="CS157" s="587" t="n"/>
      <c r="CT157" s="587" t="n"/>
      <c r="CU157" s="587" t="n"/>
      <c r="CV157" s="587" t="n"/>
      <c r="CW157" s="587" t="n"/>
      <c r="CX157" s="587" t="n"/>
      <c r="CY157" s="587" t="n"/>
      <c r="CZ157" s="587" t="n"/>
      <c r="DA157" s="587" t="n"/>
      <c r="DB157" s="587" t="n"/>
      <c r="DC157" s="587" t="n"/>
      <c r="DD157" s="587" t="n"/>
      <c r="DE157" s="587" t="n"/>
      <c r="DF157" s="587" t="n"/>
      <c r="DG157" s="587" t="n"/>
      <c r="DH157" s="587" t="n"/>
      <c r="DI157" s="587" t="n"/>
      <c r="DJ157" s="587" t="n"/>
      <c r="DK157" s="587" t="n"/>
      <c r="DL157" s="587" t="n"/>
      <c r="DM157" s="587" t="n"/>
      <c r="DN157" s="587" t="n"/>
      <c r="DO157" s="587" t="n"/>
      <c r="DP157" s="587" t="n"/>
      <c r="DQ157" s="587" t="n"/>
      <c r="DR157" s="587" t="n"/>
      <c r="DS157" s="587" t="n"/>
      <c r="DT157" s="587" t="n"/>
      <c r="DU157" s="587" t="n"/>
      <c r="DV157" s="587" t="n"/>
      <c r="DW157" s="587" t="n"/>
      <c r="DX157" s="587" t="n"/>
      <c r="DY157" s="587" t="n"/>
      <c r="DZ157" s="587" t="n"/>
      <c r="EA157" s="587" t="n"/>
      <c r="EB157" s="587" t="n"/>
      <c r="EC157" s="587" t="n"/>
      <c r="ED157" s="587" t="n"/>
      <c r="EE157" s="587" t="n"/>
      <c r="EF157" s="587" t="n"/>
      <c r="EG157" s="587" t="n"/>
      <c r="EH157" s="587" t="n"/>
      <c r="EI157" s="587" t="n"/>
      <c r="EJ157" s="587" t="n"/>
      <c r="EK157" s="587" t="n"/>
      <c r="EL157" s="587" t="n"/>
      <c r="EM157" s="587" t="n"/>
      <c r="EN157" s="587" t="n"/>
      <c r="EO157" s="587" t="n"/>
      <c r="EP157" s="587" t="n"/>
      <c r="EQ157" s="587" t="n"/>
      <c r="ER157" s="587" t="n"/>
      <c r="ES157" s="587" t="n"/>
      <c r="ET157" s="587" t="n"/>
      <c r="EU157" s="587" t="n"/>
      <c r="EV157" s="587" t="n"/>
      <c r="EW157" s="587" t="n"/>
      <c r="EX157" s="587" t="n"/>
      <c r="EY157" s="587" t="n"/>
      <c r="EZ157" s="587" t="n"/>
      <c r="FA157" s="587" t="n"/>
      <c r="FB157" s="587" t="n"/>
      <c r="FC157" s="587" t="n"/>
      <c r="FD157" s="587" t="n"/>
      <c r="FE157" s="587" t="n"/>
      <c r="FF157" s="587" t="n"/>
      <c r="FG157" s="587" t="n"/>
      <c r="FH157" s="587" t="n"/>
      <c r="FI157" s="587" t="n"/>
      <c r="FJ157" s="587" t="n"/>
      <c r="FK157" s="587" t="n"/>
      <c r="FL157" s="587" t="n"/>
      <c r="FM157" s="587" t="n"/>
      <c r="FN157" s="587" t="n"/>
      <c r="FO157" s="587" t="n"/>
      <c r="FP157" s="587" t="n"/>
      <c r="FQ157" s="587" t="n"/>
      <c r="FR157" s="587" t="n"/>
      <c r="FS157" s="587" t="n"/>
      <c r="FT157" s="587" t="n"/>
      <c r="FU157" s="587" t="n"/>
      <c r="FV157" s="587" t="n"/>
      <c r="FW157" s="587" t="n"/>
      <c r="FX157" s="587" t="n"/>
      <c r="FY157" s="587" t="n"/>
      <c r="FZ157" s="587" t="n"/>
      <c r="GA157" s="587" t="n"/>
    </row>
    <row r="158" customFormat="1" s="568">
      <c r="A158" s="86" t="n"/>
      <c r="B158" s="85" t="n"/>
      <c r="C158" s="84">
        <f>E158*D$5</f>
        <v/>
      </c>
      <c r="D158" s="68" t="n"/>
      <c r="E158" s="84">
        <f>SUM(G158:HT158)</f>
        <v/>
      </c>
      <c r="Q158" s="574" t="n"/>
      <c r="Z158" s="574" t="n"/>
      <c r="AA158" s="574" t="n"/>
      <c r="AB158" s="574" t="n"/>
      <c r="AC158" s="574" t="n"/>
      <c r="AD158" s="574" t="n"/>
      <c r="AE158" s="574" t="n"/>
      <c r="AF158" s="574" t="n"/>
      <c r="AH158" s="574" t="n"/>
      <c r="AJ158" s="574" t="n"/>
      <c r="CM158" s="587" t="n"/>
      <c r="CN158" s="587" t="n"/>
      <c r="CO158" s="587" t="n"/>
      <c r="CP158" s="587" t="n"/>
      <c r="CQ158" s="587" t="n"/>
      <c r="CR158" s="587" t="n"/>
      <c r="CS158" s="587" t="n"/>
      <c r="CT158" s="587" t="n"/>
      <c r="CU158" s="587" t="n"/>
      <c r="CV158" s="587" t="n"/>
      <c r="CW158" s="587" t="n"/>
      <c r="CX158" s="587" t="n"/>
      <c r="CY158" s="587" t="n"/>
      <c r="CZ158" s="587" t="n"/>
      <c r="DA158" s="587" t="n"/>
      <c r="DB158" s="587" t="n"/>
      <c r="DC158" s="587" t="n"/>
      <c r="DD158" s="587" t="n"/>
      <c r="DE158" s="587" t="n"/>
      <c r="DF158" s="587" t="n"/>
      <c r="DG158" s="587" t="n"/>
      <c r="DH158" s="587" t="n"/>
      <c r="DI158" s="587" t="n"/>
      <c r="DJ158" s="587" t="n"/>
      <c r="DK158" s="587" t="n"/>
      <c r="DL158" s="587" t="n"/>
      <c r="DM158" s="587" t="n"/>
      <c r="DN158" s="587" t="n"/>
      <c r="DO158" s="587" t="n"/>
      <c r="DP158" s="587" t="n"/>
      <c r="DQ158" s="587" t="n"/>
      <c r="DR158" s="587" t="n"/>
      <c r="DS158" s="587" t="n"/>
      <c r="DT158" s="587" t="n"/>
      <c r="DU158" s="587" t="n"/>
      <c r="DV158" s="587" t="n"/>
      <c r="DW158" s="587" t="n"/>
      <c r="DX158" s="587" t="n"/>
      <c r="DY158" s="587" t="n"/>
      <c r="DZ158" s="587" t="n"/>
      <c r="EA158" s="587" t="n"/>
      <c r="EB158" s="587" t="n"/>
      <c r="EC158" s="587" t="n"/>
      <c r="ED158" s="587" t="n"/>
      <c r="EE158" s="587" t="n"/>
      <c r="EF158" s="587" t="n"/>
      <c r="EG158" s="587" t="n"/>
      <c r="EH158" s="587" t="n"/>
      <c r="EI158" s="587" t="n"/>
      <c r="EJ158" s="587" t="n"/>
      <c r="EK158" s="587" t="n"/>
      <c r="EL158" s="587" t="n"/>
      <c r="EM158" s="587" t="n"/>
      <c r="EN158" s="587" t="n"/>
      <c r="EO158" s="587" t="n"/>
      <c r="EP158" s="587" t="n"/>
      <c r="EQ158" s="587" t="n"/>
      <c r="ER158" s="587" t="n"/>
      <c r="ES158" s="587" t="n"/>
      <c r="ET158" s="587" t="n"/>
      <c r="EU158" s="587" t="n"/>
      <c r="EV158" s="587" t="n"/>
      <c r="EW158" s="587" t="n"/>
      <c r="EX158" s="587" t="n"/>
      <c r="EY158" s="587" t="n"/>
      <c r="EZ158" s="587" t="n"/>
      <c r="FA158" s="587" t="n"/>
      <c r="FB158" s="587" t="n"/>
      <c r="FC158" s="587" t="n"/>
      <c r="FD158" s="587" t="n"/>
      <c r="FE158" s="587" t="n"/>
      <c r="FF158" s="587" t="n"/>
      <c r="FG158" s="587" t="n"/>
      <c r="FH158" s="587" t="n"/>
      <c r="FI158" s="587" t="n"/>
      <c r="FJ158" s="587" t="n"/>
      <c r="FK158" s="587" t="n"/>
      <c r="FL158" s="587" t="n"/>
      <c r="FM158" s="587" t="n"/>
      <c r="FN158" s="587" t="n"/>
      <c r="FO158" s="587" t="n"/>
      <c r="FP158" s="587" t="n"/>
      <c r="FQ158" s="587" t="n"/>
      <c r="FR158" s="587" t="n"/>
      <c r="FS158" s="587" t="n"/>
      <c r="FT158" s="587" t="n"/>
      <c r="FU158" s="587" t="n"/>
      <c r="FV158" s="587" t="n"/>
      <c r="FW158" s="587" t="n"/>
      <c r="FX158" s="587" t="n"/>
      <c r="FY158" s="587" t="n"/>
      <c r="FZ158" s="587" t="n"/>
      <c r="GA158" s="587" t="n"/>
    </row>
    <row r="159" customFormat="1" s="568">
      <c r="A159" s="86" t="n"/>
      <c r="B159" s="85" t="n"/>
      <c r="C159" s="84">
        <f>E159*D$5</f>
        <v/>
      </c>
      <c r="D159" s="68" t="n"/>
      <c r="E159" s="84">
        <f>SUM(G159:HT159)</f>
        <v/>
      </c>
      <c r="Q159" s="574" t="n"/>
      <c r="Z159" s="574" t="n"/>
      <c r="AA159" s="574" t="n"/>
      <c r="AB159" s="574" t="n"/>
      <c r="AC159" s="574" t="n"/>
      <c r="AD159" s="574" t="n"/>
      <c r="AE159" s="574" t="n"/>
      <c r="AF159" s="574" t="n"/>
      <c r="AH159" s="574" t="n"/>
      <c r="AJ159" s="574" t="n"/>
      <c r="CM159" s="587" t="n"/>
      <c r="CN159" s="587" t="n"/>
      <c r="CO159" s="587" t="n"/>
      <c r="CP159" s="587" t="n"/>
      <c r="CQ159" s="587" t="n"/>
      <c r="CR159" s="587" t="n"/>
      <c r="CS159" s="587" t="n"/>
      <c r="CT159" s="587" t="n"/>
      <c r="CU159" s="587" t="n"/>
      <c r="CV159" s="587" t="n"/>
      <c r="CW159" s="587" t="n"/>
      <c r="CX159" s="587" t="n"/>
      <c r="CY159" s="587" t="n"/>
      <c r="CZ159" s="587" t="n"/>
      <c r="DA159" s="587" t="n"/>
      <c r="DB159" s="587" t="n"/>
      <c r="DC159" s="587" t="n"/>
      <c r="DD159" s="587" t="n"/>
      <c r="DE159" s="587" t="n"/>
      <c r="DF159" s="587" t="n"/>
      <c r="DG159" s="587" t="n"/>
      <c r="DH159" s="587" t="n"/>
      <c r="DI159" s="587" t="n"/>
      <c r="DJ159" s="587" t="n"/>
      <c r="DK159" s="587" t="n"/>
      <c r="DL159" s="587" t="n"/>
      <c r="DM159" s="587" t="n"/>
      <c r="DN159" s="587" t="n"/>
      <c r="DO159" s="587" t="n"/>
      <c r="DP159" s="587" t="n"/>
      <c r="DQ159" s="587" t="n"/>
      <c r="DR159" s="587" t="n"/>
      <c r="DS159" s="587" t="n"/>
      <c r="DT159" s="587" t="n"/>
      <c r="DU159" s="587" t="n"/>
      <c r="DV159" s="587" t="n"/>
      <c r="DW159" s="587" t="n"/>
      <c r="DX159" s="587" t="n"/>
      <c r="DY159" s="587" t="n"/>
      <c r="DZ159" s="587" t="n"/>
      <c r="EA159" s="587" t="n"/>
      <c r="EB159" s="587" t="n"/>
      <c r="EC159" s="587" t="n"/>
      <c r="ED159" s="587" t="n"/>
      <c r="EE159" s="587" t="n"/>
      <c r="EF159" s="587" t="n"/>
      <c r="EG159" s="587" t="n"/>
      <c r="EH159" s="587" t="n"/>
      <c r="EI159" s="587" t="n"/>
      <c r="EJ159" s="587" t="n"/>
      <c r="EK159" s="587" t="n"/>
      <c r="EL159" s="587" t="n"/>
      <c r="EM159" s="587" t="n"/>
      <c r="EN159" s="587" t="n"/>
      <c r="EO159" s="587" t="n"/>
      <c r="EP159" s="587" t="n"/>
      <c r="EQ159" s="587" t="n"/>
      <c r="ER159" s="587" t="n"/>
      <c r="ES159" s="587" t="n"/>
      <c r="ET159" s="587" t="n"/>
      <c r="EU159" s="587" t="n"/>
      <c r="EV159" s="587" t="n"/>
      <c r="EW159" s="587" t="n"/>
      <c r="EX159" s="587" t="n"/>
      <c r="EY159" s="587" t="n"/>
      <c r="EZ159" s="587" t="n"/>
      <c r="FA159" s="587" t="n"/>
      <c r="FB159" s="587" t="n"/>
      <c r="FC159" s="587" t="n"/>
      <c r="FD159" s="587" t="n"/>
      <c r="FE159" s="587" t="n"/>
      <c r="FF159" s="587" t="n"/>
      <c r="FG159" s="587" t="n"/>
      <c r="FH159" s="587" t="n"/>
      <c r="FI159" s="587" t="n"/>
      <c r="FJ159" s="587" t="n"/>
      <c r="FK159" s="587" t="n"/>
      <c r="FL159" s="587" t="n"/>
      <c r="FM159" s="587" t="n"/>
      <c r="FN159" s="587" t="n"/>
      <c r="FO159" s="587" t="n"/>
      <c r="FP159" s="587" t="n"/>
      <c r="FQ159" s="587" t="n"/>
      <c r="FR159" s="587" t="n"/>
      <c r="FS159" s="587" t="n"/>
      <c r="FT159" s="587" t="n"/>
      <c r="FU159" s="587" t="n"/>
      <c r="FV159" s="587" t="n"/>
      <c r="FW159" s="587" t="n"/>
      <c r="FX159" s="587" t="n"/>
      <c r="FY159" s="587" t="n"/>
      <c r="FZ159" s="587" t="n"/>
      <c r="GA159" s="587" t="n"/>
    </row>
    <row r="160" customFormat="1" s="568">
      <c r="A160" s="86" t="n"/>
      <c r="B160" s="85" t="n"/>
      <c r="C160" s="84">
        <f>E160*D$5</f>
        <v/>
      </c>
      <c r="D160" s="68" t="n"/>
      <c r="E160" s="84">
        <f>SUM(G160:HT160)</f>
        <v/>
      </c>
      <c r="Q160" s="574" t="n"/>
      <c r="Z160" s="574" t="n"/>
      <c r="AA160" s="574" t="n"/>
      <c r="AB160" s="574" t="n"/>
      <c r="AC160" s="574" t="n"/>
      <c r="AD160" s="574" t="n"/>
      <c r="AE160" s="574" t="n"/>
      <c r="AF160" s="574" t="n"/>
      <c r="AH160" s="574" t="n"/>
      <c r="AJ160" s="574" t="n"/>
      <c r="CM160" s="587" t="n"/>
      <c r="CN160" s="587" t="n"/>
      <c r="CO160" s="587" t="n"/>
      <c r="CP160" s="587" t="n"/>
      <c r="CQ160" s="587" t="n"/>
      <c r="CR160" s="587" t="n"/>
      <c r="CS160" s="587" t="n"/>
      <c r="CT160" s="587" t="n"/>
      <c r="CU160" s="587" t="n"/>
      <c r="CV160" s="587" t="n"/>
      <c r="CW160" s="587" t="n"/>
      <c r="CX160" s="587" t="n"/>
      <c r="CY160" s="587" t="n"/>
      <c r="CZ160" s="587" t="n"/>
      <c r="DA160" s="587" t="n"/>
      <c r="DB160" s="587" t="n"/>
      <c r="DC160" s="587" t="n"/>
      <c r="DD160" s="587" t="n"/>
      <c r="DE160" s="587" t="n"/>
      <c r="DF160" s="587" t="n"/>
      <c r="DG160" s="587" t="n"/>
      <c r="DH160" s="587" t="n"/>
      <c r="DI160" s="587" t="n"/>
      <c r="DJ160" s="587" t="n"/>
      <c r="DK160" s="587" t="n"/>
      <c r="DL160" s="587" t="n"/>
      <c r="DM160" s="587" t="n"/>
      <c r="DN160" s="587" t="n"/>
      <c r="DO160" s="587" t="n"/>
      <c r="DP160" s="587" t="n"/>
      <c r="DQ160" s="587" t="n"/>
      <c r="DR160" s="587" t="n"/>
      <c r="DS160" s="587" t="n"/>
      <c r="DT160" s="587" t="n"/>
      <c r="DU160" s="587" t="n"/>
      <c r="DV160" s="587" t="n"/>
      <c r="DW160" s="587" t="n"/>
      <c r="DX160" s="587" t="n"/>
      <c r="DY160" s="587" t="n"/>
      <c r="DZ160" s="587" t="n"/>
      <c r="EA160" s="587" t="n"/>
      <c r="EB160" s="587" t="n"/>
      <c r="EC160" s="587" t="n"/>
      <c r="ED160" s="587" t="n"/>
      <c r="EE160" s="587" t="n"/>
      <c r="EF160" s="587" t="n"/>
      <c r="EG160" s="587" t="n"/>
      <c r="EH160" s="587" t="n"/>
      <c r="EI160" s="587" t="n"/>
      <c r="EJ160" s="587" t="n"/>
      <c r="EK160" s="587" t="n"/>
      <c r="EL160" s="587" t="n"/>
      <c r="EM160" s="587" t="n"/>
      <c r="EN160" s="587" t="n"/>
      <c r="EO160" s="587" t="n"/>
      <c r="EP160" s="587" t="n"/>
      <c r="EQ160" s="587" t="n"/>
      <c r="ER160" s="587" t="n"/>
      <c r="ES160" s="587" t="n"/>
      <c r="ET160" s="587" t="n"/>
      <c r="EU160" s="587" t="n"/>
      <c r="EV160" s="587" t="n"/>
      <c r="EW160" s="587" t="n"/>
      <c r="EX160" s="587" t="n"/>
      <c r="EY160" s="587" t="n"/>
      <c r="EZ160" s="587" t="n"/>
      <c r="FA160" s="587" t="n"/>
      <c r="FB160" s="587" t="n"/>
      <c r="FC160" s="587" t="n"/>
      <c r="FD160" s="587" t="n"/>
      <c r="FE160" s="587" t="n"/>
      <c r="FF160" s="587" t="n"/>
      <c r="FG160" s="587" t="n"/>
      <c r="FH160" s="587" t="n"/>
      <c r="FI160" s="587" t="n"/>
      <c r="FJ160" s="587" t="n"/>
      <c r="FK160" s="587" t="n"/>
      <c r="FL160" s="587" t="n"/>
      <c r="FM160" s="587" t="n"/>
      <c r="FN160" s="587" t="n"/>
      <c r="FO160" s="587" t="n"/>
      <c r="FP160" s="587" t="n"/>
      <c r="FQ160" s="587" t="n"/>
      <c r="FR160" s="587" t="n"/>
      <c r="FS160" s="587" t="n"/>
      <c r="FT160" s="587" t="n"/>
      <c r="FU160" s="587" t="n"/>
      <c r="FV160" s="587" t="n"/>
      <c r="FW160" s="587" t="n"/>
      <c r="FX160" s="587" t="n"/>
      <c r="FY160" s="587" t="n"/>
      <c r="FZ160" s="587" t="n"/>
      <c r="GA160" s="587" t="n"/>
    </row>
    <row r="161" customFormat="1" s="568">
      <c r="A161" s="86" t="n"/>
      <c r="B161" s="85" t="n"/>
      <c r="C161" s="84">
        <f>E161*D$5</f>
        <v/>
      </c>
      <c r="D161" s="68" t="n"/>
      <c r="E161" s="84">
        <f>SUM(G161:HT161)</f>
        <v/>
      </c>
      <c r="Q161" s="574" t="n"/>
      <c r="Z161" s="574" t="n"/>
      <c r="AA161" s="574" t="n"/>
      <c r="AB161" s="574" t="n"/>
      <c r="AC161" s="574" t="n"/>
      <c r="AD161" s="574" t="n"/>
      <c r="AE161" s="574" t="n"/>
      <c r="AF161" s="574" t="n"/>
      <c r="AH161" s="574" t="n"/>
      <c r="AJ161" s="574" t="n"/>
      <c r="CM161" s="587" t="n"/>
      <c r="CN161" s="587" t="n"/>
      <c r="CO161" s="587" t="n"/>
      <c r="CP161" s="587" t="n"/>
      <c r="CQ161" s="587" t="n"/>
      <c r="CR161" s="587" t="n"/>
      <c r="CS161" s="587" t="n"/>
      <c r="CT161" s="587" t="n"/>
      <c r="CU161" s="587" t="n"/>
      <c r="CV161" s="587" t="n"/>
      <c r="CW161" s="587" t="n"/>
      <c r="CX161" s="587" t="n"/>
      <c r="CY161" s="587" t="n"/>
      <c r="CZ161" s="587" t="n"/>
      <c r="DA161" s="587" t="n"/>
      <c r="DB161" s="587" t="n"/>
      <c r="DC161" s="587" t="n"/>
      <c r="DD161" s="587" t="n"/>
      <c r="DE161" s="587" t="n"/>
      <c r="DF161" s="587" t="n"/>
      <c r="DG161" s="587" t="n"/>
      <c r="DH161" s="587" t="n"/>
      <c r="DI161" s="587" t="n"/>
      <c r="DJ161" s="587" t="n"/>
      <c r="DK161" s="587" t="n"/>
      <c r="DL161" s="587" t="n"/>
      <c r="DM161" s="587" t="n"/>
      <c r="DN161" s="587" t="n"/>
      <c r="DO161" s="587" t="n"/>
      <c r="DP161" s="587" t="n"/>
      <c r="DQ161" s="587" t="n"/>
      <c r="DR161" s="587" t="n"/>
      <c r="DS161" s="587" t="n"/>
      <c r="DT161" s="587" t="n"/>
      <c r="DU161" s="587" t="n"/>
      <c r="DV161" s="587" t="n"/>
      <c r="DW161" s="587" t="n"/>
      <c r="DX161" s="587" t="n"/>
      <c r="DY161" s="587" t="n"/>
      <c r="DZ161" s="587" t="n"/>
      <c r="EA161" s="587" t="n"/>
      <c r="EB161" s="587" t="n"/>
      <c r="EC161" s="587" t="n"/>
      <c r="ED161" s="587" t="n"/>
      <c r="EE161" s="587" t="n"/>
      <c r="EF161" s="587" t="n"/>
      <c r="EG161" s="587" t="n"/>
      <c r="EH161" s="587" t="n"/>
      <c r="EI161" s="587" t="n"/>
      <c r="EJ161" s="587" t="n"/>
      <c r="EK161" s="587" t="n"/>
      <c r="EL161" s="587" t="n"/>
      <c r="EM161" s="587" t="n"/>
      <c r="EN161" s="587" t="n"/>
      <c r="EO161" s="587" t="n"/>
      <c r="EP161" s="587" t="n"/>
      <c r="EQ161" s="587" t="n"/>
      <c r="ER161" s="587" t="n"/>
      <c r="ES161" s="587" t="n"/>
      <c r="ET161" s="587" t="n"/>
      <c r="EU161" s="587" t="n"/>
      <c r="EV161" s="587" t="n"/>
      <c r="EW161" s="587" t="n"/>
      <c r="EX161" s="587" t="n"/>
      <c r="EY161" s="587" t="n"/>
      <c r="EZ161" s="587" t="n"/>
      <c r="FA161" s="587" t="n"/>
      <c r="FB161" s="587" t="n"/>
      <c r="FC161" s="587" t="n"/>
      <c r="FD161" s="587" t="n"/>
      <c r="FE161" s="587" t="n"/>
      <c r="FF161" s="587" t="n"/>
      <c r="FG161" s="587" t="n"/>
      <c r="FH161" s="587" t="n"/>
      <c r="FI161" s="587" t="n"/>
      <c r="FJ161" s="587" t="n"/>
      <c r="FK161" s="587" t="n"/>
      <c r="FL161" s="587" t="n"/>
      <c r="FM161" s="587" t="n"/>
      <c r="FN161" s="587" t="n"/>
      <c r="FO161" s="587" t="n"/>
      <c r="FP161" s="587" t="n"/>
      <c r="FQ161" s="587" t="n"/>
      <c r="FR161" s="587" t="n"/>
      <c r="FS161" s="587" t="n"/>
      <c r="FT161" s="587" t="n"/>
      <c r="FU161" s="587" t="n"/>
      <c r="FV161" s="587" t="n"/>
      <c r="FW161" s="587" t="n"/>
      <c r="FX161" s="587" t="n"/>
      <c r="FY161" s="587" t="n"/>
      <c r="FZ161" s="587" t="n"/>
      <c r="GA161" s="587" t="n"/>
    </row>
    <row r="162" customFormat="1" s="568">
      <c r="A162" s="86" t="n"/>
      <c r="B162" s="85" t="n"/>
      <c r="C162" s="84">
        <f>E162*D$5</f>
        <v/>
      </c>
      <c r="D162" s="68" t="n"/>
      <c r="E162" s="84">
        <f>SUM(G162:HT162)</f>
        <v/>
      </c>
      <c r="Q162" s="574" t="n"/>
      <c r="Z162" s="574" t="n"/>
      <c r="AA162" s="574" t="n"/>
      <c r="AB162" s="574" t="n"/>
      <c r="AC162" s="574" t="n"/>
      <c r="AD162" s="574" t="n"/>
      <c r="AE162" s="574" t="n"/>
      <c r="AF162" s="574" t="n"/>
      <c r="AH162" s="574" t="n"/>
      <c r="AJ162" s="574" t="n"/>
      <c r="CM162" s="587" t="n"/>
      <c r="CN162" s="587" t="n"/>
      <c r="CO162" s="587" t="n"/>
      <c r="CP162" s="587" t="n"/>
      <c r="CQ162" s="587" t="n"/>
      <c r="CR162" s="587" t="n"/>
      <c r="CS162" s="587" t="n"/>
      <c r="CT162" s="587" t="n"/>
      <c r="CU162" s="587" t="n"/>
      <c r="CV162" s="587" t="n"/>
      <c r="CW162" s="587" t="n"/>
      <c r="CX162" s="587" t="n"/>
      <c r="CY162" s="587" t="n"/>
      <c r="CZ162" s="587" t="n"/>
      <c r="DA162" s="587" t="n"/>
      <c r="DB162" s="587" t="n"/>
      <c r="DC162" s="587" t="n"/>
      <c r="DD162" s="587" t="n"/>
      <c r="DE162" s="587" t="n"/>
      <c r="DF162" s="587" t="n"/>
      <c r="DG162" s="587" t="n"/>
      <c r="DH162" s="587" t="n"/>
      <c r="DI162" s="587" t="n"/>
      <c r="DJ162" s="587" t="n"/>
      <c r="DK162" s="587" t="n"/>
      <c r="DL162" s="587" t="n"/>
      <c r="DM162" s="587" t="n"/>
      <c r="DN162" s="587" t="n"/>
      <c r="DO162" s="587" t="n"/>
      <c r="DP162" s="587" t="n"/>
      <c r="DQ162" s="587" t="n"/>
      <c r="DR162" s="587" t="n"/>
      <c r="DS162" s="587" t="n"/>
      <c r="DT162" s="587" t="n"/>
      <c r="DU162" s="587" t="n"/>
      <c r="DV162" s="587" t="n"/>
      <c r="DW162" s="587" t="n"/>
      <c r="DX162" s="587" t="n"/>
      <c r="DY162" s="587" t="n"/>
      <c r="DZ162" s="587" t="n"/>
      <c r="EA162" s="587" t="n"/>
      <c r="EB162" s="587" t="n"/>
      <c r="EC162" s="587" t="n"/>
      <c r="ED162" s="587" t="n"/>
      <c r="EE162" s="587" t="n"/>
      <c r="EF162" s="587" t="n"/>
      <c r="EG162" s="587" t="n"/>
      <c r="EH162" s="587" t="n"/>
      <c r="EI162" s="587" t="n"/>
      <c r="EJ162" s="587" t="n"/>
      <c r="EK162" s="587" t="n"/>
      <c r="EL162" s="587" t="n"/>
      <c r="EM162" s="587" t="n"/>
      <c r="EN162" s="587" t="n"/>
      <c r="EO162" s="587" t="n"/>
      <c r="EP162" s="587" t="n"/>
      <c r="EQ162" s="587" t="n"/>
      <c r="ER162" s="587" t="n"/>
      <c r="ES162" s="587" t="n"/>
      <c r="ET162" s="587" t="n"/>
      <c r="EU162" s="587" t="n"/>
      <c r="EV162" s="587" t="n"/>
      <c r="EW162" s="587" t="n"/>
      <c r="EX162" s="587" t="n"/>
      <c r="EY162" s="587" t="n"/>
      <c r="EZ162" s="587" t="n"/>
      <c r="FA162" s="587" t="n"/>
      <c r="FB162" s="587" t="n"/>
      <c r="FC162" s="587" t="n"/>
      <c r="FD162" s="587" t="n"/>
      <c r="FE162" s="587" t="n"/>
      <c r="FF162" s="587" t="n"/>
      <c r="FG162" s="587" t="n"/>
      <c r="FH162" s="587" t="n"/>
      <c r="FI162" s="587" t="n"/>
      <c r="FJ162" s="587" t="n"/>
      <c r="FK162" s="587" t="n"/>
      <c r="FL162" s="587" t="n"/>
      <c r="FM162" s="587" t="n"/>
      <c r="FN162" s="587" t="n"/>
      <c r="FO162" s="587" t="n"/>
      <c r="FP162" s="587" t="n"/>
      <c r="FQ162" s="587" t="n"/>
      <c r="FR162" s="587" t="n"/>
      <c r="FS162" s="587" t="n"/>
      <c r="FT162" s="587" t="n"/>
      <c r="FU162" s="587" t="n"/>
      <c r="FV162" s="587" t="n"/>
      <c r="FW162" s="587" t="n"/>
      <c r="FX162" s="587" t="n"/>
      <c r="FY162" s="587" t="n"/>
      <c r="FZ162" s="587" t="n"/>
      <c r="GA162" s="587" t="n"/>
    </row>
    <row r="163" customFormat="1" s="568">
      <c r="A163" s="86" t="n"/>
      <c r="B163" s="85" t="n"/>
      <c r="C163" s="84">
        <f>E163*D$5</f>
        <v/>
      </c>
      <c r="D163" s="68" t="n"/>
      <c r="E163" s="84">
        <f>SUM(G163:HT163)</f>
        <v/>
      </c>
      <c r="Q163" s="574" t="n"/>
      <c r="Z163" s="574" t="n"/>
      <c r="AA163" s="574" t="n"/>
      <c r="AB163" s="574" t="n"/>
      <c r="AC163" s="574" t="n"/>
      <c r="AD163" s="574" t="n"/>
      <c r="AE163" s="574" t="n"/>
      <c r="AF163" s="574" t="n"/>
      <c r="AH163" s="574" t="n"/>
      <c r="AJ163" s="574" t="n"/>
      <c r="CM163" s="587" t="n"/>
      <c r="CN163" s="587" t="n"/>
      <c r="CO163" s="587" t="n"/>
      <c r="CP163" s="587" t="n"/>
      <c r="CQ163" s="587" t="n"/>
      <c r="CR163" s="587" t="n"/>
      <c r="CS163" s="587" t="n"/>
      <c r="CT163" s="587" t="n"/>
      <c r="CU163" s="587" t="n"/>
      <c r="CV163" s="587" t="n"/>
      <c r="CW163" s="587" t="n"/>
      <c r="CX163" s="587" t="n"/>
      <c r="CY163" s="587" t="n"/>
      <c r="CZ163" s="587" t="n"/>
      <c r="DA163" s="587" t="n"/>
      <c r="DB163" s="587" t="n"/>
      <c r="DC163" s="587" t="n"/>
      <c r="DD163" s="587" t="n"/>
      <c r="DE163" s="587" t="n"/>
      <c r="DF163" s="587" t="n"/>
      <c r="DG163" s="587" t="n"/>
      <c r="DH163" s="587" t="n"/>
      <c r="DI163" s="587" t="n"/>
      <c r="DJ163" s="587" t="n"/>
      <c r="DK163" s="587" t="n"/>
      <c r="DL163" s="587" t="n"/>
      <c r="DM163" s="587" t="n"/>
      <c r="DN163" s="587" t="n"/>
      <c r="DO163" s="587" t="n"/>
      <c r="DP163" s="587" t="n"/>
      <c r="DQ163" s="587" t="n"/>
      <c r="DR163" s="587" t="n"/>
      <c r="DS163" s="587" t="n"/>
      <c r="DT163" s="587" t="n"/>
      <c r="DU163" s="587" t="n"/>
      <c r="DV163" s="587" t="n"/>
      <c r="DW163" s="587" t="n"/>
      <c r="DX163" s="587" t="n"/>
      <c r="DY163" s="587" t="n"/>
      <c r="DZ163" s="587" t="n"/>
      <c r="EA163" s="587" t="n"/>
      <c r="EB163" s="587" t="n"/>
      <c r="EC163" s="587" t="n"/>
      <c r="ED163" s="587" t="n"/>
      <c r="EE163" s="587" t="n"/>
      <c r="EF163" s="587" t="n"/>
      <c r="EG163" s="587" t="n"/>
      <c r="EH163" s="587" t="n"/>
      <c r="EI163" s="587" t="n"/>
      <c r="EJ163" s="587" t="n"/>
      <c r="EK163" s="587" t="n"/>
      <c r="EL163" s="587" t="n"/>
      <c r="EM163" s="587" t="n"/>
      <c r="EN163" s="587" t="n"/>
      <c r="EO163" s="587" t="n"/>
      <c r="EP163" s="587" t="n"/>
      <c r="EQ163" s="587" t="n"/>
      <c r="ER163" s="587" t="n"/>
      <c r="ES163" s="587" t="n"/>
      <c r="ET163" s="587" t="n"/>
      <c r="EU163" s="587" t="n"/>
      <c r="EV163" s="587" t="n"/>
      <c r="EW163" s="587" t="n"/>
      <c r="EX163" s="587" t="n"/>
      <c r="EY163" s="587" t="n"/>
      <c r="EZ163" s="587" t="n"/>
      <c r="FA163" s="587" t="n"/>
      <c r="FB163" s="587" t="n"/>
      <c r="FC163" s="587" t="n"/>
      <c r="FD163" s="587" t="n"/>
      <c r="FE163" s="587" t="n"/>
      <c r="FF163" s="587" t="n"/>
      <c r="FG163" s="587" t="n"/>
      <c r="FH163" s="587" t="n"/>
      <c r="FI163" s="587" t="n"/>
      <c r="FJ163" s="587" t="n"/>
      <c r="FK163" s="587" t="n"/>
      <c r="FL163" s="587" t="n"/>
      <c r="FM163" s="587" t="n"/>
      <c r="FN163" s="587" t="n"/>
      <c r="FO163" s="587" t="n"/>
      <c r="FP163" s="587" t="n"/>
      <c r="FQ163" s="587" t="n"/>
      <c r="FR163" s="587" t="n"/>
      <c r="FS163" s="587" t="n"/>
      <c r="FT163" s="587" t="n"/>
      <c r="FU163" s="587" t="n"/>
      <c r="FV163" s="587" t="n"/>
      <c r="FW163" s="587" t="n"/>
      <c r="FX163" s="587" t="n"/>
      <c r="FY163" s="587" t="n"/>
      <c r="FZ163" s="587" t="n"/>
      <c r="GA163" s="587" t="n"/>
    </row>
    <row r="164" customFormat="1" s="568">
      <c r="A164" s="86" t="n"/>
      <c r="B164" s="85" t="n"/>
      <c r="C164" s="84">
        <f>E164*D$5</f>
        <v/>
      </c>
      <c r="D164" s="68" t="n"/>
      <c r="E164" s="84">
        <f>SUM(G164:HT164)</f>
        <v/>
      </c>
      <c r="Q164" s="574" t="n"/>
      <c r="Z164" s="574" t="n"/>
      <c r="AA164" s="574" t="n"/>
      <c r="AB164" s="574" t="n"/>
      <c r="AC164" s="574" t="n"/>
      <c r="AD164" s="574" t="n"/>
      <c r="AE164" s="574" t="n"/>
      <c r="AF164" s="574" t="n"/>
      <c r="AH164" s="574" t="n"/>
      <c r="AJ164" s="574" t="n"/>
      <c r="CM164" s="587" t="n"/>
      <c r="CN164" s="587" t="n"/>
      <c r="CO164" s="587" t="n"/>
      <c r="CP164" s="587" t="n"/>
      <c r="CQ164" s="587" t="n"/>
      <c r="CR164" s="587" t="n"/>
      <c r="CS164" s="587" t="n"/>
      <c r="CT164" s="587" t="n"/>
      <c r="CU164" s="587" t="n"/>
      <c r="CV164" s="587" t="n"/>
      <c r="CW164" s="587" t="n"/>
      <c r="CX164" s="587" t="n"/>
      <c r="CY164" s="587" t="n"/>
      <c r="CZ164" s="587" t="n"/>
      <c r="DA164" s="587" t="n"/>
      <c r="DB164" s="587" t="n"/>
      <c r="DC164" s="587" t="n"/>
      <c r="DD164" s="587" t="n"/>
      <c r="DE164" s="587" t="n"/>
      <c r="DF164" s="587" t="n"/>
      <c r="DG164" s="587" t="n"/>
      <c r="DH164" s="587" t="n"/>
      <c r="DI164" s="587" t="n"/>
      <c r="DJ164" s="587" t="n"/>
      <c r="DK164" s="587" t="n"/>
      <c r="DL164" s="587" t="n"/>
      <c r="DM164" s="587" t="n"/>
      <c r="DN164" s="587" t="n"/>
      <c r="DO164" s="587" t="n"/>
      <c r="DP164" s="587" t="n"/>
      <c r="DQ164" s="587" t="n"/>
      <c r="DR164" s="587" t="n"/>
      <c r="DS164" s="587" t="n"/>
      <c r="DT164" s="587" t="n"/>
      <c r="DU164" s="587" t="n"/>
      <c r="DV164" s="587" t="n"/>
      <c r="DW164" s="587" t="n"/>
      <c r="DX164" s="587" t="n"/>
      <c r="DY164" s="587" t="n"/>
      <c r="DZ164" s="587" t="n"/>
      <c r="EA164" s="587" t="n"/>
      <c r="EB164" s="587" t="n"/>
      <c r="EC164" s="587" t="n"/>
      <c r="ED164" s="587" t="n"/>
      <c r="EE164" s="587" t="n"/>
      <c r="EF164" s="587" t="n"/>
      <c r="EG164" s="587" t="n"/>
      <c r="EH164" s="587" t="n"/>
      <c r="EI164" s="587" t="n"/>
      <c r="EJ164" s="587" t="n"/>
      <c r="EK164" s="587" t="n"/>
      <c r="EL164" s="587" t="n"/>
      <c r="EM164" s="587" t="n"/>
      <c r="EN164" s="587" t="n"/>
      <c r="EO164" s="587" t="n"/>
      <c r="EP164" s="587" t="n"/>
      <c r="EQ164" s="587" t="n"/>
      <c r="ER164" s="587" t="n"/>
      <c r="ES164" s="587" t="n"/>
      <c r="ET164" s="587" t="n"/>
      <c r="EU164" s="587" t="n"/>
      <c r="EV164" s="587" t="n"/>
      <c r="EW164" s="587" t="n"/>
      <c r="EX164" s="587" t="n"/>
      <c r="EY164" s="587" t="n"/>
      <c r="EZ164" s="587" t="n"/>
      <c r="FA164" s="587" t="n"/>
      <c r="FB164" s="587" t="n"/>
      <c r="FC164" s="587" t="n"/>
      <c r="FD164" s="587" t="n"/>
      <c r="FE164" s="587" t="n"/>
      <c r="FF164" s="587" t="n"/>
      <c r="FG164" s="587" t="n"/>
      <c r="FH164" s="587" t="n"/>
      <c r="FI164" s="587" t="n"/>
      <c r="FJ164" s="587" t="n"/>
      <c r="FK164" s="587" t="n"/>
      <c r="FL164" s="587" t="n"/>
      <c r="FM164" s="587" t="n"/>
      <c r="FN164" s="587" t="n"/>
      <c r="FO164" s="587" t="n"/>
      <c r="FP164" s="587" t="n"/>
      <c r="FQ164" s="587" t="n"/>
      <c r="FR164" s="587" t="n"/>
      <c r="FS164" s="587" t="n"/>
      <c r="FT164" s="587" t="n"/>
      <c r="FU164" s="587" t="n"/>
      <c r="FV164" s="587" t="n"/>
      <c r="FW164" s="587" t="n"/>
      <c r="FX164" s="587" t="n"/>
      <c r="FY164" s="587" t="n"/>
      <c r="FZ164" s="587" t="n"/>
      <c r="GA164" s="587" t="n"/>
    </row>
    <row r="165" customFormat="1" s="568">
      <c r="A165" s="86" t="n"/>
      <c r="B165" s="85" t="n"/>
      <c r="C165" s="84">
        <f>E165*D$5</f>
        <v/>
      </c>
      <c r="D165" s="68" t="n"/>
      <c r="E165" s="84">
        <f>SUM(G165:HT165)</f>
        <v/>
      </c>
      <c r="Q165" s="574" t="n"/>
      <c r="Z165" s="574" t="n"/>
      <c r="AA165" s="574" t="n"/>
      <c r="AB165" s="574" t="n"/>
      <c r="AC165" s="574" t="n"/>
      <c r="AD165" s="574" t="n"/>
      <c r="AE165" s="574" t="n"/>
      <c r="AF165" s="574" t="n"/>
      <c r="AH165" s="574" t="n"/>
      <c r="AJ165" s="574" t="n"/>
      <c r="CM165" s="587" t="n"/>
      <c r="CN165" s="587" t="n"/>
      <c r="CO165" s="587" t="n"/>
      <c r="CP165" s="587" t="n"/>
      <c r="CQ165" s="587" t="n"/>
      <c r="CR165" s="587" t="n"/>
      <c r="CS165" s="587" t="n"/>
      <c r="CT165" s="587" t="n"/>
      <c r="CU165" s="587" t="n"/>
      <c r="CV165" s="587" t="n"/>
      <c r="CW165" s="587" t="n"/>
      <c r="CX165" s="587" t="n"/>
      <c r="CY165" s="587" t="n"/>
      <c r="CZ165" s="587" t="n"/>
      <c r="DA165" s="587" t="n"/>
      <c r="DB165" s="587" t="n"/>
      <c r="DC165" s="587" t="n"/>
      <c r="DD165" s="587" t="n"/>
      <c r="DE165" s="587" t="n"/>
      <c r="DF165" s="587" t="n"/>
      <c r="DG165" s="587" t="n"/>
      <c r="DH165" s="587" t="n"/>
      <c r="DI165" s="587" t="n"/>
      <c r="DJ165" s="587" t="n"/>
      <c r="DK165" s="587" t="n"/>
      <c r="DL165" s="587" t="n"/>
      <c r="DM165" s="587" t="n"/>
      <c r="DN165" s="587" t="n"/>
      <c r="DO165" s="587" t="n"/>
      <c r="DP165" s="587" t="n"/>
      <c r="DQ165" s="587" t="n"/>
      <c r="DR165" s="587" t="n"/>
      <c r="DS165" s="587" t="n"/>
      <c r="DT165" s="587" t="n"/>
      <c r="DU165" s="587" t="n"/>
      <c r="DV165" s="587" t="n"/>
      <c r="DW165" s="587" t="n"/>
      <c r="DX165" s="587" t="n"/>
      <c r="DY165" s="587" t="n"/>
      <c r="DZ165" s="587" t="n"/>
      <c r="EA165" s="587" t="n"/>
      <c r="EB165" s="587" t="n"/>
      <c r="EC165" s="587" t="n"/>
      <c r="ED165" s="587" t="n"/>
      <c r="EE165" s="587" t="n"/>
      <c r="EF165" s="587" t="n"/>
      <c r="EG165" s="587" t="n"/>
      <c r="EH165" s="587" t="n"/>
      <c r="EI165" s="587" t="n"/>
      <c r="EJ165" s="587" t="n"/>
      <c r="EK165" s="587" t="n"/>
      <c r="EL165" s="587" t="n"/>
      <c r="EM165" s="587" t="n"/>
      <c r="EN165" s="587" t="n"/>
      <c r="EO165" s="587" t="n"/>
      <c r="EP165" s="587" t="n"/>
      <c r="EQ165" s="587" t="n"/>
      <c r="ER165" s="587" t="n"/>
      <c r="ES165" s="587" t="n"/>
      <c r="ET165" s="587" t="n"/>
      <c r="EU165" s="587" t="n"/>
      <c r="EV165" s="587" t="n"/>
      <c r="EW165" s="587" t="n"/>
      <c r="EX165" s="587" t="n"/>
      <c r="EY165" s="587" t="n"/>
      <c r="EZ165" s="587" t="n"/>
      <c r="FA165" s="587" t="n"/>
      <c r="FB165" s="587" t="n"/>
      <c r="FC165" s="587" t="n"/>
      <c r="FD165" s="587" t="n"/>
      <c r="FE165" s="587" t="n"/>
      <c r="FF165" s="587" t="n"/>
      <c r="FG165" s="587" t="n"/>
      <c r="FH165" s="587" t="n"/>
      <c r="FI165" s="587" t="n"/>
      <c r="FJ165" s="587" t="n"/>
      <c r="FK165" s="587" t="n"/>
      <c r="FL165" s="587" t="n"/>
      <c r="FM165" s="587" t="n"/>
      <c r="FN165" s="587" t="n"/>
      <c r="FO165" s="587" t="n"/>
      <c r="FP165" s="587" t="n"/>
      <c r="FQ165" s="587" t="n"/>
      <c r="FR165" s="587" t="n"/>
      <c r="FS165" s="587" t="n"/>
      <c r="FT165" s="587" t="n"/>
      <c r="FU165" s="587" t="n"/>
      <c r="FV165" s="587" t="n"/>
      <c r="FW165" s="587" t="n"/>
      <c r="FX165" s="587" t="n"/>
      <c r="FY165" s="587" t="n"/>
      <c r="FZ165" s="587" t="n"/>
      <c r="GA165" s="587" t="n"/>
    </row>
    <row r="166" customFormat="1" s="568">
      <c r="A166" s="86" t="n"/>
      <c r="B166" s="85" t="n"/>
      <c r="C166" s="84">
        <f>E166*D$5</f>
        <v/>
      </c>
      <c r="D166" s="68" t="n"/>
      <c r="E166" s="84">
        <f>SUM(G166:HT166)</f>
        <v/>
      </c>
      <c r="Q166" s="574" t="n"/>
      <c r="Z166" s="574" t="n"/>
      <c r="AA166" s="574" t="n"/>
      <c r="AB166" s="574" t="n"/>
      <c r="AC166" s="574" t="n"/>
      <c r="AD166" s="574" t="n"/>
      <c r="AE166" s="574" t="n"/>
      <c r="AF166" s="574" t="n"/>
      <c r="AH166" s="574" t="n"/>
      <c r="AJ166" s="574" t="n"/>
      <c r="CM166" s="587" t="n"/>
      <c r="CN166" s="587" t="n"/>
      <c r="CO166" s="587" t="n"/>
      <c r="CP166" s="587" t="n"/>
      <c r="CQ166" s="587" t="n"/>
      <c r="CR166" s="587" t="n"/>
      <c r="CS166" s="587" t="n"/>
      <c r="CT166" s="587" t="n"/>
      <c r="CU166" s="587" t="n"/>
      <c r="CV166" s="587" t="n"/>
      <c r="CW166" s="587" t="n"/>
      <c r="CX166" s="587" t="n"/>
      <c r="CY166" s="587" t="n"/>
      <c r="CZ166" s="587" t="n"/>
      <c r="DA166" s="587" t="n"/>
      <c r="DB166" s="587" t="n"/>
      <c r="DC166" s="587" t="n"/>
      <c r="DD166" s="587" t="n"/>
      <c r="DE166" s="587" t="n"/>
      <c r="DF166" s="587" t="n"/>
      <c r="DG166" s="587" t="n"/>
      <c r="DH166" s="587" t="n"/>
      <c r="DI166" s="587" t="n"/>
      <c r="DJ166" s="587" t="n"/>
      <c r="DK166" s="587" t="n"/>
      <c r="DL166" s="587" t="n"/>
      <c r="DM166" s="587" t="n"/>
      <c r="DN166" s="587" t="n"/>
      <c r="DO166" s="587" t="n"/>
      <c r="DP166" s="587" t="n"/>
      <c r="DQ166" s="587" t="n"/>
      <c r="DR166" s="587" t="n"/>
      <c r="DS166" s="587" t="n"/>
      <c r="DT166" s="587" t="n"/>
      <c r="DU166" s="587" t="n"/>
      <c r="DV166" s="587" t="n"/>
      <c r="DW166" s="587" t="n"/>
      <c r="DX166" s="587" t="n"/>
      <c r="DY166" s="587" t="n"/>
      <c r="DZ166" s="587" t="n"/>
      <c r="EA166" s="587" t="n"/>
      <c r="EB166" s="587" t="n"/>
      <c r="EC166" s="587" t="n"/>
      <c r="ED166" s="587" t="n"/>
      <c r="EE166" s="587" t="n"/>
      <c r="EF166" s="587" t="n"/>
      <c r="EG166" s="587" t="n"/>
      <c r="EH166" s="587" t="n"/>
      <c r="EI166" s="587" t="n"/>
      <c r="EJ166" s="587" t="n"/>
      <c r="EK166" s="587" t="n"/>
      <c r="EL166" s="587" t="n"/>
      <c r="EM166" s="587" t="n"/>
      <c r="EN166" s="587" t="n"/>
      <c r="EO166" s="587" t="n"/>
      <c r="EP166" s="587" t="n"/>
      <c r="EQ166" s="587" t="n"/>
      <c r="ER166" s="587" t="n"/>
      <c r="ES166" s="587" t="n"/>
      <c r="ET166" s="587" t="n"/>
      <c r="EU166" s="587" t="n"/>
      <c r="EV166" s="587" t="n"/>
      <c r="EW166" s="587" t="n"/>
      <c r="EX166" s="587" t="n"/>
      <c r="EY166" s="587" t="n"/>
      <c r="EZ166" s="587" t="n"/>
      <c r="FA166" s="587" t="n"/>
      <c r="FB166" s="587" t="n"/>
      <c r="FC166" s="587" t="n"/>
      <c r="FD166" s="587" t="n"/>
      <c r="FE166" s="587" t="n"/>
      <c r="FF166" s="587" t="n"/>
      <c r="FG166" s="587" t="n"/>
      <c r="FH166" s="587" t="n"/>
      <c r="FI166" s="587" t="n"/>
      <c r="FJ166" s="587" t="n"/>
      <c r="FK166" s="587" t="n"/>
      <c r="FL166" s="587" t="n"/>
      <c r="FM166" s="587" t="n"/>
      <c r="FN166" s="587" t="n"/>
      <c r="FO166" s="587" t="n"/>
      <c r="FP166" s="587" t="n"/>
      <c r="FQ166" s="587" t="n"/>
      <c r="FR166" s="587" t="n"/>
      <c r="FS166" s="587" t="n"/>
      <c r="FT166" s="587" t="n"/>
      <c r="FU166" s="587" t="n"/>
      <c r="FV166" s="587" t="n"/>
      <c r="FW166" s="587" t="n"/>
      <c r="FX166" s="587" t="n"/>
      <c r="FY166" s="587" t="n"/>
      <c r="FZ166" s="587" t="n"/>
      <c r="GA166" s="587" t="n"/>
    </row>
    <row r="167" customFormat="1" s="568">
      <c r="A167" s="86" t="n"/>
      <c r="B167" s="85" t="n"/>
      <c r="C167" s="84">
        <f>E167*D$5</f>
        <v/>
      </c>
      <c r="D167" s="68" t="n"/>
      <c r="E167" s="84">
        <f>SUM(G167:HT167)</f>
        <v/>
      </c>
      <c r="Q167" s="574" t="n"/>
      <c r="Z167" s="574" t="n"/>
      <c r="AA167" s="574" t="n"/>
      <c r="AB167" s="574" t="n"/>
      <c r="AC167" s="574" t="n"/>
      <c r="AD167" s="574" t="n"/>
      <c r="AE167" s="574" t="n"/>
      <c r="AF167" s="574" t="n"/>
      <c r="AH167" s="574" t="n"/>
      <c r="AJ167" s="574" t="n"/>
      <c r="CM167" s="587" t="n"/>
      <c r="CN167" s="587" t="n"/>
      <c r="CO167" s="587" t="n"/>
      <c r="CP167" s="587" t="n"/>
      <c r="CQ167" s="587" t="n"/>
      <c r="CR167" s="587" t="n"/>
      <c r="CS167" s="587" t="n"/>
      <c r="CT167" s="587" t="n"/>
      <c r="CU167" s="587" t="n"/>
      <c r="CV167" s="587" t="n"/>
      <c r="CW167" s="587" t="n"/>
      <c r="CX167" s="587" t="n"/>
      <c r="CY167" s="587" t="n"/>
      <c r="CZ167" s="587" t="n"/>
      <c r="DA167" s="587" t="n"/>
      <c r="DB167" s="587" t="n"/>
      <c r="DC167" s="587" t="n"/>
      <c r="DD167" s="587" t="n"/>
      <c r="DE167" s="587" t="n"/>
      <c r="DF167" s="587" t="n"/>
      <c r="DG167" s="587" t="n"/>
      <c r="DH167" s="587" t="n"/>
      <c r="DI167" s="587" t="n"/>
      <c r="DJ167" s="587" t="n"/>
      <c r="DK167" s="587" t="n"/>
      <c r="DL167" s="587" t="n"/>
      <c r="DM167" s="587" t="n"/>
      <c r="DN167" s="587" t="n"/>
      <c r="DO167" s="587" t="n"/>
      <c r="DP167" s="587" t="n"/>
      <c r="DQ167" s="587" t="n"/>
      <c r="DR167" s="587" t="n"/>
      <c r="DS167" s="587" t="n"/>
      <c r="DT167" s="587" t="n"/>
      <c r="DU167" s="587" t="n"/>
      <c r="DV167" s="587" t="n"/>
      <c r="DW167" s="587" t="n"/>
      <c r="DX167" s="587" t="n"/>
      <c r="DY167" s="587" t="n"/>
      <c r="DZ167" s="587" t="n"/>
      <c r="EA167" s="587" t="n"/>
      <c r="EB167" s="587" t="n"/>
      <c r="EC167" s="587" t="n"/>
      <c r="ED167" s="587" t="n"/>
      <c r="EE167" s="587" t="n"/>
      <c r="EF167" s="587" t="n"/>
      <c r="EG167" s="587" t="n"/>
      <c r="EH167" s="587" t="n"/>
      <c r="EI167" s="587" t="n"/>
      <c r="EJ167" s="587" t="n"/>
      <c r="EK167" s="587" t="n"/>
      <c r="EL167" s="587" t="n"/>
      <c r="EM167" s="587" t="n"/>
      <c r="EN167" s="587" t="n"/>
      <c r="EO167" s="587" t="n"/>
      <c r="EP167" s="587" t="n"/>
      <c r="EQ167" s="587" t="n"/>
      <c r="ER167" s="587" t="n"/>
      <c r="ES167" s="587" t="n"/>
      <c r="ET167" s="587" t="n"/>
      <c r="EU167" s="587" t="n"/>
      <c r="EV167" s="587" t="n"/>
      <c r="EW167" s="587" t="n"/>
      <c r="EX167" s="587" t="n"/>
      <c r="EY167" s="587" t="n"/>
      <c r="EZ167" s="587" t="n"/>
      <c r="FA167" s="587" t="n"/>
      <c r="FB167" s="587" t="n"/>
      <c r="FC167" s="587" t="n"/>
      <c r="FD167" s="587" t="n"/>
      <c r="FE167" s="587" t="n"/>
      <c r="FF167" s="587" t="n"/>
      <c r="FG167" s="587" t="n"/>
      <c r="FH167" s="587" t="n"/>
      <c r="FI167" s="587" t="n"/>
      <c r="FJ167" s="587" t="n"/>
      <c r="FK167" s="587" t="n"/>
      <c r="FL167" s="587" t="n"/>
      <c r="FM167" s="587" t="n"/>
      <c r="FN167" s="587" t="n"/>
      <c r="FO167" s="587" t="n"/>
      <c r="FP167" s="587" t="n"/>
      <c r="FQ167" s="587" t="n"/>
      <c r="FR167" s="587" t="n"/>
      <c r="FS167" s="587" t="n"/>
      <c r="FT167" s="587" t="n"/>
      <c r="FU167" s="587" t="n"/>
      <c r="FV167" s="587" t="n"/>
      <c r="FW167" s="587" t="n"/>
      <c r="FX167" s="587" t="n"/>
      <c r="FY167" s="587" t="n"/>
      <c r="FZ167" s="587" t="n"/>
      <c r="GA167" s="587" t="n"/>
    </row>
    <row r="168" customFormat="1" s="568">
      <c r="A168" s="86" t="n"/>
      <c r="B168" s="85" t="n"/>
      <c r="C168" s="84">
        <f>E168*D$5</f>
        <v/>
      </c>
      <c r="D168" s="68" t="n"/>
      <c r="E168" s="84">
        <f>SUM(G168:HT168)</f>
        <v/>
      </c>
      <c r="Q168" s="574" t="n"/>
      <c r="Z168" s="574" t="n"/>
      <c r="AA168" s="574" t="n"/>
      <c r="AB168" s="574" t="n"/>
      <c r="AC168" s="574" t="n"/>
      <c r="AD168" s="574" t="n"/>
      <c r="AE168" s="574" t="n"/>
      <c r="AF168" s="574" t="n"/>
      <c r="AH168" s="574" t="n"/>
      <c r="AJ168" s="574" t="n"/>
      <c r="CM168" s="587" t="n"/>
      <c r="CN168" s="587" t="n"/>
      <c r="CO168" s="587" t="n"/>
      <c r="CP168" s="587" t="n"/>
      <c r="CQ168" s="587" t="n"/>
      <c r="CR168" s="587" t="n"/>
      <c r="CS168" s="587" t="n"/>
      <c r="CT168" s="587" t="n"/>
      <c r="CU168" s="587" t="n"/>
      <c r="CV168" s="587" t="n"/>
      <c r="CW168" s="587" t="n"/>
      <c r="CX168" s="587" t="n"/>
      <c r="CY168" s="587" t="n"/>
      <c r="CZ168" s="587" t="n"/>
      <c r="DA168" s="587" t="n"/>
      <c r="DB168" s="587" t="n"/>
      <c r="DC168" s="587" t="n"/>
      <c r="DD168" s="587" t="n"/>
      <c r="DE168" s="587" t="n"/>
      <c r="DF168" s="587" t="n"/>
      <c r="DG168" s="587" t="n"/>
      <c r="DH168" s="587" t="n"/>
      <c r="DI168" s="587" t="n"/>
      <c r="DJ168" s="587" t="n"/>
      <c r="DK168" s="587" t="n"/>
      <c r="DL168" s="587" t="n"/>
      <c r="DM168" s="587" t="n"/>
      <c r="DN168" s="587" t="n"/>
      <c r="DO168" s="587" t="n"/>
      <c r="DP168" s="587" t="n"/>
      <c r="DQ168" s="587" t="n"/>
      <c r="DR168" s="587" t="n"/>
      <c r="DS168" s="587" t="n"/>
      <c r="DT168" s="587" t="n"/>
      <c r="DU168" s="587" t="n"/>
      <c r="DV168" s="587" t="n"/>
      <c r="DW168" s="587" t="n"/>
      <c r="DX168" s="587" t="n"/>
      <c r="DY168" s="587" t="n"/>
      <c r="DZ168" s="587" t="n"/>
      <c r="EA168" s="587" t="n"/>
      <c r="EB168" s="587" t="n"/>
      <c r="EC168" s="587" t="n"/>
      <c r="ED168" s="587" t="n"/>
      <c r="EE168" s="587" t="n"/>
      <c r="EF168" s="587" t="n"/>
      <c r="EG168" s="587" t="n"/>
      <c r="EH168" s="587" t="n"/>
      <c r="EI168" s="587" t="n"/>
      <c r="EJ168" s="587" t="n"/>
      <c r="EK168" s="587" t="n"/>
      <c r="EL168" s="587" t="n"/>
      <c r="EM168" s="587" t="n"/>
      <c r="EN168" s="587" t="n"/>
      <c r="EO168" s="587" t="n"/>
      <c r="EP168" s="587" t="n"/>
      <c r="EQ168" s="587" t="n"/>
      <c r="ER168" s="587" t="n"/>
      <c r="ES168" s="587" t="n"/>
      <c r="ET168" s="587" t="n"/>
      <c r="EU168" s="587" t="n"/>
      <c r="EV168" s="587" t="n"/>
      <c r="EW168" s="587" t="n"/>
      <c r="EX168" s="587" t="n"/>
      <c r="EY168" s="587" t="n"/>
      <c r="EZ168" s="587" t="n"/>
      <c r="FA168" s="587" t="n"/>
      <c r="FB168" s="587" t="n"/>
      <c r="FC168" s="587" t="n"/>
      <c r="FD168" s="587" t="n"/>
      <c r="FE168" s="587" t="n"/>
      <c r="FF168" s="587" t="n"/>
      <c r="FG168" s="587" t="n"/>
      <c r="FH168" s="587" t="n"/>
      <c r="FI168" s="587" t="n"/>
      <c r="FJ168" s="587" t="n"/>
      <c r="FK168" s="587" t="n"/>
      <c r="FL168" s="587" t="n"/>
      <c r="FM168" s="587" t="n"/>
      <c r="FN168" s="587" t="n"/>
      <c r="FO168" s="587" t="n"/>
      <c r="FP168" s="587" t="n"/>
      <c r="FQ168" s="587" t="n"/>
      <c r="FR168" s="587" t="n"/>
      <c r="FS168" s="587" t="n"/>
      <c r="FT168" s="587" t="n"/>
      <c r="FU168" s="587" t="n"/>
      <c r="FV168" s="587" t="n"/>
      <c r="FW168" s="587" t="n"/>
      <c r="FX168" s="587" t="n"/>
      <c r="FY168" s="587" t="n"/>
      <c r="FZ168" s="587" t="n"/>
      <c r="GA168" s="587" t="n"/>
    </row>
    <row r="169" customFormat="1" s="568">
      <c r="A169" s="86" t="n"/>
      <c r="B169" s="85" t="n"/>
      <c r="C169" s="84">
        <f>E169*D$5</f>
        <v/>
      </c>
      <c r="D169" s="68" t="n"/>
      <c r="E169" s="84">
        <f>SUM(G169:HT169)</f>
        <v/>
      </c>
      <c r="Q169" s="574" t="n"/>
      <c r="Z169" s="574" t="n"/>
      <c r="AA169" s="574" t="n"/>
      <c r="AB169" s="574" t="n"/>
      <c r="AC169" s="574" t="n"/>
      <c r="AD169" s="574" t="n"/>
      <c r="AE169" s="574" t="n"/>
      <c r="AF169" s="574" t="n"/>
      <c r="AH169" s="574" t="n"/>
      <c r="AJ169" s="574" t="n"/>
      <c r="CM169" s="587" t="n"/>
      <c r="CN169" s="587" t="n"/>
      <c r="CO169" s="587" t="n"/>
      <c r="CP169" s="587" t="n"/>
      <c r="CQ169" s="587" t="n"/>
      <c r="CR169" s="587" t="n"/>
      <c r="CS169" s="587" t="n"/>
      <c r="CT169" s="587" t="n"/>
      <c r="CU169" s="587" t="n"/>
      <c r="CV169" s="587" t="n"/>
      <c r="CW169" s="587" t="n"/>
      <c r="CX169" s="587" t="n"/>
      <c r="CY169" s="587" t="n"/>
      <c r="CZ169" s="587" t="n"/>
      <c r="DA169" s="587" t="n"/>
      <c r="DB169" s="587" t="n"/>
      <c r="DC169" s="587" t="n"/>
      <c r="DD169" s="587" t="n"/>
      <c r="DE169" s="587" t="n"/>
      <c r="DF169" s="587" t="n"/>
      <c r="DG169" s="587" t="n"/>
      <c r="DH169" s="587" t="n"/>
      <c r="DI169" s="587" t="n"/>
      <c r="DJ169" s="587" t="n"/>
      <c r="DK169" s="587" t="n"/>
      <c r="DL169" s="587" t="n"/>
      <c r="DM169" s="587" t="n"/>
      <c r="DN169" s="587" t="n"/>
      <c r="DO169" s="587" t="n"/>
      <c r="DP169" s="587" t="n"/>
      <c r="DQ169" s="587" t="n"/>
      <c r="DR169" s="587" t="n"/>
      <c r="DS169" s="587" t="n"/>
      <c r="DT169" s="587" t="n"/>
      <c r="DU169" s="587" t="n"/>
      <c r="DV169" s="587" t="n"/>
      <c r="DW169" s="587" t="n"/>
      <c r="DX169" s="587" t="n"/>
      <c r="DY169" s="587" t="n"/>
      <c r="DZ169" s="587" t="n"/>
      <c r="EA169" s="587" t="n"/>
      <c r="EB169" s="587" t="n"/>
      <c r="EC169" s="587" t="n"/>
      <c r="ED169" s="587" t="n"/>
      <c r="EE169" s="587" t="n"/>
      <c r="EF169" s="587" t="n"/>
      <c r="EG169" s="587" t="n"/>
      <c r="EH169" s="587" t="n"/>
      <c r="EI169" s="587" t="n"/>
      <c r="EJ169" s="587" t="n"/>
      <c r="EK169" s="587" t="n"/>
      <c r="EL169" s="587" t="n"/>
      <c r="EM169" s="587" t="n"/>
      <c r="EN169" s="587" t="n"/>
      <c r="EO169" s="587" t="n"/>
      <c r="EP169" s="587" t="n"/>
      <c r="EQ169" s="587" t="n"/>
      <c r="ER169" s="587" t="n"/>
      <c r="ES169" s="587" t="n"/>
      <c r="ET169" s="587" t="n"/>
      <c r="EU169" s="587" t="n"/>
      <c r="EV169" s="587" t="n"/>
      <c r="EW169" s="587" t="n"/>
      <c r="EX169" s="587" t="n"/>
      <c r="EY169" s="587" t="n"/>
      <c r="EZ169" s="587" t="n"/>
      <c r="FA169" s="587" t="n"/>
      <c r="FB169" s="587" t="n"/>
      <c r="FC169" s="587" t="n"/>
      <c r="FD169" s="587" t="n"/>
      <c r="FE169" s="587" t="n"/>
      <c r="FF169" s="587" t="n"/>
      <c r="FG169" s="587" t="n"/>
      <c r="FH169" s="587" t="n"/>
      <c r="FI169" s="587" t="n"/>
      <c r="FJ169" s="587" t="n"/>
      <c r="FK169" s="587" t="n"/>
      <c r="FL169" s="587" t="n"/>
      <c r="FM169" s="587" t="n"/>
      <c r="FN169" s="587" t="n"/>
      <c r="FO169" s="587" t="n"/>
      <c r="FP169" s="587" t="n"/>
      <c r="FQ169" s="587" t="n"/>
      <c r="FR169" s="587" t="n"/>
      <c r="FS169" s="587" t="n"/>
      <c r="FT169" s="587" t="n"/>
      <c r="FU169" s="587" t="n"/>
      <c r="FV169" s="587" t="n"/>
      <c r="FW169" s="587" t="n"/>
      <c r="FX169" s="587" t="n"/>
      <c r="FY169" s="587" t="n"/>
      <c r="FZ169" s="587" t="n"/>
      <c r="GA169" s="587" t="n"/>
    </row>
    <row r="170" customFormat="1" s="568">
      <c r="A170" s="86" t="n"/>
      <c r="B170" s="85" t="n"/>
      <c r="C170" s="84">
        <f>E170*D$5</f>
        <v/>
      </c>
      <c r="D170" s="68" t="n"/>
      <c r="E170" s="84">
        <f>SUM(G170:HT170)</f>
        <v/>
      </c>
      <c r="Q170" s="574" t="n"/>
      <c r="Z170" s="574" t="n"/>
      <c r="AA170" s="574" t="n"/>
      <c r="AB170" s="574" t="n"/>
      <c r="AC170" s="574" t="n"/>
      <c r="AD170" s="574" t="n"/>
      <c r="AE170" s="574" t="n"/>
      <c r="AF170" s="574" t="n"/>
      <c r="AH170" s="574" t="n"/>
      <c r="AJ170" s="574" t="n"/>
      <c r="CM170" s="587" t="n"/>
      <c r="CN170" s="587" t="n"/>
      <c r="CO170" s="587" t="n"/>
      <c r="CP170" s="587" t="n"/>
      <c r="CQ170" s="587" t="n"/>
      <c r="CR170" s="587" t="n"/>
      <c r="CS170" s="587" t="n"/>
      <c r="CT170" s="587" t="n"/>
      <c r="CU170" s="587" t="n"/>
      <c r="CV170" s="587" t="n"/>
      <c r="CW170" s="587" t="n"/>
      <c r="CX170" s="587" t="n"/>
      <c r="CY170" s="587" t="n"/>
      <c r="CZ170" s="587" t="n"/>
      <c r="DA170" s="587" t="n"/>
      <c r="DB170" s="587" t="n"/>
      <c r="DC170" s="587" t="n"/>
      <c r="DD170" s="587" t="n"/>
      <c r="DE170" s="587" t="n"/>
      <c r="DF170" s="587" t="n"/>
      <c r="DG170" s="587" t="n"/>
      <c r="DH170" s="587" t="n"/>
      <c r="DI170" s="587" t="n"/>
      <c r="DJ170" s="587" t="n"/>
      <c r="DK170" s="587" t="n"/>
      <c r="DL170" s="587" t="n"/>
      <c r="DM170" s="587" t="n"/>
      <c r="DN170" s="587" t="n"/>
      <c r="DO170" s="587" t="n"/>
      <c r="DP170" s="587" t="n"/>
      <c r="DQ170" s="587" t="n"/>
      <c r="DR170" s="587" t="n"/>
      <c r="DS170" s="587" t="n"/>
      <c r="DT170" s="587" t="n"/>
      <c r="DU170" s="587" t="n"/>
      <c r="DV170" s="587" t="n"/>
      <c r="DW170" s="587" t="n"/>
      <c r="DX170" s="587" t="n"/>
      <c r="DY170" s="587" t="n"/>
      <c r="DZ170" s="587" t="n"/>
      <c r="EA170" s="587" t="n"/>
      <c r="EB170" s="587" t="n"/>
      <c r="EC170" s="587" t="n"/>
      <c r="ED170" s="587" t="n"/>
      <c r="EE170" s="587" t="n"/>
      <c r="EF170" s="587" t="n"/>
      <c r="EG170" s="587" t="n"/>
      <c r="EH170" s="587" t="n"/>
      <c r="EI170" s="587" t="n"/>
      <c r="EJ170" s="587" t="n"/>
      <c r="EK170" s="587" t="n"/>
      <c r="EL170" s="587" t="n"/>
      <c r="EM170" s="587" t="n"/>
      <c r="EN170" s="587" t="n"/>
      <c r="EO170" s="587" t="n"/>
      <c r="EP170" s="587" t="n"/>
      <c r="EQ170" s="587" t="n"/>
      <c r="ER170" s="587" t="n"/>
      <c r="ES170" s="587" t="n"/>
      <c r="ET170" s="587" t="n"/>
      <c r="EU170" s="587" t="n"/>
      <c r="EV170" s="587" t="n"/>
      <c r="EW170" s="587" t="n"/>
      <c r="EX170" s="587" t="n"/>
      <c r="EY170" s="587" t="n"/>
      <c r="EZ170" s="587" t="n"/>
      <c r="FA170" s="587" t="n"/>
      <c r="FB170" s="587" t="n"/>
      <c r="FC170" s="587" t="n"/>
      <c r="FD170" s="587" t="n"/>
      <c r="FE170" s="587" t="n"/>
      <c r="FF170" s="587" t="n"/>
      <c r="FG170" s="587" t="n"/>
      <c r="FH170" s="587" t="n"/>
      <c r="FI170" s="587" t="n"/>
      <c r="FJ170" s="587" t="n"/>
      <c r="FK170" s="587" t="n"/>
      <c r="FL170" s="587" t="n"/>
      <c r="FM170" s="587" t="n"/>
      <c r="FN170" s="587" t="n"/>
      <c r="FO170" s="587" t="n"/>
      <c r="FP170" s="587" t="n"/>
      <c r="FQ170" s="587" t="n"/>
      <c r="FR170" s="587" t="n"/>
      <c r="FS170" s="587" t="n"/>
      <c r="FT170" s="587" t="n"/>
      <c r="FU170" s="587" t="n"/>
      <c r="FV170" s="587" t="n"/>
      <c r="FW170" s="587" t="n"/>
      <c r="FX170" s="587" t="n"/>
      <c r="FY170" s="587" t="n"/>
      <c r="FZ170" s="587" t="n"/>
      <c r="GA170" s="587" t="n"/>
    </row>
    <row r="171" customFormat="1" s="568">
      <c r="A171" s="86" t="n"/>
      <c r="B171" s="85" t="n"/>
      <c r="C171" s="84">
        <f>E171*D$5</f>
        <v/>
      </c>
      <c r="D171" s="68" t="n"/>
      <c r="E171" s="84">
        <f>SUM(G171:HT171)</f>
        <v/>
      </c>
      <c r="Q171" s="574" t="n"/>
      <c r="Z171" s="574" t="n"/>
      <c r="AA171" s="574" t="n"/>
      <c r="AB171" s="574" t="n"/>
      <c r="AC171" s="574" t="n"/>
      <c r="AD171" s="574" t="n"/>
      <c r="AE171" s="574" t="n"/>
      <c r="AF171" s="574" t="n"/>
      <c r="AH171" s="574" t="n"/>
      <c r="AJ171" s="574" t="n"/>
      <c r="CM171" s="587" t="n"/>
      <c r="CN171" s="587" t="n"/>
      <c r="CO171" s="587" t="n"/>
      <c r="CP171" s="587" t="n"/>
      <c r="CQ171" s="587" t="n"/>
      <c r="CR171" s="587" t="n"/>
      <c r="CS171" s="587" t="n"/>
      <c r="CT171" s="587" t="n"/>
      <c r="CU171" s="587" t="n"/>
      <c r="CV171" s="587" t="n"/>
      <c r="CW171" s="587" t="n"/>
      <c r="CX171" s="587" t="n"/>
      <c r="CY171" s="587" t="n"/>
      <c r="CZ171" s="587" t="n"/>
      <c r="DA171" s="587" t="n"/>
      <c r="DB171" s="587" t="n"/>
      <c r="DC171" s="587" t="n"/>
      <c r="DD171" s="587" t="n"/>
      <c r="DE171" s="587" t="n"/>
      <c r="DF171" s="587" t="n"/>
      <c r="DG171" s="587" t="n"/>
      <c r="DH171" s="587" t="n"/>
      <c r="DI171" s="587" t="n"/>
      <c r="DJ171" s="587" t="n"/>
      <c r="DK171" s="587" t="n"/>
      <c r="DL171" s="587" t="n"/>
      <c r="DM171" s="587" t="n"/>
      <c r="DN171" s="587" t="n"/>
      <c r="DO171" s="587" t="n"/>
      <c r="DP171" s="587" t="n"/>
      <c r="DQ171" s="587" t="n"/>
      <c r="DR171" s="587" t="n"/>
      <c r="DS171" s="587" t="n"/>
      <c r="DT171" s="587" t="n"/>
      <c r="DU171" s="587" t="n"/>
      <c r="DV171" s="587" t="n"/>
      <c r="DW171" s="587" t="n"/>
      <c r="DX171" s="587" t="n"/>
      <c r="DY171" s="587" t="n"/>
      <c r="DZ171" s="587" t="n"/>
      <c r="EA171" s="587" t="n"/>
      <c r="EB171" s="587" t="n"/>
      <c r="EC171" s="587" t="n"/>
      <c r="ED171" s="587" t="n"/>
      <c r="EE171" s="587" t="n"/>
      <c r="EF171" s="587" t="n"/>
      <c r="EG171" s="587" t="n"/>
      <c r="EH171" s="587" t="n"/>
      <c r="EI171" s="587" t="n"/>
      <c r="EJ171" s="587" t="n"/>
      <c r="EK171" s="587" t="n"/>
      <c r="EL171" s="587" t="n"/>
      <c r="EM171" s="587" t="n"/>
      <c r="EN171" s="587" t="n"/>
      <c r="EO171" s="587" t="n"/>
      <c r="EP171" s="587" t="n"/>
      <c r="EQ171" s="587" t="n"/>
      <c r="ER171" s="587" t="n"/>
      <c r="ES171" s="587" t="n"/>
      <c r="ET171" s="587" t="n"/>
      <c r="EU171" s="587" t="n"/>
      <c r="EV171" s="587" t="n"/>
      <c r="EW171" s="587" t="n"/>
      <c r="EX171" s="587" t="n"/>
      <c r="EY171" s="587" t="n"/>
      <c r="EZ171" s="587" t="n"/>
      <c r="FA171" s="587" t="n"/>
      <c r="FB171" s="587" t="n"/>
      <c r="FC171" s="587" t="n"/>
      <c r="FD171" s="587" t="n"/>
      <c r="FE171" s="587" t="n"/>
      <c r="FF171" s="587" t="n"/>
      <c r="FG171" s="587" t="n"/>
      <c r="FH171" s="587" t="n"/>
      <c r="FI171" s="587" t="n"/>
      <c r="FJ171" s="587" t="n"/>
      <c r="FK171" s="587" t="n"/>
      <c r="FL171" s="587" t="n"/>
      <c r="FM171" s="587" t="n"/>
      <c r="FN171" s="587" t="n"/>
      <c r="FO171" s="587" t="n"/>
      <c r="FP171" s="587" t="n"/>
      <c r="FQ171" s="587" t="n"/>
      <c r="FR171" s="587" t="n"/>
      <c r="FS171" s="587" t="n"/>
      <c r="FT171" s="587" t="n"/>
      <c r="FU171" s="587" t="n"/>
      <c r="FV171" s="587" t="n"/>
      <c r="FW171" s="587" t="n"/>
      <c r="FX171" s="587" t="n"/>
      <c r="FY171" s="587" t="n"/>
      <c r="FZ171" s="587" t="n"/>
      <c r="GA171" s="587" t="n"/>
    </row>
    <row r="172" customFormat="1" s="568">
      <c r="A172" s="86" t="n"/>
      <c r="B172" s="85" t="n"/>
      <c r="C172" s="84">
        <f>E172*D$5</f>
        <v/>
      </c>
      <c r="D172" s="68" t="n"/>
      <c r="E172" s="84">
        <f>SUM(G172:HT172)</f>
        <v/>
      </c>
      <c r="Q172" s="574" t="n"/>
      <c r="Z172" s="574" t="n"/>
      <c r="AA172" s="574" t="n"/>
      <c r="AB172" s="574" t="n"/>
      <c r="AC172" s="574" t="n"/>
      <c r="AD172" s="574" t="n"/>
      <c r="AE172" s="574" t="n"/>
      <c r="AF172" s="574" t="n"/>
      <c r="AH172" s="574" t="n"/>
      <c r="AJ172" s="574" t="n"/>
      <c r="CM172" s="587" t="n"/>
      <c r="CN172" s="587" t="n"/>
      <c r="CO172" s="587" t="n"/>
      <c r="CP172" s="587" t="n"/>
      <c r="CQ172" s="587" t="n"/>
      <c r="CR172" s="587" t="n"/>
      <c r="CS172" s="587" t="n"/>
      <c r="CT172" s="587" t="n"/>
      <c r="CU172" s="587" t="n"/>
      <c r="CV172" s="587" t="n"/>
      <c r="CW172" s="587" t="n"/>
      <c r="CX172" s="587" t="n"/>
      <c r="CY172" s="587" t="n"/>
      <c r="CZ172" s="587" t="n"/>
      <c r="DA172" s="587" t="n"/>
      <c r="DB172" s="587" t="n"/>
      <c r="DC172" s="587" t="n"/>
      <c r="DD172" s="587" t="n"/>
      <c r="DE172" s="587" t="n"/>
      <c r="DF172" s="587" t="n"/>
      <c r="DG172" s="587" t="n"/>
      <c r="DH172" s="587" t="n"/>
      <c r="DI172" s="587" t="n"/>
      <c r="DJ172" s="587" t="n"/>
      <c r="DK172" s="587" t="n"/>
      <c r="DL172" s="587" t="n"/>
      <c r="DM172" s="587" t="n"/>
      <c r="DN172" s="587" t="n"/>
      <c r="DO172" s="587" t="n"/>
      <c r="DP172" s="587" t="n"/>
      <c r="DQ172" s="587" t="n"/>
      <c r="DR172" s="587" t="n"/>
      <c r="DS172" s="587" t="n"/>
      <c r="DT172" s="587" t="n"/>
      <c r="DU172" s="587" t="n"/>
      <c r="DV172" s="587" t="n"/>
      <c r="DW172" s="587" t="n"/>
      <c r="DX172" s="587" t="n"/>
      <c r="DY172" s="587" t="n"/>
      <c r="DZ172" s="587" t="n"/>
      <c r="EA172" s="587" t="n"/>
      <c r="EB172" s="587" t="n"/>
      <c r="EC172" s="587" t="n"/>
      <c r="ED172" s="587" t="n"/>
      <c r="EE172" s="587" t="n"/>
      <c r="EF172" s="587" t="n"/>
      <c r="EG172" s="587" t="n"/>
      <c r="EH172" s="587" t="n"/>
      <c r="EI172" s="587" t="n"/>
      <c r="EJ172" s="587" t="n"/>
      <c r="EK172" s="587" t="n"/>
      <c r="EL172" s="587" t="n"/>
      <c r="EM172" s="587" t="n"/>
      <c r="EN172" s="587" t="n"/>
      <c r="EO172" s="587" t="n"/>
      <c r="EP172" s="587" t="n"/>
      <c r="EQ172" s="587" t="n"/>
      <c r="ER172" s="587" t="n"/>
      <c r="ES172" s="587" t="n"/>
      <c r="ET172" s="587" t="n"/>
      <c r="EU172" s="587" t="n"/>
      <c r="EV172" s="587" t="n"/>
      <c r="EW172" s="587" t="n"/>
      <c r="EX172" s="587" t="n"/>
      <c r="EY172" s="587" t="n"/>
      <c r="EZ172" s="587" t="n"/>
      <c r="FA172" s="587" t="n"/>
      <c r="FB172" s="587" t="n"/>
      <c r="FC172" s="587" t="n"/>
      <c r="FD172" s="587" t="n"/>
      <c r="FE172" s="587" t="n"/>
      <c r="FF172" s="587" t="n"/>
      <c r="FG172" s="587" t="n"/>
      <c r="FH172" s="587" t="n"/>
      <c r="FI172" s="587" t="n"/>
      <c r="FJ172" s="587" t="n"/>
      <c r="FK172" s="587" t="n"/>
      <c r="FL172" s="587" t="n"/>
      <c r="FM172" s="587" t="n"/>
      <c r="FN172" s="587" t="n"/>
      <c r="FO172" s="587" t="n"/>
      <c r="FP172" s="587" t="n"/>
      <c r="FQ172" s="587" t="n"/>
      <c r="FR172" s="587" t="n"/>
      <c r="FS172" s="587" t="n"/>
      <c r="FT172" s="587" t="n"/>
      <c r="FU172" s="587" t="n"/>
      <c r="FV172" s="587" t="n"/>
      <c r="FW172" s="587" t="n"/>
      <c r="FX172" s="587" t="n"/>
      <c r="FY172" s="587" t="n"/>
      <c r="FZ172" s="587" t="n"/>
      <c r="GA172" s="587" t="n"/>
    </row>
    <row r="173" customFormat="1" s="568">
      <c r="A173" s="86" t="n"/>
      <c r="B173" s="85" t="n"/>
      <c r="C173" s="84">
        <f>E173*D$5</f>
        <v/>
      </c>
      <c r="D173" s="68" t="n"/>
      <c r="E173" s="84">
        <f>SUM(G173:HT173)</f>
        <v/>
      </c>
      <c r="Q173" s="574" t="n"/>
      <c r="Z173" s="574" t="n"/>
      <c r="AA173" s="574" t="n"/>
      <c r="AB173" s="574" t="n"/>
      <c r="AC173" s="574" t="n"/>
      <c r="AD173" s="574" t="n"/>
      <c r="AE173" s="574" t="n"/>
      <c r="AF173" s="574" t="n"/>
      <c r="AH173" s="574" t="n"/>
      <c r="AJ173" s="574" t="n"/>
      <c r="CM173" s="587" t="n"/>
      <c r="CN173" s="587" t="n"/>
      <c r="CO173" s="587" t="n"/>
      <c r="CP173" s="587" t="n"/>
      <c r="CQ173" s="587" t="n"/>
      <c r="CR173" s="587" t="n"/>
      <c r="CS173" s="587" t="n"/>
      <c r="CT173" s="587" t="n"/>
      <c r="CU173" s="587" t="n"/>
      <c r="CV173" s="587" t="n"/>
      <c r="CW173" s="587" t="n"/>
      <c r="CX173" s="587" t="n"/>
      <c r="CY173" s="587" t="n"/>
      <c r="CZ173" s="587" t="n"/>
      <c r="DA173" s="587" t="n"/>
      <c r="DB173" s="587" t="n"/>
      <c r="DC173" s="587" t="n"/>
      <c r="DD173" s="587" t="n"/>
      <c r="DE173" s="587" t="n"/>
      <c r="DF173" s="587" t="n"/>
      <c r="DG173" s="587" t="n"/>
      <c r="DH173" s="587" t="n"/>
      <c r="DI173" s="587" t="n"/>
      <c r="DJ173" s="587" t="n"/>
      <c r="DK173" s="587" t="n"/>
      <c r="DL173" s="587" t="n"/>
      <c r="DM173" s="587" t="n"/>
      <c r="DN173" s="587" t="n"/>
      <c r="DO173" s="587" t="n"/>
      <c r="DP173" s="587" t="n"/>
      <c r="DQ173" s="587" t="n"/>
      <c r="DR173" s="587" t="n"/>
      <c r="DS173" s="587" t="n"/>
      <c r="DT173" s="587" t="n"/>
      <c r="DU173" s="587" t="n"/>
      <c r="DV173" s="587" t="n"/>
      <c r="DW173" s="587" t="n"/>
      <c r="DX173" s="587" t="n"/>
      <c r="DY173" s="587" t="n"/>
      <c r="DZ173" s="587" t="n"/>
      <c r="EA173" s="587" t="n"/>
      <c r="EB173" s="587" t="n"/>
      <c r="EC173" s="587" t="n"/>
      <c r="ED173" s="587" t="n"/>
      <c r="EE173" s="587" t="n"/>
      <c r="EF173" s="587" t="n"/>
      <c r="EG173" s="587" t="n"/>
      <c r="EH173" s="587" t="n"/>
      <c r="EI173" s="587" t="n"/>
      <c r="EJ173" s="587" t="n"/>
      <c r="EK173" s="587" t="n"/>
      <c r="EL173" s="587" t="n"/>
      <c r="EM173" s="587" t="n"/>
      <c r="EN173" s="587" t="n"/>
      <c r="EO173" s="587" t="n"/>
      <c r="EP173" s="587" t="n"/>
      <c r="EQ173" s="587" t="n"/>
      <c r="ER173" s="587" t="n"/>
      <c r="ES173" s="587" t="n"/>
      <c r="ET173" s="587" t="n"/>
      <c r="EU173" s="587" t="n"/>
      <c r="EV173" s="587" t="n"/>
      <c r="EW173" s="587" t="n"/>
      <c r="EX173" s="587" t="n"/>
      <c r="EY173" s="587" t="n"/>
      <c r="EZ173" s="587" t="n"/>
      <c r="FA173" s="587" t="n"/>
      <c r="FB173" s="587" t="n"/>
      <c r="FC173" s="587" t="n"/>
      <c r="FD173" s="587" t="n"/>
      <c r="FE173" s="587" t="n"/>
      <c r="FF173" s="587" t="n"/>
      <c r="FG173" s="587" t="n"/>
      <c r="FH173" s="587" t="n"/>
      <c r="FI173" s="587" t="n"/>
      <c r="FJ173" s="587" t="n"/>
      <c r="FK173" s="587" t="n"/>
      <c r="FL173" s="587" t="n"/>
      <c r="FM173" s="587" t="n"/>
      <c r="FN173" s="587" t="n"/>
      <c r="FO173" s="587" t="n"/>
      <c r="FP173" s="587" t="n"/>
      <c r="FQ173" s="587" t="n"/>
      <c r="FR173" s="587" t="n"/>
      <c r="FS173" s="587" t="n"/>
      <c r="FT173" s="587" t="n"/>
      <c r="FU173" s="587" t="n"/>
      <c r="FV173" s="587" t="n"/>
      <c r="FW173" s="587" t="n"/>
      <c r="FX173" s="587" t="n"/>
      <c r="FY173" s="587" t="n"/>
      <c r="FZ173" s="587" t="n"/>
      <c r="GA173" s="587" t="n"/>
    </row>
    <row r="174" customFormat="1" s="568">
      <c r="A174" s="86" t="n"/>
      <c r="B174" s="85" t="n"/>
      <c r="C174" s="84">
        <f>E174*D$5</f>
        <v/>
      </c>
      <c r="D174" s="68" t="n"/>
      <c r="E174" s="84">
        <f>SUM(G174:HT174)</f>
        <v/>
      </c>
      <c r="Q174" s="574" t="n"/>
      <c r="Z174" s="574" t="n"/>
      <c r="AA174" s="574" t="n"/>
      <c r="AB174" s="574" t="n"/>
      <c r="AC174" s="574" t="n"/>
      <c r="AD174" s="574" t="n"/>
      <c r="AE174" s="574" t="n"/>
      <c r="AF174" s="574" t="n"/>
      <c r="AH174" s="574" t="n"/>
      <c r="AJ174" s="574" t="n"/>
      <c r="CM174" s="587" t="n"/>
      <c r="CN174" s="587" t="n"/>
      <c r="CO174" s="587" t="n"/>
      <c r="CP174" s="587" t="n"/>
      <c r="CQ174" s="587" t="n"/>
      <c r="CR174" s="587" t="n"/>
      <c r="CS174" s="587" t="n"/>
      <c r="CT174" s="587" t="n"/>
      <c r="CU174" s="587" t="n"/>
      <c r="CV174" s="587" t="n"/>
      <c r="CW174" s="587" t="n"/>
      <c r="CX174" s="587" t="n"/>
      <c r="CY174" s="587" t="n"/>
      <c r="CZ174" s="587" t="n"/>
      <c r="DA174" s="587" t="n"/>
      <c r="DB174" s="587" t="n"/>
      <c r="DC174" s="587" t="n"/>
      <c r="DD174" s="587" t="n"/>
      <c r="DE174" s="587" t="n"/>
      <c r="DF174" s="587" t="n"/>
      <c r="DG174" s="587" t="n"/>
      <c r="DH174" s="587" t="n"/>
      <c r="DI174" s="587" t="n"/>
      <c r="DJ174" s="587" t="n"/>
      <c r="DK174" s="587" t="n"/>
      <c r="DL174" s="587" t="n"/>
      <c r="DM174" s="587" t="n"/>
      <c r="DN174" s="587" t="n"/>
      <c r="DO174" s="587" t="n"/>
      <c r="DP174" s="587" t="n"/>
      <c r="DQ174" s="587" t="n"/>
      <c r="DR174" s="587" t="n"/>
      <c r="DS174" s="587" t="n"/>
      <c r="DT174" s="587" t="n"/>
      <c r="DU174" s="587" t="n"/>
      <c r="DV174" s="587" t="n"/>
      <c r="DW174" s="587" t="n"/>
      <c r="DX174" s="587" t="n"/>
      <c r="DY174" s="587" t="n"/>
      <c r="DZ174" s="587" t="n"/>
      <c r="EA174" s="587" t="n"/>
      <c r="EB174" s="587" t="n"/>
      <c r="EC174" s="587" t="n"/>
      <c r="ED174" s="587" t="n"/>
      <c r="EE174" s="587" t="n"/>
      <c r="EF174" s="587" t="n"/>
      <c r="EG174" s="587" t="n"/>
      <c r="EH174" s="587" t="n"/>
      <c r="EI174" s="587" t="n"/>
      <c r="EJ174" s="587" t="n"/>
      <c r="EK174" s="587" t="n"/>
      <c r="EL174" s="587" t="n"/>
      <c r="EM174" s="587" t="n"/>
      <c r="EN174" s="587" t="n"/>
      <c r="EO174" s="587" t="n"/>
      <c r="EP174" s="587" t="n"/>
      <c r="EQ174" s="587" t="n"/>
      <c r="ER174" s="587" t="n"/>
      <c r="ES174" s="587" t="n"/>
      <c r="ET174" s="587" t="n"/>
      <c r="EU174" s="587" t="n"/>
      <c r="EV174" s="587" t="n"/>
      <c r="EW174" s="587" t="n"/>
      <c r="EX174" s="587" t="n"/>
      <c r="EY174" s="587" t="n"/>
      <c r="EZ174" s="587" t="n"/>
      <c r="FA174" s="587" t="n"/>
      <c r="FB174" s="587" t="n"/>
      <c r="FC174" s="587" t="n"/>
      <c r="FD174" s="587" t="n"/>
      <c r="FE174" s="587" t="n"/>
      <c r="FF174" s="587" t="n"/>
      <c r="FG174" s="587" t="n"/>
      <c r="FH174" s="587" t="n"/>
      <c r="FI174" s="587" t="n"/>
      <c r="FJ174" s="587" t="n"/>
      <c r="FK174" s="587" t="n"/>
      <c r="FL174" s="587" t="n"/>
      <c r="FM174" s="587" t="n"/>
      <c r="FN174" s="587" t="n"/>
      <c r="FO174" s="587" t="n"/>
      <c r="FP174" s="587" t="n"/>
      <c r="FQ174" s="587" t="n"/>
      <c r="FR174" s="587" t="n"/>
      <c r="FS174" s="587" t="n"/>
      <c r="FT174" s="587" t="n"/>
      <c r="FU174" s="587" t="n"/>
      <c r="FV174" s="587" t="n"/>
      <c r="FW174" s="587" t="n"/>
      <c r="FX174" s="587" t="n"/>
      <c r="FY174" s="587" t="n"/>
      <c r="FZ174" s="587" t="n"/>
      <c r="GA174" s="587" t="n"/>
    </row>
    <row r="175" customFormat="1" s="568">
      <c r="A175" s="86" t="n"/>
      <c r="B175" s="85" t="n"/>
      <c r="C175" s="84">
        <f>E175*D$5</f>
        <v/>
      </c>
      <c r="D175" s="68" t="n"/>
      <c r="E175" s="84">
        <f>SUM(G175:HT175)</f>
        <v/>
      </c>
      <c r="Q175" s="574" t="n"/>
      <c r="Z175" s="574" t="n"/>
      <c r="AA175" s="574" t="n"/>
      <c r="AB175" s="574" t="n"/>
      <c r="AC175" s="574" t="n"/>
      <c r="AD175" s="574" t="n"/>
      <c r="AE175" s="574" t="n"/>
      <c r="AF175" s="574" t="n"/>
      <c r="AH175" s="574" t="n"/>
      <c r="AJ175" s="574" t="n"/>
      <c r="CM175" s="587" t="n"/>
      <c r="CN175" s="587" t="n"/>
      <c r="CO175" s="587" t="n"/>
      <c r="CP175" s="587" t="n"/>
      <c r="CQ175" s="587" t="n"/>
      <c r="CR175" s="587" t="n"/>
      <c r="CS175" s="587" t="n"/>
      <c r="CT175" s="587" t="n"/>
      <c r="CU175" s="587" t="n"/>
      <c r="CV175" s="587" t="n"/>
      <c r="CW175" s="587" t="n"/>
      <c r="CX175" s="587" t="n"/>
      <c r="CY175" s="587" t="n"/>
      <c r="CZ175" s="587" t="n"/>
      <c r="DA175" s="587" t="n"/>
      <c r="DB175" s="587" t="n"/>
      <c r="DC175" s="587" t="n"/>
      <c r="DD175" s="587" t="n"/>
      <c r="DE175" s="587" t="n"/>
      <c r="DF175" s="587" t="n"/>
      <c r="DG175" s="587" t="n"/>
      <c r="DH175" s="587" t="n"/>
      <c r="DI175" s="587" t="n"/>
      <c r="DJ175" s="587" t="n"/>
      <c r="DK175" s="587" t="n"/>
      <c r="DL175" s="587" t="n"/>
      <c r="DM175" s="587" t="n"/>
      <c r="DN175" s="587" t="n"/>
      <c r="DO175" s="587" t="n"/>
      <c r="DP175" s="587" t="n"/>
      <c r="DQ175" s="587" t="n"/>
      <c r="DR175" s="587" t="n"/>
      <c r="DS175" s="587" t="n"/>
      <c r="DT175" s="587" t="n"/>
      <c r="DU175" s="587" t="n"/>
      <c r="DV175" s="587" t="n"/>
      <c r="DW175" s="587" t="n"/>
      <c r="DX175" s="587" t="n"/>
      <c r="DY175" s="587" t="n"/>
      <c r="DZ175" s="587" t="n"/>
      <c r="EA175" s="587" t="n"/>
      <c r="EB175" s="587" t="n"/>
      <c r="EC175" s="587" t="n"/>
      <c r="ED175" s="587" t="n"/>
      <c r="EE175" s="587" t="n"/>
      <c r="EF175" s="587" t="n"/>
      <c r="EG175" s="587" t="n"/>
      <c r="EH175" s="587" t="n"/>
      <c r="EI175" s="587" t="n"/>
      <c r="EJ175" s="587" t="n"/>
      <c r="EK175" s="587" t="n"/>
      <c r="EL175" s="587" t="n"/>
      <c r="EM175" s="587" t="n"/>
      <c r="EN175" s="587" t="n"/>
      <c r="EO175" s="587" t="n"/>
      <c r="EP175" s="587" t="n"/>
      <c r="EQ175" s="587" t="n"/>
      <c r="ER175" s="587" t="n"/>
      <c r="ES175" s="587" t="n"/>
      <c r="ET175" s="587" t="n"/>
      <c r="EU175" s="587" t="n"/>
      <c r="EV175" s="587" t="n"/>
      <c r="EW175" s="587" t="n"/>
      <c r="EX175" s="587" t="n"/>
      <c r="EY175" s="587" t="n"/>
      <c r="EZ175" s="587" t="n"/>
      <c r="FA175" s="587" t="n"/>
      <c r="FB175" s="587" t="n"/>
      <c r="FC175" s="587" t="n"/>
      <c r="FD175" s="587" t="n"/>
      <c r="FE175" s="587" t="n"/>
      <c r="FF175" s="587" t="n"/>
      <c r="FG175" s="587" t="n"/>
      <c r="FH175" s="587" t="n"/>
      <c r="FI175" s="587" t="n"/>
      <c r="FJ175" s="587" t="n"/>
      <c r="FK175" s="587" t="n"/>
      <c r="FL175" s="587" t="n"/>
      <c r="FM175" s="587" t="n"/>
      <c r="FN175" s="587" t="n"/>
      <c r="FO175" s="587" t="n"/>
      <c r="FP175" s="587" t="n"/>
      <c r="FQ175" s="587" t="n"/>
      <c r="FR175" s="587" t="n"/>
      <c r="FS175" s="587" t="n"/>
      <c r="FT175" s="587" t="n"/>
      <c r="FU175" s="587" t="n"/>
      <c r="FV175" s="587" t="n"/>
      <c r="FW175" s="587" t="n"/>
      <c r="FX175" s="587" t="n"/>
      <c r="FY175" s="587" t="n"/>
      <c r="FZ175" s="587" t="n"/>
      <c r="GA175" s="587" t="n"/>
    </row>
    <row r="176" customFormat="1" s="568">
      <c r="A176" s="86" t="n"/>
      <c r="B176" s="85" t="n"/>
      <c r="C176" s="84">
        <f>E176*D$5</f>
        <v/>
      </c>
      <c r="D176" s="68" t="n"/>
      <c r="E176" s="84">
        <f>SUM(G176:HT176)</f>
        <v/>
      </c>
      <c r="Q176" s="574" t="n"/>
      <c r="Z176" s="574" t="n"/>
      <c r="AA176" s="574" t="n"/>
      <c r="AB176" s="574" t="n"/>
      <c r="AC176" s="574" t="n"/>
      <c r="AD176" s="574" t="n"/>
      <c r="AE176" s="574" t="n"/>
      <c r="AF176" s="574" t="n"/>
      <c r="AH176" s="574" t="n"/>
      <c r="AJ176" s="574" t="n"/>
      <c r="CM176" s="587" t="n"/>
      <c r="CN176" s="587" t="n"/>
      <c r="CO176" s="587" t="n"/>
      <c r="CP176" s="587" t="n"/>
      <c r="CQ176" s="587" t="n"/>
      <c r="CR176" s="587" t="n"/>
      <c r="CS176" s="587" t="n"/>
      <c r="CT176" s="587" t="n"/>
      <c r="CU176" s="587" t="n"/>
      <c r="CV176" s="587" t="n"/>
      <c r="CW176" s="587" t="n"/>
      <c r="CX176" s="587" t="n"/>
      <c r="CY176" s="587" t="n"/>
      <c r="CZ176" s="587" t="n"/>
      <c r="DA176" s="587" t="n"/>
      <c r="DB176" s="587" t="n"/>
      <c r="DC176" s="587" t="n"/>
      <c r="DD176" s="587" t="n"/>
      <c r="DE176" s="587" t="n"/>
      <c r="DF176" s="587" t="n"/>
      <c r="DG176" s="587" t="n"/>
      <c r="DH176" s="587" t="n"/>
      <c r="DI176" s="587" t="n"/>
      <c r="DJ176" s="587" t="n"/>
      <c r="DK176" s="587" t="n"/>
      <c r="DL176" s="587" t="n"/>
      <c r="DM176" s="587" t="n"/>
      <c r="DN176" s="587" t="n"/>
      <c r="DO176" s="587" t="n"/>
      <c r="DP176" s="587" t="n"/>
      <c r="DQ176" s="587" t="n"/>
      <c r="DR176" s="587" t="n"/>
      <c r="DS176" s="587" t="n"/>
      <c r="DT176" s="587" t="n"/>
      <c r="DU176" s="587" t="n"/>
      <c r="DV176" s="587" t="n"/>
      <c r="DW176" s="587" t="n"/>
      <c r="DX176" s="587" t="n"/>
      <c r="DY176" s="587" t="n"/>
      <c r="DZ176" s="587" t="n"/>
      <c r="EA176" s="587" t="n"/>
      <c r="EB176" s="587" t="n"/>
      <c r="EC176" s="587" t="n"/>
      <c r="ED176" s="587" t="n"/>
      <c r="EE176" s="587" t="n"/>
      <c r="EF176" s="587" t="n"/>
      <c r="EG176" s="587" t="n"/>
      <c r="EH176" s="587" t="n"/>
      <c r="EI176" s="587" t="n"/>
      <c r="EJ176" s="587" t="n"/>
      <c r="EK176" s="587" t="n"/>
      <c r="EL176" s="587" t="n"/>
      <c r="EM176" s="587" t="n"/>
      <c r="EN176" s="587" t="n"/>
      <c r="EO176" s="587" t="n"/>
      <c r="EP176" s="587" t="n"/>
      <c r="EQ176" s="587" t="n"/>
      <c r="ER176" s="587" t="n"/>
      <c r="ES176" s="587" t="n"/>
      <c r="ET176" s="587" t="n"/>
      <c r="EU176" s="587" t="n"/>
      <c r="EV176" s="587" t="n"/>
      <c r="EW176" s="587" t="n"/>
      <c r="EX176" s="587" t="n"/>
      <c r="EY176" s="587" t="n"/>
      <c r="EZ176" s="587" t="n"/>
      <c r="FA176" s="587" t="n"/>
      <c r="FB176" s="587" t="n"/>
      <c r="FC176" s="587" t="n"/>
      <c r="FD176" s="587" t="n"/>
      <c r="FE176" s="587" t="n"/>
      <c r="FF176" s="587" t="n"/>
      <c r="FG176" s="587" t="n"/>
      <c r="FH176" s="587" t="n"/>
      <c r="FI176" s="587" t="n"/>
      <c r="FJ176" s="587" t="n"/>
      <c r="FK176" s="587" t="n"/>
      <c r="FL176" s="587" t="n"/>
      <c r="FM176" s="587" t="n"/>
      <c r="FN176" s="587" t="n"/>
      <c r="FO176" s="587" t="n"/>
      <c r="FP176" s="587" t="n"/>
      <c r="FQ176" s="587" t="n"/>
      <c r="FR176" s="587" t="n"/>
      <c r="FS176" s="587" t="n"/>
      <c r="FT176" s="587" t="n"/>
      <c r="FU176" s="587" t="n"/>
      <c r="FV176" s="587" t="n"/>
      <c r="FW176" s="587" t="n"/>
      <c r="FX176" s="587" t="n"/>
      <c r="FY176" s="587" t="n"/>
      <c r="FZ176" s="587" t="n"/>
      <c r="GA176" s="587" t="n"/>
    </row>
    <row r="177" customFormat="1" s="568">
      <c r="A177" s="86" t="n"/>
      <c r="B177" s="85" t="n"/>
      <c r="C177" s="84">
        <f>E177*D$5</f>
        <v/>
      </c>
      <c r="D177" s="68" t="n"/>
      <c r="E177" s="84">
        <f>SUM(G177:HT177)</f>
        <v/>
      </c>
      <c r="Q177" s="574" t="n"/>
      <c r="Z177" s="574" t="n"/>
      <c r="AA177" s="574" t="n"/>
      <c r="AB177" s="574" t="n"/>
      <c r="AC177" s="574" t="n"/>
      <c r="AD177" s="574" t="n"/>
      <c r="AE177" s="574" t="n"/>
      <c r="AF177" s="574" t="n"/>
      <c r="AH177" s="574" t="n"/>
      <c r="AJ177" s="574" t="n"/>
      <c r="CM177" s="587" t="n"/>
      <c r="CN177" s="587" t="n"/>
      <c r="CO177" s="587" t="n"/>
      <c r="CP177" s="587" t="n"/>
      <c r="CQ177" s="587" t="n"/>
      <c r="CR177" s="587" t="n"/>
      <c r="CS177" s="587" t="n"/>
      <c r="CT177" s="587" t="n"/>
      <c r="CU177" s="587" t="n"/>
      <c r="CV177" s="587" t="n"/>
      <c r="CW177" s="587" t="n"/>
      <c r="CX177" s="587" t="n"/>
      <c r="CY177" s="587" t="n"/>
      <c r="CZ177" s="587" t="n"/>
      <c r="DA177" s="587" t="n"/>
      <c r="DB177" s="587" t="n"/>
      <c r="DC177" s="587" t="n"/>
      <c r="DD177" s="587" t="n"/>
      <c r="DE177" s="587" t="n"/>
      <c r="DF177" s="587" t="n"/>
      <c r="DG177" s="587" t="n"/>
      <c r="DH177" s="587" t="n"/>
      <c r="DI177" s="587" t="n"/>
      <c r="DJ177" s="587" t="n"/>
      <c r="DK177" s="587" t="n"/>
      <c r="DL177" s="587" t="n"/>
      <c r="DM177" s="587" t="n"/>
      <c r="DN177" s="587" t="n"/>
      <c r="DO177" s="587" t="n"/>
      <c r="DP177" s="587" t="n"/>
      <c r="DQ177" s="587" t="n"/>
      <c r="DR177" s="587" t="n"/>
      <c r="DS177" s="587" t="n"/>
      <c r="DT177" s="587" t="n"/>
      <c r="DU177" s="587" t="n"/>
      <c r="DV177" s="587" t="n"/>
      <c r="DW177" s="587" t="n"/>
      <c r="DX177" s="587" t="n"/>
      <c r="DY177" s="587" t="n"/>
      <c r="DZ177" s="587" t="n"/>
      <c r="EA177" s="587" t="n"/>
      <c r="EB177" s="587" t="n"/>
      <c r="EC177" s="587" t="n"/>
      <c r="ED177" s="587" t="n"/>
      <c r="EE177" s="587" t="n"/>
      <c r="EF177" s="587" t="n"/>
      <c r="EG177" s="587" t="n"/>
      <c r="EH177" s="587" t="n"/>
      <c r="EI177" s="587" t="n"/>
      <c r="EJ177" s="587" t="n"/>
      <c r="EK177" s="587" t="n"/>
      <c r="EL177" s="587" t="n"/>
      <c r="EM177" s="587" t="n"/>
      <c r="EN177" s="587" t="n"/>
      <c r="EO177" s="587" t="n"/>
      <c r="EP177" s="587" t="n"/>
      <c r="EQ177" s="587" t="n"/>
      <c r="ER177" s="587" t="n"/>
      <c r="ES177" s="587" t="n"/>
      <c r="ET177" s="587" t="n"/>
      <c r="EU177" s="587" t="n"/>
      <c r="EV177" s="587" t="n"/>
      <c r="EW177" s="587" t="n"/>
      <c r="EX177" s="587" t="n"/>
      <c r="EY177" s="587" t="n"/>
      <c r="EZ177" s="587" t="n"/>
      <c r="FA177" s="587" t="n"/>
      <c r="FB177" s="587" t="n"/>
      <c r="FC177" s="587" t="n"/>
      <c r="FD177" s="587" t="n"/>
      <c r="FE177" s="587" t="n"/>
      <c r="FF177" s="587" t="n"/>
      <c r="FG177" s="587" t="n"/>
      <c r="FH177" s="587" t="n"/>
      <c r="FI177" s="587" t="n"/>
      <c r="FJ177" s="587" t="n"/>
      <c r="FK177" s="587" t="n"/>
      <c r="FL177" s="587" t="n"/>
      <c r="FM177" s="587" t="n"/>
      <c r="FN177" s="587" t="n"/>
      <c r="FO177" s="587" t="n"/>
      <c r="FP177" s="587" t="n"/>
      <c r="FQ177" s="587" t="n"/>
      <c r="FR177" s="587" t="n"/>
      <c r="FS177" s="587" t="n"/>
      <c r="FT177" s="587" t="n"/>
      <c r="FU177" s="587" t="n"/>
      <c r="FV177" s="587" t="n"/>
      <c r="FW177" s="587" t="n"/>
      <c r="FX177" s="587" t="n"/>
      <c r="FY177" s="587" t="n"/>
      <c r="FZ177" s="587" t="n"/>
      <c r="GA177" s="587" t="n"/>
    </row>
    <row r="178" customFormat="1" s="568">
      <c r="A178" s="86" t="n"/>
      <c r="B178" s="85" t="n"/>
      <c r="C178" s="84">
        <f>E178*D$5</f>
        <v/>
      </c>
      <c r="D178" s="68" t="n"/>
      <c r="E178" s="84">
        <f>SUM(G178:HT178)</f>
        <v/>
      </c>
      <c r="Q178" s="574" t="n"/>
      <c r="Z178" s="574" t="n"/>
      <c r="AA178" s="574" t="n"/>
      <c r="AB178" s="574" t="n"/>
      <c r="AC178" s="574" t="n"/>
      <c r="AD178" s="574" t="n"/>
      <c r="AE178" s="574" t="n"/>
      <c r="AF178" s="574" t="n"/>
      <c r="AH178" s="574" t="n"/>
      <c r="AJ178" s="574" t="n"/>
      <c r="CM178" s="587" t="n"/>
      <c r="CN178" s="587" t="n"/>
      <c r="CO178" s="587" t="n"/>
      <c r="CP178" s="587" t="n"/>
      <c r="CQ178" s="587" t="n"/>
      <c r="CR178" s="587" t="n"/>
      <c r="CS178" s="587" t="n"/>
      <c r="CT178" s="587" t="n"/>
      <c r="CU178" s="587" t="n"/>
      <c r="CV178" s="587" t="n"/>
      <c r="CW178" s="587" t="n"/>
      <c r="CX178" s="587" t="n"/>
      <c r="CY178" s="587" t="n"/>
      <c r="CZ178" s="587" t="n"/>
      <c r="DA178" s="587" t="n"/>
      <c r="DB178" s="587" t="n"/>
      <c r="DC178" s="587" t="n"/>
      <c r="DD178" s="587" t="n"/>
      <c r="DE178" s="587" t="n"/>
      <c r="DF178" s="587" t="n"/>
      <c r="DG178" s="587" t="n"/>
      <c r="DH178" s="587" t="n"/>
      <c r="DI178" s="587" t="n"/>
      <c r="DJ178" s="587" t="n"/>
      <c r="DK178" s="587" t="n"/>
      <c r="DL178" s="587" t="n"/>
      <c r="DM178" s="587" t="n"/>
      <c r="DN178" s="587" t="n"/>
      <c r="DO178" s="587" t="n"/>
      <c r="DP178" s="587" t="n"/>
      <c r="DQ178" s="587" t="n"/>
      <c r="DR178" s="587" t="n"/>
      <c r="DS178" s="587" t="n"/>
      <c r="DT178" s="587" t="n"/>
      <c r="DU178" s="587" t="n"/>
      <c r="DV178" s="587" t="n"/>
      <c r="DW178" s="587" t="n"/>
      <c r="DX178" s="587" t="n"/>
      <c r="DY178" s="587" t="n"/>
      <c r="DZ178" s="587" t="n"/>
      <c r="EA178" s="587" t="n"/>
      <c r="EB178" s="587" t="n"/>
      <c r="EC178" s="587" t="n"/>
      <c r="ED178" s="587" t="n"/>
      <c r="EE178" s="587" t="n"/>
      <c r="EF178" s="587" t="n"/>
      <c r="EG178" s="587" t="n"/>
      <c r="EH178" s="587" t="n"/>
      <c r="EI178" s="587" t="n"/>
      <c r="EJ178" s="587" t="n"/>
      <c r="EK178" s="587" t="n"/>
      <c r="EL178" s="587" t="n"/>
      <c r="EM178" s="587" t="n"/>
      <c r="EN178" s="587" t="n"/>
      <c r="EO178" s="587" t="n"/>
      <c r="EP178" s="587" t="n"/>
      <c r="EQ178" s="587" t="n"/>
      <c r="ER178" s="587" t="n"/>
      <c r="ES178" s="587" t="n"/>
      <c r="ET178" s="587" t="n"/>
      <c r="EU178" s="587" t="n"/>
      <c r="EV178" s="587" t="n"/>
      <c r="EW178" s="587" t="n"/>
      <c r="EX178" s="587" t="n"/>
      <c r="EY178" s="587" t="n"/>
      <c r="EZ178" s="587" t="n"/>
      <c r="FA178" s="587" t="n"/>
      <c r="FB178" s="587" t="n"/>
      <c r="FC178" s="587" t="n"/>
      <c r="FD178" s="587" t="n"/>
      <c r="FE178" s="587" t="n"/>
      <c r="FF178" s="587" t="n"/>
      <c r="FG178" s="587" t="n"/>
      <c r="FH178" s="587" t="n"/>
      <c r="FI178" s="587" t="n"/>
      <c r="FJ178" s="587" t="n"/>
      <c r="FK178" s="587" t="n"/>
      <c r="FL178" s="587" t="n"/>
      <c r="FM178" s="587" t="n"/>
      <c r="FN178" s="587" t="n"/>
      <c r="FO178" s="587" t="n"/>
      <c r="FP178" s="587" t="n"/>
      <c r="FQ178" s="587" t="n"/>
      <c r="FR178" s="587" t="n"/>
      <c r="FS178" s="587" t="n"/>
      <c r="FT178" s="587" t="n"/>
      <c r="FU178" s="587" t="n"/>
      <c r="FV178" s="587" t="n"/>
      <c r="FW178" s="587" t="n"/>
      <c r="FX178" s="587" t="n"/>
      <c r="FY178" s="587" t="n"/>
      <c r="FZ178" s="587" t="n"/>
      <c r="GA178" s="587" t="n"/>
    </row>
    <row r="179" customFormat="1" s="568">
      <c r="A179" s="86" t="n"/>
      <c r="B179" s="85" t="n"/>
      <c r="C179" s="84">
        <f>E179*D$5</f>
        <v/>
      </c>
      <c r="D179" s="68" t="n"/>
      <c r="E179" s="84">
        <f>SUM(G179:HT179)</f>
        <v/>
      </c>
      <c r="Q179" s="574" t="n"/>
      <c r="Z179" s="574" t="n"/>
      <c r="AA179" s="574" t="n"/>
      <c r="AB179" s="574" t="n"/>
      <c r="AC179" s="574" t="n"/>
      <c r="AD179" s="574" t="n"/>
      <c r="AE179" s="574" t="n"/>
      <c r="AF179" s="574" t="n"/>
      <c r="AH179" s="574" t="n"/>
      <c r="AJ179" s="574" t="n"/>
      <c r="CM179" s="587" t="n"/>
      <c r="CN179" s="587" t="n"/>
      <c r="CO179" s="587" t="n"/>
      <c r="CP179" s="587" t="n"/>
      <c r="CQ179" s="587" t="n"/>
      <c r="CR179" s="587" t="n"/>
      <c r="CS179" s="587" t="n"/>
      <c r="CT179" s="587" t="n"/>
      <c r="CU179" s="587" t="n"/>
      <c r="CV179" s="587" t="n"/>
      <c r="CW179" s="587" t="n"/>
      <c r="CX179" s="587" t="n"/>
      <c r="CY179" s="587" t="n"/>
      <c r="CZ179" s="587" t="n"/>
      <c r="DA179" s="587" t="n"/>
      <c r="DB179" s="587" t="n"/>
      <c r="DC179" s="587" t="n"/>
      <c r="DD179" s="587" t="n"/>
      <c r="DE179" s="587" t="n"/>
      <c r="DF179" s="587" t="n"/>
      <c r="DG179" s="587" t="n"/>
      <c r="DH179" s="587" t="n"/>
      <c r="DI179" s="587" t="n"/>
      <c r="DJ179" s="587" t="n"/>
      <c r="DK179" s="587" t="n"/>
      <c r="DL179" s="587" t="n"/>
      <c r="DM179" s="587" t="n"/>
      <c r="DN179" s="587" t="n"/>
      <c r="DO179" s="587" t="n"/>
      <c r="DP179" s="587" t="n"/>
      <c r="DQ179" s="587" t="n"/>
      <c r="DR179" s="587" t="n"/>
      <c r="DS179" s="587" t="n"/>
      <c r="DT179" s="587" t="n"/>
      <c r="DU179" s="587" t="n"/>
      <c r="DV179" s="587" t="n"/>
      <c r="DW179" s="587" t="n"/>
      <c r="DX179" s="587" t="n"/>
      <c r="DY179" s="587" t="n"/>
      <c r="DZ179" s="587" t="n"/>
      <c r="EA179" s="587" t="n"/>
      <c r="EB179" s="587" t="n"/>
      <c r="EC179" s="587" t="n"/>
      <c r="ED179" s="587" t="n"/>
      <c r="EE179" s="587" t="n"/>
      <c r="EF179" s="587" t="n"/>
      <c r="EG179" s="587" t="n"/>
      <c r="EH179" s="587" t="n"/>
      <c r="EI179" s="587" t="n"/>
      <c r="EJ179" s="587" t="n"/>
      <c r="EK179" s="587" t="n"/>
      <c r="EL179" s="587" t="n"/>
      <c r="EM179" s="587" t="n"/>
      <c r="EN179" s="587" t="n"/>
      <c r="EO179" s="587" t="n"/>
      <c r="EP179" s="587" t="n"/>
      <c r="EQ179" s="587" t="n"/>
      <c r="ER179" s="587" t="n"/>
      <c r="ES179" s="587" t="n"/>
      <c r="ET179" s="587" t="n"/>
      <c r="EU179" s="587" t="n"/>
      <c r="EV179" s="587" t="n"/>
      <c r="EW179" s="587" t="n"/>
      <c r="EX179" s="587" t="n"/>
      <c r="EY179" s="587" t="n"/>
      <c r="EZ179" s="587" t="n"/>
      <c r="FA179" s="587" t="n"/>
      <c r="FB179" s="587" t="n"/>
      <c r="FC179" s="587" t="n"/>
      <c r="FD179" s="587" t="n"/>
      <c r="FE179" s="587" t="n"/>
      <c r="FF179" s="587" t="n"/>
      <c r="FG179" s="587" t="n"/>
      <c r="FH179" s="587" t="n"/>
      <c r="FI179" s="587" t="n"/>
      <c r="FJ179" s="587" t="n"/>
      <c r="FK179" s="587" t="n"/>
      <c r="FL179" s="587" t="n"/>
      <c r="FM179" s="587" t="n"/>
      <c r="FN179" s="587" t="n"/>
      <c r="FO179" s="587" t="n"/>
      <c r="FP179" s="587" t="n"/>
      <c r="FQ179" s="587" t="n"/>
      <c r="FR179" s="587" t="n"/>
      <c r="FS179" s="587" t="n"/>
      <c r="FT179" s="587" t="n"/>
      <c r="FU179" s="587" t="n"/>
      <c r="FV179" s="587" t="n"/>
      <c r="FW179" s="587" t="n"/>
      <c r="FX179" s="587" t="n"/>
      <c r="FY179" s="587" t="n"/>
      <c r="FZ179" s="587" t="n"/>
      <c r="GA179" s="587" t="n"/>
    </row>
    <row r="180" customFormat="1" s="568">
      <c r="A180" s="86" t="n"/>
      <c r="B180" s="85" t="n"/>
      <c r="C180" s="84">
        <f>E180*D$5</f>
        <v/>
      </c>
      <c r="D180" s="68" t="n"/>
      <c r="E180" s="84">
        <f>SUM(G180:HT180)</f>
        <v/>
      </c>
      <c r="Q180" s="574" t="n"/>
      <c r="Z180" s="574" t="n"/>
      <c r="AA180" s="574" t="n"/>
      <c r="AB180" s="574" t="n"/>
      <c r="AC180" s="574" t="n"/>
      <c r="AD180" s="574" t="n"/>
      <c r="AE180" s="574" t="n"/>
      <c r="AF180" s="574" t="n"/>
      <c r="AH180" s="574" t="n"/>
      <c r="AJ180" s="574" t="n"/>
      <c r="CM180" s="587" t="n"/>
      <c r="CN180" s="587" t="n"/>
      <c r="CO180" s="587" t="n"/>
      <c r="CP180" s="587" t="n"/>
      <c r="CQ180" s="587" t="n"/>
      <c r="CR180" s="587" t="n"/>
      <c r="CS180" s="587" t="n"/>
      <c r="CT180" s="587" t="n"/>
      <c r="CU180" s="587" t="n"/>
      <c r="CV180" s="587" t="n"/>
      <c r="CW180" s="587" t="n"/>
      <c r="CX180" s="587" t="n"/>
      <c r="CY180" s="587" t="n"/>
      <c r="CZ180" s="587" t="n"/>
      <c r="DA180" s="587" t="n"/>
      <c r="DB180" s="587" t="n"/>
      <c r="DC180" s="587" t="n"/>
      <c r="DD180" s="587" t="n"/>
      <c r="DE180" s="587" t="n"/>
      <c r="DF180" s="587" t="n"/>
      <c r="DG180" s="587" t="n"/>
      <c r="DH180" s="587" t="n"/>
      <c r="DI180" s="587" t="n"/>
      <c r="DJ180" s="587" t="n"/>
      <c r="DK180" s="587" t="n"/>
      <c r="DL180" s="587" t="n"/>
      <c r="DM180" s="587" t="n"/>
      <c r="DN180" s="587" t="n"/>
      <c r="DO180" s="587" t="n"/>
      <c r="DP180" s="587" t="n"/>
      <c r="DQ180" s="587" t="n"/>
      <c r="DR180" s="587" t="n"/>
      <c r="DS180" s="587" t="n"/>
      <c r="DT180" s="587" t="n"/>
      <c r="DU180" s="587" t="n"/>
      <c r="DV180" s="587" t="n"/>
      <c r="DW180" s="587" t="n"/>
      <c r="DX180" s="587" t="n"/>
      <c r="DY180" s="587" t="n"/>
      <c r="DZ180" s="587" t="n"/>
      <c r="EA180" s="587" t="n"/>
      <c r="EB180" s="587" t="n"/>
      <c r="EC180" s="587" t="n"/>
      <c r="ED180" s="587" t="n"/>
      <c r="EE180" s="587" t="n"/>
      <c r="EF180" s="587" t="n"/>
      <c r="EG180" s="587" t="n"/>
      <c r="EH180" s="587" t="n"/>
      <c r="EI180" s="587" t="n"/>
      <c r="EJ180" s="587" t="n"/>
      <c r="EK180" s="587" t="n"/>
      <c r="EL180" s="587" t="n"/>
      <c r="EM180" s="587" t="n"/>
      <c r="EN180" s="587" t="n"/>
      <c r="EO180" s="587" t="n"/>
      <c r="EP180" s="587" t="n"/>
      <c r="EQ180" s="587" t="n"/>
      <c r="ER180" s="587" t="n"/>
      <c r="ES180" s="587" t="n"/>
      <c r="ET180" s="587" t="n"/>
      <c r="EU180" s="587" t="n"/>
      <c r="EV180" s="587" t="n"/>
      <c r="EW180" s="587" t="n"/>
      <c r="EX180" s="587" t="n"/>
      <c r="EY180" s="587" t="n"/>
      <c r="EZ180" s="587" t="n"/>
      <c r="FA180" s="587" t="n"/>
      <c r="FB180" s="587" t="n"/>
      <c r="FC180" s="587" t="n"/>
      <c r="FD180" s="587" t="n"/>
      <c r="FE180" s="587" t="n"/>
      <c r="FF180" s="587" t="n"/>
      <c r="FG180" s="587" t="n"/>
      <c r="FH180" s="587" t="n"/>
      <c r="FI180" s="587" t="n"/>
      <c r="FJ180" s="587" t="n"/>
      <c r="FK180" s="587" t="n"/>
      <c r="FL180" s="587" t="n"/>
      <c r="FM180" s="587" t="n"/>
      <c r="FN180" s="587" t="n"/>
      <c r="FO180" s="587" t="n"/>
      <c r="FP180" s="587" t="n"/>
      <c r="FQ180" s="587" t="n"/>
      <c r="FR180" s="587" t="n"/>
      <c r="FS180" s="587" t="n"/>
      <c r="FT180" s="587" t="n"/>
      <c r="FU180" s="587" t="n"/>
      <c r="FV180" s="587" t="n"/>
      <c r="FW180" s="587" t="n"/>
      <c r="FX180" s="587" t="n"/>
      <c r="FY180" s="587" t="n"/>
      <c r="FZ180" s="587" t="n"/>
      <c r="GA180" s="587" t="n"/>
    </row>
    <row r="181" customFormat="1" s="568">
      <c r="A181" s="86" t="n"/>
      <c r="B181" s="85" t="n"/>
      <c r="C181" s="84">
        <f>E181*D$5</f>
        <v/>
      </c>
      <c r="D181" s="68" t="n"/>
      <c r="E181" s="84">
        <f>SUM(G181:HT181)</f>
        <v/>
      </c>
      <c r="Q181" s="574" t="n"/>
      <c r="Z181" s="574" t="n"/>
      <c r="AA181" s="574" t="n"/>
      <c r="AB181" s="574" t="n"/>
      <c r="AC181" s="574" t="n"/>
      <c r="AD181" s="574" t="n"/>
      <c r="AE181" s="574" t="n"/>
      <c r="AF181" s="574" t="n"/>
      <c r="AH181" s="574" t="n"/>
      <c r="AJ181" s="574" t="n"/>
      <c r="CM181" s="587" t="n"/>
      <c r="CN181" s="587" t="n"/>
      <c r="CO181" s="587" t="n"/>
      <c r="CP181" s="587" t="n"/>
      <c r="CQ181" s="587" t="n"/>
      <c r="CR181" s="587" t="n"/>
      <c r="CS181" s="587" t="n"/>
      <c r="CT181" s="587" t="n"/>
      <c r="CU181" s="587" t="n"/>
      <c r="CV181" s="587" t="n"/>
      <c r="CW181" s="587" t="n"/>
      <c r="CX181" s="587" t="n"/>
      <c r="CY181" s="587" t="n"/>
      <c r="CZ181" s="587" t="n"/>
      <c r="DA181" s="587" t="n"/>
      <c r="DB181" s="587" t="n"/>
      <c r="DC181" s="587" t="n"/>
      <c r="DD181" s="587" t="n"/>
      <c r="DE181" s="587" t="n"/>
      <c r="DF181" s="587" t="n"/>
      <c r="DG181" s="587" t="n"/>
      <c r="DH181" s="587" t="n"/>
      <c r="DI181" s="587" t="n"/>
      <c r="DJ181" s="587" t="n"/>
      <c r="DK181" s="587" t="n"/>
      <c r="DL181" s="587" t="n"/>
      <c r="DM181" s="587" t="n"/>
      <c r="DN181" s="587" t="n"/>
      <c r="DO181" s="587" t="n"/>
      <c r="DP181" s="587" t="n"/>
      <c r="DQ181" s="587" t="n"/>
      <c r="DR181" s="587" t="n"/>
      <c r="DS181" s="587" t="n"/>
      <c r="DT181" s="587" t="n"/>
      <c r="DU181" s="587" t="n"/>
      <c r="DV181" s="587" t="n"/>
      <c r="DW181" s="587" t="n"/>
      <c r="DX181" s="587" t="n"/>
      <c r="DY181" s="587" t="n"/>
      <c r="DZ181" s="587" t="n"/>
      <c r="EA181" s="587" t="n"/>
      <c r="EB181" s="587" t="n"/>
      <c r="EC181" s="587" t="n"/>
      <c r="ED181" s="587" t="n"/>
      <c r="EE181" s="587" t="n"/>
      <c r="EF181" s="587" t="n"/>
      <c r="EG181" s="587" t="n"/>
      <c r="EH181" s="587" t="n"/>
      <c r="EI181" s="587" t="n"/>
      <c r="EJ181" s="587" t="n"/>
      <c r="EK181" s="587" t="n"/>
      <c r="EL181" s="587" t="n"/>
      <c r="EM181" s="587" t="n"/>
      <c r="EN181" s="587" t="n"/>
      <c r="EO181" s="587" t="n"/>
      <c r="EP181" s="587" t="n"/>
      <c r="EQ181" s="587" t="n"/>
      <c r="ER181" s="587" t="n"/>
      <c r="ES181" s="587" t="n"/>
      <c r="ET181" s="587" t="n"/>
      <c r="EU181" s="587" t="n"/>
      <c r="EV181" s="587" t="n"/>
      <c r="EW181" s="587" t="n"/>
      <c r="EX181" s="587" t="n"/>
      <c r="EY181" s="587" t="n"/>
      <c r="EZ181" s="587" t="n"/>
      <c r="FA181" s="587" t="n"/>
      <c r="FB181" s="587" t="n"/>
      <c r="FC181" s="587" t="n"/>
      <c r="FD181" s="587" t="n"/>
      <c r="FE181" s="587" t="n"/>
      <c r="FF181" s="587" t="n"/>
      <c r="FG181" s="587" t="n"/>
      <c r="FH181" s="587" t="n"/>
      <c r="FI181" s="587" t="n"/>
      <c r="FJ181" s="587" t="n"/>
      <c r="FK181" s="587" t="n"/>
      <c r="FL181" s="587" t="n"/>
      <c r="FM181" s="587" t="n"/>
      <c r="FN181" s="587" t="n"/>
      <c r="FO181" s="587" t="n"/>
      <c r="FP181" s="587" t="n"/>
      <c r="FQ181" s="587" t="n"/>
      <c r="FR181" s="587" t="n"/>
      <c r="FS181" s="587" t="n"/>
      <c r="FT181" s="587" t="n"/>
      <c r="FU181" s="587" t="n"/>
      <c r="FV181" s="587" t="n"/>
      <c r="FW181" s="587" t="n"/>
      <c r="FX181" s="587" t="n"/>
      <c r="FY181" s="587" t="n"/>
      <c r="FZ181" s="587" t="n"/>
      <c r="GA181" s="587" t="n"/>
    </row>
    <row r="182" customFormat="1" s="568">
      <c r="A182" s="86" t="n"/>
      <c r="B182" s="85" t="n"/>
      <c r="C182" s="84">
        <f>E182*D$5</f>
        <v/>
      </c>
      <c r="D182" s="68" t="n"/>
      <c r="E182" s="84">
        <f>SUM(G182:HT182)</f>
        <v/>
      </c>
      <c r="Q182" s="574" t="n"/>
      <c r="Z182" s="574" t="n"/>
      <c r="AA182" s="574" t="n"/>
      <c r="AB182" s="574" t="n"/>
      <c r="AC182" s="574" t="n"/>
      <c r="AD182" s="574" t="n"/>
      <c r="AE182" s="574" t="n"/>
      <c r="AF182" s="574" t="n"/>
      <c r="AH182" s="574" t="n"/>
      <c r="AJ182" s="574" t="n"/>
      <c r="CM182" s="587" t="n"/>
      <c r="CN182" s="587" t="n"/>
      <c r="CO182" s="587" t="n"/>
      <c r="CP182" s="587" t="n"/>
      <c r="CQ182" s="587" t="n"/>
      <c r="CR182" s="587" t="n"/>
      <c r="CS182" s="587" t="n"/>
      <c r="CT182" s="587" t="n"/>
      <c r="CU182" s="587" t="n"/>
      <c r="CV182" s="587" t="n"/>
      <c r="CW182" s="587" t="n"/>
      <c r="CX182" s="587" t="n"/>
      <c r="CY182" s="587" t="n"/>
      <c r="CZ182" s="587" t="n"/>
      <c r="DA182" s="587" t="n"/>
      <c r="DB182" s="587" t="n"/>
      <c r="DC182" s="587" t="n"/>
      <c r="DD182" s="587" t="n"/>
      <c r="DE182" s="587" t="n"/>
      <c r="DF182" s="587" t="n"/>
      <c r="DG182" s="587" t="n"/>
      <c r="DH182" s="587" t="n"/>
      <c r="DI182" s="587" t="n"/>
      <c r="DJ182" s="587" t="n"/>
      <c r="DK182" s="587" t="n"/>
      <c r="DL182" s="587" t="n"/>
      <c r="DM182" s="587" t="n"/>
      <c r="DN182" s="587" t="n"/>
      <c r="DO182" s="587" t="n"/>
      <c r="DP182" s="587" t="n"/>
      <c r="DQ182" s="587" t="n"/>
      <c r="DR182" s="587" t="n"/>
      <c r="DS182" s="587" t="n"/>
      <c r="DT182" s="587" t="n"/>
      <c r="DU182" s="587" t="n"/>
      <c r="DV182" s="587" t="n"/>
      <c r="DW182" s="587" t="n"/>
      <c r="DX182" s="587" t="n"/>
      <c r="DY182" s="587" t="n"/>
      <c r="DZ182" s="587" t="n"/>
      <c r="EA182" s="587" t="n"/>
      <c r="EB182" s="587" t="n"/>
      <c r="EC182" s="587" t="n"/>
      <c r="ED182" s="587" t="n"/>
      <c r="EE182" s="587" t="n"/>
      <c r="EF182" s="587" t="n"/>
      <c r="EG182" s="587" t="n"/>
      <c r="EH182" s="587" t="n"/>
      <c r="EI182" s="587" t="n"/>
      <c r="EJ182" s="587" t="n"/>
      <c r="EK182" s="587" t="n"/>
      <c r="EL182" s="587" t="n"/>
      <c r="EM182" s="587" t="n"/>
      <c r="EN182" s="587" t="n"/>
      <c r="EO182" s="587" t="n"/>
      <c r="EP182" s="587" t="n"/>
      <c r="EQ182" s="587" t="n"/>
      <c r="ER182" s="587" t="n"/>
      <c r="ES182" s="587" t="n"/>
      <c r="ET182" s="587" t="n"/>
      <c r="EU182" s="587" t="n"/>
      <c r="EV182" s="587" t="n"/>
      <c r="EW182" s="587" t="n"/>
      <c r="EX182" s="587" t="n"/>
      <c r="EY182" s="587" t="n"/>
      <c r="EZ182" s="587" t="n"/>
      <c r="FA182" s="587" t="n"/>
      <c r="FB182" s="587" t="n"/>
      <c r="FC182" s="587" t="n"/>
      <c r="FD182" s="587" t="n"/>
      <c r="FE182" s="587" t="n"/>
      <c r="FF182" s="587" t="n"/>
      <c r="FG182" s="587" t="n"/>
      <c r="FH182" s="587" t="n"/>
      <c r="FI182" s="587" t="n"/>
      <c r="FJ182" s="587" t="n"/>
      <c r="FK182" s="587" t="n"/>
      <c r="FL182" s="587" t="n"/>
      <c r="FM182" s="587" t="n"/>
      <c r="FN182" s="587" t="n"/>
      <c r="FO182" s="587" t="n"/>
      <c r="FP182" s="587" t="n"/>
      <c r="FQ182" s="587" t="n"/>
      <c r="FR182" s="587" t="n"/>
      <c r="FS182" s="587" t="n"/>
      <c r="FT182" s="587" t="n"/>
      <c r="FU182" s="587" t="n"/>
      <c r="FV182" s="587" t="n"/>
      <c r="FW182" s="587" t="n"/>
      <c r="FX182" s="587" t="n"/>
      <c r="FY182" s="587" t="n"/>
      <c r="FZ182" s="587" t="n"/>
      <c r="GA182" s="587" t="n"/>
    </row>
    <row r="183" customFormat="1" s="568">
      <c r="A183" s="86" t="n"/>
      <c r="B183" s="85" t="n"/>
      <c r="C183" s="84">
        <f>E183*D$5</f>
        <v/>
      </c>
      <c r="D183" s="68" t="n"/>
      <c r="E183" s="84">
        <f>SUM(G183:HT183)</f>
        <v/>
      </c>
      <c r="Q183" s="574" t="n"/>
      <c r="Z183" s="574" t="n"/>
      <c r="AA183" s="574" t="n"/>
      <c r="AB183" s="574" t="n"/>
      <c r="AC183" s="574" t="n"/>
      <c r="AD183" s="574" t="n"/>
      <c r="AE183" s="574" t="n"/>
      <c r="AF183" s="574" t="n"/>
      <c r="AH183" s="574" t="n"/>
      <c r="AJ183" s="574" t="n"/>
      <c r="CM183" s="587" t="n"/>
      <c r="CN183" s="587" t="n"/>
      <c r="CO183" s="587" t="n"/>
      <c r="CP183" s="587" t="n"/>
      <c r="CQ183" s="587" t="n"/>
      <c r="CR183" s="587" t="n"/>
      <c r="CS183" s="587" t="n"/>
      <c r="CT183" s="587" t="n"/>
      <c r="CU183" s="587" t="n"/>
      <c r="CV183" s="587" t="n"/>
      <c r="CW183" s="587" t="n"/>
      <c r="CX183" s="587" t="n"/>
      <c r="CY183" s="587" t="n"/>
      <c r="CZ183" s="587" t="n"/>
      <c r="DA183" s="587" t="n"/>
      <c r="DB183" s="587" t="n"/>
      <c r="DC183" s="587" t="n"/>
      <c r="DD183" s="587" t="n"/>
      <c r="DE183" s="587" t="n"/>
      <c r="DF183" s="587" t="n"/>
      <c r="DG183" s="587" t="n"/>
      <c r="DH183" s="587" t="n"/>
      <c r="DI183" s="587" t="n"/>
      <c r="DJ183" s="587" t="n"/>
      <c r="DK183" s="587" t="n"/>
      <c r="DL183" s="587" t="n"/>
      <c r="DM183" s="587" t="n"/>
      <c r="DN183" s="587" t="n"/>
      <c r="DO183" s="587" t="n"/>
      <c r="DP183" s="587" t="n"/>
      <c r="DQ183" s="587" t="n"/>
      <c r="DR183" s="587" t="n"/>
      <c r="DS183" s="587" t="n"/>
      <c r="DT183" s="587" t="n"/>
      <c r="DU183" s="587" t="n"/>
      <c r="DV183" s="587" t="n"/>
      <c r="DW183" s="587" t="n"/>
      <c r="DX183" s="587" t="n"/>
      <c r="DY183" s="587" t="n"/>
      <c r="DZ183" s="587" t="n"/>
      <c r="EA183" s="587" t="n"/>
      <c r="EB183" s="587" t="n"/>
      <c r="EC183" s="587" t="n"/>
      <c r="ED183" s="587" t="n"/>
      <c r="EE183" s="587" t="n"/>
      <c r="EF183" s="587" t="n"/>
      <c r="EG183" s="587" t="n"/>
      <c r="EH183" s="587" t="n"/>
      <c r="EI183" s="587" t="n"/>
      <c r="EJ183" s="587" t="n"/>
      <c r="EK183" s="587" t="n"/>
      <c r="EL183" s="587" t="n"/>
      <c r="EM183" s="587" t="n"/>
      <c r="EN183" s="587" t="n"/>
      <c r="EO183" s="587" t="n"/>
      <c r="EP183" s="587" t="n"/>
      <c r="EQ183" s="587" t="n"/>
      <c r="ER183" s="587" t="n"/>
      <c r="ES183" s="587" t="n"/>
      <c r="ET183" s="587" t="n"/>
      <c r="EU183" s="587" t="n"/>
      <c r="EV183" s="587" t="n"/>
      <c r="EW183" s="587" t="n"/>
      <c r="EX183" s="587" t="n"/>
      <c r="EY183" s="587" t="n"/>
      <c r="EZ183" s="587" t="n"/>
      <c r="FA183" s="587" t="n"/>
      <c r="FB183" s="587" t="n"/>
      <c r="FC183" s="587" t="n"/>
      <c r="FD183" s="587" t="n"/>
      <c r="FE183" s="587" t="n"/>
      <c r="FF183" s="587" t="n"/>
      <c r="FG183" s="587" t="n"/>
      <c r="FH183" s="587" t="n"/>
      <c r="FI183" s="587" t="n"/>
      <c r="FJ183" s="587" t="n"/>
      <c r="FK183" s="587" t="n"/>
      <c r="FL183" s="587" t="n"/>
      <c r="FM183" s="587" t="n"/>
      <c r="FN183" s="587" t="n"/>
      <c r="FO183" s="587" t="n"/>
      <c r="FP183" s="587" t="n"/>
      <c r="FQ183" s="587" t="n"/>
      <c r="FR183" s="587" t="n"/>
      <c r="FS183" s="587" t="n"/>
      <c r="FT183" s="587" t="n"/>
      <c r="FU183" s="587" t="n"/>
      <c r="FV183" s="587" t="n"/>
      <c r="FW183" s="587" t="n"/>
      <c r="FX183" s="587" t="n"/>
      <c r="FY183" s="587" t="n"/>
      <c r="FZ183" s="587" t="n"/>
      <c r="GA183" s="587" t="n"/>
    </row>
    <row r="184" customFormat="1" s="568">
      <c r="A184" s="86" t="n"/>
      <c r="B184" s="85" t="n"/>
      <c r="C184" s="84">
        <f>E184*D$5</f>
        <v/>
      </c>
      <c r="D184" s="68" t="n"/>
      <c r="E184" s="84">
        <f>SUM(G184:HT184)</f>
        <v/>
      </c>
      <c r="Q184" s="574" t="n"/>
      <c r="Z184" s="574" t="n"/>
      <c r="AA184" s="574" t="n"/>
      <c r="AB184" s="574" t="n"/>
      <c r="AC184" s="574" t="n"/>
      <c r="AD184" s="574" t="n"/>
      <c r="AE184" s="574" t="n"/>
      <c r="AF184" s="574" t="n"/>
      <c r="AH184" s="574" t="n"/>
      <c r="AJ184" s="574" t="n"/>
      <c r="CM184" s="587" t="n"/>
      <c r="CN184" s="587" t="n"/>
      <c r="CO184" s="587" t="n"/>
      <c r="CP184" s="587" t="n"/>
      <c r="CQ184" s="587" t="n"/>
      <c r="CR184" s="587" t="n"/>
      <c r="CS184" s="587" t="n"/>
      <c r="CT184" s="587" t="n"/>
      <c r="CU184" s="587" t="n"/>
      <c r="CV184" s="587" t="n"/>
      <c r="CW184" s="587" t="n"/>
      <c r="CX184" s="587" t="n"/>
      <c r="CY184" s="587" t="n"/>
      <c r="CZ184" s="587" t="n"/>
      <c r="DA184" s="587" t="n"/>
      <c r="DB184" s="587" t="n"/>
      <c r="DC184" s="587" t="n"/>
      <c r="DD184" s="587" t="n"/>
      <c r="DE184" s="587" t="n"/>
      <c r="DF184" s="587" t="n"/>
      <c r="DG184" s="587" t="n"/>
      <c r="DH184" s="587" t="n"/>
      <c r="DI184" s="587" t="n"/>
      <c r="DJ184" s="587" t="n"/>
      <c r="DK184" s="587" t="n"/>
      <c r="DL184" s="587" t="n"/>
      <c r="DM184" s="587" t="n"/>
      <c r="DN184" s="587" t="n"/>
      <c r="DO184" s="587" t="n"/>
      <c r="DP184" s="587" t="n"/>
      <c r="DQ184" s="587" t="n"/>
      <c r="DR184" s="587" t="n"/>
      <c r="DS184" s="587" t="n"/>
      <c r="DT184" s="587" t="n"/>
      <c r="DU184" s="587" t="n"/>
      <c r="DV184" s="587" t="n"/>
      <c r="DW184" s="587" t="n"/>
      <c r="DX184" s="587" t="n"/>
      <c r="DY184" s="587" t="n"/>
      <c r="DZ184" s="587" t="n"/>
      <c r="EA184" s="587" t="n"/>
      <c r="EB184" s="587" t="n"/>
      <c r="EC184" s="587" t="n"/>
      <c r="ED184" s="587" t="n"/>
      <c r="EE184" s="587" t="n"/>
      <c r="EF184" s="587" t="n"/>
      <c r="EG184" s="587" t="n"/>
      <c r="EH184" s="587" t="n"/>
      <c r="EI184" s="587" t="n"/>
      <c r="EJ184" s="587" t="n"/>
      <c r="EK184" s="587" t="n"/>
      <c r="EL184" s="587" t="n"/>
      <c r="EM184" s="587" t="n"/>
      <c r="EN184" s="587" t="n"/>
      <c r="EO184" s="587" t="n"/>
      <c r="EP184" s="587" t="n"/>
      <c r="EQ184" s="587" t="n"/>
      <c r="ER184" s="587" t="n"/>
      <c r="ES184" s="587" t="n"/>
      <c r="ET184" s="587" t="n"/>
      <c r="EU184" s="587" t="n"/>
      <c r="EV184" s="587" t="n"/>
      <c r="EW184" s="587" t="n"/>
      <c r="EX184" s="587" t="n"/>
      <c r="EY184" s="587" t="n"/>
      <c r="EZ184" s="587" t="n"/>
      <c r="FA184" s="587" t="n"/>
      <c r="FB184" s="587" t="n"/>
      <c r="FC184" s="587" t="n"/>
      <c r="FD184" s="587" t="n"/>
      <c r="FE184" s="587" t="n"/>
      <c r="FF184" s="587" t="n"/>
      <c r="FG184" s="587" t="n"/>
      <c r="FH184" s="587" t="n"/>
      <c r="FI184" s="587" t="n"/>
      <c r="FJ184" s="587" t="n"/>
      <c r="FK184" s="587" t="n"/>
      <c r="FL184" s="587" t="n"/>
      <c r="FM184" s="587" t="n"/>
      <c r="FN184" s="587" t="n"/>
      <c r="FO184" s="587" t="n"/>
      <c r="FP184" s="587" t="n"/>
      <c r="FQ184" s="587" t="n"/>
      <c r="FR184" s="587" t="n"/>
      <c r="FS184" s="587" t="n"/>
      <c r="FT184" s="587" t="n"/>
      <c r="FU184" s="587" t="n"/>
      <c r="FV184" s="587" t="n"/>
      <c r="FW184" s="587" t="n"/>
      <c r="FX184" s="587" t="n"/>
      <c r="FY184" s="587" t="n"/>
      <c r="FZ184" s="587" t="n"/>
      <c r="GA184" s="587" t="n"/>
    </row>
    <row r="185" customFormat="1" s="568">
      <c r="A185" s="86" t="n"/>
      <c r="B185" s="85" t="n"/>
      <c r="C185" s="84">
        <f>E185*D$5</f>
        <v/>
      </c>
      <c r="D185" s="68" t="n"/>
      <c r="E185" s="84">
        <f>SUM(G185:HT185)</f>
        <v/>
      </c>
      <c r="Q185" s="574" t="n"/>
      <c r="Z185" s="574" t="n"/>
      <c r="AA185" s="574" t="n"/>
      <c r="AB185" s="574" t="n"/>
      <c r="AC185" s="574" t="n"/>
      <c r="AD185" s="574" t="n"/>
      <c r="AE185" s="574" t="n"/>
      <c r="AF185" s="574" t="n"/>
      <c r="AH185" s="574" t="n"/>
      <c r="AJ185" s="574" t="n"/>
      <c r="CM185" s="587" t="n"/>
      <c r="CN185" s="587" t="n"/>
      <c r="CO185" s="587" t="n"/>
      <c r="CP185" s="587" t="n"/>
      <c r="CQ185" s="587" t="n"/>
      <c r="CR185" s="587" t="n"/>
      <c r="CS185" s="587" t="n"/>
      <c r="CT185" s="587" t="n"/>
      <c r="CU185" s="587" t="n"/>
      <c r="CV185" s="587" t="n"/>
      <c r="CW185" s="587" t="n"/>
      <c r="CX185" s="587" t="n"/>
      <c r="CY185" s="587" t="n"/>
      <c r="CZ185" s="587" t="n"/>
      <c r="DA185" s="587" t="n"/>
      <c r="DB185" s="587" t="n"/>
      <c r="DC185" s="587" t="n"/>
      <c r="DD185" s="587" t="n"/>
      <c r="DE185" s="587" t="n"/>
      <c r="DF185" s="587" t="n"/>
      <c r="DG185" s="587" t="n"/>
      <c r="DH185" s="587" t="n"/>
      <c r="DI185" s="587" t="n"/>
      <c r="DJ185" s="587" t="n"/>
      <c r="DK185" s="587" t="n"/>
      <c r="DL185" s="587" t="n"/>
      <c r="DM185" s="587" t="n"/>
      <c r="DN185" s="587" t="n"/>
      <c r="DO185" s="587" t="n"/>
      <c r="DP185" s="587" t="n"/>
      <c r="DQ185" s="587" t="n"/>
      <c r="DR185" s="587" t="n"/>
      <c r="DS185" s="587" t="n"/>
      <c r="DT185" s="587" t="n"/>
      <c r="DU185" s="587" t="n"/>
      <c r="DV185" s="587" t="n"/>
      <c r="DW185" s="587" t="n"/>
      <c r="DX185" s="587" t="n"/>
      <c r="DY185" s="587" t="n"/>
      <c r="DZ185" s="587" t="n"/>
      <c r="EA185" s="587" t="n"/>
      <c r="EB185" s="587" t="n"/>
      <c r="EC185" s="587" t="n"/>
      <c r="ED185" s="587" t="n"/>
      <c r="EE185" s="587" t="n"/>
      <c r="EF185" s="587" t="n"/>
      <c r="EG185" s="587" t="n"/>
      <c r="EH185" s="587" t="n"/>
      <c r="EI185" s="587" t="n"/>
      <c r="EJ185" s="587" t="n"/>
      <c r="EK185" s="587" t="n"/>
      <c r="EL185" s="587" t="n"/>
      <c r="EM185" s="587" t="n"/>
      <c r="EN185" s="587" t="n"/>
      <c r="EO185" s="587" t="n"/>
      <c r="EP185" s="587" t="n"/>
      <c r="EQ185" s="587" t="n"/>
      <c r="ER185" s="587" t="n"/>
      <c r="ES185" s="587" t="n"/>
      <c r="ET185" s="587" t="n"/>
      <c r="EU185" s="587" t="n"/>
      <c r="EV185" s="587" t="n"/>
      <c r="EW185" s="587" t="n"/>
      <c r="EX185" s="587" t="n"/>
      <c r="EY185" s="587" t="n"/>
      <c r="EZ185" s="587" t="n"/>
      <c r="FA185" s="587" t="n"/>
      <c r="FB185" s="587" t="n"/>
      <c r="FC185" s="587" t="n"/>
      <c r="FD185" s="587" t="n"/>
      <c r="FE185" s="587" t="n"/>
      <c r="FF185" s="587" t="n"/>
      <c r="FG185" s="587" t="n"/>
      <c r="FH185" s="587" t="n"/>
      <c r="FI185" s="587" t="n"/>
      <c r="FJ185" s="587" t="n"/>
      <c r="FK185" s="587" t="n"/>
      <c r="FL185" s="587" t="n"/>
      <c r="FM185" s="587" t="n"/>
      <c r="FN185" s="587" t="n"/>
      <c r="FO185" s="587" t="n"/>
      <c r="FP185" s="587" t="n"/>
      <c r="FQ185" s="587" t="n"/>
      <c r="FR185" s="587" t="n"/>
      <c r="FS185" s="587" t="n"/>
      <c r="FT185" s="587" t="n"/>
      <c r="FU185" s="587" t="n"/>
      <c r="FV185" s="587" t="n"/>
      <c r="FW185" s="587" t="n"/>
      <c r="FX185" s="587" t="n"/>
      <c r="FY185" s="587" t="n"/>
      <c r="FZ185" s="587" t="n"/>
      <c r="GA185" s="587" t="n"/>
    </row>
    <row r="186" customFormat="1" s="568">
      <c r="A186" s="86" t="n"/>
      <c r="B186" s="85" t="n"/>
      <c r="C186" s="84">
        <f>E186*D$5</f>
        <v/>
      </c>
      <c r="D186" s="68" t="n"/>
      <c r="E186" s="84">
        <f>SUM(G186:HT186)</f>
        <v/>
      </c>
      <c r="Q186" s="574" t="n"/>
      <c r="Z186" s="574" t="n"/>
      <c r="AA186" s="574" t="n"/>
      <c r="AB186" s="574" t="n"/>
      <c r="AC186" s="574" t="n"/>
      <c r="AD186" s="574" t="n"/>
      <c r="AE186" s="574" t="n"/>
      <c r="AF186" s="574" t="n"/>
      <c r="AH186" s="574" t="n"/>
      <c r="AJ186" s="574" t="n"/>
      <c r="CM186" s="587" t="n"/>
      <c r="CN186" s="587" t="n"/>
      <c r="CO186" s="587" t="n"/>
      <c r="CP186" s="587" t="n"/>
      <c r="CQ186" s="587" t="n"/>
      <c r="CR186" s="587" t="n"/>
      <c r="CS186" s="587" t="n"/>
      <c r="CT186" s="587" t="n"/>
      <c r="CU186" s="587" t="n"/>
      <c r="CV186" s="587" t="n"/>
      <c r="CW186" s="587" t="n"/>
      <c r="CX186" s="587" t="n"/>
      <c r="CY186" s="587" t="n"/>
      <c r="CZ186" s="587" t="n"/>
      <c r="DA186" s="587" t="n"/>
      <c r="DB186" s="587" t="n"/>
      <c r="DC186" s="587" t="n"/>
      <c r="DD186" s="587" t="n"/>
      <c r="DE186" s="587" t="n"/>
      <c r="DF186" s="587" t="n"/>
      <c r="DG186" s="587" t="n"/>
      <c r="DH186" s="587" t="n"/>
      <c r="DI186" s="587" t="n"/>
      <c r="DJ186" s="587" t="n"/>
      <c r="DK186" s="587" t="n"/>
      <c r="DL186" s="587" t="n"/>
      <c r="DM186" s="587" t="n"/>
      <c r="DN186" s="587" t="n"/>
      <c r="DO186" s="587" t="n"/>
      <c r="DP186" s="587" t="n"/>
      <c r="DQ186" s="587" t="n"/>
      <c r="DR186" s="587" t="n"/>
      <c r="DS186" s="587" t="n"/>
      <c r="DT186" s="587" t="n"/>
      <c r="DU186" s="587" t="n"/>
      <c r="DV186" s="587" t="n"/>
      <c r="DW186" s="587" t="n"/>
      <c r="DX186" s="587" t="n"/>
      <c r="DY186" s="587" t="n"/>
      <c r="DZ186" s="587" t="n"/>
      <c r="EA186" s="587" t="n"/>
      <c r="EB186" s="587" t="n"/>
      <c r="EC186" s="587" t="n"/>
      <c r="ED186" s="587" t="n"/>
      <c r="EE186" s="587" t="n"/>
      <c r="EF186" s="587" t="n"/>
      <c r="EG186" s="587" t="n"/>
      <c r="EH186" s="587" t="n"/>
      <c r="EI186" s="587" t="n"/>
      <c r="EJ186" s="587" t="n"/>
      <c r="EK186" s="587" t="n"/>
      <c r="EL186" s="587" t="n"/>
      <c r="EM186" s="587" t="n"/>
      <c r="EN186" s="587" t="n"/>
      <c r="EO186" s="587" t="n"/>
      <c r="EP186" s="587" t="n"/>
      <c r="EQ186" s="587" t="n"/>
      <c r="ER186" s="587" t="n"/>
      <c r="ES186" s="587" t="n"/>
      <c r="ET186" s="587" t="n"/>
      <c r="EU186" s="587" t="n"/>
      <c r="EV186" s="587" t="n"/>
      <c r="EW186" s="587" t="n"/>
      <c r="EX186" s="587" t="n"/>
      <c r="EY186" s="587" t="n"/>
      <c r="EZ186" s="587" t="n"/>
      <c r="FA186" s="587" t="n"/>
      <c r="FB186" s="587" t="n"/>
      <c r="FC186" s="587" t="n"/>
      <c r="FD186" s="587" t="n"/>
      <c r="FE186" s="587" t="n"/>
      <c r="FF186" s="587" t="n"/>
      <c r="FG186" s="587" t="n"/>
      <c r="FH186" s="587" t="n"/>
      <c r="FI186" s="587" t="n"/>
      <c r="FJ186" s="587" t="n"/>
      <c r="FK186" s="587" t="n"/>
      <c r="FL186" s="587" t="n"/>
      <c r="FM186" s="587" t="n"/>
      <c r="FN186" s="587" t="n"/>
      <c r="FO186" s="587" t="n"/>
      <c r="FP186" s="587" t="n"/>
      <c r="FQ186" s="587" t="n"/>
      <c r="FR186" s="587" t="n"/>
      <c r="FS186" s="587" t="n"/>
      <c r="FT186" s="587" t="n"/>
      <c r="FU186" s="587" t="n"/>
      <c r="FV186" s="587" t="n"/>
      <c r="FW186" s="587" t="n"/>
      <c r="FX186" s="587" t="n"/>
      <c r="FY186" s="587" t="n"/>
      <c r="FZ186" s="587" t="n"/>
      <c r="GA186" s="587" t="n"/>
    </row>
    <row r="187" customFormat="1" s="568">
      <c r="A187" s="86" t="n"/>
      <c r="B187" s="85" t="n"/>
      <c r="C187" s="84">
        <f>E187*D$5</f>
        <v/>
      </c>
      <c r="D187" s="68" t="n"/>
      <c r="E187" s="84">
        <f>SUM(G187:HT187)</f>
        <v/>
      </c>
      <c r="Q187" s="574" t="n"/>
      <c r="Z187" s="574" t="n"/>
      <c r="AA187" s="574" t="n"/>
      <c r="AB187" s="574" t="n"/>
      <c r="AC187" s="574" t="n"/>
      <c r="AD187" s="574" t="n"/>
      <c r="AE187" s="574" t="n"/>
      <c r="AF187" s="574" t="n"/>
      <c r="AH187" s="574" t="n"/>
      <c r="AJ187" s="574" t="n"/>
      <c r="CM187" s="587" t="n"/>
      <c r="CN187" s="587" t="n"/>
      <c r="CO187" s="587" t="n"/>
      <c r="CP187" s="587" t="n"/>
      <c r="CQ187" s="587" t="n"/>
      <c r="CR187" s="587" t="n"/>
      <c r="CS187" s="587" t="n"/>
      <c r="CT187" s="587" t="n"/>
      <c r="CU187" s="587" t="n"/>
      <c r="CV187" s="587" t="n"/>
      <c r="CW187" s="587" t="n"/>
      <c r="CX187" s="587" t="n"/>
      <c r="CY187" s="587" t="n"/>
      <c r="CZ187" s="587" t="n"/>
      <c r="DA187" s="587" t="n"/>
      <c r="DB187" s="587" t="n"/>
      <c r="DC187" s="587" t="n"/>
      <c r="DD187" s="587" t="n"/>
      <c r="DE187" s="587" t="n"/>
      <c r="DF187" s="587" t="n"/>
      <c r="DG187" s="587" t="n"/>
      <c r="DH187" s="587" t="n"/>
      <c r="DI187" s="587" t="n"/>
      <c r="DJ187" s="587" t="n"/>
      <c r="DK187" s="587" t="n"/>
      <c r="DL187" s="587" t="n"/>
      <c r="DM187" s="587" t="n"/>
      <c r="DN187" s="587" t="n"/>
      <c r="DO187" s="587" t="n"/>
      <c r="DP187" s="587" t="n"/>
      <c r="DQ187" s="587" t="n"/>
      <c r="DR187" s="587" t="n"/>
      <c r="DS187" s="587" t="n"/>
      <c r="DT187" s="587" t="n"/>
      <c r="DU187" s="587" t="n"/>
      <c r="DV187" s="587" t="n"/>
      <c r="DW187" s="587" t="n"/>
      <c r="DX187" s="587" t="n"/>
      <c r="DY187" s="587" t="n"/>
      <c r="DZ187" s="587" t="n"/>
      <c r="EA187" s="587" t="n"/>
      <c r="EB187" s="587" t="n"/>
      <c r="EC187" s="587" t="n"/>
      <c r="ED187" s="587" t="n"/>
      <c r="EE187" s="587" t="n"/>
      <c r="EF187" s="587" t="n"/>
      <c r="EG187" s="587" t="n"/>
      <c r="EH187" s="587" t="n"/>
      <c r="EI187" s="587" t="n"/>
      <c r="EJ187" s="587" t="n"/>
      <c r="EK187" s="587" t="n"/>
      <c r="EL187" s="587" t="n"/>
      <c r="EM187" s="587" t="n"/>
      <c r="EN187" s="587" t="n"/>
      <c r="EO187" s="587" t="n"/>
      <c r="EP187" s="587" t="n"/>
      <c r="EQ187" s="587" t="n"/>
      <c r="ER187" s="587" t="n"/>
      <c r="ES187" s="587" t="n"/>
      <c r="ET187" s="587" t="n"/>
      <c r="EU187" s="587" t="n"/>
      <c r="EV187" s="587" t="n"/>
      <c r="EW187" s="587" t="n"/>
      <c r="EX187" s="587" t="n"/>
      <c r="EY187" s="587" t="n"/>
      <c r="EZ187" s="587" t="n"/>
      <c r="FA187" s="587" t="n"/>
      <c r="FB187" s="587" t="n"/>
      <c r="FC187" s="587" t="n"/>
      <c r="FD187" s="587" t="n"/>
      <c r="FE187" s="587" t="n"/>
      <c r="FF187" s="587" t="n"/>
      <c r="FG187" s="587" t="n"/>
      <c r="FH187" s="587" t="n"/>
      <c r="FI187" s="587" t="n"/>
      <c r="FJ187" s="587" t="n"/>
      <c r="FK187" s="587" t="n"/>
      <c r="FL187" s="587" t="n"/>
      <c r="FM187" s="587" t="n"/>
      <c r="FN187" s="587" t="n"/>
      <c r="FO187" s="587" t="n"/>
      <c r="FP187" s="587" t="n"/>
      <c r="FQ187" s="587" t="n"/>
      <c r="FR187" s="587" t="n"/>
      <c r="FS187" s="587" t="n"/>
      <c r="FT187" s="587" t="n"/>
      <c r="FU187" s="587" t="n"/>
      <c r="FV187" s="587" t="n"/>
      <c r="FW187" s="587" t="n"/>
      <c r="FX187" s="587" t="n"/>
      <c r="FY187" s="587" t="n"/>
      <c r="FZ187" s="587" t="n"/>
      <c r="GA187" s="587" t="n"/>
    </row>
    <row r="188" customFormat="1" s="568">
      <c r="A188" s="86" t="n"/>
      <c r="B188" s="85" t="n"/>
      <c r="C188" s="84">
        <f>E188*D$5</f>
        <v/>
      </c>
      <c r="D188" s="68" t="n"/>
      <c r="E188" s="84">
        <f>SUM(G188:HT188)</f>
        <v/>
      </c>
      <c r="Q188" s="574" t="n"/>
      <c r="Z188" s="574" t="n"/>
      <c r="AA188" s="574" t="n"/>
      <c r="AB188" s="574" t="n"/>
      <c r="AC188" s="574" t="n"/>
      <c r="AD188" s="574" t="n"/>
      <c r="AE188" s="574" t="n"/>
      <c r="AF188" s="574" t="n"/>
      <c r="AH188" s="574" t="n"/>
      <c r="AJ188" s="574" t="n"/>
      <c r="CM188" s="587" t="n"/>
      <c r="CN188" s="587" t="n"/>
      <c r="CO188" s="587" t="n"/>
      <c r="CP188" s="587" t="n"/>
      <c r="CQ188" s="587" t="n"/>
      <c r="CR188" s="587" t="n"/>
      <c r="CS188" s="587" t="n"/>
      <c r="CT188" s="587" t="n"/>
      <c r="CU188" s="587" t="n"/>
      <c r="CV188" s="587" t="n"/>
      <c r="CW188" s="587" t="n"/>
      <c r="CX188" s="587" t="n"/>
      <c r="CY188" s="587" t="n"/>
      <c r="CZ188" s="587" t="n"/>
      <c r="DA188" s="587" t="n"/>
      <c r="DB188" s="587" t="n"/>
      <c r="DC188" s="587" t="n"/>
      <c r="DD188" s="587" t="n"/>
      <c r="DE188" s="587" t="n"/>
      <c r="DF188" s="587" t="n"/>
      <c r="DG188" s="587" t="n"/>
      <c r="DH188" s="587" t="n"/>
      <c r="DI188" s="587" t="n"/>
      <c r="DJ188" s="587" t="n"/>
      <c r="DK188" s="587" t="n"/>
      <c r="DL188" s="587" t="n"/>
      <c r="DM188" s="587" t="n"/>
      <c r="DN188" s="587" t="n"/>
      <c r="DO188" s="587" t="n"/>
      <c r="DP188" s="587" t="n"/>
      <c r="DQ188" s="587" t="n"/>
      <c r="DR188" s="587" t="n"/>
      <c r="DS188" s="587" t="n"/>
      <c r="DT188" s="587" t="n"/>
      <c r="DU188" s="587" t="n"/>
      <c r="DV188" s="587" t="n"/>
      <c r="DW188" s="587" t="n"/>
      <c r="DX188" s="587" t="n"/>
      <c r="DY188" s="587" t="n"/>
      <c r="DZ188" s="587" t="n"/>
      <c r="EA188" s="587" t="n"/>
      <c r="EB188" s="587" t="n"/>
      <c r="EC188" s="587" t="n"/>
      <c r="ED188" s="587" t="n"/>
      <c r="EE188" s="587" t="n"/>
      <c r="EF188" s="587" t="n"/>
      <c r="EG188" s="587" t="n"/>
      <c r="EH188" s="587" t="n"/>
      <c r="EI188" s="587" t="n"/>
      <c r="EJ188" s="587" t="n"/>
      <c r="EK188" s="587" t="n"/>
      <c r="EL188" s="587" t="n"/>
      <c r="EM188" s="587" t="n"/>
      <c r="EN188" s="587" t="n"/>
      <c r="EO188" s="587" t="n"/>
      <c r="EP188" s="587" t="n"/>
      <c r="EQ188" s="587" t="n"/>
      <c r="ER188" s="587" t="n"/>
      <c r="ES188" s="587" t="n"/>
      <c r="ET188" s="587" t="n"/>
      <c r="EU188" s="587" t="n"/>
      <c r="EV188" s="587" t="n"/>
      <c r="EW188" s="587" t="n"/>
      <c r="EX188" s="587" t="n"/>
      <c r="EY188" s="587" t="n"/>
      <c r="EZ188" s="587" t="n"/>
      <c r="FA188" s="587" t="n"/>
      <c r="FB188" s="587" t="n"/>
      <c r="FC188" s="587" t="n"/>
      <c r="FD188" s="587" t="n"/>
      <c r="FE188" s="587" t="n"/>
      <c r="FF188" s="587" t="n"/>
      <c r="FG188" s="587" t="n"/>
      <c r="FH188" s="587" t="n"/>
      <c r="FI188" s="587" t="n"/>
      <c r="FJ188" s="587" t="n"/>
      <c r="FK188" s="587" t="n"/>
      <c r="FL188" s="587" t="n"/>
      <c r="FM188" s="587" t="n"/>
      <c r="FN188" s="587" t="n"/>
      <c r="FO188" s="587" t="n"/>
      <c r="FP188" s="587" t="n"/>
      <c r="FQ188" s="587" t="n"/>
      <c r="FR188" s="587" t="n"/>
      <c r="FS188" s="587" t="n"/>
      <c r="FT188" s="587" t="n"/>
      <c r="FU188" s="587" t="n"/>
      <c r="FV188" s="587" t="n"/>
      <c r="FW188" s="587" t="n"/>
      <c r="FX188" s="587" t="n"/>
      <c r="FY188" s="587" t="n"/>
      <c r="FZ188" s="587" t="n"/>
      <c r="GA188" s="587" t="n"/>
    </row>
    <row r="189" customFormat="1" s="568">
      <c r="A189" s="86" t="n"/>
      <c r="B189" s="85" t="n"/>
      <c r="C189" s="84">
        <f>E189*D$5</f>
        <v/>
      </c>
      <c r="D189" s="68" t="n"/>
      <c r="E189" s="84">
        <f>SUM(G189:HT189)</f>
        <v/>
      </c>
      <c r="Q189" s="574" t="n"/>
      <c r="Z189" s="574" t="n"/>
      <c r="AA189" s="574" t="n"/>
      <c r="AB189" s="574" t="n"/>
      <c r="AC189" s="574" t="n"/>
      <c r="AD189" s="574" t="n"/>
      <c r="AE189" s="574" t="n"/>
      <c r="AF189" s="574" t="n"/>
      <c r="AH189" s="574" t="n"/>
      <c r="AJ189" s="574" t="n"/>
      <c r="CM189" s="587" t="n"/>
      <c r="CN189" s="587" t="n"/>
      <c r="CO189" s="587" t="n"/>
      <c r="CP189" s="587" t="n"/>
      <c r="CQ189" s="587" t="n"/>
      <c r="CR189" s="587" t="n"/>
      <c r="CS189" s="587" t="n"/>
      <c r="CT189" s="587" t="n"/>
      <c r="CU189" s="587" t="n"/>
      <c r="CV189" s="587" t="n"/>
      <c r="CW189" s="587" t="n"/>
      <c r="CX189" s="587" t="n"/>
      <c r="CY189" s="587" t="n"/>
      <c r="CZ189" s="587" t="n"/>
      <c r="DA189" s="587" t="n"/>
      <c r="DB189" s="587" t="n"/>
      <c r="DC189" s="587" t="n"/>
      <c r="DD189" s="587" t="n"/>
      <c r="DE189" s="587" t="n"/>
      <c r="DF189" s="587" t="n"/>
      <c r="DG189" s="587" t="n"/>
      <c r="DH189" s="587" t="n"/>
      <c r="DI189" s="587" t="n"/>
      <c r="DJ189" s="587" t="n"/>
      <c r="DK189" s="587" t="n"/>
      <c r="DL189" s="587" t="n"/>
      <c r="DM189" s="587" t="n"/>
      <c r="DN189" s="587" t="n"/>
      <c r="DO189" s="587" t="n"/>
      <c r="DP189" s="587" t="n"/>
      <c r="DQ189" s="587" t="n"/>
      <c r="DR189" s="587" t="n"/>
      <c r="DS189" s="587" t="n"/>
      <c r="DT189" s="587" t="n"/>
      <c r="DU189" s="587" t="n"/>
      <c r="DV189" s="587" t="n"/>
      <c r="DW189" s="587" t="n"/>
      <c r="DX189" s="587" t="n"/>
      <c r="DY189" s="587" t="n"/>
      <c r="DZ189" s="587" t="n"/>
      <c r="EA189" s="587" t="n"/>
      <c r="EB189" s="587" t="n"/>
      <c r="EC189" s="587" t="n"/>
      <c r="ED189" s="587" t="n"/>
      <c r="EE189" s="587" t="n"/>
      <c r="EF189" s="587" t="n"/>
      <c r="EG189" s="587" t="n"/>
      <c r="EH189" s="587" t="n"/>
      <c r="EI189" s="587" t="n"/>
      <c r="EJ189" s="587" t="n"/>
      <c r="EK189" s="587" t="n"/>
      <c r="EL189" s="587" t="n"/>
      <c r="EM189" s="587" t="n"/>
      <c r="EN189" s="587" t="n"/>
      <c r="EO189" s="587" t="n"/>
      <c r="EP189" s="587" t="n"/>
      <c r="EQ189" s="587" t="n"/>
      <c r="ER189" s="587" t="n"/>
      <c r="ES189" s="587" t="n"/>
      <c r="ET189" s="587" t="n"/>
      <c r="EU189" s="587" t="n"/>
      <c r="EV189" s="587" t="n"/>
      <c r="EW189" s="587" t="n"/>
      <c r="EX189" s="587" t="n"/>
      <c r="EY189" s="587" t="n"/>
      <c r="EZ189" s="587" t="n"/>
      <c r="FA189" s="587" t="n"/>
      <c r="FB189" s="587" t="n"/>
      <c r="FC189" s="587" t="n"/>
      <c r="FD189" s="587" t="n"/>
      <c r="FE189" s="587" t="n"/>
      <c r="FF189" s="587" t="n"/>
      <c r="FG189" s="587" t="n"/>
      <c r="FH189" s="587" t="n"/>
      <c r="FI189" s="587" t="n"/>
      <c r="FJ189" s="587" t="n"/>
      <c r="FK189" s="587" t="n"/>
      <c r="FL189" s="587" t="n"/>
      <c r="FM189" s="587" t="n"/>
      <c r="FN189" s="587" t="n"/>
      <c r="FO189" s="587" t="n"/>
      <c r="FP189" s="587" t="n"/>
      <c r="FQ189" s="587" t="n"/>
      <c r="FR189" s="587" t="n"/>
      <c r="FS189" s="587" t="n"/>
      <c r="FT189" s="587" t="n"/>
      <c r="FU189" s="587" t="n"/>
      <c r="FV189" s="587" t="n"/>
      <c r="FW189" s="587" t="n"/>
      <c r="FX189" s="587" t="n"/>
      <c r="FY189" s="587" t="n"/>
      <c r="FZ189" s="587" t="n"/>
      <c r="GA189" s="587" t="n"/>
    </row>
    <row r="190" customFormat="1" s="568">
      <c r="A190" s="86" t="n"/>
      <c r="B190" s="85" t="n"/>
      <c r="C190" s="84">
        <f>E190*D$5</f>
        <v/>
      </c>
      <c r="D190" s="68" t="n"/>
      <c r="E190" s="84">
        <f>SUM(G190:HT190)</f>
        <v/>
      </c>
      <c r="Q190" s="574" t="n"/>
      <c r="Z190" s="574" t="n"/>
      <c r="AA190" s="574" t="n"/>
      <c r="AB190" s="574" t="n"/>
      <c r="AC190" s="574" t="n"/>
      <c r="AD190" s="574" t="n"/>
      <c r="AE190" s="574" t="n"/>
      <c r="AF190" s="574" t="n"/>
      <c r="AH190" s="574" t="n"/>
      <c r="AJ190" s="574" t="n"/>
      <c r="CM190" s="587" t="n"/>
      <c r="CN190" s="587" t="n"/>
      <c r="CO190" s="587" t="n"/>
      <c r="CP190" s="587" t="n"/>
      <c r="CQ190" s="587" t="n"/>
      <c r="CR190" s="587" t="n"/>
      <c r="CS190" s="587" t="n"/>
      <c r="CT190" s="587" t="n"/>
      <c r="CU190" s="587" t="n"/>
      <c r="CV190" s="587" t="n"/>
      <c r="CW190" s="587" t="n"/>
      <c r="CX190" s="587" t="n"/>
      <c r="CY190" s="587" t="n"/>
      <c r="CZ190" s="587" t="n"/>
      <c r="DA190" s="587" t="n"/>
      <c r="DB190" s="587" t="n"/>
      <c r="DC190" s="587" t="n"/>
      <c r="DD190" s="587" t="n"/>
      <c r="DE190" s="587" t="n"/>
      <c r="DF190" s="587" t="n"/>
      <c r="DG190" s="587" t="n"/>
      <c r="DH190" s="587" t="n"/>
      <c r="DI190" s="587" t="n"/>
      <c r="DJ190" s="587" t="n"/>
      <c r="DK190" s="587" t="n"/>
      <c r="DL190" s="587" t="n"/>
      <c r="DM190" s="587" t="n"/>
      <c r="DN190" s="587" t="n"/>
      <c r="DO190" s="587" t="n"/>
      <c r="DP190" s="587" t="n"/>
      <c r="DQ190" s="587" t="n"/>
      <c r="DR190" s="587" t="n"/>
      <c r="DS190" s="587" t="n"/>
      <c r="DT190" s="587" t="n"/>
      <c r="DU190" s="587" t="n"/>
      <c r="DV190" s="587" t="n"/>
      <c r="DW190" s="587" t="n"/>
      <c r="DX190" s="587" t="n"/>
      <c r="DY190" s="587" t="n"/>
      <c r="DZ190" s="587" t="n"/>
      <c r="EA190" s="587" t="n"/>
      <c r="EB190" s="587" t="n"/>
      <c r="EC190" s="587" t="n"/>
      <c r="ED190" s="587" t="n"/>
      <c r="EE190" s="587" t="n"/>
      <c r="EF190" s="587" t="n"/>
      <c r="EG190" s="587" t="n"/>
      <c r="EH190" s="587" t="n"/>
      <c r="EI190" s="587" t="n"/>
      <c r="EJ190" s="587" t="n"/>
      <c r="EK190" s="587" t="n"/>
      <c r="EL190" s="587" t="n"/>
      <c r="EM190" s="587" t="n"/>
      <c r="EN190" s="587" t="n"/>
      <c r="EO190" s="587" t="n"/>
      <c r="EP190" s="587" t="n"/>
      <c r="EQ190" s="587" t="n"/>
      <c r="ER190" s="587" t="n"/>
      <c r="ES190" s="587" t="n"/>
      <c r="ET190" s="587" t="n"/>
      <c r="EU190" s="587" t="n"/>
      <c r="EV190" s="587" t="n"/>
      <c r="EW190" s="587" t="n"/>
      <c r="EX190" s="587" t="n"/>
      <c r="EY190" s="587" t="n"/>
      <c r="EZ190" s="587" t="n"/>
      <c r="FA190" s="587" t="n"/>
      <c r="FB190" s="587" t="n"/>
      <c r="FC190" s="587" t="n"/>
      <c r="FD190" s="587" t="n"/>
      <c r="FE190" s="587" t="n"/>
      <c r="FF190" s="587" t="n"/>
      <c r="FG190" s="587" t="n"/>
      <c r="FH190" s="587" t="n"/>
      <c r="FI190" s="587" t="n"/>
      <c r="FJ190" s="587" t="n"/>
      <c r="FK190" s="587" t="n"/>
      <c r="FL190" s="587" t="n"/>
      <c r="FM190" s="587" t="n"/>
      <c r="FN190" s="587" t="n"/>
      <c r="FO190" s="587" t="n"/>
      <c r="FP190" s="587" t="n"/>
      <c r="FQ190" s="587" t="n"/>
      <c r="FR190" s="587" t="n"/>
      <c r="FS190" s="587" t="n"/>
      <c r="FT190" s="587" t="n"/>
      <c r="FU190" s="587" t="n"/>
      <c r="FV190" s="587" t="n"/>
      <c r="FW190" s="587" t="n"/>
      <c r="FX190" s="587" t="n"/>
      <c r="FY190" s="587" t="n"/>
      <c r="FZ190" s="587" t="n"/>
      <c r="GA190" s="587" t="n"/>
    </row>
    <row r="191" customFormat="1" s="568">
      <c r="A191" s="86" t="n"/>
      <c r="B191" s="85" t="n"/>
      <c r="C191" s="84">
        <f>E191*D$5</f>
        <v/>
      </c>
      <c r="D191" s="68" t="n"/>
      <c r="E191" s="84">
        <f>SUM(G191:HT191)</f>
        <v/>
      </c>
      <c r="Q191" s="574" t="n"/>
      <c r="Z191" s="574" t="n"/>
      <c r="AA191" s="574" t="n"/>
      <c r="AB191" s="574" t="n"/>
      <c r="AC191" s="574" t="n"/>
      <c r="AD191" s="574" t="n"/>
      <c r="AE191" s="574" t="n"/>
      <c r="AF191" s="574" t="n"/>
      <c r="AH191" s="574" t="n"/>
      <c r="AJ191" s="574" t="n"/>
      <c r="CM191" s="587" t="n"/>
      <c r="CN191" s="587" t="n"/>
      <c r="CO191" s="587" t="n"/>
      <c r="CP191" s="587" t="n"/>
      <c r="CQ191" s="587" t="n"/>
      <c r="CR191" s="587" t="n"/>
      <c r="CS191" s="587" t="n"/>
      <c r="CT191" s="587" t="n"/>
      <c r="CU191" s="587" t="n"/>
      <c r="CV191" s="587" t="n"/>
      <c r="CW191" s="587" t="n"/>
      <c r="CX191" s="587" t="n"/>
      <c r="CY191" s="587" t="n"/>
      <c r="CZ191" s="587" t="n"/>
      <c r="DA191" s="587" t="n"/>
      <c r="DB191" s="587" t="n"/>
      <c r="DC191" s="587" t="n"/>
      <c r="DD191" s="587" t="n"/>
      <c r="DE191" s="587" t="n"/>
      <c r="DF191" s="587" t="n"/>
      <c r="DG191" s="587" t="n"/>
      <c r="DH191" s="587" t="n"/>
      <c r="DI191" s="587" t="n"/>
      <c r="DJ191" s="587" t="n"/>
      <c r="DK191" s="587" t="n"/>
      <c r="DL191" s="587" t="n"/>
      <c r="DM191" s="587" t="n"/>
      <c r="DN191" s="587" t="n"/>
      <c r="DO191" s="587" t="n"/>
      <c r="DP191" s="587" t="n"/>
      <c r="DQ191" s="587" t="n"/>
      <c r="DR191" s="587" t="n"/>
      <c r="DS191" s="587" t="n"/>
      <c r="DT191" s="587" t="n"/>
      <c r="DU191" s="587" t="n"/>
      <c r="DV191" s="587" t="n"/>
      <c r="DW191" s="587" t="n"/>
      <c r="DX191" s="587" t="n"/>
      <c r="DY191" s="587" t="n"/>
      <c r="DZ191" s="587" t="n"/>
      <c r="EA191" s="587" t="n"/>
      <c r="EB191" s="587" t="n"/>
      <c r="EC191" s="587" t="n"/>
      <c r="ED191" s="587" t="n"/>
      <c r="EE191" s="587" t="n"/>
      <c r="EF191" s="587" t="n"/>
      <c r="EG191" s="587" t="n"/>
      <c r="EH191" s="587" t="n"/>
      <c r="EI191" s="587" t="n"/>
      <c r="EJ191" s="587" t="n"/>
      <c r="EK191" s="587" t="n"/>
      <c r="EL191" s="587" t="n"/>
      <c r="EM191" s="587" t="n"/>
      <c r="EN191" s="587" t="n"/>
      <c r="EO191" s="587" t="n"/>
      <c r="EP191" s="587" t="n"/>
      <c r="EQ191" s="587" t="n"/>
      <c r="ER191" s="587" t="n"/>
      <c r="ES191" s="587" t="n"/>
      <c r="ET191" s="587" t="n"/>
      <c r="EU191" s="587" t="n"/>
      <c r="EV191" s="587" t="n"/>
      <c r="EW191" s="587" t="n"/>
      <c r="EX191" s="587" t="n"/>
      <c r="EY191" s="587" t="n"/>
      <c r="EZ191" s="587" t="n"/>
      <c r="FA191" s="587" t="n"/>
      <c r="FB191" s="587" t="n"/>
      <c r="FC191" s="587" t="n"/>
      <c r="FD191" s="587" t="n"/>
      <c r="FE191" s="587" t="n"/>
      <c r="FF191" s="587" t="n"/>
      <c r="FG191" s="587" t="n"/>
      <c r="FH191" s="587" t="n"/>
      <c r="FI191" s="587" t="n"/>
      <c r="FJ191" s="587" t="n"/>
      <c r="FK191" s="587" t="n"/>
      <c r="FL191" s="587" t="n"/>
      <c r="FM191" s="587" t="n"/>
      <c r="FN191" s="587" t="n"/>
      <c r="FO191" s="587" t="n"/>
      <c r="FP191" s="587" t="n"/>
      <c r="FQ191" s="587" t="n"/>
      <c r="FR191" s="587" t="n"/>
      <c r="FS191" s="587" t="n"/>
      <c r="FT191" s="587" t="n"/>
      <c r="FU191" s="587" t="n"/>
      <c r="FV191" s="587" t="n"/>
      <c r="FW191" s="587" t="n"/>
      <c r="FX191" s="587" t="n"/>
      <c r="FY191" s="587" t="n"/>
      <c r="FZ191" s="587" t="n"/>
      <c r="GA191" s="587" t="n"/>
    </row>
    <row r="192" customFormat="1" s="568">
      <c r="A192" s="86" t="n"/>
      <c r="B192" s="85" t="n"/>
      <c r="C192" s="84">
        <f>E192*D$5</f>
        <v/>
      </c>
      <c r="D192" s="68" t="n"/>
      <c r="E192" s="84">
        <f>SUM(G192:HT192)</f>
        <v/>
      </c>
      <c r="Q192" s="574" t="n"/>
      <c r="Z192" s="574" t="n"/>
      <c r="AA192" s="574" t="n"/>
      <c r="AB192" s="574" t="n"/>
      <c r="AC192" s="574" t="n"/>
      <c r="AD192" s="574" t="n"/>
      <c r="AE192" s="574" t="n"/>
      <c r="AF192" s="574" t="n"/>
      <c r="AH192" s="574" t="n"/>
      <c r="AJ192" s="574" t="n"/>
      <c r="CM192" s="587" t="n"/>
      <c r="CN192" s="587" t="n"/>
      <c r="CO192" s="587" t="n"/>
      <c r="CP192" s="587" t="n"/>
      <c r="CQ192" s="587" t="n"/>
      <c r="CR192" s="587" t="n"/>
      <c r="CS192" s="587" t="n"/>
      <c r="CT192" s="587" t="n"/>
      <c r="CU192" s="587" t="n"/>
      <c r="CV192" s="587" t="n"/>
      <c r="CW192" s="587" t="n"/>
      <c r="CX192" s="587" t="n"/>
      <c r="CY192" s="587" t="n"/>
      <c r="CZ192" s="587" t="n"/>
      <c r="DA192" s="587" t="n"/>
      <c r="DB192" s="587" t="n"/>
      <c r="DC192" s="587" t="n"/>
      <c r="DD192" s="587" t="n"/>
      <c r="DE192" s="587" t="n"/>
      <c r="DF192" s="587" t="n"/>
      <c r="DG192" s="587" t="n"/>
      <c r="DH192" s="587" t="n"/>
      <c r="DI192" s="587" t="n"/>
      <c r="DJ192" s="587" t="n"/>
      <c r="DK192" s="587" t="n"/>
      <c r="DL192" s="587" t="n"/>
      <c r="DM192" s="587" t="n"/>
      <c r="DN192" s="587" t="n"/>
      <c r="DO192" s="587" t="n"/>
      <c r="DP192" s="587" t="n"/>
      <c r="DQ192" s="587" t="n"/>
      <c r="DR192" s="587" t="n"/>
      <c r="DS192" s="587" t="n"/>
      <c r="DT192" s="587" t="n"/>
      <c r="DU192" s="587" t="n"/>
      <c r="DV192" s="587" t="n"/>
      <c r="DW192" s="587" t="n"/>
      <c r="DX192" s="587" t="n"/>
      <c r="DY192" s="587" t="n"/>
      <c r="DZ192" s="587" t="n"/>
      <c r="EA192" s="587" t="n"/>
      <c r="EB192" s="587" t="n"/>
      <c r="EC192" s="587" t="n"/>
      <c r="ED192" s="587" t="n"/>
      <c r="EE192" s="587" t="n"/>
      <c r="EF192" s="587" t="n"/>
      <c r="EG192" s="587" t="n"/>
      <c r="EH192" s="587" t="n"/>
      <c r="EI192" s="587" t="n"/>
      <c r="EJ192" s="587" t="n"/>
      <c r="EK192" s="587" t="n"/>
      <c r="EL192" s="587" t="n"/>
      <c r="EM192" s="587" t="n"/>
      <c r="EN192" s="587" t="n"/>
      <c r="EO192" s="587" t="n"/>
      <c r="EP192" s="587" t="n"/>
      <c r="EQ192" s="587" t="n"/>
      <c r="ER192" s="587" t="n"/>
      <c r="ES192" s="587" t="n"/>
      <c r="ET192" s="587" t="n"/>
      <c r="EU192" s="587" t="n"/>
      <c r="EV192" s="587" t="n"/>
      <c r="EW192" s="587" t="n"/>
      <c r="EX192" s="587" t="n"/>
      <c r="EY192" s="587" t="n"/>
      <c r="EZ192" s="587" t="n"/>
      <c r="FA192" s="587" t="n"/>
      <c r="FB192" s="587" t="n"/>
      <c r="FC192" s="587" t="n"/>
      <c r="FD192" s="587" t="n"/>
      <c r="FE192" s="587" t="n"/>
      <c r="FF192" s="587" t="n"/>
      <c r="FG192" s="587" t="n"/>
      <c r="FH192" s="587" t="n"/>
      <c r="FI192" s="587" t="n"/>
      <c r="FJ192" s="587" t="n"/>
      <c r="FK192" s="587" t="n"/>
      <c r="FL192" s="587" t="n"/>
      <c r="FM192" s="587" t="n"/>
      <c r="FN192" s="587" t="n"/>
      <c r="FO192" s="587" t="n"/>
      <c r="FP192" s="587" t="n"/>
      <c r="FQ192" s="587" t="n"/>
      <c r="FR192" s="587" t="n"/>
      <c r="FS192" s="587" t="n"/>
      <c r="FT192" s="587" t="n"/>
      <c r="FU192" s="587" t="n"/>
      <c r="FV192" s="587" t="n"/>
      <c r="FW192" s="587" t="n"/>
      <c r="FX192" s="587" t="n"/>
      <c r="FY192" s="587" t="n"/>
      <c r="FZ192" s="587" t="n"/>
      <c r="GA192" s="587" t="n"/>
    </row>
    <row r="193" customFormat="1" s="568">
      <c r="A193" s="86" t="n"/>
      <c r="B193" s="85" t="n"/>
      <c r="C193" s="84">
        <f>E193*D$5</f>
        <v/>
      </c>
      <c r="D193" s="68" t="n"/>
      <c r="E193" s="84">
        <f>SUM(G193:HT193)</f>
        <v/>
      </c>
      <c r="Q193" s="574" t="n"/>
      <c r="Z193" s="574" t="n"/>
      <c r="AA193" s="574" t="n"/>
      <c r="AB193" s="574" t="n"/>
      <c r="AC193" s="574" t="n"/>
      <c r="AD193" s="574" t="n"/>
      <c r="AE193" s="574" t="n"/>
      <c r="AF193" s="574" t="n"/>
      <c r="AH193" s="574" t="n"/>
      <c r="AJ193" s="574" t="n"/>
      <c r="CM193" s="587" t="n"/>
      <c r="CN193" s="587" t="n"/>
      <c r="CO193" s="587" t="n"/>
      <c r="CP193" s="587" t="n"/>
      <c r="CQ193" s="587" t="n"/>
      <c r="CR193" s="587" t="n"/>
      <c r="CS193" s="587" t="n"/>
      <c r="CT193" s="587" t="n"/>
      <c r="CU193" s="587" t="n"/>
      <c r="CV193" s="587" t="n"/>
      <c r="CW193" s="587" t="n"/>
      <c r="CX193" s="587" t="n"/>
      <c r="CY193" s="587" t="n"/>
      <c r="CZ193" s="587" t="n"/>
      <c r="DA193" s="587" t="n"/>
      <c r="DB193" s="587" t="n"/>
      <c r="DC193" s="587" t="n"/>
      <c r="DD193" s="587" t="n"/>
      <c r="DE193" s="587" t="n"/>
      <c r="DF193" s="587" t="n"/>
      <c r="DG193" s="587" t="n"/>
      <c r="DH193" s="587" t="n"/>
      <c r="DI193" s="587" t="n"/>
      <c r="DJ193" s="587" t="n"/>
      <c r="DK193" s="587" t="n"/>
      <c r="DL193" s="587" t="n"/>
      <c r="DM193" s="587" t="n"/>
      <c r="DN193" s="587" t="n"/>
      <c r="DO193" s="587" t="n"/>
      <c r="DP193" s="587" t="n"/>
      <c r="DQ193" s="587" t="n"/>
      <c r="DR193" s="587" t="n"/>
      <c r="DS193" s="587" t="n"/>
      <c r="DT193" s="587" t="n"/>
      <c r="DU193" s="587" t="n"/>
      <c r="DV193" s="587" t="n"/>
      <c r="DW193" s="587" t="n"/>
      <c r="DX193" s="587" t="n"/>
      <c r="DY193" s="587" t="n"/>
      <c r="DZ193" s="587" t="n"/>
      <c r="EA193" s="587" t="n"/>
      <c r="EB193" s="587" t="n"/>
      <c r="EC193" s="587" t="n"/>
      <c r="ED193" s="587" t="n"/>
      <c r="EE193" s="587" t="n"/>
      <c r="EF193" s="587" t="n"/>
      <c r="EG193" s="587" t="n"/>
      <c r="EH193" s="587" t="n"/>
      <c r="EI193" s="587" t="n"/>
      <c r="EJ193" s="587" t="n"/>
      <c r="EK193" s="587" t="n"/>
      <c r="EL193" s="587" t="n"/>
      <c r="EM193" s="587" t="n"/>
      <c r="EN193" s="587" t="n"/>
      <c r="EO193" s="587" t="n"/>
      <c r="EP193" s="587" t="n"/>
      <c r="EQ193" s="587" t="n"/>
      <c r="ER193" s="587" t="n"/>
      <c r="ES193" s="587" t="n"/>
      <c r="ET193" s="587" t="n"/>
      <c r="EU193" s="587" t="n"/>
      <c r="EV193" s="587" t="n"/>
      <c r="EW193" s="587" t="n"/>
      <c r="EX193" s="587" t="n"/>
      <c r="EY193" s="587" t="n"/>
      <c r="EZ193" s="587" t="n"/>
      <c r="FA193" s="587" t="n"/>
      <c r="FB193" s="587" t="n"/>
      <c r="FC193" s="587" t="n"/>
      <c r="FD193" s="587" t="n"/>
      <c r="FE193" s="587" t="n"/>
      <c r="FF193" s="587" t="n"/>
      <c r="FG193" s="587" t="n"/>
      <c r="FH193" s="587" t="n"/>
      <c r="FI193" s="587" t="n"/>
      <c r="FJ193" s="587" t="n"/>
      <c r="FK193" s="587" t="n"/>
      <c r="FL193" s="587" t="n"/>
      <c r="FM193" s="587" t="n"/>
      <c r="FN193" s="587" t="n"/>
      <c r="FO193" s="587" t="n"/>
      <c r="FP193" s="587" t="n"/>
      <c r="FQ193" s="587" t="n"/>
      <c r="FR193" s="587" t="n"/>
      <c r="FS193" s="587" t="n"/>
      <c r="FT193" s="587" t="n"/>
      <c r="FU193" s="587" t="n"/>
      <c r="FV193" s="587" t="n"/>
      <c r="FW193" s="587" t="n"/>
      <c r="FX193" s="587" t="n"/>
      <c r="FY193" s="587" t="n"/>
      <c r="FZ193" s="587" t="n"/>
      <c r="GA193" s="587" t="n"/>
    </row>
    <row r="194" customFormat="1" s="568">
      <c r="A194" s="86" t="n"/>
      <c r="B194" s="85" t="n"/>
      <c r="C194" s="84">
        <f>E194*D$5</f>
        <v/>
      </c>
      <c r="D194" s="68" t="n"/>
      <c r="E194" s="84">
        <f>SUM(G194:HT194)</f>
        <v/>
      </c>
      <c r="Q194" s="574" t="n"/>
      <c r="Z194" s="574" t="n"/>
      <c r="AA194" s="574" t="n"/>
      <c r="AB194" s="574" t="n"/>
      <c r="AC194" s="574" t="n"/>
      <c r="AD194" s="574" t="n"/>
      <c r="AE194" s="574" t="n"/>
      <c r="AF194" s="574" t="n"/>
      <c r="AH194" s="574" t="n"/>
      <c r="AJ194" s="574" t="n"/>
      <c r="CM194" s="587" t="n"/>
      <c r="CN194" s="587" t="n"/>
      <c r="CO194" s="587" t="n"/>
      <c r="CP194" s="587" t="n"/>
      <c r="CQ194" s="587" t="n"/>
      <c r="CR194" s="587" t="n"/>
      <c r="CS194" s="587" t="n"/>
      <c r="CT194" s="587" t="n"/>
      <c r="CU194" s="587" t="n"/>
      <c r="CV194" s="587" t="n"/>
      <c r="CW194" s="587" t="n"/>
      <c r="CX194" s="587" t="n"/>
      <c r="CY194" s="587" t="n"/>
      <c r="CZ194" s="587" t="n"/>
      <c r="DA194" s="587" t="n"/>
      <c r="DB194" s="587" t="n"/>
      <c r="DC194" s="587" t="n"/>
      <c r="DD194" s="587" t="n"/>
      <c r="DE194" s="587" t="n"/>
      <c r="DF194" s="587" t="n"/>
      <c r="DG194" s="587" t="n"/>
      <c r="DH194" s="587" t="n"/>
      <c r="DI194" s="587" t="n"/>
      <c r="DJ194" s="587" t="n"/>
      <c r="DK194" s="587" t="n"/>
      <c r="DL194" s="587" t="n"/>
      <c r="DM194" s="587" t="n"/>
      <c r="DN194" s="587" t="n"/>
      <c r="DO194" s="587" t="n"/>
      <c r="DP194" s="587" t="n"/>
      <c r="DQ194" s="587" t="n"/>
      <c r="DR194" s="587" t="n"/>
      <c r="DS194" s="587" t="n"/>
      <c r="DT194" s="587" t="n"/>
      <c r="DU194" s="587" t="n"/>
      <c r="DV194" s="587" t="n"/>
      <c r="DW194" s="587" t="n"/>
      <c r="DX194" s="587" t="n"/>
      <c r="DY194" s="587" t="n"/>
      <c r="DZ194" s="587" t="n"/>
      <c r="EA194" s="587" t="n"/>
      <c r="EB194" s="587" t="n"/>
      <c r="EC194" s="587" t="n"/>
      <c r="ED194" s="587" t="n"/>
      <c r="EE194" s="587" t="n"/>
      <c r="EF194" s="587" t="n"/>
      <c r="EG194" s="587" t="n"/>
      <c r="EH194" s="587" t="n"/>
      <c r="EI194" s="587" t="n"/>
      <c r="EJ194" s="587" t="n"/>
      <c r="EK194" s="587" t="n"/>
      <c r="EL194" s="587" t="n"/>
      <c r="EM194" s="587" t="n"/>
      <c r="EN194" s="587" t="n"/>
      <c r="EO194" s="587" t="n"/>
      <c r="EP194" s="587" t="n"/>
      <c r="EQ194" s="587" t="n"/>
      <c r="ER194" s="587" t="n"/>
      <c r="ES194" s="587" t="n"/>
      <c r="ET194" s="587" t="n"/>
      <c r="EU194" s="587" t="n"/>
      <c r="EV194" s="587" t="n"/>
      <c r="EW194" s="587" t="n"/>
      <c r="EX194" s="587" t="n"/>
      <c r="EY194" s="587" t="n"/>
      <c r="EZ194" s="587" t="n"/>
      <c r="FA194" s="587" t="n"/>
      <c r="FB194" s="587" t="n"/>
      <c r="FC194" s="587" t="n"/>
      <c r="FD194" s="587" t="n"/>
      <c r="FE194" s="587" t="n"/>
      <c r="FF194" s="587" t="n"/>
      <c r="FG194" s="587" t="n"/>
      <c r="FH194" s="587" t="n"/>
      <c r="FI194" s="587" t="n"/>
      <c r="FJ194" s="587" t="n"/>
      <c r="FK194" s="587" t="n"/>
      <c r="FL194" s="587" t="n"/>
      <c r="FM194" s="587" t="n"/>
      <c r="FN194" s="587" t="n"/>
      <c r="FO194" s="587" t="n"/>
      <c r="FP194" s="587" t="n"/>
      <c r="FQ194" s="587" t="n"/>
      <c r="FR194" s="587" t="n"/>
      <c r="FS194" s="587" t="n"/>
      <c r="FT194" s="587" t="n"/>
      <c r="FU194" s="587" t="n"/>
      <c r="FV194" s="587" t="n"/>
      <c r="FW194" s="587" t="n"/>
      <c r="FX194" s="587" t="n"/>
      <c r="FY194" s="587" t="n"/>
      <c r="FZ194" s="587" t="n"/>
      <c r="GA194" s="587" t="n"/>
    </row>
    <row r="195" customFormat="1" s="568">
      <c r="A195" s="86" t="n"/>
      <c r="B195" s="85" t="n"/>
      <c r="C195" s="84">
        <f>E195*D$5</f>
        <v/>
      </c>
      <c r="D195" s="68" t="n"/>
      <c r="E195" s="84">
        <f>SUM(G195:HT195)</f>
        <v/>
      </c>
      <c r="Q195" s="574" t="n"/>
      <c r="Z195" s="574" t="n"/>
      <c r="AA195" s="574" t="n"/>
      <c r="AB195" s="574" t="n"/>
      <c r="AC195" s="574" t="n"/>
      <c r="AD195" s="574" t="n"/>
      <c r="AE195" s="574" t="n"/>
      <c r="AF195" s="574" t="n"/>
      <c r="AH195" s="574" t="n"/>
      <c r="AJ195" s="574" t="n"/>
      <c r="CM195" s="587" t="n"/>
      <c r="CN195" s="587" t="n"/>
      <c r="CO195" s="587" t="n"/>
      <c r="CP195" s="587" t="n"/>
      <c r="CQ195" s="587" t="n"/>
      <c r="CR195" s="587" t="n"/>
      <c r="CS195" s="587" t="n"/>
      <c r="CT195" s="587" t="n"/>
      <c r="CU195" s="587" t="n"/>
      <c r="CV195" s="587" t="n"/>
      <c r="CW195" s="587" t="n"/>
      <c r="CX195" s="587" t="n"/>
      <c r="CY195" s="587" t="n"/>
      <c r="CZ195" s="587" t="n"/>
      <c r="DA195" s="587" t="n"/>
      <c r="DB195" s="587" t="n"/>
      <c r="DC195" s="587" t="n"/>
      <c r="DD195" s="587" t="n"/>
      <c r="DE195" s="587" t="n"/>
      <c r="DF195" s="587" t="n"/>
      <c r="DG195" s="587" t="n"/>
      <c r="DH195" s="587" t="n"/>
      <c r="DI195" s="587" t="n"/>
      <c r="DJ195" s="587" t="n"/>
      <c r="DK195" s="587" t="n"/>
      <c r="DL195" s="587" t="n"/>
      <c r="DM195" s="587" t="n"/>
      <c r="DN195" s="587" t="n"/>
      <c r="DO195" s="587" t="n"/>
      <c r="DP195" s="587" t="n"/>
      <c r="DQ195" s="587" t="n"/>
      <c r="DR195" s="587" t="n"/>
      <c r="DS195" s="587" t="n"/>
      <c r="DT195" s="587" t="n"/>
      <c r="DU195" s="587" t="n"/>
      <c r="DV195" s="587" t="n"/>
      <c r="DW195" s="587" t="n"/>
      <c r="DX195" s="587" t="n"/>
      <c r="DY195" s="587" t="n"/>
      <c r="DZ195" s="587" t="n"/>
      <c r="EA195" s="587" t="n"/>
      <c r="EB195" s="587" t="n"/>
      <c r="EC195" s="587" t="n"/>
      <c r="ED195" s="587" t="n"/>
      <c r="EE195" s="587" t="n"/>
      <c r="EF195" s="587" t="n"/>
      <c r="EG195" s="587" t="n"/>
      <c r="EH195" s="587" t="n"/>
      <c r="EI195" s="587" t="n"/>
      <c r="EJ195" s="587" t="n"/>
      <c r="EK195" s="587" t="n"/>
      <c r="EL195" s="587" t="n"/>
      <c r="EM195" s="587" t="n"/>
      <c r="EN195" s="587" t="n"/>
      <c r="EO195" s="587" t="n"/>
      <c r="EP195" s="587" t="n"/>
      <c r="EQ195" s="587" t="n"/>
      <c r="ER195" s="587" t="n"/>
      <c r="ES195" s="587" t="n"/>
      <c r="ET195" s="587" t="n"/>
      <c r="EU195" s="587" t="n"/>
      <c r="EV195" s="587" t="n"/>
      <c r="EW195" s="587" t="n"/>
      <c r="EX195" s="587" t="n"/>
      <c r="EY195" s="587" t="n"/>
      <c r="EZ195" s="587" t="n"/>
      <c r="FA195" s="587" t="n"/>
      <c r="FB195" s="587" t="n"/>
      <c r="FC195" s="587" t="n"/>
      <c r="FD195" s="587" t="n"/>
      <c r="FE195" s="587" t="n"/>
      <c r="FF195" s="587" t="n"/>
      <c r="FG195" s="587" t="n"/>
      <c r="FH195" s="587" t="n"/>
      <c r="FI195" s="587" t="n"/>
      <c r="FJ195" s="587" t="n"/>
      <c r="FK195" s="587" t="n"/>
      <c r="FL195" s="587" t="n"/>
      <c r="FM195" s="587" t="n"/>
      <c r="FN195" s="587" t="n"/>
      <c r="FO195" s="587" t="n"/>
      <c r="FP195" s="587" t="n"/>
      <c r="FQ195" s="587" t="n"/>
      <c r="FR195" s="587" t="n"/>
      <c r="FS195" s="587" t="n"/>
      <c r="FT195" s="587" t="n"/>
      <c r="FU195" s="587" t="n"/>
      <c r="FV195" s="587" t="n"/>
      <c r="FW195" s="587" t="n"/>
      <c r="FX195" s="587" t="n"/>
      <c r="FY195" s="587" t="n"/>
      <c r="FZ195" s="587" t="n"/>
      <c r="GA195" s="587" t="n"/>
    </row>
    <row r="196" customFormat="1" s="568">
      <c r="A196" s="86" t="n"/>
      <c r="B196" s="85" t="n"/>
      <c r="C196" s="84">
        <f>E196*D$5</f>
        <v/>
      </c>
      <c r="D196" s="68" t="n"/>
      <c r="E196" s="84">
        <f>SUM(G196:HT196)</f>
        <v/>
      </c>
      <c r="Q196" s="574" t="n"/>
      <c r="Z196" s="574" t="n"/>
      <c r="AA196" s="574" t="n"/>
      <c r="AB196" s="574" t="n"/>
      <c r="AC196" s="574" t="n"/>
      <c r="AD196" s="574" t="n"/>
      <c r="AE196" s="574" t="n"/>
      <c r="AF196" s="574" t="n"/>
      <c r="AH196" s="574" t="n"/>
      <c r="AJ196" s="574" t="n"/>
      <c r="CM196" s="587" t="n"/>
      <c r="CN196" s="587" t="n"/>
      <c r="CO196" s="587" t="n"/>
      <c r="CP196" s="587" t="n"/>
      <c r="CQ196" s="587" t="n"/>
      <c r="CR196" s="587" t="n"/>
      <c r="CS196" s="587" t="n"/>
      <c r="CT196" s="587" t="n"/>
      <c r="CU196" s="587" t="n"/>
      <c r="CV196" s="587" t="n"/>
      <c r="CW196" s="587" t="n"/>
      <c r="CX196" s="587" t="n"/>
      <c r="CY196" s="587" t="n"/>
      <c r="CZ196" s="587" t="n"/>
      <c r="DA196" s="587" t="n"/>
      <c r="DB196" s="587" t="n"/>
      <c r="DC196" s="587" t="n"/>
      <c r="DD196" s="587" t="n"/>
      <c r="DE196" s="587" t="n"/>
      <c r="DF196" s="587" t="n"/>
      <c r="DG196" s="587" t="n"/>
      <c r="DH196" s="587" t="n"/>
      <c r="DI196" s="587" t="n"/>
      <c r="DJ196" s="587" t="n"/>
      <c r="DK196" s="587" t="n"/>
      <c r="DL196" s="587" t="n"/>
      <c r="DM196" s="587" t="n"/>
      <c r="DN196" s="587" t="n"/>
      <c r="DO196" s="587" t="n"/>
      <c r="DP196" s="587" t="n"/>
      <c r="DQ196" s="587" t="n"/>
      <c r="DR196" s="587" t="n"/>
      <c r="DS196" s="587" t="n"/>
      <c r="DT196" s="587" t="n"/>
      <c r="DU196" s="587" t="n"/>
      <c r="DV196" s="587" t="n"/>
      <c r="DW196" s="587" t="n"/>
      <c r="DX196" s="587" t="n"/>
      <c r="DY196" s="587" t="n"/>
      <c r="DZ196" s="587" t="n"/>
      <c r="EA196" s="587" t="n"/>
      <c r="EB196" s="587" t="n"/>
      <c r="EC196" s="587" t="n"/>
      <c r="ED196" s="587" t="n"/>
      <c r="EE196" s="587" t="n"/>
      <c r="EF196" s="587" t="n"/>
      <c r="EG196" s="587" t="n"/>
      <c r="EH196" s="587" t="n"/>
      <c r="EI196" s="587" t="n"/>
      <c r="EJ196" s="587" t="n"/>
      <c r="EK196" s="587" t="n"/>
      <c r="EL196" s="587" t="n"/>
      <c r="EM196" s="587" t="n"/>
      <c r="EN196" s="587" t="n"/>
      <c r="EO196" s="587" t="n"/>
      <c r="EP196" s="587" t="n"/>
      <c r="EQ196" s="587" t="n"/>
      <c r="ER196" s="587" t="n"/>
      <c r="ES196" s="587" t="n"/>
      <c r="ET196" s="587" t="n"/>
      <c r="EU196" s="587" t="n"/>
      <c r="EV196" s="587" t="n"/>
      <c r="EW196" s="587" t="n"/>
      <c r="EX196" s="587" t="n"/>
      <c r="EY196" s="587" t="n"/>
      <c r="EZ196" s="587" t="n"/>
      <c r="FA196" s="587" t="n"/>
      <c r="FB196" s="587" t="n"/>
      <c r="FC196" s="587" t="n"/>
      <c r="FD196" s="587" t="n"/>
      <c r="FE196" s="587" t="n"/>
      <c r="FF196" s="587" t="n"/>
      <c r="FG196" s="587" t="n"/>
      <c r="FH196" s="587" t="n"/>
      <c r="FI196" s="587" t="n"/>
      <c r="FJ196" s="587" t="n"/>
      <c r="FK196" s="587" t="n"/>
      <c r="FL196" s="587" t="n"/>
      <c r="FM196" s="587" t="n"/>
      <c r="FN196" s="587" t="n"/>
      <c r="FO196" s="587" t="n"/>
      <c r="FP196" s="587" t="n"/>
      <c r="FQ196" s="587" t="n"/>
      <c r="FR196" s="587" t="n"/>
      <c r="FS196" s="587" t="n"/>
      <c r="FT196" s="587" t="n"/>
      <c r="FU196" s="587" t="n"/>
      <c r="FV196" s="587" t="n"/>
      <c r="FW196" s="587" t="n"/>
      <c r="FX196" s="587" t="n"/>
      <c r="FY196" s="587" t="n"/>
      <c r="FZ196" s="587" t="n"/>
      <c r="GA196" s="587" t="n"/>
    </row>
    <row r="197" customFormat="1" s="568">
      <c r="A197" s="86" t="n"/>
      <c r="B197" s="85" t="n"/>
      <c r="C197" s="84">
        <f>E197*D$5</f>
        <v/>
      </c>
      <c r="D197" s="68" t="n"/>
      <c r="E197" s="84">
        <f>SUM(G197:HT197)</f>
        <v/>
      </c>
      <c r="Q197" s="574" t="n"/>
      <c r="Z197" s="574" t="n"/>
      <c r="AA197" s="574" t="n"/>
      <c r="AB197" s="574" t="n"/>
      <c r="AC197" s="574" t="n"/>
      <c r="AD197" s="574" t="n"/>
      <c r="AE197" s="574" t="n"/>
      <c r="AF197" s="574" t="n"/>
      <c r="AH197" s="574" t="n"/>
      <c r="AJ197" s="574" t="n"/>
      <c r="CM197" s="587" t="n"/>
      <c r="CN197" s="587" t="n"/>
      <c r="CO197" s="587" t="n"/>
      <c r="CP197" s="587" t="n"/>
      <c r="CQ197" s="587" t="n"/>
      <c r="CR197" s="587" t="n"/>
      <c r="CS197" s="587" t="n"/>
      <c r="CT197" s="587" t="n"/>
      <c r="CU197" s="587" t="n"/>
      <c r="CV197" s="587" t="n"/>
      <c r="CW197" s="587" t="n"/>
      <c r="CX197" s="587" t="n"/>
      <c r="CY197" s="587" t="n"/>
      <c r="CZ197" s="587" t="n"/>
      <c r="DA197" s="587" t="n"/>
      <c r="DB197" s="587" t="n"/>
      <c r="DC197" s="587" t="n"/>
      <c r="DD197" s="587" t="n"/>
      <c r="DE197" s="587" t="n"/>
      <c r="DF197" s="587" t="n"/>
      <c r="DG197" s="587" t="n"/>
      <c r="DH197" s="587" t="n"/>
      <c r="DI197" s="587" t="n"/>
      <c r="DJ197" s="587" t="n"/>
      <c r="DK197" s="587" t="n"/>
      <c r="DL197" s="587" t="n"/>
      <c r="DM197" s="587" t="n"/>
      <c r="DN197" s="587" t="n"/>
      <c r="DO197" s="587" t="n"/>
      <c r="DP197" s="587" t="n"/>
      <c r="DQ197" s="587" t="n"/>
      <c r="DR197" s="587" t="n"/>
      <c r="DS197" s="587" t="n"/>
      <c r="DT197" s="587" t="n"/>
      <c r="DU197" s="587" t="n"/>
      <c r="DV197" s="587" t="n"/>
      <c r="DW197" s="587" t="n"/>
      <c r="DX197" s="587" t="n"/>
      <c r="DY197" s="587" t="n"/>
      <c r="DZ197" s="587" t="n"/>
      <c r="EA197" s="587" t="n"/>
      <c r="EB197" s="587" t="n"/>
      <c r="EC197" s="587" t="n"/>
      <c r="ED197" s="587" t="n"/>
      <c r="EE197" s="587" t="n"/>
      <c r="EF197" s="587" t="n"/>
      <c r="EG197" s="587" t="n"/>
      <c r="EH197" s="587" t="n"/>
      <c r="EI197" s="587" t="n"/>
      <c r="EJ197" s="587" t="n"/>
      <c r="EK197" s="587" t="n"/>
      <c r="EL197" s="587" t="n"/>
      <c r="EM197" s="587" t="n"/>
      <c r="EN197" s="587" t="n"/>
      <c r="EO197" s="587" t="n"/>
      <c r="EP197" s="587" t="n"/>
      <c r="EQ197" s="587" t="n"/>
      <c r="ER197" s="587" t="n"/>
      <c r="ES197" s="587" t="n"/>
      <c r="ET197" s="587" t="n"/>
      <c r="EU197" s="587" t="n"/>
      <c r="EV197" s="587" t="n"/>
      <c r="EW197" s="587" t="n"/>
      <c r="EX197" s="587" t="n"/>
      <c r="EY197" s="587" t="n"/>
      <c r="EZ197" s="587" t="n"/>
      <c r="FA197" s="587" t="n"/>
      <c r="FB197" s="587" t="n"/>
      <c r="FC197" s="587" t="n"/>
      <c r="FD197" s="587" t="n"/>
      <c r="FE197" s="587" t="n"/>
      <c r="FF197" s="587" t="n"/>
      <c r="FG197" s="587" t="n"/>
      <c r="FH197" s="587" t="n"/>
      <c r="FI197" s="587" t="n"/>
      <c r="FJ197" s="587" t="n"/>
      <c r="FK197" s="587" t="n"/>
      <c r="FL197" s="587" t="n"/>
      <c r="FM197" s="587" t="n"/>
      <c r="FN197" s="587" t="n"/>
      <c r="FO197" s="587" t="n"/>
      <c r="FP197" s="587" t="n"/>
      <c r="FQ197" s="587" t="n"/>
      <c r="FR197" s="587" t="n"/>
      <c r="FS197" s="587" t="n"/>
      <c r="FT197" s="587" t="n"/>
      <c r="FU197" s="587" t="n"/>
      <c r="FV197" s="587" t="n"/>
      <c r="FW197" s="587" t="n"/>
      <c r="FX197" s="587" t="n"/>
      <c r="FY197" s="587" t="n"/>
      <c r="FZ197" s="587" t="n"/>
      <c r="GA197" s="587" t="n"/>
    </row>
    <row r="198" customFormat="1" s="568">
      <c r="A198" s="86" t="n"/>
      <c r="B198" s="85" t="n"/>
      <c r="C198" s="84">
        <f>E198*D$5</f>
        <v/>
      </c>
      <c r="D198" s="68" t="n"/>
      <c r="E198" s="84">
        <f>SUM(G198:HT198)</f>
        <v/>
      </c>
      <c r="Q198" s="574" t="n"/>
      <c r="Z198" s="574" t="n"/>
      <c r="AA198" s="574" t="n"/>
      <c r="AB198" s="574" t="n"/>
      <c r="AC198" s="574" t="n"/>
      <c r="AD198" s="574" t="n"/>
      <c r="AE198" s="574" t="n"/>
      <c r="AF198" s="574" t="n"/>
      <c r="AH198" s="574" t="n"/>
      <c r="AJ198" s="574" t="n"/>
      <c r="CM198" s="587" t="n"/>
      <c r="CN198" s="587" t="n"/>
      <c r="CO198" s="587" t="n"/>
      <c r="CP198" s="587" t="n"/>
      <c r="CQ198" s="587" t="n"/>
      <c r="CR198" s="587" t="n"/>
      <c r="CS198" s="587" t="n"/>
      <c r="CT198" s="587" t="n"/>
      <c r="CU198" s="587" t="n"/>
      <c r="CV198" s="587" t="n"/>
      <c r="CW198" s="587" t="n"/>
      <c r="CX198" s="587" t="n"/>
      <c r="CY198" s="587" t="n"/>
      <c r="CZ198" s="587" t="n"/>
      <c r="DA198" s="587" t="n"/>
      <c r="DB198" s="587" t="n"/>
      <c r="DC198" s="587" t="n"/>
      <c r="DD198" s="587" t="n"/>
      <c r="DE198" s="587" t="n"/>
      <c r="DF198" s="587" t="n"/>
      <c r="DG198" s="587" t="n"/>
      <c r="DH198" s="587" t="n"/>
      <c r="DI198" s="587" t="n"/>
      <c r="DJ198" s="587" t="n"/>
      <c r="DK198" s="587" t="n"/>
      <c r="DL198" s="587" t="n"/>
      <c r="DM198" s="587" t="n"/>
      <c r="DN198" s="587" t="n"/>
      <c r="DO198" s="587" t="n"/>
      <c r="DP198" s="587" t="n"/>
      <c r="DQ198" s="587" t="n"/>
      <c r="DR198" s="587" t="n"/>
      <c r="DS198" s="587" t="n"/>
      <c r="DT198" s="587" t="n"/>
      <c r="DU198" s="587" t="n"/>
      <c r="DV198" s="587" t="n"/>
      <c r="DW198" s="587" t="n"/>
      <c r="DX198" s="587" t="n"/>
      <c r="DY198" s="587" t="n"/>
      <c r="DZ198" s="587" t="n"/>
      <c r="EA198" s="587" t="n"/>
      <c r="EB198" s="587" t="n"/>
      <c r="EC198" s="587" t="n"/>
      <c r="ED198" s="587" t="n"/>
      <c r="EE198" s="587" t="n"/>
      <c r="EF198" s="587" t="n"/>
      <c r="EG198" s="587" t="n"/>
      <c r="EH198" s="587" t="n"/>
      <c r="EI198" s="587" t="n"/>
      <c r="EJ198" s="587" t="n"/>
      <c r="EK198" s="587" t="n"/>
      <c r="EL198" s="587" t="n"/>
      <c r="EM198" s="587" t="n"/>
      <c r="EN198" s="587" t="n"/>
      <c r="EO198" s="587" t="n"/>
      <c r="EP198" s="587" t="n"/>
      <c r="EQ198" s="587" t="n"/>
      <c r="ER198" s="587" t="n"/>
      <c r="ES198" s="587" t="n"/>
      <c r="ET198" s="587" t="n"/>
      <c r="EU198" s="587" t="n"/>
      <c r="EV198" s="587" t="n"/>
      <c r="EW198" s="587" t="n"/>
      <c r="EX198" s="587" t="n"/>
      <c r="EY198" s="587" t="n"/>
      <c r="EZ198" s="587" t="n"/>
      <c r="FA198" s="587" t="n"/>
      <c r="FB198" s="587" t="n"/>
      <c r="FC198" s="587" t="n"/>
      <c r="FD198" s="587" t="n"/>
      <c r="FE198" s="587" t="n"/>
      <c r="FF198" s="587" t="n"/>
      <c r="FG198" s="587" t="n"/>
      <c r="FH198" s="587" t="n"/>
      <c r="FI198" s="587" t="n"/>
      <c r="FJ198" s="587" t="n"/>
      <c r="FK198" s="587" t="n"/>
      <c r="FL198" s="587" t="n"/>
      <c r="FM198" s="587" t="n"/>
      <c r="FN198" s="587" t="n"/>
      <c r="FO198" s="587" t="n"/>
      <c r="FP198" s="587" t="n"/>
      <c r="FQ198" s="587" t="n"/>
      <c r="FR198" s="587" t="n"/>
      <c r="FS198" s="587" t="n"/>
      <c r="FT198" s="587" t="n"/>
      <c r="FU198" s="587" t="n"/>
      <c r="FV198" s="587" t="n"/>
      <c r="FW198" s="587" t="n"/>
      <c r="FX198" s="587" t="n"/>
      <c r="FY198" s="587" t="n"/>
      <c r="FZ198" s="587" t="n"/>
      <c r="GA198" s="587" t="n"/>
    </row>
    <row r="199" customFormat="1" s="568">
      <c r="A199" s="86" t="n"/>
      <c r="B199" s="85" t="n"/>
      <c r="C199" s="84">
        <f>E199*D$5</f>
        <v/>
      </c>
      <c r="D199" s="68" t="n"/>
      <c r="E199" s="84">
        <f>SUM(G199:HT199)</f>
        <v/>
      </c>
      <c r="Q199" s="574" t="n"/>
      <c r="Z199" s="574" t="n"/>
      <c r="AA199" s="574" t="n"/>
      <c r="AB199" s="574" t="n"/>
      <c r="AC199" s="574" t="n"/>
      <c r="AD199" s="574" t="n"/>
      <c r="AE199" s="574" t="n"/>
      <c r="AF199" s="574" t="n"/>
      <c r="AH199" s="574" t="n"/>
      <c r="AJ199" s="574" t="n"/>
      <c r="CM199" s="587" t="n"/>
      <c r="CN199" s="587" t="n"/>
      <c r="CO199" s="587" t="n"/>
      <c r="CP199" s="587" t="n"/>
      <c r="CQ199" s="587" t="n"/>
      <c r="CR199" s="587" t="n"/>
      <c r="CS199" s="587" t="n"/>
      <c r="CT199" s="587" t="n"/>
      <c r="CU199" s="587" t="n"/>
      <c r="CV199" s="587" t="n"/>
      <c r="CW199" s="587" t="n"/>
      <c r="CX199" s="587" t="n"/>
      <c r="CY199" s="587" t="n"/>
      <c r="CZ199" s="587" t="n"/>
      <c r="DA199" s="587" t="n"/>
      <c r="DB199" s="587" t="n"/>
      <c r="DC199" s="587" t="n"/>
      <c r="DD199" s="587" t="n"/>
      <c r="DE199" s="587" t="n"/>
      <c r="DF199" s="587" t="n"/>
      <c r="DG199" s="587" t="n"/>
      <c r="DH199" s="587" t="n"/>
      <c r="DI199" s="587" t="n"/>
      <c r="DJ199" s="587" t="n"/>
      <c r="DK199" s="587" t="n"/>
      <c r="DL199" s="587" t="n"/>
      <c r="DM199" s="587" t="n"/>
      <c r="DN199" s="587" t="n"/>
      <c r="DO199" s="587" t="n"/>
      <c r="DP199" s="587" t="n"/>
      <c r="DQ199" s="587" t="n"/>
      <c r="DR199" s="587" t="n"/>
      <c r="DS199" s="587" t="n"/>
      <c r="DT199" s="587" t="n"/>
      <c r="DU199" s="587" t="n"/>
      <c r="DV199" s="587" t="n"/>
      <c r="DW199" s="587" t="n"/>
      <c r="DX199" s="587" t="n"/>
      <c r="DY199" s="587" t="n"/>
      <c r="DZ199" s="587" t="n"/>
      <c r="EA199" s="587" t="n"/>
      <c r="EB199" s="587" t="n"/>
      <c r="EC199" s="587" t="n"/>
      <c r="ED199" s="587" t="n"/>
      <c r="EE199" s="587" t="n"/>
      <c r="EF199" s="587" t="n"/>
      <c r="EG199" s="587" t="n"/>
      <c r="EH199" s="587" t="n"/>
      <c r="EI199" s="587" t="n"/>
      <c r="EJ199" s="587" t="n"/>
      <c r="EK199" s="587" t="n"/>
      <c r="EL199" s="587" t="n"/>
      <c r="EM199" s="587" t="n"/>
      <c r="EN199" s="587" t="n"/>
      <c r="EO199" s="587" t="n"/>
      <c r="EP199" s="587" t="n"/>
      <c r="EQ199" s="587" t="n"/>
      <c r="ER199" s="587" t="n"/>
      <c r="ES199" s="587" t="n"/>
      <c r="ET199" s="587" t="n"/>
      <c r="EU199" s="587" t="n"/>
      <c r="EV199" s="587" t="n"/>
      <c r="EW199" s="587" t="n"/>
      <c r="EX199" s="587" t="n"/>
      <c r="EY199" s="587" t="n"/>
      <c r="EZ199" s="587" t="n"/>
      <c r="FA199" s="587" t="n"/>
      <c r="FB199" s="587" t="n"/>
      <c r="FC199" s="587" t="n"/>
      <c r="FD199" s="587" t="n"/>
      <c r="FE199" s="587" t="n"/>
      <c r="FF199" s="587" t="n"/>
      <c r="FG199" s="587" t="n"/>
      <c r="FH199" s="587" t="n"/>
      <c r="FI199" s="587" t="n"/>
      <c r="FJ199" s="587" t="n"/>
      <c r="FK199" s="587" t="n"/>
      <c r="FL199" s="587" t="n"/>
      <c r="FM199" s="587" t="n"/>
      <c r="FN199" s="587" t="n"/>
      <c r="FO199" s="587" t="n"/>
      <c r="FP199" s="587" t="n"/>
      <c r="FQ199" s="587" t="n"/>
      <c r="FR199" s="587" t="n"/>
      <c r="FS199" s="587" t="n"/>
      <c r="FT199" s="587" t="n"/>
      <c r="FU199" s="587" t="n"/>
      <c r="FV199" s="587" t="n"/>
      <c r="FW199" s="587" t="n"/>
      <c r="FX199" s="587" t="n"/>
      <c r="FY199" s="587" t="n"/>
      <c r="FZ199" s="587" t="n"/>
      <c r="GA199" s="587" t="n"/>
    </row>
    <row r="200" customFormat="1" s="568">
      <c r="A200" s="86" t="n"/>
      <c r="B200" s="85" t="n"/>
      <c r="C200" s="84">
        <f>E200*D$5</f>
        <v/>
      </c>
      <c r="D200" s="68" t="n"/>
      <c r="E200" s="84">
        <f>SUM(G200:HT200)</f>
        <v/>
      </c>
      <c r="Q200" s="574" t="n"/>
      <c r="Z200" s="574" t="n"/>
      <c r="AA200" s="574" t="n"/>
      <c r="AB200" s="574" t="n"/>
      <c r="AC200" s="574" t="n"/>
      <c r="AD200" s="574" t="n"/>
      <c r="AE200" s="574" t="n"/>
      <c r="AF200" s="574" t="n"/>
      <c r="AH200" s="574" t="n"/>
      <c r="AJ200" s="574" t="n"/>
      <c r="CM200" s="587" t="n"/>
      <c r="CN200" s="587" t="n"/>
      <c r="CO200" s="587" t="n"/>
      <c r="CP200" s="587" t="n"/>
      <c r="CQ200" s="587" t="n"/>
      <c r="CR200" s="587" t="n"/>
      <c r="CS200" s="587" t="n"/>
      <c r="CT200" s="587" t="n"/>
      <c r="CU200" s="587" t="n"/>
      <c r="CV200" s="587" t="n"/>
      <c r="CW200" s="587" t="n"/>
      <c r="CX200" s="587" t="n"/>
      <c r="CY200" s="587" t="n"/>
      <c r="CZ200" s="587" t="n"/>
      <c r="DA200" s="587" t="n"/>
      <c r="DB200" s="587" t="n"/>
      <c r="DC200" s="587" t="n"/>
      <c r="DD200" s="587" t="n"/>
      <c r="DE200" s="587" t="n"/>
      <c r="DF200" s="587" t="n"/>
      <c r="DG200" s="587" t="n"/>
      <c r="DH200" s="587" t="n"/>
      <c r="DI200" s="587" t="n"/>
      <c r="DJ200" s="587" t="n"/>
      <c r="DK200" s="587" t="n"/>
      <c r="DL200" s="587" t="n"/>
      <c r="DM200" s="587" t="n"/>
      <c r="DN200" s="587" t="n"/>
      <c r="DO200" s="587" t="n"/>
      <c r="DP200" s="587" t="n"/>
      <c r="DQ200" s="587" t="n"/>
      <c r="DR200" s="587" t="n"/>
      <c r="DS200" s="587" t="n"/>
      <c r="DT200" s="587" t="n"/>
      <c r="DU200" s="587" t="n"/>
      <c r="DV200" s="587" t="n"/>
      <c r="DW200" s="587" t="n"/>
      <c r="DX200" s="587" t="n"/>
      <c r="DY200" s="587" t="n"/>
      <c r="DZ200" s="587" t="n"/>
      <c r="EA200" s="587" t="n"/>
      <c r="EB200" s="587" t="n"/>
      <c r="EC200" s="587" t="n"/>
      <c r="ED200" s="587" t="n"/>
      <c r="EE200" s="587" t="n"/>
      <c r="EF200" s="587" t="n"/>
      <c r="EG200" s="587" t="n"/>
      <c r="EH200" s="587" t="n"/>
      <c r="EI200" s="587" t="n"/>
      <c r="EJ200" s="587" t="n"/>
      <c r="EK200" s="587" t="n"/>
      <c r="EL200" s="587" t="n"/>
      <c r="EM200" s="587" t="n"/>
      <c r="EN200" s="587" t="n"/>
      <c r="EO200" s="587" t="n"/>
      <c r="EP200" s="587" t="n"/>
      <c r="EQ200" s="587" t="n"/>
      <c r="ER200" s="587" t="n"/>
      <c r="ES200" s="587" t="n"/>
      <c r="ET200" s="587" t="n"/>
      <c r="EU200" s="587" t="n"/>
      <c r="EV200" s="587" t="n"/>
      <c r="EW200" s="587" t="n"/>
      <c r="EX200" s="587" t="n"/>
      <c r="EY200" s="587" t="n"/>
      <c r="EZ200" s="587" t="n"/>
      <c r="FA200" s="587" t="n"/>
      <c r="FB200" s="587" t="n"/>
      <c r="FC200" s="587" t="n"/>
      <c r="FD200" s="587" t="n"/>
      <c r="FE200" s="587" t="n"/>
      <c r="FF200" s="587" t="n"/>
      <c r="FG200" s="587" t="n"/>
      <c r="FH200" s="587" t="n"/>
      <c r="FI200" s="587" t="n"/>
      <c r="FJ200" s="587" t="n"/>
      <c r="FK200" s="587" t="n"/>
      <c r="FL200" s="587" t="n"/>
      <c r="FM200" s="587" t="n"/>
      <c r="FN200" s="587" t="n"/>
      <c r="FO200" s="587" t="n"/>
      <c r="FP200" s="587" t="n"/>
      <c r="FQ200" s="587" t="n"/>
      <c r="FR200" s="587" t="n"/>
      <c r="FS200" s="587" t="n"/>
      <c r="FT200" s="587" t="n"/>
      <c r="FU200" s="587" t="n"/>
      <c r="FV200" s="587" t="n"/>
      <c r="FW200" s="587" t="n"/>
      <c r="FX200" s="587" t="n"/>
      <c r="FY200" s="587" t="n"/>
      <c r="FZ200" s="587" t="n"/>
      <c r="GA200" s="587" t="n"/>
    </row>
    <row r="201" customFormat="1" s="568">
      <c r="A201" s="86" t="n"/>
      <c r="B201" s="85" t="n"/>
      <c r="C201" s="84">
        <f>E201*D$5</f>
        <v/>
      </c>
      <c r="D201" s="68" t="n"/>
      <c r="E201" s="84">
        <f>SUM(G201:HT201)</f>
        <v/>
      </c>
      <c r="Q201" s="574" t="n"/>
      <c r="Z201" s="574" t="n"/>
      <c r="AA201" s="574" t="n"/>
      <c r="AB201" s="574" t="n"/>
      <c r="AC201" s="176" t="n"/>
      <c r="AD201" s="176" t="n"/>
      <c r="AE201" s="176" t="n"/>
      <c r="AF201" s="176" t="n"/>
      <c r="AH201" s="574" t="n"/>
      <c r="AJ201" s="574" t="n"/>
      <c r="CM201" s="587" t="n"/>
      <c r="CN201" s="587" t="n"/>
      <c r="CO201" s="587" t="n"/>
      <c r="CP201" s="587" t="n"/>
      <c r="CQ201" s="587" t="n"/>
      <c r="CR201" s="587" t="n"/>
      <c r="CS201" s="587" t="n"/>
      <c r="CT201" s="587" t="n"/>
      <c r="CU201" s="587" t="n"/>
      <c r="CV201" s="587" t="n"/>
      <c r="CW201" s="587" t="n"/>
      <c r="CX201" s="587" t="n"/>
      <c r="CY201" s="587" t="n"/>
      <c r="CZ201" s="587" t="n"/>
      <c r="DA201" s="587" t="n"/>
      <c r="DB201" s="587" t="n"/>
      <c r="DC201" s="587" t="n"/>
      <c r="DD201" s="587" t="n"/>
      <c r="DE201" s="587" t="n"/>
      <c r="DF201" s="587" t="n"/>
      <c r="DG201" s="587" t="n"/>
      <c r="DH201" s="587" t="n"/>
      <c r="DI201" s="587" t="n"/>
      <c r="DJ201" s="587" t="n"/>
      <c r="DK201" s="587" t="n"/>
      <c r="DL201" s="587" t="n"/>
      <c r="DM201" s="587" t="n"/>
      <c r="DN201" s="587" t="n"/>
      <c r="DO201" s="587" t="n"/>
      <c r="DP201" s="587" t="n"/>
      <c r="DQ201" s="587" t="n"/>
      <c r="DR201" s="587" t="n"/>
      <c r="DS201" s="587" t="n"/>
      <c r="DT201" s="587" t="n"/>
      <c r="DU201" s="587" t="n"/>
      <c r="DV201" s="587" t="n"/>
      <c r="DW201" s="587" t="n"/>
      <c r="DX201" s="587" t="n"/>
      <c r="DY201" s="587" t="n"/>
      <c r="DZ201" s="587" t="n"/>
      <c r="EA201" s="587" t="n"/>
      <c r="EB201" s="587" t="n"/>
      <c r="EC201" s="587" t="n"/>
      <c r="ED201" s="587" t="n"/>
      <c r="EE201" s="587" t="n"/>
      <c r="EF201" s="587" t="n"/>
      <c r="EG201" s="587" t="n"/>
      <c r="EH201" s="587" t="n"/>
      <c r="EI201" s="587" t="n"/>
      <c r="EJ201" s="587" t="n"/>
      <c r="EK201" s="587" t="n"/>
      <c r="EL201" s="587" t="n"/>
      <c r="EM201" s="587" t="n"/>
      <c r="EN201" s="587" t="n"/>
      <c r="EO201" s="587" t="n"/>
      <c r="EP201" s="587" t="n"/>
      <c r="EQ201" s="587" t="n"/>
      <c r="ER201" s="587" t="n"/>
      <c r="ES201" s="587" t="n"/>
      <c r="ET201" s="587" t="n"/>
      <c r="EU201" s="587" t="n"/>
      <c r="EV201" s="587" t="n"/>
      <c r="EW201" s="587" t="n"/>
      <c r="EX201" s="587" t="n"/>
      <c r="EY201" s="587" t="n"/>
      <c r="EZ201" s="587" t="n"/>
      <c r="FA201" s="587" t="n"/>
      <c r="FB201" s="587" t="n"/>
      <c r="FC201" s="587" t="n"/>
      <c r="FD201" s="587" t="n"/>
      <c r="FE201" s="587" t="n"/>
      <c r="FF201" s="587" t="n"/>
      <c r="FG201" s="587" t="n"/>
      <c r="FH201" s="587" t="n"/>
      <c r="FI201" s="587" t="n"/>
      <c r="FJ201" s="587" t="n"/>
      <c r="FK201" s="587" t="n"/>
      <c r="FL201" s="587" t="n"/>
      <c r="FM201" s="587" t="n"/>
      <c r="FN201" s="587" t="n"/>
      <c r="FO201" s="587" t="n"/>
      <c r="FP201" s="587" t="n"/>
      <c r="FQ201" s="587" t="n"/>
      <c r="FR201" s="587" t="n"/>
      <c r="FS201" s="587" t="n"/>
      <c r="FT201" s="587" t="n"/>
      <c r="FU201" s="587" t="n"/>
      <c r="FV201" s="587" t="n"/>
      <c r="FW201" s="587" t="n"/>
      <c r="FX201" s="587" t="n"/>
      <c r="FY201" s="587" t="n"/>
      <c r="FZ201" s="587" t="n"/>
      <c r="GA201" s="587" t="n"/>
    </row>
    <row r="202" customFormat="1" s="568">
      <c r="A202" s="86" t="n"/>
      <c r="B202" s="85" t="n"/>
      <c r="C202" s="84">
        <f>E202*D$5</f>
        <v/>
      </c>
      <c r="D202" s="68" t="n"/>
      <c r="E202" s="84">
        <f>SUM(G202:HT202)</f>
        <v/>
      </c>
      <c r="Q202" s="574" t="n"/>
      <c r="Z202" s="574" t="n"/>
      <c r="AA202" s="574" t="n"/>
      <c r="AB202" s="574" t="n"/>
      <c r="AC202" s="169" t="n"/>
      <c r="AD202" s="169" t="n"/>
      <c r="AE202" s="169" t="n"/>
      <c r="AF202" s="169" t="n"/>
      <c r="AH202" s="176" t="n"/>
      <c r="AJ202" s="574" t="n"/>
      <c r="CM202" s="587" t="n"/>
      <c r="CN202" s="587" t="n"/>
      <c r="CO202" s="587" t="n"/>
      <c r="CP202" s="587" t="n"/>
      <c r="CQ202" s="587" t="n"/>
      <c r="CR202" s="587" t="n"/>
      <c r="CS202" s="587" t="n"/>
      <c r="CT202" s="587" t="n"/>
      <c r="CU202" s="587" t="n"/>
      <c r="CV202" s="587" t="n"/>
      <c r="CW202" s="587" t="n"/>
      <c r="CX202" s="587" t="n"/>
      <c r="CY202" s="587" t="n"/>
      <c r="CZ202" s="587" t="n"/>
      <c r="DA202" s="587" t="n"/>
      <c r="DB202" s="587" t="n"/>
      <c r="DC202" s="587" t="n"/>
      <c r="DD202" s="587" t="n"/>
      <c r="DE202" s="587" t="n"/>
      <c r="DF202" s="587" t="n"/>
      <c r="DG202" s="587" t="n"/>
      <c r="DH202" s="587" t="n"/>
      <c r="DI202" s="587" t="n"/>
      <c r="DJ202" s="587" t="n"/>
      <c r="DK202" s="587" t="n"/>
      <c r="DL202" s="587" t="n"/>
      <c r="DM202" s="587" t="n"/>
      <c r="DN202" s="587" t="n"/>
      <c r="DO202" s="587" t="n"/>
      <c r="DP202" s="587" t="n"/>
      <c r="DQ202" s="587" t="n"/>
      <c r="DR202" s="587" t="n"/>
      <c r="DS202" s="587" t="n"/>
      <c r="DT202" s="587" t="n"/>
      <c r="DU202" s="587" t="n"/>
      <c r="DV202" s="587" t="n"/>
      <c r="DW202" s="587" t="n"/>
      <c r="DX202" s="587" t="n"/>
      <c r="DY202" s="587" t="n"/>
      <c r="DZ202" s="587" t="n"/>
      <c r="EA202" s="587" t="n"/>
      <c r="EB202" s="587" t="n"/>
      <c r="EC202" s="587" t="n"/>
      <c r="ED202" s="587" t="n"/>
      <c r="EE202" s="587" t="n"/>
      <c r="EF202" s="587" t="n"/>
      <c r="EG202" s="587" t="n"/>
      <c r="EH202" s="587" t="n"/>
      <c r="EI202" s="587" t="n"/>
      <c r="EJ202" s="587" t="n"/>
      <c r="EK202" s="587" t="n"/>
      <c r="EL202" s="587" t="n"/>
      <c r="EM202" s="587" t="n"/>
      <c r="EN202" s="587" t="n"/>
      <c r="EO202" s="587" t="n"/>
      <c r="EP202" s="587" t="n"/>
      <c r="EQ202" s="587" t="n"/>
      <c r="ER202" s="587" t="n"/>
      <c r="ES202" s="587" t="n"/>
      <c r="ET202" s="587" t="n"/>
      <c r="EU202" s="587" t="n"/>
      <c r="EV202" s="587" t="n"/>
      <c r="EW202" s="587" t="n"/>
      <c r="EX202" s="587" t="n"/>
      <c r="EY202" s="587" t="n"/>
      <c r="EZ202" s="587" t="n"/>
      <c r="FA202" s="587" t="n"/>
      <c r="FB202" s="587" t="n"/>
      <c r="FC202" s="587" t="n"/>
      <c r="FD202" s="587" t="n"/>
      <c r="FE202" s="587" t="n"/>
      <c r="FF202" s="587" t="n"/>
      <c r="FG202" s="587" t="n"/>
      <c r="FH202" s="587" t="n"/>
      <c r="FI202" s="587" t="n"/>
      <c r="FJ202" s="587" t="n"/>
      <c r="FK202" s="587" t="n"/>
      <c r="FL202" s="587" t="n"/>
      <c r="FM202" s="587" t="n"/>
      <c r="FN202" s="587" t="n"/>
      <c r="FO202" s="587" t="n"/>
      <c r="FP202" s="587" t="n"/>
      <c r="FQ202" s="587" t="n"/>
      <c r="FR202" s="587" t="n"/>
      <c r="FS202" s="587" t="n"/>
      <c r="FT202" s="587" t="n"/>
      <c r="FU202" s="587" t="n"/>
      <c r="FV202" s="587" t="n"/>
      <c r="FW202" s="587" t="n"/>
      <c r="FX202" s="587" t="n"/>
      <c r="FY202" s="587" t="n"/>
      <c r="FZ202" s="587" t="n"/>
      <c r="GA202" s="587" t="n"/>
    </row>
    <row r="203" customFormat="1" s="568">
      <c r="A203" s="86" t="n"/>
      <c r="B203" s="85" t="n"/>
      <c r="C203" s="84">
        <f>E203*D$5</f>
        <v/>
      </c>
      <c r="D203" s="68" t="n"/>
      <c r="E203" s="84">
        <f>SUM(G203:HT203)</f>
        <v/>
      </c>
      <c r="Q203" s="574" t="n"/>
      <c r="Z203" s="574" t="n"/>
      <c r="AA203" s="574" t="n"/>
      <c r="AB203" s="574" t="n"/>
      <c r="AC203" s="169" t="n"/>
      <c r="AD203" s="169" t="n"/>
      <c r="AE203" s="169" t="n"/>
      <c r="AF203" s="169" t="n"/>
      <c r="AH203" s="169" t="n"/>
      <c r="AJ203" s="574" t="n"/>
      <c r="CM203" s="587" t="n"/>
      <c r="CN203" s="587" t="n"/>
      <c r="CO203" s="587" t="n"/>
      <c r="CP203" s="587" t="n"/>
      <c r="CQ203" s="587" t="n"/>
      <c r="CR203" s="587" t="n"/>
      <c r="CS203" s="587" t="n"/>
      <c r="CT203" s="587" t="n"/>
      <c r="CU203" s="587" t="n"/>
      <c r="CV203" s="587" t="n"/>
      <c r="CW203" s="587" t="n"/>
      <c r="CX203" s="587" t="n"/>
      <c r="CY203" s="587" t="n"/>
      <c r="CZ203" s="587" t="n"/>
      <c r="DA203" s="587" t="n"/>
      <c r="DB203" s="587" t="n"/>
      <c r="DC203" s="587" t="n"/>
      <c r="DD203" s="587" t="n"/>
      <c r="DE203" s="587" t="n"/>
      <c r="DF203" s="587" t="n"/>
      <c r="DG203" s="587" t="n"/>
      <c r="DH203" s="587" t="n"/>
      <c r="DI203" s="587" t="n"/>
      <c r="DJ203" s="587" t="n"/>
      <c r="DK203" s="587" t="n"/>
      <c r="DL203" s="587" t="n"/>
      <c r="DM203" s="587" t="n"/>
      <c r="DN203" s="587" t="n"/>
      <c r="DO203" s="587" t="n"/>
      <c r="DP203" s="587" t="n"/>
      <c r="DQ203" s="587" t="n"/>
      <c r="DR203" s="587" t="n"/>
      <c r="DS203" s="587" t="n"/>
      <c r="DT203" s="587" t="n"/>
      <c r="DU203" s="587" t="n"/>
      <c r="DV203" s="587" t="n"/>
      <c r="DW203" s="587" t="n"/>
      <c r="DX203" s="587" t="n"/>
      <c r="DY203" s="587" t="n"/>
      <c r="DZ203" s="587" t="n"/>
      <c r="EA203" s="587" t="n"/>
      <c r="EB203" s="587" t="n"/>
      <c r="EC203" s="587" t="n"/>
      <c r="ED203" s="587" t="n"/>
      <c r="EE203" s="587" t="n"/>
      <c r="EF203" s="587" t="n"/>
      <c r="EG203" s="587" t="n"/>
      <c r="EH203" s="587" t="n"/>
      <c r="EI203" s="587" t="n"/>
      <c r="EJ203" s="587" t="n"/>
      <c r="EK203" s="587" t="n"/>
      <c r="EL203" s="587" t="n"/>
      <c r="EM203" s="587" t="n"/>
      <c r="EN203" s="587" t="n"/>
      <c r="EO203" s="587" t="n"/>
      <c r="EP203" s="587" t="n"/>
      <c r="EQ203" s="587" t="n"/>
      <c r="ER203" s="587" t="n"/>
      <c r="ES203" s="587" t="n"/>
      <c r="ET203" s="587" t="n"/>
      <c r="EU203" s="587" t="n"/>
      <c r="EV203" s="587" t="n"/>
      <c r="EW203" s="587" t="n"/>
      <c r="EX203" s="587" t="n"/>
      <c r="EY203" s="587" t="n"/>
      <c r="EZ203" s="587" t="n"/>
      <c r="FA203" s="587" t="n"/>
      <c r="FB203" s="587" t="n"/>
      <c r="FC203" s="587" t="n"/>
      <c r="FD203" s="587" t="n"/>
      <c r="FE203" s="587" t="n"/>
      <c r="FF203" s="587" t="n"/>
      <c r="FG203" s="587" t="n"/>
      <c r="FH203" s="587" t="n"/>
      <c r="FI203" s="587" t="n"/>
      <c r="FJ203" s="587" t="n"/>
      <c r="FK203" s="587" t="n"/>
      <c r="FL203" s="587" t="n"/>
      <c r="FM203" s="587" t="n"/>
      <c r="FN203" s="587" t="n"/>
      <c r="FO203" s="587" t="n"/>
      <c r="FP203" s="587" t="n"/>
      <c r="FQ203" s="587" t="n"/>
      <c r="FR203" s="587" t="n"/>
      <c r="FS203" s="587" t="n"/>
      <c r="FT203" s="587" t="n"/>
      <c r="FU203" s="587" t="n"/>
      <c r="FV203" s="587" t="n"/>
      <c r="FW203" s="587" t="n"/>
      <c r="FX203" s="587" t="n"/>
      <c r="FY203" s="587" t="n"/>
      <c r="FZ203" s="587" t="n"/>
      <c r="GA203" s="587" t="n"/>
    </row>
    <row r="204" customFormat="1" s="568">
      <c r="A204" s="86" t="n"/>
      <c r="B204" s="85" t="n"/>
      <c r="C204" s="84">
        <f>E204*D$5</f>
        <v/>
      </c>
      <c r="D204" s="68" t="n"/>
      <c r="E204" s="84">
        <f>SUM(G204:HT204)</f>
        <v/>
      </c>
      <c r="Q204" s="574" t="n"/>
      <c r="Z204" s="574" t="n"/>
      <c r="AA204" s="574" t="n"/>
      <c r="AB204" s="574" t="n"/>
      <c r="AC204" s="169" t="n"/>
      <c r="AD204" s="169" t="n"/>
      <c r="AE204" s="169" t="n"/>
      <c r="AF204" s="169" t="n"/>
      <c r="AH204" s="169" t="n"/>
      <c r="AJ204" s="574" t="n"/>
      <c r="CM204" s="587" t="n"/>
      <c r="CN204" s="587" t="n"/>
      <c r="CO204" s="587" t="n"/>
      <c r="CP204" s="587" t="n"/>
      <c r="CQ204" s="587" t="n"/>
      <c r="CR204" s="587" t="n"/>
      <c r="CS204" s="587" t="n"/>
      <c r="CT204" s="587" t="n"/>
      <c r="CU204" s="587" t="n"/>
      <c r="CV204" s="587" t="n"/>
      <c r="CW204" s="587" t="n"/>
      <c r="CX204" s="587" t="n"/>
      <c r="CY204" s="587" t="n"/>
      <c r="CZ204" s="587" t="n"/>
      <c r="DA204" s="587" t="n"/>
      <c r="DB204" s="587" t="n"/>
      <c r="DC204" s="587" t="n"/>
      <c r="DD204" s="587" t="n"/>
      <c r="DE204" s="587" t="n"/>
      <c r="DF204" s="587" t="n"/>
      <c r="DG204" s="587" t="n"/>
      <c r="DH204" s="587" t="n"/>
      <c r="DI204" s="587" t="n"/>
      <c r="DJ204" s="587" t="n"/>
      <c r="DK204" s="587" t="n"/>
      <c r="DL204" s="587" t="n"/>
      <c r="DM204" s="587" t="n"/>
      <c r="DN204" s="587" t="n"/>
      <c r="DO204" s="587" t="n"/>
      <c r="DP204" s="587" t="n"/>
      <c r="DQ204" s="587" t="n"/>
      <c r="DR204" s="587" t="n"/>
      <c r="DS204" s="587" t="n"/>
      <c r="DT204" s="587" t="n"/>
      <c r="DU204" s="587" t="n"/>
      <c r="DV204" s="587" t="n"/>
      <c r="DW204" s="587" t="n"/>
      <c r="DX204" s="587" t="n"/>
      <c r="DY204" s="587" t="n"/>
      <c r="DZ204" s="587" t="n"/>
      <c r="EA204" s="587" t="n"/>
      <c r="EB204" s="587" t="n"/>
      <c r="EC204" s="587" t="n"/>
      <c r="ED204" s="587" t="n"/>
      <c r="EE204" s="587" t="n"/>
      <c r="EF204" s="587" t="n"/>
      <c r="EG204" s="587" t="n"/>
      <c r="EH204" s="587" t="n"/>
      <c r="EI204" s="587" t="n"/>
      <c r="EJ204" s="587" t="n"/>
      <c r="EK204" s="587" t="n"/>
      <c r="EL204" s="587" t="n"/>
      <c r="EM204" s="587" t="n"/>
      <c r="EN204" s="587" t="n"/>
      <c r="EO204" s="587" t="n"/>
      <c r="EP204" s="587" t="n"/>
      <c r="EQ204" s="587" t="n"/>
      <c r="ER204" s="587" t="n"/>
      <c r="ES204" s="587" t="n"/>
      <c r="ET204" s="587" t="n"/>
      <c r="EU204" s="587" t="n"/>
      <c r="EV204" s="587" t="n"/>
      <c r="EW204" s="587" t="n"/>
      <c r="EX204" s="587" t="n"/>
      <c r="EY204" s="587" t="n"/>
      <c r="EZ204" s="587" t="n"/>
      <c r="FA204" s="587" t="n"/>
      <c r="FB204" s="587" t="n"/>
      <c r="FC204" s="587" t="n"/>
      <c r="FD204" s="587" t="n"/>
      <c r="FE204" s="587" t="n"/>
      <c r="FF204" s="587" t="n"/>
      <c r="FG204" s="587" t="n"/>
      <c r="FH204" s="587" t="n"/>
      <c r="FI204" s="587" t="n"/>
      <c r="FJ204" s="587" t="n"/>
      <c r="FK204" s="587" t="n"/>
      <c r="FL204" s="587" t="n"/>
      <c r="FM204" s="587" t="n"/>
      <c r="FN204" s="587" t="n"/>
      <c r="FO204" s="587" t="n"/>
      <c r="FP204" s="587" t="n"/>
      <c r="FQ204" s="587" t="n"/>
      <c r="FR204" s="587" t="n"/>
      <c r="FS204" s="587" t="n"/>
      <c r="FT204" s="587" t="n"/>
      <c r="FU204" s="587" t="n"/>
      <c r="FV204" s="587" t="n"/>
      <c r="FW204" s="587" t="n"/>
      <c r="FX204" s="587" t="n"/>
      <c r="FY204" s="587" t="n"/>
      <c r="FZ204" s="587" t="n"/>
      <c r="GA204" s="587" t="n"/>
    </row>
    <row r="205" customFormat="1" s="568">
      <c r="A205" s="86" t="n"/>
      <c r="B205" s="85" t="n"/>
      <c r="C205" s="84">
        <f>E205*D$5</f>
        <v/>
      </c>
      <c r="D205" s="68" t="n"/>
      <c r="E205" s="84">
        <f>SUM(G205:HT205)</f>
        <v/>
      </c>
      <c r="Q205" s="574" t="n"/>
      <c r="Z205" s="574" t="n"/>
      <c r="AA205" s="574" t="n"/>
      <c r="AB205" s="574" t="n"/>
      <c r="AC205" s="169" t="n"/>
      <c r="AD205" s="169" t="n"/>
      <c r="AE205" s="169" t="n"/>
      <c r="AF205" s="169" t="n"/>
      <c r="AH205" s="169" t="n"/>
      <c r="AJ205" s="574" t="n"/>
      <c r="CM205" s="587" t="n"/>
      <c r="CN205" s="587" t="n"/>
      <c r="CO205" s="587" t="n"/>
      <c r="CP205" s="587" t="n"/>
      <c r="CQ205" s="587" t="n"/>
      <c r="CR205" s="587" t="n"/>
      <c r="CS205" s="587" t="n"/>
      <c r="CT205" s="587" t="n"/>
      <c r="CU205" s="587" t="n"/>
      <c r="CV205" s="587" t="n"/>
      <c r="CW205" s="587" t="n"/>
      <c r="CX205" s="587" t="n"/>
      <c r="CY205" s="587" t="n"/>
      <c r="CZ205" s="587" t="n"/>
      <c r="DA205" s="587" t="n"/>
      <c r="DB205" s="587" t="n"/>
      <c r="DC205" s="587" t="n"/>
      <c r="DD205" s="587" t="n"/>
      <c r="DE205" s="587" t="n"/>
      <c r="DF205" s="587" t="n"/>
      <c r="DG205" s="587" t="n"/>
      <c r="DH205" s="587" t="n"/>
      <c r="DI205" s="587" t="n"/>
      <c r="DJ205" s="587" t="n"/>
      <c r="DK205" s="587" t="n"/>
      <c r="DL205" s="587" t="n"/>
      <c r="DM205" s="587" t="n"/>
      <c r="DN205" s="587" t="n"/>
      <c r="DO205" s="587" t="n"/>
      <c r="DP205" s="587" t="n"/>
      <c r="DQ205" s="587" t="n"/>
      <c r="DR205" s="587" t="n"/>
      <c r="DS205" s="587" t="n"/>
      <c r="DT205" s="587" t="n"/>
      <c r="DU205" s="587" t="n"/>
      <c r="DV205" s="587" t="n"/>
      <c r="DW205" s="587" t="n"/>
      <c r="DX205" s="587" t="n"/>
      <c r="DY205" s="587" t="n"/>
      <c r="DZ205" s="587" t="n"/>
      <c r="EA205" s="587" t="n"/>
      <c r="EB205" s="587" t="n"/>
      <c r="EC205" s="587" t="n"/>
      <c r="ED205" s="587" t="n"/>
      <c r="EE205" s="587" t="n"/>
      <c r="EF205" s="587" t="n"/>
      <c r="EG205" s="587" t="n"/>
      <c r="EH205" s="587" t="n"/>
      <c r="EI205" s="587" t="n"/>
      <c r="EJ205" s="587" t="n"/>
      <c r="EK205" s="587" t="n"/>
      <c r="EL205" s="587" t="n"/>
      <c r="EM205" s="587" t="n"/>
      <c r="EN205" s="587" t="n"/>
      <c r="EO205" s="587" t="n"/>
      <c r="EP205" s="587" t="n"/>
      <c r="EQ205" s="587" t="n"/>
      <c r="ER205" s="587" t="n"/>
      <c r="ES205" s="587" t="n"/>
      <c r="ET205" s="587" t="n"/>
      <c r="EU205" s="587" t="n"/>
      <c r="EV205" s="587" t="n"/>
      <c r="EW205" s="587" t="n"/>
      <c r="EX205" s="587" t="n"/>
      <c r="EY205" s="587" t="n"/>
      <c r="EZ205" s="587" t="n"/>
      <c r="FA205" s="587" t="n"/>
      <c r="FB205" s="587" t="n"/>
      <c r="FC205" s="587" t="n"/>
      <c r="FD205" s="587" t="n"/>
      <c r="FE205" s="587" t="n"/>
      <c r="FF205" s="587" t="n"/>
      <c r="FG205" s="587" t="n"/>
      <c r="FH205" s="587" t="n"/>
      <c r="FI205" s="587" t="n"/>
      <c r="FJ205" s="587" t="n"/>
      <c r="FK205" s="587" t="n"/>
      <c r="FL205" s="587" t="n"/>
      <c r="FM205" s="587" t="n"/>
      <c r="FN205" s="587" t="n"/>
      <c r="FO205" s="587" t="n"/>
      <c r="FP205" s="587" t="n"/>
      <c r="FQ205" s="587" t="n"/>
      <c r="FR205" s="587" t="n"/>
      <c r="FS205" s="587" t="n"/>
      <c r="FT205" s="587" t="n"/>
      <c r="FU205" s="587" t="n"/>
      <c r="FV205" s="587" t="n"/>
      <c r="FW205" s="587" t="n"/>
      <c r="FX205" s="587" t="n"/>
      <c r="FY205" s="587" t="n"/>
      <c r="FZ205" s="587" t="n"/>
      <c r="GA205" s="587" t="n"/>
    </row>
    <row r="206" customFormat="1" s="77">
      <c r="A206" s="82" t="n"/>
      <c r="B206" s="81" t="n"/>
      <c r="C206" s="80" t="n"/>
      <c r="D206" s="79" t="inlineStr">
        <is>
          <t>If additional Rows are needed,</t>
        </is>
      </c>
      <c r="E206" s="78" t="n"/>
      <c r="Q206" s="574" t="n"/>
      <c r="Z206" s="176" t="n"/>
      <c r="AA206" s="574" t="n"/>
      <c r="AB206" s="574" t="n"/>
      <c r="AC206" s="169" t="n"/>
      <c r="AD206" s="169" t="n"/>
      <c r="AE206" s="169" t="n"/>
      <c r="AF206" s="169" t="n"/>
      <c r="AH206" s="169" t="n"/>
      <c r="AJ206" s="176" t="n"/>
      <c r="CM206" s="471" t="n"/>
      <c r="CN206" s="471" t="n"/>
      <c r="CO206" s="471" t="n"/>
      <c r="CP206" s="471" t="n"/>
      <c r="CQ206" s="471" t="n"/>
      <c r="CR206" s="471" t="n"/>
      <c r="CS206" s="471" t="n"/>
      <c r="CT206" s="471" t="n"/>
      <c r="CU206" s="471" t="n"/>
      <c r="CV206" s="471" t="n"/>
      <c r="CW206" s="471" t="n"/>
      <c r="CX206" s="471" t="n"/>
      <c r="CY206" s="471" t="n"/>
      <c r="CZ206" s="471" t="n"/>
      <c r="DA206" s="471" t="n"/>
      <c r="DB206" s="471" t="n"/>
      <c r="DC206" s="471" t="n"/>
      <c r="DD206" s="471" t="n"/>
      <c r="DE206" s="471" t="n"/>
      <c r="DF206" s="471" t="n"/>
      <c r="DG206" s="471" t="n"/>
      <c r="DH206" s="471" t="n"/>
      <c r="DI206" s="471" t="n"/>
      <c r="DJ206" s="471" t="n"/>
      <c r="DK206" s="471" t="n"/>
      <c r="DL206" s="471" t="n"/>
      <c r="DM206" s="471" t="n"/>
      <c r="DN206" s="471" t="n"/>
      <c r="DO206" s="471" t="n"/>
      <c r="DP206" s="471" t="n"/>
      <c r="DQ206" s="471" t="n"/>
      <c r="DR206" s="471" t="n"/>
      <c r="DS206" s="471" t="n"/>
      <c r="DT206" s="471" t="n"/>
      <c r="DU206" s="471" t="n"/>
      <c r="DV206" s="471" t="n"/>
      <c r="DW206" s="471" t="n"/>
      <c r="DX206" s="471" t="n"/>
      <c r="DY206" s="471" t="n"/>
      <c r="DZ206" s="471" t="n"/>
      <c r="EA206" s="471" t="n"/>
      <c r="EB206" s="471" t="n"/>
      <c r="EC206" s="471" t="n"/>
      <c r="ED206" s="471" t="n"/>
      <c r="EE206" s="471" t="n"/>
      <c r="EF206" s="471" t="n"/>
      <c r="EG206" s="471" t="n"/>
      <c r="EH206" s="471" t="n"/>
      <c r="EI206" s="471" t="n"/>
      <c r="EJ206" s="471" t="n"/>
      <c r="EK206" s="471" t="n"/>
      <c r="EL206" s="471" t="n"/>
      <c r="EM206" s="471" t="n"/>
      <c r="EN206" s="471" t="n"/>
      <c r="EO206" s="471" t="n"/>
      <c r="EP206" s="471" t="n"/>
      <c r="EQ206" s="471" t="n"/>
      <c r="ER206" s="471" t="n"/>
      <c r="ES206" s="471" t="n"/>
      <c r="ET206" s="471" t="n"/>
      <c r="EU206" s="471" t="n"/>
      <c r="EV206" s="471" t="n"/>
      <c r="EW206" s="471" t="n"/>
      <c r="EX206" s="471" t="n"/>
      <c r="EY206" s="471" t="n"/>
      <c r="EZ206" s="471" t="n"/>
      <c r="FA206" s="471" t="n"/>
      <c r="FB206" s="471" t="n"/>
      <c r="FC206" s="471" t="n"/>
      <c r="FD206" s="471" t="n"/>
      <c r="FE206" s="471" t="n"/>
      <c r="FF206" s="471" t="n"/>
      <c r="FG206" s="471" t="n"/>
      <c r="FH206" s="471" t="n"/>
      <c r="FI206" s="471" t="n"/>
      <c r="FJ206" s="471" t="n"/>
      <c r="FK206" s="471" t="n"/>
      <c r="FL206" s="471" t="n"/>
      <c r="FM206" s="471" t="n"/>
      <c r="FN206" s="471" t="n"/>
      <c r="FO206" s="471" t="n"/>
      <c r="FP206" s="471" t="n"/>
      <c r="FQ206" s="471" t="n"/>
      <c r="FR206" s="471" t="n"/>
      <c r="FS206" s="471" t="n"/>
      <c r="FT206" s="471" t="n"/>
      <c r="FU206" s="471" t="n"/>
      <c r="FV206" s="471" t="n"/>
      <c r="FW206" s="471" t="n"/>
      <c r="FX206" s="471" t="n"/>
      <c r="FY206" s="471" t="n"/>
      <c r="FZ206" s="471" t="n"/>
      <c r="GA206" s="471" t="n"/>
    </row>
    <row r="207" customFormat="1" s="74">
      <c r="A207" s="73" t="n"/>
      <c r="B207" s="72" t="n"/>
      <c r="C207" s="71" t="n"/>
      <c r="D207" s="70" t="inlineStr">
        <is>
          <t>Insert them prior to the last row listed.</t>
        </is>
      </c>
      <c r="E207" s="69" t="n"/>
      <c r="Q207" s="574" t="n"/>
      <c r="Z207" s="169" t="n"/>
      <c r="AA207" s="574" t="n"/>
      <c r="AB207" s="176" t="n"/>
      <c r="AC207" s="169" t="n"/>
      <c r="AD207" s="169" t="n"/>
      <c r="AE207" s="169" t="n"/>
      <c r="AF207" s="169" t="n"/>
      <c r="AH207" s="169" t="n"/>
      <c r="AJ207" s="169" t="n"/>
      <c r="CM207" s="129" t="n"/>
      <c r="CN207" s="129" t="n"/>
      <c r="CO207" s="129" t="n"/>
      <c r="CP207" s="129" t="n"/>
      <c r="CQ207" s="129" t="n"/>
      <c r="CR207" s="129" t="n"/>
      <c r="CS207" s="129" t="n"/>
      <c r="CT207" s="129" t="n"/>
      <c r="CU207" s="129" t="n"/>
      <c r="CV207" s="129" t="n"/>
      <c r="CW207" s="129" t="n"/>
      <c r="CX207" s="129" t="n"/>
      <c r="CY207" s="129" t="n"/>
      <c r="CZ207" s="129" t="n"/>
      <c r="DA207" s="129" t="n"/>
      <c r="DB207" s="129" t="n"/>
      <c r="DC207" s="129" t="n"/>
      <c r="DD207" s="129" t="n"/>
      <c r="DE207" s="129" t="n"/>
      <c r="DF207" s="129" t="n"/>
      <c r="DG207" s="129" t="n"/>
      <c r="DH207" s="129" t="n"/>
      <c r="DI207" s="129" t="n"/>
      <c r="DJ207" s="129" t="n"/>
      <c r="DK207" s="129" t="n"/>
      <c r="DL207" s="129" t="n"/>
      <c r="DM207" s="129" t="n"/>
      <c r="DN207" s="129" t="n"/>
      <c r="DO207" s="129" t="n"/>
      <c r="DP207" s="129" t="n"/>
      <c r="DQ207" s="129" t="n"/>
      <c r="DR207" s="129" t="n"/>
      <c r="DS207" s="129" t="n"/>
      <c r="DT207" s="129" t="n"/>
      <c r="DU207" s="129" t="n"/>
      <c r="DV207" s="129" t="n"/>
      <c r="DW207" s="129" t="n"/>
      <c r="DX207" s="129" t="n"/>
      <c r="DY207" s="129" t="n"/>
      <c r="DZ207" s="129" t="n"/>
      <c r="EA207" s="129" t="n"/>
      <c r="EB207" s="129" t="n"/>
      <c r="EC207" s="129" t="n"/>
      <c r="ED207" s="129" t="n"/>
      <c r="EE207" s="129" t="n"/>
      <c r="EF207" s="129" t="n"/>
      <c r="EG207" s="129" t="n"/>
      <c r="EH207" s="129" t="n"/>
      <c r="EI207" s="129" t="n"/>
      <c r="EJ207" s="129" t="n"/>
      <c r="EK207" s="129" t="n"/>
      <c r="EL207" s="129" t="n"/>
      <c r="EM207" s="129" t="n"/>
      <c r="EN207" s="129" t="n"/>
      <c r="EO207" s="129" t="n"/>
      <c r="EP207" s="129" t="n"/>
      <c r="EQ207" s="129" t="n"/>
      <c r="ER207" s="129" t="n"/>
      <c r="ES207" s="129" t="n"/>
      <c r="ET207" s="129" t="n"/>
      <c r="EU207" s="129" t="n"/>
      <c r="EV207" s="129" t="n"/>
      <c r="EW207" s="129" t="n"/>
      <c r="EX207" s="129" t="n"/>
      <c r="EY207" s="129" t="n"/>
      <c r="EZ207" s="129" t="n"/>
      <c r="FA207" s="129" t="n"/>
      <c r="FB207" s="129" t="n"/>
      <c r="FC207" s="129" t="n"/>
      <c r="FD207" s="129" t="n"/>
      <c r="FE207" s="129" t="n"/>
      <c r="FF207" s="129" t="n"/>
      <c r="FG207" s="129" t="n"/>
      <c r="FH207" s="129" t="n"/>
      <c r="FI207" s="129" t="n"/>
      <c r="FJ207" s="129" t="n"/>
      <c r="FK207" s="129" t="n"/>
      <c r="FL207" s="129" t="n"/>
      <c r="FM207" s="129" t="n"/>
      <c r="FN207" s="129" t="n"/>
      <c r="FO207" s="129" t="n"/>
      <c r="FP207" s="129" t="n"/>
      <c r="FQ207" s="129" t="n"/>
      <c r="FR207" s="129" t="n"/>
      <c r="FS207" s="129" t="n"/>
      <c r="FT207" s="129" t="n"/>
      <c r="FU207" s="129" t="n"/>
      <c r="FV207" s="129" t="n"/>
      <c r="FW207" s="129" t="n"/>
      <c r="FX207" s="129" t="n"/>
      <c r="FY207" s="129" t="n"/>
      <c r="FZ207" s="129" t="n"/>
      <c r="GA207" s="129" t="n"/>
    </row>
    <row r="208">
      <c r="A208" s="73" t="n"/>
      <c r="B208" s="72" t="n"/>
      <c r="C208" s="71" t="n"/>
      <c r="D208" s="70" t="inlineStr">
        <is>
          <t>Do NOT COPY the formulas below this line.</t>
        </is>
      </c>
      <c r="E208" s="69" t="n"/>
      <c r="Q208" s="574" t="n"/>
      <c r="AA208" s="574" t="n"/>
    </row>
    <row r="209">
      <c r="Q209" s="574" t="n"/>
      <c r="AA209" s="574" t="n"/>
    </row>
    <row r="210">
      <c r="Q210" s="176" t="n"/>
      <c r="AA210"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AI7:AI8"/>
    <mergeCell ref="Y7:Y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M7:FM8"/>
    <mergeCell ref="FU7:FU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5703125" bestFit="1" customWidth="1" style="61" min="8" max="8"/>
    <col width="10.5703125" bestFit="1" customWidth="1" style="61" min="9" max="9"/>
    <col width="10.7109375" bestFit="1" customWidth="1" style="61" min="10" max="13"/>
    <col width="9.85546875" bestFit="1" customWidth="1" style="61" min="14" max="15"/>
    <col width="10.7109375" bestFit="1" customWidth="1" style="61" min="16" max="16"/>
    <col width="9" bestFit="1" customWidth="1" style="61" min="17" max="17"/>
    <col width="9.28515625" bestFit="1" customWidth="1" style="169" min="18" max="18"/>
    <col width="9.140625" bestFit="1" customWidth="1" style="169" min="19" max="19"/>
    <col width="9.140625" bestFit="1" customWidth="1" style="61" min="20" max="20"/>
    <col width="10.140625" bestFit="1" customWidth="1" style="61" min="21" max="22"/>
    <col width="9.28515625" bestFit="1" customWidth="1" style="61" min="23" max="28"/>
    <col width="10.140625" bestFit="1" customWidth="1" style="61" min="29" max="29"/>
    <col width="9.28515625" bestFit="1" customWidth="1" style="61" min="30" max="30"/>
    <col width="9.28515625" bestFit="1" customWidth="1" style="169" min="31" max="31"/>
    <col width="9.140625" bestFit="1" customWidth="1" style="169" min="32" max="32"/>
    <col width="11.7109375" bestFit="1" customWidth="1" style="169" min="33" max="33"/>
    <col width="10.7109375" bestFit="1" customWidth="1" style="169" min="34" max="34"/>
    <col width="9.85546875" bestFit="1" customWidth="1" style="169" min="35" max="36"/>
    <col width="9.28515625" bestFit="1" customWidth="1" style="169" min="37" max="37"/>
    <col width="9.28515625" bestFit="1" customWidth="1" style="61" min="38" max="38"/>
    <col width="9.5703125" bestFit="1" customWidth="1" style="169" min="39" max="39"/>
    <col width="9.28515625" bestFit="1" customWidth="1" style="61" min="40" max="40"/>
    <col width="9" bestFit="1" customWidth="1" style="169" min="41" max="41"/>
    <col width="14.42578125" customWidth="1" style="61" min="42" max="183"/>
    <col width="3" customWidth="1" style="62" min="184" max="184"/>
    <col width="14.42578125" customWidth="1" style="61" min="185"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218" t="inlineStr">
        <is>
          <t>PROB</t>
        </is>
      </c>
      <c r="AP1" s="169" t="inlineStr">
        <is>
          <t>MD</t>
        </is>
      </c>
      <c r="AQ1" s="169" t="inlineStr">
        <is>
          <t>MD</t>
        </is>
      </c>
      <c r="AR1" s="169" t="inlineStr">
        <is>
          <t>QCMD</t>
        </is>
      </c>
      <c r="AS1" s="169" t="inlineStr">
        <is>
          <t>QCMD</t>
        </is>
      </c>
      <c r="AT1" s="169" t="inlineStr">
        <is>
          <t>MD</t>
        </is>
      </c>
      <c r="AU1" s="169" t="inlineStr">
        <is>
          <t>QCMD</t>
        </is>
      </c>
      <c r="AV1" s="169" t="inlineStr">
        <is>
          <t>MD</t>
        </is>
      </c>
      <c r="AW1" s="169" t="inlineStr">
        <is>
          <t>QCMD</t>
        </is>
      </c>
      <c r="AX1" s="169" t="inlineStr">
        <is>
          <t>MD</t>
        </is>
      </c>
      <c r="AY1" s="169" t="inlineStr">
        <is>
          <t>MD</t>
        </is>
      </c>
      <c r="AZ1" s="169" t="inlineStr">
        <is>
          <t>PROB</t>
        </is>
      </c>
      <c r="BA1" s="169" t="inlineStr">
        <is>
          <t>MD</t>
        </is>
      </c>
      <c r="BB1" s="169" t="inlineStr">
        <is>
          <t>PROB</t>
        </is>
      </c>
      <c r="BC1" s="169" t="inlineStr">
        <is>
          <t>WD</t>
        </is>
      </c>
      <c r="BD1" s="169" t="inlineStr">
        <is>
          <t>PROB</t>
        </is>
      </c>
      <c r="BE1" s="169" t="inlineStr">
        <is>
          <t>MD</t>
        </is>
      </c>
      <c r="BF1" s="169" t="inlineStr">
        <is>
          <t>MD</t>
        </is>
      </c>
      <c r="BG1" s="169" t="inlineStr">
        <is>
          <t>MD</t>
        </is>
      </c>
      <c r="BH1" s="169" t="inlineStr">
        <is>
          <t>QCMD</t>
        </is>
      </c>
      <c r="BI1" s="169" t="inlineStr">
        <is>
          <t>QCMD</t>
        </is>
      </c>
      <c r="BJ1" s="169" t="inlineStr">
        <is>
          <t>MD</t>
        </is>
      </c>
      <c r="BK1" s="169" t="inlineStr">
        <is>
          <t>MD</t>
        </is>
      </c>
      <c r="BL1" s="169" t="inlineStr">
        <is>
          <t>MD</t>
        </is>
      </c>
      <c r="BM1" s="169" t="inlineStr">
        <is>
          <t>MD</t>
        </is>
      </c>
      <c r="BN1" s="169" t="inlineStr">
        <is>
          <t>MD</t>
        </is>
      </c>
      <c r="BO1" s="169" t="inlineStr">
        <is>
          <t>PROB</t>
        </is>
      </c>
      <c r="BP1" s="169" t="inlineStr">
        <is>
          <t>MD</t>
        </is>
      </c>
      <c r="BQ1" s="169" t="inlineStr">
        <is>
          <t>MD</t>
        </is>
      </c>
      <c r="BR1" s="169" t="inlineStr">
        <is>
          <t>QCMD</t>
        </is>
      </c>
      <c r="BS1" s="169" t="inlineStr">
        <is>
          <t>PROB</t>
        </is>
      </c>
      <c r="BT1" s="169" t="inlineStr">
        <is>
          <t>QCMD</t>
        </is>
      </c>
      <c r="BU1" s="169" t="inlineStr">
        <is>
          <t>MD</t>
        </is>
      </c>
      <c r="BV1" s="169" t="inlineStr">
        <is>
          <t>QCMD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169" t="n"/>
    </row>
    <row r="2" ht="12.75" customFormat="1" customHeight="1" s="110" thickTop="1">
      <c r="A2" s="534" t="inlineStr">
        <is>
          <t>3</t>
        </is>
      </c>
      <c r="B2" s="535" t="inlineStr">
        <is>
          <t>TRACT</t>
        </is>
      </c>
      <c r="C2" s="536" t="n"/>
      <c r="D2" s="537" t="inlineStr">
        <is>
          <t>SE/4 NE/4,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220" t="inlineStr">
        <is>
          <t>1993-000918</t>
        </is>
      </c>
      <c r="AP2" s="170" t="inlineStr">
        <is>
          <t>1994-006415</t>
        </is>
      </c>
      <c r="AQ2" s="170" t="inlineStr">
        <is>
          <t>1995-003404</t>
        </is>
      </c>
      <c r="AR2" s="170" t="inlineStr">
        <is>
          <t>1997-006370</t>
        </is>
      </c>
      <c r="AS2" s="170" t="inlineStr">
        <is>
          <t>1997-005183</t>
        </is>
      </c>
      <c r="AT2" s="170" t="inlineStr">
        <is>
          <t>2000-007685</t>
        </is>
      </c>
      <c r="AU2" s="170" t="inlineStr">
        <is>
          <t>2001-000619</t>
        </is>
      </c>
      <c r="AV2" s="170" t="inlineStr">
        <is>
          <t>2001-000957</t>
        </is>
      </c>
      <c r="AW2" s="170" t="inlineStr">
        <is>
          <t>2001-001092</t>
        </is>
      </c>
      <c r="AX2" s="170" t="inlineStr">
        <is>
          <t>2001-001414</t>
        </is>
      </c>
      <c r="AY2" s="170" t="inlineStr">
        <is>
          <t>2001-001463</t>
        </is>
      </c>
      <c r="AZ2" s="170" t="inlineStr">
        <is>
          <t>2001-002342</t>
        </is>
      </c>
      <c r="BA2" s="170" t="inlineStr">
        <is>
          <t>2002-004595</t>
        </is>
      </c>
      <c r="BB2" s="170" t="inlineStr">
        <is>
          <t>2003-005699</t>
        </is>
      </c>
      <c r="BC2" s="170" t="inlineStr">
        <is>
          <t>2003-004945</t>
        </is>
      </c>
      <c r="BD2" s="170" t="inlineStr">
        <is>
          <t>2004-000099</t>
        </is>
      </c>
      <c r="BE2" s="170" t="inlineStr">
        <is>
          <t>2004-005901</t>
        </is>
      </c>
      <c r="BF2" s="170" t="inlineStr">
        <is>
          <t>2005-000158</t>
        </is>
      </c>
      <c r="BG2" s="170" t="inlineStr">
        <is>
          <t>2005-007551</t>
        </is>
      </c>
      <c r="BH2" s="170" t="inlineStr">
        <is>
          <t>2006-000154</t>
        </is>
      </c>
      <c r="BI2" s="170" t="inlineStr">
        <is>
          <t>2007-001848</t>
        </is>
      </c>
      <c r="BJ2" s="170" t="inlineStr">
        <is>
          <t>2011-001007</t>
        </is>
      </c>
      <c r="BK2" s="170" t="inlineStr">
        <is>
          <t>2011-001008</t>
        </is>
      </c>
      <c r="BL2" s="170" t="inlineStr">
        <is>
          <t>2011-001009</t>
        </is>
      </c>
      <c r="BM2" s="170" t="inlineStr">
        <is>
          <t>2011-008134</t>
        </is>
      </c>
      <c r="BN2" s="170" t="inlineStr">
        <is>
          <t>2012-004060</t>
        </is>
      </c>
      <c r="BO2" s="170" t="inlineStr">
        <is>
          <t>2013-000518</t>
        </is>
      </c>
      <c r="BP2" s="170" t="inlineStr">
        <is>
          <t>2014-003089</t>
        </is>
      </c>
      <c r="BQ2" s="170" t="inlineStr">
        <is>
          <t>2014-006293</t>
        </is>
      </c>
      <c r="BR2" s="170" t="inlineStr">
        <is>
          <t>2018-002650</t>
        </is>
      </c>
      <c r="BS2" s="170" t="inlineStr">
        <is>
          <t>2026-002877</t>
        </is>
      </c>
      <c r="BT2" s="170" t="inlineStr">
        <is>
          <t>2020-001374</t>
        </is>
      </c>
      <c r="BU2" s="170" t="inlineStr">
        <is>
          <t>2021-001068</t>
        </is>
      </c>
      <c r="BV2" s="170" t="inlineStr">
        <is>
          <t>2025-001343</t>
        </is>
      </c>
      <c r="BW2" s="170" t="inlineStr">
        <is>
          <t>2026-000691</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54" t="inlineStr">
        <is>
          <t>897/244</t>
        </is>
      </c>
      <c r="AB3" s="220" t="inlineStr">
        <is>
          <t>998/204</t>
        </is>
      </c>
      <c r="AC3" s="220"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54" t="inlineStr">
        <is>
          <t>1159/225</t>
        </is>
      </c>
      <c r="AL3" s="220" t="inlineStr">
        <is>
          <t>1176/54</t>
        </is>
      </c>
      <c r="AM3" s="53" t="inlineStr">
        <is>
          <t>1267/168</t>
        </is>
      </c>
      <c r="AN3" s="220" t="inlineStr">
        <is>
          <t>1274/277</t>
        </is>
      </c>
      <c r="AO3" s="220" t="inlineStr">
        <is>
          <t>1324/22</t>
        </is>
      </c>
      <c r="AP3" s="181" t="inlineStr">
        <is>
          <t>1422/9</t>
        </is>
      </c>
      <c r="AQ3" s="181" t="inlineStr">
        <is>
          <t>1457/173</t>
        </is>
      </c>
      <c r="AR3" s="182" t="inlineStr">
        <is>
          <t>1510/566</t>
        </is>
      </c>
      <c r="AS3" s="181" t="inlineStr">
        <is>
          <t>1511/32</t>
        </is>
      </c>
      <c r="AT3" s="181" t="inlineStr">
        <is>
          <t>1611/503</t>
        </is>
      </c>
      <c r="AU3" s="170" t="inlineStr">
        <is>
          <t>1634/367</t>
        </is>
      </c>
      <c r="AV3" s="170" t="inlineStr">
        <is>
          <t>1637/26</t>
        </is>
      </c>
      <c r="AW3" s="170" t="inlineStr">
        <is>
          <t>1637/476</t>
        </is>
      </c>
      <c r="AX3" s="170" t="inlineStr">
        <is>
          <t>1639/206</t>
        </is>
      </c>
      <c r="AY3" s="170" t="inlineStr">
        <is>
          <t>1639/426</t>
        </is>
      </c>
      <c r="AZ3" s="170" t="inlineStr">
        <is>
          <t>1643/389</t>
        </is>
      </c>
      <c r="BA3" s="170" t="inlineStr">
        <is>
          <t>1695/238</t>
        </is>
      </c>
      <c r="BB3" s="170" t="inlineStr">
        <is>
          <t>1728/457</t>
        </is>
      </c>
      <c r="BC3" s="170" t="inlineStr">
        <is>
          <t>1724/582</t>
        </is>
      </c>
      <c r="BD3" s="170" t="inlineStr">
        <is>
          <t>1734/14</t>
        </is>
      </c>
      <c r="BE3" s="170" t="inlineStr">
        <is>
          <t>1765/306</t>
        </is>
      </c>
      <c r="BF3" s="170" t="inlineStr">
        <is>
          <t>1774/309</t>
        </is>
      </c>
      <c r="BG3" s="170" t="inlineStr">
        <is>
          <t>1812/138</t>
        </is>
      </c>
      <c r="BH3" s="170" t="inlineStr">
        <is>
          <t>1819/157</t>
        </is>
      </c>
      <c r="BI3" s="170" t="inlineStr">
        <is>
          <t>1872/277</t>
        </is>
      </c>
      <c r="BJ3" s="170" t="inlineStr">
        <is>
          <t>2063/491</t>
        </is>
      </c>
      <c r="BK3" s="170" t="inlineStr">
        <is>
          <t>2063/494</t>
        </is>
      </c>
      <c r="BL3" s="170" t="inlineStr">
        <is>
          <t>2063/497</t>
        </is>
      </c>
      <c r="BM3" s="170" t="inlineStr">
        <is>
          <t>2106/387</t>
        </is>
      </c>
      <c r="BN3" s="170" t="inlineStr">
        <is>
          <t>2141/3</t>
        </is>
      </c>
      <c r="BO3" s="170" t="inlineStr">
        <is>
          <t>2177/33</t>
        </is>
      </c>
      <c r="BP3" s="170" t="inlineStr">
        <is>
          <t>2251/529</t>
        </is>
      </c>
      <c r="BQ3" s="170" t="inlineStr">
        <is>
          <t>2273/223</t>
        </is>
      </c>
      <c r="BR3" s="170" t="inlineStr">
        <is>
          <t>2406/228</t>
        </is>
      </c>
      <c r="BS3" s="170" t="inlineStr">
        <is>
          <t>2700/395</t>
        </is>
      </c>
      <c r="BT3" s="170" t="inlineStr">
        <is>
          <t>2450/598</t>
        </is>
      </c>
      <c r="BU3" s="170" t="inlineStr">
        <is>
          <t>2467/476</t>
        </is>
      </c>
      <c r="BV3" s="170" t="inlineStr">
        <is>
          <t>2617/228</t>
        </is>
      </c>
      <c r="BW3" s="170" t="inlineStr">
        <is>
          <t>2682/183</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07" t="n"/>
      <c r="FZ3" s="107" t="n"/>
      <c r="GA3" s="107"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53" t="n">
        <v>31964</v>
      </c>
      <c r="AB4" s="222" t="n">
        <v>32405</v>
      </c>
      <c r="AC4" s="222" t="n">
        <v>32847</v>
      </c>
      <c r="AD4" s="53" t="n">
        <v>32969</v>
      </c>
      <c r="AE4" s="53" t="n">
        <v>32975</v>
      </c>
      <c r="AF4" s="53" t="n">
        <v>32993</v>
      </c>
      <c r="AG4" s="53" t="n">
        <v>33025</v>
      </c>
      <c r="AH4" s="53" t="n">
        <v>33059</v>
      </c>
      <c r="AI4" s="53" t="n">
        <v>33073</v>
      </c>
      <c r="AJ4" s="53" t="n">
        <v>33114</v>
      </c>
      <c r="AK4" s="53" t="n">
        <v>33114</v>
      </c>
      <c r="AL4" s="222" t="n">
        <v>33205</v>
      </c>
      <c r="AM4" s="53" t="n">
        <v>33693</v>
      </c>
      <c r="AN4" s="222" t="n">
        <v>33737</v>
      </c>
      <c r="AO4" s="222" t="n">
        <v>34032</v>
      </c>
      <c r="AP4" s="182" t="n">
        <v>34542</v>
      </c>
      <c r="AQ4" s="182" t="n">
        <v>34754</v>
      </c>
      <c r="AR4" s="182" t="n">
        <v>35430</v>
      </c>
      <c r="AS4" s="182" t="n">
        <v>35432</v>
      </c>
      <c r="AT4" s="182" t="n">
        <v>36647</v>
      </c>
      <c r="AU4" s="171" t="n">
        <v>36881</v>
      </c>
      <c r="AV4" s="171" t="n">
        <v>36922</v>
      </c>
      <c r="AW4" s="171" t="n">
        <v>36955</v>
      </c>
      <c r="AX4" s="171" t="n">
        <v>36957</v>
      </c>
      <c r="AY4" s="171" t="n">
        <v>36963</v>
      </c>
      <c r="AZ4" s="171" t="n">
        <v>37014</v>
      </c>
      <c r="BA4" s="171" t="n">
        <v>37586</v>
      </c>
      <c r="BB4" s="171" t="n">
        <v>37802</v>
      </c>
      <c r="BC4" s="171" t="n">
        <v>37848</v>
      </c>
      <c r="BD4" s="171" t="n">
        <v>37990</v>
      </c>
      <c r="BE4" s="171" t="n">
        <v>38275</v>
      </c>
      <c r="BF4" s="171" t="n">
        <v>38362</v>
      </c>
      <c r="BG4" s="171" t="n">
        <v>38650</v>
      </c>
      <c r="BH4" s="171" t="n">
        <v>38699</v>
      </c>
      <c r="BI4" s="171" t="n">
        <v>39162</v>
      </c>
      <c r="BJ4" s="171" t="n">
        <v>40577</v>
      </c>
      <c r="BK4" s="171" t="n">
        <v>40577</v>
      </c>
      <c r="BL4" s="171" t="n">
        <v>40583</v>
      </c>
      <c r="BM4" s="171" t="n">
        <v>40876</v>
      </c>
      <c r="BN4" s="171" t="n">
        <v>41059</v>
      </c>
      <c r="BO4" s="171" t="n">
        <v>41290</v>
      </c>
      <c r="BP4" s="171" t="n">
        <v>41746</v>
      </c>
      <c r="BQ4" s="171" t="n">
        <v>41926</v>
      </c>
      <c r="BR4" s="171" t="n">
        <v>43363</v>
      </c>
      <c r="BS4" s="171" t="n">
        <v>43500</v>
      </c>
      <c r="BT4" s="171" t="n">
        <v>44071</v>
      </c>
      <c r="BU4" s="171" t="n">
        <v>44348</v>
      </c>
      <c r="BV4" s="171" t="n">
        <v>45726</v>
      </c>
      <c r="BW4" s="171" t="n">
        <v>45971</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06" t="n"/>
      <c r="FZ4" s="106" t="n"/>
      <c r="GA4" s="106"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499"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170" t="inlineStr">
        <is>
          <t>ARTI</t>
        </is>
      </c>
      <c r="AX5" s="170" t="inlineStr">
        <is>
          <t>ARTI</t>
        </is>
      </c>
      <c r="AY5" s="170" t="inlineStr">
        <is>
          <t>ARTI</t>
        </is>
      </c>
      <c r="AZ5" s="170" t="inlineStr">
        <is>
          <t>ARTI</t>
        </is>
      </c>
      <c r="BA5" s="500" t="inlineStr">
        <is>
          <t>1.386 NMA</t>
        </is>
      </c>
      <c r="BB5" s="170" t="inlineStr">
        <is>
          <t>ARTI</t>
        </is>
      </c>
      <c r="BC5" s="170" t="inlineStr">
        <is>
          <t>ARTI</t>
        </is>
      </c>
      <c r="BD5" s="170" t="inlineStr">
        <is>
          <t>ARTI</t>
        </is>
      </c>
      <c r="BE5" s="170" t="inlineStr">
        <is>
          <t>ARTI</t>
        </is>
      </c>
      <c r="BF5" s="170" t="inlineStr">
        <is>
          <t>ARTI</t>
        </is>
      </c>
      <c r="BG5" s="170" t="inlineStr">
        <is>
          <t>ARTI</t>
        </is>
      </c>
      <c r="BH5" s="170" t="inlineStr">
        <is>
          <t>256.666667 NMA</t>
        </is>
      </c>
      <c r="BI5" s="170" t="inlineStr">
        <is>
          <t>ARTI</t>
        </is>
      </c>
      <c r="BJ5" s="170" t="inlineStr">
        <is>
          <t>ARTI</t>
        </is>
      </c>
      <c r="BK5" s="170" t="inlineStr">
        <is>
          <t>ARTI</t>
        </is>
      </c>
      <c r="BL5" s="170" t="inlineStr">
        <is>
          <t>ARTI</t>
        </is>
      </c>
      <c r="BM5" s="170" t="inlineStr">
        <is>
          <t>0.252694 NMA</t>
        </is>
      </c>
      <c r="BN5" s="170" t="inlineStr">
        <is>
          <t>ARTI</t>
        </is>
      </c>
      <c r="BO5" s="170" t="inlineStr">
        <is>
          <t>ARTI</t>
        </is>
      </c>
      <c r="BP5" s="170" t="inlineStr">
        <is>
          <t>118.461538 NMA</t>
        </is>
      </c>
      <c r="BQ5" s="170" t="inlineStr">
        <is>
          <t>ARTI</t>
        </is>
      </c>
      <c r="BR5" s="170" t="inlineStr">
        <is>
          <t>ARTI</t>
        </is>
      </c>
      <c r="BS5" s="170" t="inlineStr">
        <is>
          <t>ARTI</t>
        </is>
      </c>
      <c r="BT5" s="170" t="inlineStr">
        <is>
          <t>ARTI</t>
        </is>
      </c>
      <c r="BU5" s="170" t="inlineStr">
        <is>
          <t>ARTI</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07" t="n"/>
      <c r="FZ5" s="107" t="n"/>
      <c r="GA5" s="107" t="n"/>
    </row>
    <row r="6" ht="14.25" customFormat="1" customHeight="1" s="103" thickBot="1">
      <c r="A6" s="551" t="n"/>
      <c r="B6" s="552" t="inlineStr">
        <is>
          <t>BASE OGL</t>
        </is>
      </c>
      <c r="C6" s="553" t="inlineStr">
        <is>
          <t>289–294 (Springer top leases)</t>
        </is>
      </c>
      <c r="D6" s="554" t="inlineStr">
        <is>
          <t>Tract 3</t>
        </is>
      </c>
      <c r="E6" s="553">
        <f>SUBTOTAL(9,E9:E203)</f>
        <v/>
      </c>
      <c r="F6" s="295" t="inlineStr">
        <is>
          <t>SURFACE</t>
        </is>
      </c>
      <c r="G6" s="112" t="n"/>
      <c r="H6" s="112">
        <f>IF(H7=0,"","RECHECK")</f>
        <v/>
      </c>
      <c r="I6" s="112" t="n"/>
      <c r="J6" s="112" t="n"/>
      <c r="K6" s="112">
        <f>IF(K7=0,"","RECHECK")</f>
        <v/>
      </c>
      <c r="L6" s="112" t="n"/>
      <c r="M6" s="112">
        <f>IF(M7=0,"","RECHECK")</f>
        <v/>
      </c>
      <c r="N6" s="112">
        <f>IF(N7=0,"","RECHECK")</f>
        <v/>
      </c>
      <c r="O6" s="112">
        <f>IF(O7=0,"","RECHECK")</f>
        <v/>
      </c>
      <c r="P6" s="112">
        <f>IF(P7=0,"","RECHECK")</f>
        <v/>
      </c>
      <c r="Q6" s="112" t="n"/>
      <c r="R6" s="172">
        <f>IF(R7=0,"","RECHECK")</f>
        <v/>
      </c>
      <c r="S6" s="172" t="n"/>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87"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91" t="inlineStr">
        <is>
          <t>SOURCE REVIEW</t>
        </is>
      </c>
      <c r="AL6" s="487" t="inlineStr">
        <is>
          <t>SOURCE REVIEW</t>
        </is>
      </c>
      <c r="AM6" s="491" t="inlineStr">
        <is>
          <t>SOURCE REVIEW</t>
        </is>
      </c>
      <c r="AN6" s="487" t="inlineStr">
        <is>
          <t>SOURCE REVIEW</t>
        </is>
      </c>
      <c r="AO6" s="491"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SUBTOTAL(9,G10:G204)</f>
        <v/>
      </c>
      <c r="H7" s="557" t="n">
        <v>0</v>
      </c>
      <c r="I7" s="557">
        <f>SUBTOTAL(9,I10:I204)</f>
        <v/>
      </c>
      <c r="J7" s="557">
        <f>SUBTOTAL(9,J10:J204)</f>
        <v/>
      </c>
      <c r="K7" s="557" t="n">
        <v>0</v>
      </c>
      <c r="L7" s="557">
        <f>SUBTOTAL(9,L10:L204)</f>
        <v/>
      </c>
      <c r="M7" s="557">
        <f>SUBTOTAL(9,M10:M204)</f>
        <v/>
      </c>
      <c r="N7" s="557">
        <f>SUBTOTAL(9,N10:N204)</f>
        <v/>
      </c>
      <c r="O7" s="557">
        <f>SUBTOTAL(9,O10:O204)</f>
        <v/>
      </c>
      <c r="P7" s="557">
        <f>SUBTOTAL(9,P10:P204)</f>
        <v/>
      </c>
      <c r="Q7" s="557">
        <f>SUBTOTAL(9,Q10:Q204)</f>
        <v/>
      </c>
      <c r="R7" s="558">
        <f>SUBTOTAL(9,R10:R208)</f>
        <v/>
      </c>
      <c r="S7" s="558">
        <f>SUBTOTAL(9,S10:S208)</f>
        <v/>
      </c>
      <c r="T7" s="557">
        <f>SUBTOTAL(9,T10:T204)</f>
        <v/>
      </c>
      <c r="U7" s="557">
        <f>SUBTOTAL(9,U10:U204)</f>
        <v/>
      </c>
      <c r="V7" s="557">
        <f>SUBTOTAL(9,V10:V204)</f>
        <v/>
      </c>
      <c r="W7" s="557">
        <f>SUBTOTAL(9,W10:W204)</f>
        <v/>
      </c>
      <c r="X7" s="557">
        <f>SUBTOTAL(9,X10:X204)</f>
        <v/>
      </c>
      <c r="Y7" s="557">
        <f>SUBTOTAL(9,Y10:Y204)</f>
        <v/>
      </c>
      <c r="Z7" s="557">
        <f>SUBTOTAL(9,Z10:Z204)</f>
        <v/>
      </c>
      <c r="AA7" s="557">
        <f>SUBTOTAL(9,AA10:AA204)</f>
        <v/>
      </c>
      <c r="AB7" s="557">
        <f>SUBTOTAL(9,AB10:AB204)</f>
        <v/>
      </c>
      <c r="AC7" s="557">
        <f>SUBTOTAL(9,AC10:AC204)</f>
        <v/>
      </c>
      <c r="AD7" s="557">
        <f>SUBTOTAL(9,AD10:AD204)</f>
        <v/>
      </c>
      <c r="AE7" s="558" t="n">
        <v>0</v>
      </c>
      <c r="AF7" s="558">
        <f>SUBTOTAL(9,AF10:AF208)</f>
        <v/>
      </c>
      <c r="AG7" s="558">
        <f>SUBTOTAL(9,AG10:AG212)</f>
        <v/>
      </c>
      <c r="AH7" s="558">
        <f>SUBTOTAL(9,AH10:AH206)</f>
        <v/>
      </c>
      <c r="AI7" s="558">
        <f>SUBTOTAL(9,AI10:AI206)</f>
        <v/>
      </c>
      <c r="AJ7" s="558">
        <f>SUBTOTAL(9,AJ10:AJ206)</f>
        <v/>
      </c>
      <c r="AK7" s="558">
        <f>SUBTOTAL(9,AK10:AK206)</f>
        <v/>
      </c>
      <c r="AL7" s="557">
        <f>SUBTOTAL(9,AL10:AL204)</f>
        <v/>
      </c>
      <c r="AM7" s="558">
        <f>SUBTOTAL(9,AM10:AM203)</f>
        <v/>
      </c>
      <c r="AN7" s="557">
        <f>SUBTOTAL(9,AN10:AN204)</f>
        <v/>
      </c>
      <c r="AO7" s="558">
        <f>SUBTOTAL(9,AO10:AO206)</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c r="FX7" s="557">
        <f>SUBTOTAL(9,FX10:FX204)</f>
        <v/>
      </c>
      <c r="FY7" s="557">
        <f>SUBTOTAL(9,FY10:FY204)</f>
        <v/>
      </c>
      <c r="FZ7" s="557">
        <f>SUBTOTAL(9,FZ10:FZ204)</f>
        <v/>
      </c>
      <c r="GA7" s="557">
        <f>SUBTOTAL(9,GA10:GA204)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5" t="n"/>
      <c r="I9" s="564" t="n"/>
      <c r="J9" s="565" t="n"/>
      <c r="K9" s="565" t="n"/>
      <c r="L9" s="565" t="n"/>
      <c r="M9" s="565" t="n"/>
      <c r="N9" s="565" t="n"/>
      <c r="O9" s="565" t="n"/>
      <c r="P9" s="565" t="n"/>
      <c r="Q9" s="565" t="n"/>
      <c r="R9" s="566" t="n"/>
      <c r="S9" s="566" t="n"/>
      <c r="T9" s="565" t="n"/>
      <c r="U9" s="565" t="n"/>
      <c r="V9" s="565" t="n"/>
      <c r="W9" s="565" t="n"/>
      <c r="X9" s="565" t="n"/>
      <c r="Y9" s="565" t="n"/>
      <c r="Z9" s="565" t="n"/>
      <c r="AA9" s="565" t="n"/>
      <c r="AB9" s="565" t="n"/>
      <c r="AC9" s="565" t="n"/>
      <c r="AD9" s="565" t="n"/>
      <c r="AE9" s="566" t="n"/>
      <c r="AF9" s="566" t="n"/>
      <c r="AG9" s="566" t="n"/>
      <c r="AH9" s="566" t="n"/>
      <c r="AI9" s="566" t="n"/>
      <c r="AJ9" s="566" t="n"/>
      <c r="AK9" s="566" t="n"/>
      <c r="AL9" s="565" t="n"/>
      <c r="AM9" s="566" t="n"/>
      <c r="AN9" s="565" t="n"/>
      <c r="AO9" s="566"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c r="FX9" s="565" t="n"/>
      <c r="FY9" s="565" t="n"/>
      <c r="FZ9" s="565" t="n"/>
      <c r="GA9" s="565" t="n"/>
    </row>
    <row r="10" customFormat="1" s="568">
      <c r="A10" s="86" t="n"/>
      <c r="B10" s="85" t="n"/>
      <c r="C10" s="84">
        <f>E10*D$5</f>
        <v/>
      </c>
      <c r="D10" s="177" t="inlineStr">
        <is>
          <t>United States of America</t>
        </is>
      </c>
      <c r="E10" s="84">
        <f>SUM(G10:HT10)</f>
        <v/>
      </c>
      <c r="F10" s="569">
        <f>IFERROR(IF($E10&gt;0.0000005,$E10/SUMIF($E$11:$E$140,"&gt;0.0000005"),""),"")</f>
        <v/>
      </c>
      <c r="G10" s="570" t="n">
        <v>1</v>
      </c>
      <c r="H10" s="571" t="n">
        <v>-1</v>
      </c>
      <c r="I10" s="570" t="n"/>
      <c r="J10" s="570" t="n"/>
      <c r="K10" s="571" t="n"/>
      <c r="L10" s="570" t="n"/>
      <c r="M10" s="570" t="n"/>
      <c r="N10" s="570" t="n"/>
      <c r="O10" s="570" t="n"/>
      <c r="P10" s="570" t="n"/>
      <c r="Q10" s="570" t="n"/>
      <c r="R10" s="572" t="n"/>
      <c r="S10" s="572" t="n"/>
      <c r="T10" s="570" t="n"/>
      <c r="U10" s="570" t="n"/>
      <c r="V10" s="570" t="n"/>
      <c r="W10" s="570" t="n"/>
      <c r="X10" s="570" t="n"/>
      <c r="Y10" s="570" t="n"/>
      <c r="Z10" s="570" t="n"/>
      <c r="AA10" s="570" t="n"/>
      <c r="AB10" s="570" t="n"/>
      <c r="AC10" s="570" t="n"/>
      <c r="AD10" s="570" t="n"/>
      <c r="AE10" s="572" t="n"/>
      <c r="AF10" s="572" t="n"/>
      <c r="AG10" s="572" t="n"/>
      <c r="AH10" s="572" t="n"/>
      <c r="AI10" s="572" t="n"/>
      <c r="AJ10" s="572" t="n"/>
      <c r="AK10" s="572" t="n"/>
      <c r="AL10" s="570" t="n"/>
      <c r="AM10" s="572" t="n"/>
      <c r="AN10" s="570" t="n"/>
      <c r="AO10" s="572" t="n"/>
      <c r="AP10" s="570" t="n"/>
      <c r="AQ10" s="570"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c r="FX10" s="579" t="n"/>
      <c r="FY10" s="579" t="n"/>
      <c r="FZ10" s="579" t="n"/>
      <c r="GA10" s="579" t="n"/>
    </row>
    <row r="11" customFormat="1" s="568">
      <c r="A11" s="68" t="n"/>
      <c r="B11" s="85" t="n"/>
      <c r="C11" s="137">
        <f>E11*D$5</f>
        <v/>
      </c>
      <c r="D11" s="177" t="inlineStr">
        <is>
          <t>Ernest Brooks</t>
        </is>
      </c>
      <c r="E11" s="137">
        <f>SUM(G11:HT11)</f>
        <v/>
      </c>
      <c r="F11" s="569">
        <f>IFERROR(IF($E11&gt;0.0000005,$E11/SUMIF($E$11:$E$140,"&gt;0.0000005"),""),"")</f>
        <v/>
      </c>
      <c r="G11" s="570" t="n"/>
      <c r="H11" s="570" t="n">
        <v>1</v>
      </c>
      <c r="I11" s="570" t="n">
        <v>-1</v>
      </c>
      <c r="J11" s="570" t="n"/>
      <c r="K11" s="571" t="n"/>
      <c r="L11" s="570" t="n"/>
      <c r="M11" s="570" t="n"/>
      <c r="N11" s="570" t="n"/>
      <c r="O11" s="570" t="n"/>
      <c r="P11" s="570" t="n"/>
      <c r="Q11" s="570" t="n"/>
      <c r="R11" s="572" t="n"/>
      <c r="S11" s="572" t="n"/>
      <c r="T11" s="570" t="n"/>
      <c r="U11" s="570" t="n"/>
      <c r="V11" s="570" t="n"/>
      <c r="W11" s="570" t="n"/>
      <c r="X11" s="570" t="n"/>
      <c r="Y11" s="570" t="n"/>
      <c r="Z11" s="570" t="n"/>
      <c r="AA11" s="570" t="n"/>
      <c r="AB11" s="570" t="n"/>
      <c r="AC11" s="570" t="n"/>
      <c r="AD11" s="570" t="n"/>
      <c r="AE11" s="573" t="n"/>
      <c r="AF11" s="572" t="n"/>
      <c r="AG11" s="572" t="n"/>
      <c r="AH11" s="572" t="n"/>
      <c r="AI11" s="572" t="n"/>
      <c r="AJ11" s="572" t="n"/>
      <c r="AK11" s="572" t="n"/>
      <c r="AL11" s="570" t="n"/>
      <c r="AM11" s="572" t="n"/>
      <c r="AN11" s="570" t="n"/>
      <c r="AO11" s="572" t="n"/>
      <c r="AP11" s="570" t="n"/>
      <c r="AQ11" s="570"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c r="FX11" s="579" t="n"/>
      <c r="FY11" s="579" t="n"/>
      <c r="FZ11" s="579" t="n"/>
      <c r="GA11" s="579" t="n"/>
    </row>
    <row r="12" customFormat="1" s="568">
      <c r="A12" s="68" t="n"/>
      <c r="B12" s="85" t="n"/>
      <c r="C12" s="137">
        <f>E12*D$5</f>
        <v/>
      </c>
      <c r="D12" s="177" t="inlineStr">
        <is>
          <t>W. C. Danforth and Susie Danforth, HW</t>
        </is>
      </c>
      <c r="E12" s="137">
        <f>SUM(G12:HT12)</f>
        <v/>
      </c>
      <c r="F12" s="569">
        <f>IFERROR(IF($E12&gt;0.0000005,$E12/SUMIF($E$11:$E$140,"&gt;0.0000005"),""),"")</f>
        <v/>
      </c>
      <c r="G12" s="570" t="n"/>
      <c r="H12" s="570" t="n"/>
      <c r="I12" s="570" t="n">
        <v>1</v>
      </c>
      <c r="J12" s="570" t="n">
        <v>-1</v>
      </c>
      <c r="K12" s="570" t="n"/>
      <c r="L12" s="570" t="n"/>
      <c r="M12" s="570" t="n"/>
      <c r="N12" s="570" t="n"/>
      <c r="O12" s="570" t="n"/>
      <c r="P12" s="570" t="n"/>
      <c r="Q12" s="570" t="n"/>
      <c r="R12" s="572" t="n"/>
      <c r="S12" s="572" t="n"/>
      <c r="T12" s="570" t="n"/>
      <c r="U12" s="570" t="n"/>
      <c r="V12" s="570" t="n"/>
      <c r="W12" s="570" t="n"/>
      <c r="X12" s="570" t="n"/>
      <c r="Y12" s="570" t="n"/>
      <c r="Z12" s="570" t="n"/>
      <c r="AA12" s="570" t="n"/>
      <c r="AB12" s="570" t="n"/>
      <c r="AC12" s="570" t="n"/>
      <c r="AD12" s="570" t="n"/>
      <c r="AE12" s="573" t="n"/>
      <c r="AF12" s="572" t="n"/>
      <c r="AG12" s="572" t="n"/>
      <c r="AH12" s="572" t="n"/>
      <c r="AI12" s="572" t="n"/>
      <c r="AJ12" s="572" t="n"/>
      <c r="AK12" s="572" t="n"/>
      <c r="AL12" s="570" t="n"/>
      <c r="AM12" s="573" t="n"/>
      <c r="AN12" s="570" t="n"/>
      <c r="AO12" s="572" t="n"/>
      <c r="AP12" s="570" t="n"/>
      <c r="AQ12" s="570"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c r="FX12" s="579" t="n"/>
      <c r="FY12" s="579" t="n"/>
      <c r="FZ12" s="579" t="n"/>
      <c r="GA12" s="579" t="n"/>
    </row>
    <row r="13" customFormat="1" s="568">
      <c r="A13" s="68" t="n"/>
      <c r="B13" s="85" t="n"/>
      <c r="C13" s="137">
        <f>E13*D$5</f>
        <v/>
      </c>
      <c r="D13" s="177" t="inlineStr">
        <is>
          <t>Benjamin H. Shotwell</t>
        </is>
      </c>
      <c r="E13" s="137">
        <f>SUM(G13:HT13)</f>
        <v/>
      </c>
      <c r="F13" s="569">
        <f>IFERROR(IF($E13&gt;0.0000005,$E13/SUMIF($E$11:$E$140,"&gt;0.0000005"),""),"")</f>
        <v/>
      </c>
      <c r="G13" s="570" t="n"/>
      <c r="H13" s="570" t="n"/>
      <c r="I13" s="570" t="n"/>
      <c r="J13" s="570" t="n">
        <v>1</v>
      </c>
      <c r="K13" s="570" t="n">
        <v>-1</v>
      </c>
      <c r="L13" s="570" t="n"/>
      <c r="M13" s="570" t="n"/>
      <c r="N13" s="570" t="n"/>
      <c r="O13" s="570" t="n"/>
      <c r="P13" s="571" t="n"/>
      <c r="Q13" s="570" t="n"/>
      <c r="R13" s="572" t="n"/>
      <c r="S13" s="572" t="n"/>
      <c r="T13" s="570" t="n"/>
      <c r="U13" s="570" t="n"/>
      <c r="V13" s="570" t="n"/>
      <c r="W13" s="570" t="n"/>
      <c r="X13" s="570" t="n"/>
      <c r="Y13" s="570" t="n"/>
      <c r="Z13" s="570" t="n"/>
      <c r="AA13" s="570" t="n"/>
      <c r="AB13" s="570" t="n"/>
      <c r="AC13" s="570" t="n"/>
      <c r="AD13" s="570" t="n"/>
      <c r="AE13" s="572" t="n"/>
      <c r="AF13" s="572" t="n"/>
      <c r="AG13" s="573" t="n"/>
      <c r="AH13" s="572" t="n"/>
      <c r="AI13" s="572" t="n"/>
      <c r="AJ13" s="572" t="n"/>
      <c r="AK13" s="572" t="n"/>
      <c r="AL13" s="570" t="n"/>
      <c r="AM13" s="572" t="n"/>
      <c r="AN13" s="570" t="n"/>
      <c r="AO13" s="572" t="n"/>
      <c r="AP13" s="570" t="n"/>
      <c r="AQ13" s="570"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c r="FX13" s="579" t="n"/>
      <c r="FY13" s="579" t="n"/>
      <c r="FZ13" s="579" t="n"/>
      <c r="GA13" s="579" t="n"/>
    </row>
    <row r="14" customFormat="1" s="568">
      <c r="B14" s="575" t="n"/>
      <c r="C14" s="84">
        <f>E14*D$5</f>
        <v/>
      </c>
      <c r="D14" s="177" t="inlineStr">
        <is>
          <t>Maggie Bennett</t>
        </is>
      </c>
      <c r="E14" s="84">
        <f>SUM(G14:HT14)</f>
        <v/>
      </c>
      <c r="F14" s="569">
        <f>IFERROR(IF($E14&gt;0.0000005,$E14/SUMIF($E$11:$E$140,"&gt;0.0000005"),""),"")</f>
        <v/>
      </c>
      <c r="G14" s="570" t="n"/>
      <c r="H14" s="570" t="n"/>
      <c r="I14" s="571" t="n"/>
      <c r="J14" s="570" t="n"/>
      <c r="K14" s="570" t="n">
        <v>0.2</v>
      </c>
      <c r="L14" s="570" t="n">
        <v>-0.2</v>
      </c>
      <c r="M14" s="570" t="n"/>
      <c r="N14" s="570" t="n"/>
      <c r="O14" s="570" t="n"/>
      <c r="P14" s="570" t="n"/>
      <c r="Q14" s="570" t="n"/>
      <c r="R14" s="572" t="n"/>
      <c r="S14" s="572" t="n"/>
      <c r="T14" s="570" t="n"/>
      <c r="U14" s="570" t="n"/>
      <c r="V14" s="570" t="n"/>
      <c r="W14" s="570" t="n"/>
      <c r="X14" s="570" t="n"/>
      <c r="Y14" s="570" t="n"/>
      <c r="Z14" s="570" t="n"/>
      <c r="AA14" s="570" t="n"/>
      <c r="AB14" s="570" t="n"/>
      <c r="AC14" s="570" t="n"/>
      <c r="AD14" s="570" t="n"/>
      <c r="AE14" s="572" t="n"/>
      <c r="AF14" s="572" t="n"/>
      <c r="AG14" s="573" t="n"/>
      <c r="AH14" s="571" t="n"/>
      <c r="AI14" s="571" t="n"/>
      <c r="AJ14" s="571" t="n"/>
      <c r="AK14" s="571" t="n"/>
      <c r="AL14" s="570" t="n"/>
      <c r="AM14" s="572" t="n"/>
      <c r="AN14" s="570" t="n"/>
      <c r="AO14" s="572" t="n"/>
      <c r="AP14" s="570" t="n"/>
      <c r="AQ14" s="570"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c r="FX14" s="579" t="n"/>
      <c r="FY14" s="579" t="n"/>
      <c r="FZ14" s="579" t="n"/>
      <c r="GA14" s="579" t="n"/>
    </row>
    <row r="15" customFormat="1" s="568">
      <c r="A15" s="127" t="n"/>
      <c r="B15" s="127" t="n"/>
      <c r="C15" s="84">
        <f>E15*D$5</f>
        <v/>
      </c>
      <c r="D15" s="177" t="inlineStr">
        <is>
          <t>Eli L. Shotwell</t>
        </is>
      </c>
      <c r="E15" s="84">
        <f>SUM(G15:HT15)</f>
        <v/>
      </c>
      <c r="F15" s="569">
        <f>IFERROR(IF($E15&gt;0.0000005,$E15/SUMIF($E$11:$E$140,"&gt;0.0000005"),""),"")</f>
        <v/>
      </c>
      <c r="G15" s="570" t="n"/>
      <c r="H15" s="570" t="n"/>
      <c r="I15" s="570" t="n"/>
      <c r="J15" s="570" t="n"/>
      <c r="K15" s="570" t="n">
        <v>0.2</v>
      </c>
      <c r="L15" s="570" t="n">
        <v>-0.2</v>
      </c>
      <c r="M15" s="570" t="n"/>
      <c r="N15" s="570" t="n"/>
      <c r="O15" s="570" t="n"/>
      <c r="P15" s="570" t="n"/>
      <c r="Q15" s="570" t="n"/>
      <c r="R15" s="572" t="n"/>
      <c r="S15" s="572" t="n"/>
      <c r="T15" s="570" t="n"/>
      <c r="U15" s="570" t="n"/>
      <c r="V15" s="570" t="n"/>
      <c r="W15" s="570" t="n"/>
      <c r="X15" s="570" t="n"/>
      <c r="Y15" s="570" t="n"/>
      <c r="Z15" s="570" t="n"/>
      <c r="AA15" s="570" t="n"/>
      <c r="AB15" s="570" t="n"/>
      <c r="AC15" s="570" t="n"/>
      <c r="AD15" s="570" t="n"/>
      <c r="AE15" s="572" t="n"/>
      <c r="AF15" s="572" t="n"/>
      <c r="AG15" s="572" t="n"/>
      <c r="AH15" s="571" t="n"/>
      <c r="AI15" s="571" t="n"/>
      <c r="AJ15" s="571" t="n"/>
      <c r="AK15" s="571" t="n"/>
      <c r="AL15" s="570" t="n"/>
      <c r="AM15" s="572" t="n"/>
      <c r="AN15" s="570" t="n"/>
      <c r="AO15" s="572" t="n"/>
      <c r="AP15" s="570" t="n"/>
      <c r="AQ15" s="570"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c r="FX15" s="579" t="n"/>
      <c r="FY15" s="579" t="n"/>
      <c r="FZ15" s="579" t="n"/>
      <c r="GA15" s="579" t="n"/>
    </row>
    <row r="16" customFormat="1" s="568">
      <c r="A16" s="86" t="n"/>
      <c r="B16" s="85" t="n"/>
      <c r="C16" s="84">
        <f>E16*D$5</f>
        <v/>
      </c>
      <c r="D16" s="177" t="inlineStr">
        <is>
          <t>Pearl L. Davis</t>
        </is>
      </c>
      <c r="E16" s="84">
        <f>SUM(G16:HT16)</f>
        <v/>
      </c>
      <c r="F16" s="569">
        <f>IFERROR(IF($E16&gt;0.0000005,$E16/SUMIF($E$11:$E$140,"&gt;0.0000005"),""),"")</f>
        <v/>
      </c>
      <c r="G16" s="570" t="n"/>
      <c r="H16" s="570" t="n"/>
      <c r="I16" s="571" t="n"/>
      <c r="J16" s="570" t="n"/>
      <c r="K16" s="570" t="n">
        <v>0.2</v>
      </c>
      <c r="L16" s="570" t="n">
        <v>-0.2</v>
      </c>
      <c r="M16" s="570" t="n"/>
      <c r="N16" s="570" t="n"/>
      <c r="O16" s="570" t="n"/>
      <c r="P16" s="570" t="n"/>
      <c r="Q16" s="571" t="n"/>
      <c r="R16" s="572" t="n"/>
      <c r="S16" s="572" t="n"/>
      <c r="T16" s="570" t="n"/>
      <c r="U16" s="570" t="n"/>
      <c r="V16" s="570" t="n"/>
      <c r="W16" s="570" t="n"/>
      <c r="X16" s="570" t="n"/>
      <c r="Y16" s="570" t="n"/>
      <c r="Z16" s="570" t="n"/>
      <c r="AA16" s="570" t="n"/>
      <c r="AB16" s="571" t="n"/>
      <c r="AC16" s="570" t="n"/>
      <c r="AD16" s="570" t="n"/>
      <c r="AE16" s="572" t="n"/>
      <c r="AF16" s="572" t="n"/>
      <c r="AG16" s="572" t="n"/>
      <c r="AH16" s="571" t="n"/>
      <c r="AI16" s="571" t="n"/>
      <c r="AJ16" s="571" t="n"/>
      <c r="AK16" s="571" t="n"/>
      <c r="AL16" s="570" t="n"/>
      <c r="AM16" s="572" t="n"/>
      <c r="AN16" s="570" t="n"/>
      <c r="AO16" s="572" t="n"/>
      <c r="AP16" s="570" t="n"/>
      <c r="AQ16" s="570"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c r="FY16" s="579" t="n"/>
      <c r="FZ16" s="579" t="n"/>
      <c r="GA16" s="579" t="n"/>
    </row>
    <row r="17" customFormat="1" s="568">
      <c r="A17" s="86" t="n"/>
      <c r="B17" s="85" t="n"/>
      <c r="C17" s="84">
        <f>E17*D$5</f>
        <v/>
      </c>
      <c r="D17" s="177" t="inlineStr">
        <is>
          <t>Roy T. Shotwell</t>
        </is>
      </c>
      <c r="E17" s="84">
        <f>SUM(G17:HT17)</f>
        <v/>
      </c>
      <c r="F17" s="569">
        <f>IFERROR(IF($E17&gt;0.0000005,$E17/SUMIF($E$11:$E$140,"&gt;0.0000005"),""),"")</f>
        <v/>
      </c>
      <c r="G17" s="570" t="n"/>
      <c r="H17" s="570" t="n"/>
      <c r="I17" s="571" t="n"/>
      <c r="J17" s="570" t="n"/>
      <c r="K17" s="570" t="n">
        <v>0.2</v>
      </c>
      <c r="L17" s="570" t="n">
        <v>-0.2</v>
      </c>
      <c r="M17" s="570" t="n"/>
      <c r="N17" s="570" t="n"/>
      <c r="O17" s="570" t="n"/>
      <c r="P17" s="570" t="n"/>
      <c r="Q17" s="570" t="n"/>
      <c r="R17" s="572" t="n"/>
      <c r="S17" s="572" t="n"/>
      <c r="T17" s="570" t="n"/>
      <c r="U17" s="570" t="n"/>
      <c r="V17" s="570" t="n"/>
      <c r="W17" s="570" t="n"/>
      <c r="X17" s="570" t="n"/>
      <c r="Y17" s="570" t="n"/>
      <c r="Z17" s="570" t="n"/>
      <c r="AA17" s="570" t="n"/>
      <c r="AB17" s="570" t="n"/>
      <c r="AC17" s="570" t="n"/>
      <c r="AD17" s="570" t="n"/>
      <c r="AE17" s="572" t="n"/>
      <c r="AF17" s="572" t="n"/>
      <c r="AG17" s="572" t="n"/>
      <c r="AH17" s="571" t="n"/>
      <c r="AI17" s="571" t="n"/>
      <c r="AJ17" s="571" t="n"/>
      <c r="AK17" s="571" t="n"/>
      <c r="AL17" s="570" t="n"/>
      <c r="AM17" s="572" t="n"/>
      <c r="AN17" s="570" t="n"/>
      <c r="AO17" s="572" t="n"/>
      <c r="AP17" s="570" t="n"/>
      <c r="AQ17" s="570"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c r="FY17" s="579" t="n"/>
      <c r="FZ17" s="579" t="n"/>
      <c r="GA17" s="579" t="n"/>
    </row>
    <row r="18" customFormat="1" s="568">
      <c r="A18" s="86" t="n"/>
      <c r="B18" s="87" t="n"/>
      <c r="C18" s="84">
        <f>E18*D$5</f>
        <v/>
      </c>
      <c r="D18" s="177" t="inlineStr">
        <is>
          <t>Ida M. Cuff</t>
        </is>
      </c>
      <c r="E18" s="84">
        <f>SUM(G18:HT18)</f>
        <v/>
      </c>
      <c r="F18" s="569">
        <f>IFERROR(IF($E18&gt;0.0000005,$E18/SUMIF($E$11:$E$140,"&gt;0.0000005"),""),"")</f>
        <v/>
      </c>
      <c r="G18" s="570" t="n"/>
      <c r="H18" s="570" t="n"/>
      <c r="I18" s="570" t="n"/>
      <c r="J18" s="570" t="n"/>
      <c r="K18" s="570" t="n">
        <v>0.2</v>
      </c>
      <c r="L18" s="570" t="n">
        <v>-0.2</v>
      </c>
      <c r="M18" s="570" t="n"/>
      <c r="N18" s="570" t="n"/>
      <c r="O18" s="570" t="n"/>
      <c r="P18" s="571" t="n"/>
      <c r="Q18" s="585" t="n"/>
      <c r="R18" s="573" t="n"/>
      <c r="S18" s="572" t="n"/>
      <c r="T18" s="586" t="n"/>
      <c r="U18" s="570" t="n"/>
      <c r="V18" s="570" t="n"/>
      <c r="W18" s="570" t="n"/>
      <c r="X18" s="570" t="n"/>
      <c r="Y18" s="570" t="n"/>
      <c r="Z18" s="570" t="n"/>
      <c r="AA18" s="570" t="n"/>
      <c r="AB18" s="570" t="n"/>
      <c r="AC18" s="570" t="n"/>
      <c r="AD18" s="570" t="n"/>
      <c r="AE18" s="572" t="n"/>
      <c r="AF18" s="572" t="n"/>
      <c r="AG18" s="572" t="n"/>
      <c r="AH18" s="571" t="n"/>
      <c r="AI18" s="571" t="n"/>
      <c r="AJ18" s="571" t="n"/>
      <c r="AK18" s="571" t="n"/>
      <c r="AL18" s="570" t="n"/>
      <c r="AM18" s="573" t="n"/>
      <c r="AN18" s="570" t="n"/>
      <c r="AO18" s="572" t="n"/>
      <c r="AP18" s="570" t="n"/>
      <c r="AQ18" s="570"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c r="FY18" s="579" t="n"/>
      <c r="FZ18" s="579" t="n"/>
      <c r="GA18" s="579" t="n"/>
    </row>
    <row r="19" customFormat="1" s="568">
      <c r="A19" s="86" t="n"/>
      <c r="B19" s="87" t="n"/>
      <c r="C19" s="84">
        <f>E19*D$5</f>
        <v/>
      </c>
      <c r="D19" s="178" t="inlineStr">
        <is>
          <t>H. M. Carter</t>
        </is>
      </c>
      <c r="E19" s="84">
        <f>SUM(G19:HT19)</f>
        <v/>
      </c>
      <c r="F19" s="569">
        <f>IFERROR(IF($E19&gt;0.0000005,$E19/SUMIF($E$11:$E$140,"&gt;0.0000005"),""),"")</f>
        <v/>
      </c>
      <c r="G19" s="570" t="n"/>
      <c r="H19" s="570" t="n"/>
      <c r="I19" s="570" t="n"/>
      <c r="J19" s="570" t="n"/>
      <c r="K19" s="570" t="n"/>
      <c r="L19" s="570" t="n">
        <v>1</v>
      </c>
      <c r="M19" s="570" t="n">
        <v>-0.5</v>
      </c>
      <c r="N19" s="570" t="n">
        <v>-0.07692307692307693</v>
      </c>
      <c r="O19" s="570" t="n">
        <v>0</v>
      </c>
      <c r="P19" s="571" t="n"/>
      <c r="Q19" s="585" t="n">
        <v>-0.4230769230769231</v>
      </c>
      <c r="R19" s="585" t="n"/>
      <c r="S19" s="572" t="n"/>
      <c r="T19" s="586" t="n"/>
      <c r="U19" s="570" t="n"/>
      <c r="V19" s="570" t="n"/>
      <c r="W19" s="570" t="n"/>
      <c r="X19" s="570" t="n"/>
      <c r="Y19" s="570" t="n"/>
      <c r="Z19" s="570" t="n"/>
      <c r="AA19" s="570" t="n"/>
      <c r="AB19" s="570" t="n"/>
      <c r="AC19" s="570" t="n"/>
      <c r="AD19" s="570" t="n"/>
      <c r="AE19" s="572" t="n"/>
      <c r="AF19" s="572" t="n"/>
      <c r="AG19" s="572" t="n"/>
      <c r="AH19" s="571" t="n"/>
      <c r="AI19" s="571" t="n"/>
      <c r="AJ19" s="571" t="n"/>
      <c r="AK19" s="571" t="n"/>
      <c r="AL19" s="570" t="n"/>
      <c r="AM19" s="572" t="n"/>
      <c r="AN19" s="570" t="n"/>
      <c r="AO19" s="572" t="n"/>
      <c r="AP19" s="570" t="n"/>
      <c r="AQ19" s="570"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c r="FY19" s="579" t="n"/>
      <c r="FZ19" s="579" t="n"/>
      <c r="GA19" s="579" t="n"/>
    </row>
    <row r="20" customFormat="1" s="568">
      <c r="A20" s="86" t="n"/>
      <c r="B20" s="87" t="n"/>
      <c r="C20" s="137">
        <f>E20*D$5</f>
        <v/>
      </c>
      <c r="D20" s="178" t="inlineStr">
        <is>
          <t>Marvin G. Mitchell and Carrie Lou Mitchell, HW, JTWROS</t>
        </is>
      </c>
      <c r="E20" s="137">
        <f>SUM(G20:HT20)</f>
        <v/>
      </c>
      <c r="F20" s="569">
        <f>IFERROR(IF($E20&gt;0.0000005,$E20/SUMIF($E$11:$E$140,"&gt;0.0000005"),""),"")</f>
        <v/>
      </c>
      <c r="G20" s="570" t="n"/>
      <c r="H20" s="570" t="n"/>
      <c r="I20" s="571" t="n"/>
      <c r="J20" s="570" t="n"/>
      <c r="K20" s="570" t="n"/>
      <c r="L20" s="570" t="n"/>
      <c r="M20" s="570" t="n">
        <v>0.5</v>
      </c>
      <c r="N20" s="570" t="n"/>
      <c r="O20" s="570" t="n">
        <v>0</v>
      </c>
      <c r="P20" s="571" t="n">
        <v>0</v>
      </c>
      <c r="Q20" s="585" t="n"/>
      <c r="R20" s="585" t="n"/>
      <c r="S20" s="572" t="n"/>
      <c r="T20" s="586" t="n"/>
      <c r="U20" s="570" t="n"/>
      <c r="V20" s="570" t="n"/>
      <c r="W20" s="570" t="n"/>
      <c r="X20" s="570" t="n"/>
      <c r="Y20" s="570" t="n"/>
      <c r="Z20" s="570" t="n"/>
      <c r="AA20" s="570" t="n"/>
      <c r="AB20" s="570" t="n"/>
      <c r="AC20" s="570" t="n"/>
      <c r="AD20" s="570" t="n"/>
      <c r="AE20" s="572" t="n"/>
      <c r="AF20" s="572" t="n"/>
      <c r="AG20" s="572" t="n"/>
      <c r="AH20" s="572" t="n"/>
      <c r="AI20" s="572" t="n"/>
      <c r="AJ20" s="572" t="n"/>
      <c r="AK20" s="572" t="n"/>
      <c r="AL20" s="570" t="n"/>
      <c r="AM20" s="572" t="n"/>
      <c r="AN20" s="570" t="n"/>
      <c r="AO20" s="572" t="n"/>
      <c r="AP20" s="570" t="n"/>
      <c r="AQ20" s="570"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c r="FY20" s="579" t="n"/>
      <c r="FZ20" s="579" t="n"/>
      <c r="GA20" s="579" t="n"/>
    </row>
    <row r="21" customFormat="1" s="568">
      <c r="A21" s="86" t="n"/>
      <c r="B21" s="85" t="n"/>
      <c r="C21" s="84">
        <f>E21*D$5</f>
        <v/>
      </c>
      <c r="D21" s="177" t="inlineStr">
        <is>
          <t>G. C. Mitchel and Glenn D. Mitchel</t>
        </is>
      </c>
      <c r="E21" s="84">
        <f>SUM(G21:HT21)</f>
        <v/>
      </c>
      <c r="F21" s="569">
        <f>IFERROR(IF($E21&gt;0.0000005,$E21/SUMIF($E$11:$E$140,"&gt;0.0000005"),""),"")</f>
        <v/>
      </c>
      <c r="G21" s="570" t="n"/>
      <c r="H21" s="570" t="n"/>
      <c r="I21" s="570" t="n"/>
      <c r="J21" s="570" t="n"/>
      <c r="K21" s="570" t="n"/>
      <c r="L21" s="570" t="n"/>
      <c r="M21" s="570" t="n"/>
      <c r="N21" s="570" t="n">
        <v>0.07692307692307693</v>
      </c>
      <c r="O21" s="570" t="n"/>
      <c r="P21" s="570" t="n"/>
      <c r="Q21" s="585" t="n"/>
      <c r="R21" s="585" t="n"/>
      <c r="S21" s="572" t="n"/>
      <c r="T21" s="586" t="n"/>
      <c r="U21" s="570" t="n"/>
      <c r="V21" s="570" t="n"/>
      <c r="W21" s="570" t="n"/>
      <c r="X21" s="570" t="n"/>
      <c r="Y21" s="570" t="n"/>
      <c r="Z21" s="570" t="n"/>
      <c r="AA21" s="570" t="n"/>
      <c r="AB21" s="570" t="n"/>
      <c r="AC21" s="570" t="n"/>
      <c r="AD21" s="570" t="n"/>
      <c r="AE21" s="572" t="n"/>
      <c r="AF21" s="572" t="n"/>
      <c r="AG21" s="572" t="n"/>
      <c r="AH21" s="572" t="n"/>
      <c r="AI21" s="572" t="n"/>
      <c r="AJ21" s="572" t="n"/>
      <c r="AK21" s="572" t="n"/>
      <c r="AL21" s="570" t="n"/>
      <c r="AM21" s="572" t="n"/>
      <c r="AN21" s="571" t="n"/>
      <c r="AO21" s="572" t="n"/>
      <c r="AP21" s="570" t="n"/>
      <c r="AQ21" s="570"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c r="FX21" s="579" t="n"/>
      <c r="FY21" s="579" t="n"/>
      <c r="FZ21" s="579" t="n"/>
      <c r="GA21" s="579" t="n"/>
    </row>
    <row r="22" customFormat="1" s="568">
      <c r="A22" s="86" t="n"/>
      <c r="B22" s="85" t="n"/>
      <c r="C22" s="137">
        <f>E22*D$5</f>
        <v/>
      </c>
      <c r="D22" s="177" t="inlineStr">
        <is>
          <t>L. E. Thurnman</t>
        </is>
      </c>
      <c r="E22" s="137">
        <f>SUM(G22:HT22)</f>
        <v/>
      </c>
      <c r="F22" s="569">
        <f>IFERROR(IF($E22&gt;0.0000005,$E22/SUMIF($E$11:$E$140,"&gt;0.0000005"),""),"")</f>
        <v/>
      </c>
      <c r="G22" s="570" t="n"/>
      <c r="H22" s="570" t="n"/>
      <c r="I22" s="570" t="n"/>
      <c r="J22" s="570" t="n"/>
      <c r="K22" s="570" t="n"/>
      <c r="L22" s="570" t="n"/>
      <c r="M22" s="570" t="n"/>
      <c r="N22" s="570" t="n"/>
      <c r="O22" s="570" t="n"/>
      <c r="P22" s="570" t="n"/>
      <c r="Q22" s="585" t="n">
        <v>0.4230769230769231</v>
      </c>
      <c r="R22" s="585" t="n">
        <v>-0.2307692307692308</v>
      </c>
      <c r="S22" s="572" t="n"/>
      <c r="T22" s="586" t="n"/>
      <c r="U22" s="570" t="n"/>
      <c r="V22" s="570" t="n">
        <v>-0.153846153846154</v>
      </c>
      <c r="W22" s="570" t="n"/>
      <c r="X22" s="570" t="n"/>
      <c r="Y22" s="570" t="n"/>
      <c r="Z22" s="570" t="n"/>
      <c r="AA22" s="570" t="n"/>
      <c r="AB22" s="570" t="n"/>
      <c r="AC22" s="570" t="n"/>
      <c r="AD22" s="570" t="n"/>
      <c r="AE22" s="572" t="n"/>
      <c r="AF22" s="572" t="n"/>
      <c r="AG22" s="572" t="n"/>
      <c r="AH22" s="572" t="n"/>
      <c r="AI22" s="572" t="n"/>
      <c r="AJ22" s="572" t="n"/>
      <c r="AK22" s="572" t="n"/>
      <c r="AL22" s="570" t="n"/>
      <c r="AM22" s="572" t="n"/>
      <c r="AN22" s="571" t="n"/>
      <c r="AO22" s="572" t="n"/>
      <c r="AP22" s="570" t="n"/>
      <c r="AQ22" s="570"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c r="FX22" s="579" t="n"/>
      <c r="FY22" s="579" t="n"/>
      <c r="FZ22" s="579" t="n"/>
      <c r="GA22" s="579" t="n"/>
    </row>
    <row r="23" customFormat="1" s="568">
      <c r="A23" s="227" t="n"/>
      <c r="B23" s="87" t="n">
        <v>6</v>
      </c>
      <c r="C23" s="488">
        <f>E23*D$5</f>
        <v/>
      </c>
      <c r="D23" s="490" t="inlineStr">
        <is>
          <t>Marie Lister</t>
        </is>
      </c>
      <c r="E23" s="488">
        <f>SUM(G23:HT23)</f>
        <v/>
      </c>
      <c r="F23" s="569">
        <f>IFERROR(IF($E23&gt;0.0000005,$E23/SUMIF($E$11:$E$140,"&gt;0.0000005"),""),"")</f>
        <v/>
      </c>
      <c r="G23" s="570" t="n"/>
      <c r="H23" s="570" t="n"/>
      <c r="I23" s="570" t="n"/>
      <c r="J23" s="570" t="n"/>
      <c r="K23" s="570" t="n"/>
      <c r="L23" s="570" t="n"/>
      <c r="M23" s="570" t="n"/>
      <c r="N23" s="570" t="n"/>
      <c r="O23" s="570" t="n"/>
      <c r="P23" s="570" t="n"/>
      <c r="Q23" s="570" t="n"/>
      <c r="R23" s="573" t="n">
        <v>0.2307692307692308</v>
      </c>
      <c r="S23" s="572" t="n">
        <v>-0.153846153846154</v>
      </c>
      <c r="T23" s="570" t="n">
        <v>-0.153846153846154</v>
      </c>
      <c r="U23" s="586" t="n">
        <v>-0.153846153846154</v>
      </c>
      <c r="V23" s="570" t="n"/>
      <c r="W23" s="570" t="n"/>
      <c r="X23" s="570" t="n"/>
      <c r="Y23" s="570" t="n"/>
      <c r="Z23" s="570" t="n"/>
      <c r="AA23" s="570" t="n"/>
      <c r="AB23" s="570" t="n"/>
      <c r="AC23" s="570" t="n"/>
      <c r="AD23" s="570" t="n"/>
      <c r="AE23" s="572" t="n"/>
      <c r="AF23" s="572" t="n"/>
      <c r="AG23" s="572" t="n"/>
      <c r="AH23" s="572" t="n"/>
      <c r="AI23" s="572" t="n"/>
      <c r="AJ23" s="572" t="n"/>
      <c r="AK23" s="572" t="n"/>
      <c r="AL23" s="570" t="n"/>
      <c r="AM23" s="572" t="n"/>
      <c r="AN23" s="571" t="n"/>
      <c r="AO23" s="572" t="n"/>
      <c r="AP23" s="570" t="n"/>
      <c r="AQ23" s="570"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c r="FX23" s="579" t="n"/>
      <c r="FY23" s="579" t="n"/>
      <c r="FZ23" s="579" t="n"/>
      <c r="GA23" s="579" t="n"/>
    </row>
    <row r="24" customFormat="1" s="568">
      <c r="A24" s="227" t="n"/>
      <c r="B24" s="87" t="n"/>
      <c r="C24" s="137">
        <f>E24*D$5</f>
        <v/>
      </c>
      <c r="D24" s="177" t="inlineStr">
        <is>
          <t>W. H. Sorenson</t>
        </is>
      </c>
      <c r="E24" s="137">
        <f>SUM(G24:HT24)</f>
        <v/>
      </c>
      <c r="F24" s="569">
        <f>IFERROR(IF($E24&gt;0.0000005,$E24/SUMIF($E$11:$E$140,"&gt;0.0000005"),""),"")</f>
        <v/>
      </c>
      <c r="G24" s="570" t="n"/>
      <c r="H24" s="570" t="n"/>
      <c r="I24" s="570" t="n"/>
      <c r="J24" s="570" t="n"/>
      <c r="K24" s="570" t="n"/>
      <c r="L24" s="570" t="n"/>
      <c r="M24" s="570" t="n"/>
      <c r="N24" s="570" t="n"/>
      <c r="O24" s="570" t="n"/>
      <c r="P24" s="570" t="n"/>
      <c r="Q24" s="570" t="n"/>
      <c r="R24" s="573" t="n"/>
      <c r="S24" s="572" t="n">
        <v>0.1538461538461539</v>
      </c>
      <c r="T24" s="570" t="n"/>
      <c r="U24" s="586" t="n"/>
      <c r="V24" s="570" t="n"/>
      <c r="W24" s="570" t="n"/>
      <c r="X24" s="570" t="n">
        <v>-0.1538461538461539</v>
      </c>
      <c r="Y24" s="570" t="n"/>
      <c r="Z24" s="570" t="n"/>
      <c r="AA24" s="570" t="n"/>
      <c r="AB24" s="570" t="n"/>
      <c r="AC24" s="570" t="n"/>
      <c r="AD24" s="570" t="n"/>
      <c r="AE24" s="572" t="n"/>
      <c r="AF24" s="572" t="n"/>
      <c r="AG24" s="572" t="n"/>
      <c r="AH24" s="572" t="n"/>
      <c r="AI24" s="572" t="n"/>
      <c r="AJ24" s="572" t="n"/>
      <c r="AK24" s="572" t="n"/>
      <c r="AL24" s="570" t="n"/>
      <c r="AM24" s="572" t="n"/>
      <c r="AN24" s="571" t="n"/>
      <c r="AO24" s="572" t="n"/>
      <c r="AP24" s="570" t="n"/>
      <c r="AQ24" s="570"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c r="FX24" s="579" t="n"/>
      <c r="FY24" s="579" t="n"/>
      <c r="FZ24" s="579" t="n"/>
      <c r="GA24" s="579" t="n"/>
    </row>
    <row r="25" customFormat="1" s="568">
      <c r="A25" s="227" t="n"/>
      <c r="B25" s="87" t="n"/>
      <c r="C25" s="137">
        <f>E25*D$5</f>
        <v/>
      </c>
      <c r="D25" s="178" t="inlineStr">
        <is>
          <t>Mann Childrens Trust</t>
        </is>
      </c>
      <c r="E25" s="137">
        <f>SUM(G25:HT25)</f>
        <v/>
      </c>
      <c r="F25" s="569">
        <f>IFERROR(IF($E25&gt;0.0000005,$E25/SUMIF($E$11:$E$140,"&gt;0.0000005"),""),"")</f>
        <v/>
      </c>
      <c r="G25" s="570" t="n"/>
      <c r="H25" s="570" t="n"/>
      <c r="I25" s="570" t="n"/>
      <c r="J25" s="570" t="n"/>
      <c r="K25" s="570" t="n"/>
      <c r="L25" s="570" t="n"/>
      <c r="M25" s="570" t="n"/>
      <c r="N25" s="570" t="n"/>
      <c r="O25" s="570" t="n"/>
      <c r="P25" s="570" t="n"/>
      <c r="Q25" s="570" t="n"/>
      <c r="R25" s="573" t="n"/>
      <c r="S25" s="572" t="n"/>
      <c r="T25" s="570" t="n">
        <v>0.1538461538461539</v>
      </c>
      <c r="U25" s="570" t="n"/>
      <c r="V25" s="586" t="n"/>
      <c r="W25" s="570" t="n"/>
      <c r="X25" s="570" t="n"/>
      <c r="Y25" s="570" t="n"/>
      <c r="Z25" s="570" t="n">
        <v>-0.00769230769230769</v>
      </c>
      <c r="AA25" s="570" t="n"/>
      <c r="AB25" s="570" t="n"/>
      <c r="AC25" s="570" t="n"/>
      <c r="AD25" s="570" t="n"/>
      <c r="AE25" s="572" t="n"/>
      <c r="AF25" s="572" t="n"/>
      <c r="AG25" s="572" t="n"/>
      <c r="AH25" s="572" t="n"/>
      <c r="AI25" s="572" t="n"/>
      <c r="AJ25" s="54" t="n"/>
      <c r="AK25" s="572" t="n"/>
      <c r="AL25" s="570" t="n"/>
      <c r="AM25" s="572" t="n"/>
      <c r="AN25" s="570" t="n"/>
      <c r="AO25" s="572" t="n"/>
      <c r="AP25" s="570" t="n"/>
      <c r="AQ25" s="570"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c r="FX25" s="579" t="n"/>
      <c r="FY25" s="579" t="n"/>
      <c r="FZ25" s="579" t="n"/>
      <c r="GA25" s="579" t="n"/>
    </row>
    <row r="26" customFormat="1" s="568">
      <c r="A26" s="227" t="n"/>
      <c r="B26" s="87" t="n"/>
      <c r="C26" s="137">
        <f>E26*D$5</f>
        <v/>
      </c>
      <c r="D26" s="178" t="inlineStr">
        <is>
          <t>J. E. Barnett</t>
        </is>
      </c>
      <c r="E26" s="137">
        <f>SUM(G26:HT26)</f>
        <v/>
      </c>
      <c r="F26" s="569">
        <f>IFERROR(IF($E26&gt;0.0000005,$E26/SUMIF($E$11:$E$140,"&gt;0.0000005"),""),"")</f>
        <v/>
      </c>
      <c r="G26" s="570" t="n"/>
      <c r="H26" s="570" t="n"/>
      <c r="I26" s="570" t="n"/>
      <c r="J26" s="570" t="n"/>
      <c r="K26" s="570" t="n"/>
      <c r="L26" s="570" t="n"/>
      <c r="M26" s="570" t="n"/>
      <c r="N26" s="570" t="n"/>
      <c r="O26" s="570" t="n"/>
      <c r="P26" s="570" t="n"/>
      <c r="Q26" s="570" t="n"/>
      <c r="R26" s="572" t="n"/>
      <c r="S26" s="572" t="n"/>
      <c r="T26" s="570" t="n"/>
      <c r="U26" s="570" t="n">
        <v>0.1538461538461539</v>
      </c>
      <c r="V26" s="586" t="n"/>
      <c r="W26" s="570" t="n"/>
      <c r="X26" s="570" t="n"/>
      <c r="Y26" s="570" t="n"/>
      <c r="Z26" s="570" t="n"/>
      <c r="AA26" s="570" t="n"/>
      <c r="AB26" s="570" t="n"/>
      <c r="AC26" s="570" t="n"/>
      <c r="AD26" s="570" t="n"/>
      <c r="AE26" s="572" t="n"/>
      <c r="AF26" s="572" t="n"/>
      <c r="AG26" s="572" t="n"/>
      <c r="AH26" s="572" t="n"/>
      <c r="AI26" s="572" t="n"/>
      <c r="AJ26" s="53" t="n"/>
      <c r="AK26" s="572" t="n"/>
      <c r="AL26" s="570" t="n"/>
      <c r="AM26" s="572" t="n"/>
      <c r="AN26" s="571" t="n"/>
      <c r="AO26" s="572" t="n"/>
      <c r="AP26" s="570" t="n"/>
      <c r="AQ26" s="570"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c r="FX26" s="579" t="n"/>
      <c r="FY26" s="579" t="n"/>
      <c r="FZ26" s="579" t="n"/>
      <c r="GA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70" t="n">
        <v>0.1538461538461539</v>
      </c>
      <c r="W27" s="586" t="n">
        <v>-0.0192307692307692</v>
      </c>
      <c r="X27" s="570" t="n"/>
      <c r="Y27" s="570" t="n"/>
      <c r="Z27" s="570" t="n"/>
      <c r="AA27" s="570" t="n"/>
      <c r="AB27" s="570" t="n"/>
      <c r="AC27" s="570" t="n"/>
      <c r="AD27" s="570" t="n"/>
      <c r="AE27" s="572" t="n"/>
      <c r="AF27" s="572" t="n"/>
      <c r="AG27" s="572" t="n"/>
      <c r="AH27" s="572" t="n"/>
      <c r="AI27" s="572" t="n"/>
      <c r="AJ27" s="53" t="n"/>
      <c r="AK27" s="572" t="n"/>
      <c r="AL27" s="570" t="n"/>
      <c r="AM27" s="572" t="n"/>
      <c r="AN27" s="570" t="n"/>
      <c r="AO27" s="572" t="n"/>
      <c r="AP27" s="570" t="n"/>
      <c r="AQ27" s="570"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70" t="n"/>
      <c r="W28" s="586" t="n">
        <v>0.01923076923076923</v>
      </c>
      <c r="X28" s="570" t="n"/>
      <c r="Y28" s="570" t="n">
        <v>-0.0192307692307692</v>
      </c>
      <c r="Z28" s="570" t="n"/>
      <c r="AA28" s="570" t="n"/>
      <c r="AB28" s="570" t="n"/>
      <c r="AC28" s="570" t="n"/>
      <c r="AD28" s="570" t="n"/>
      <c r="AE28" s="572" t="n"/>
      <c r="AF28" s="572" t="n"/>
      <c r="AG28" s="572" t="n"/>
      <c r="AH28" s="572" t="n"/>
      <c r="AI28" s="572" t="n"/>
      <c r="AJ28" s="53" t="n"/>
      <c r="AK28" s="572" t="n"/>
      <c r="AL28" s="570" t="n"/>
      <c r="AM28" s="572" t="n"/>
      <c r="AN28" s="570" t="n"/>
      <c r="AO28" s="572" t="n"/>
      <c r="AP28" s="570" t="n"/>
      <c r="AQ28" s="570"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70" t="n"/>
      <c r="W29" s="586" t="n"/>
      <c r="X29" s="570" t="n">
        <v>0.1538461538461539</v>
      </c>
      <c r="Y29" s="570" t="n"/>
      <c r="Z29" s="570" t="n"/>
      <c r="AA29" s="570" t="n"/>
      <c r="AB29" s="570" t="n"/>
      <c r="AC29" s="570" t="n"/>
      <c r="AD29" s="570" t="n"/>
      <c r="AE29" s="572" t="n"/>
      <c r="AF29" s="572" t="n"/>
      <c r="AG29" s="572" t="n"/>
      <c r="AH29" s="572" t="n"/>
      <c r="AI29" s="572" t="n"/>
      <c r="AJ29" s="53" t="n"/>
      <c r="AK29" s="572" t="n"/>
      <c r="AL29" s="570" t="n"/>
      <c r="AM29" s="572" t="n"/>
      <c r="AN29" s="570" t="n"/>
      <c r="AO29" s="572" t="n"/>
      <c r="AP29" s="570" t="n"/>
      <c r="AQ29" s="570" t="n"/>
      <c r="AR29" s="579" t="n"/>
      <c r="AS29" s="579" t="n"/>
      <c r="AT29" s="579" t="n"/>
    </row>
    <row r="30" customFormat="1" s="568">
      <c r="A30" s="227" t="n"/>
      <c r="B30" s="87" t="n"/>
      <c r="C30" s="84">
        <f>E30*D$5</f>
        <v/>
      </c>
      <c r="D30" s="177" t="inlineStr">
        <is>
          <t>Continental Illinois Energy Development Corp</t>
        </is>
      </c>
      <c r="E30" s="84">
        <f>SUM(G30:HT30)</f>
        <v/>
      </c>
      <c r="F30" s="569">
        <f>IFERROR(IF($E30&gt;0.0000005,$E30/SUMIF($E$11:$E$140,"&gt;0.0000005"),""),"")</f>
        <v/>
      </c>
      <c r="G30" s="570" t="n"/>
      <c r="H30" s="570" t="n"/>
      <c r="I30" s="570" t="n"/>
      <c r="J30" s="570" t="n"/>
      <c r="K30" s="570" t="n"/>
      <c r="L30" s="570" t="n"/>
      <c r="M30" s="570" t="n"/>
      <c r="N30" s="219" t="n"/>
      <c r="O30" s="570" t="n"/>
      <c r="P30" s="570" t="n"/>
      <c r="Q30" s="570" t="n"/>
      <c r="R30" s="572" t="n"/>
      <c r="S30" s="572" t="n"/>
      <c r="T30" s="570" t="n"/>
      <c r="U30" s="570" t="n"/>
      <c r="V30" s="570" t="n"/>
      <c r="W30" s="570" t="n"/>
      <c r="X30" s="586" t="n"/>
      <c r="Y30" s="586" t="n">
        <v>0.01923076923076923</v>
      </c>
      <c r="Z30" s="586" t="n"/>
      <c r="AA30" s="586" t="n">
        <v>-0.0192307692307692</v>
      </c>
      <c r="AB30" s="586" t="n"/>
      <c r="AC30" s="570" t="n"/>
      <c r="AD30" s="570" t="n"/>
      <c r="AE30" s="572" t="n"/>
      <c r="AF30" s="572" t="n"/>
      <c r="AG30" s="572" t="n"/>
      <c r="AH30" s="572" t="n"/>
      <c r="AI30" s="572" t="n"/>
      <c r="AJ30" s="220" t="n"/>
      <c r="AK30" s="572" t="n"/>
      <c r="AL30" s="570" t="n"/>
      <c r="AM30" s="572" t="n"/>
      <c r="AN30" s="570" t="n"/>
      <c r="AO30" s="572" t="n"/>
      <c r="AP30" s="570" t="n"/>
      <c r="AQ30" s="570" t="n"/>
      <c r="AR30" s="579" t="n"/>
      <c r="AS30" s="579" t="n"/>
      <c r="AT30" s="579" t="n"/>
    </row>
    <row r="31" customFormat="1" s="568">
      <c r="A31" s="227" t="n"/>
      <c r="B31" s="87" t="n"/>
      <c r="C31" s="488">
        <f>E31*D$5</f>
        <v/>
      </c>
      <c r="D31" s="489" t="inlineStr">
        <is>
          <t>Mann Group Investment Company</t>
        </is>
      </c>
      <c r="E31" s="488">
        <f>SUM(G31:HT31)</f>
        <v/>
      </c>
      <c r="F31" s="569">
        <f>IFERROR(IF($E31&gt;0.0000005,$E31/SUMIF($E$11:$E$140,"&gt;0.0000005"),""),"")</f>
        <v/>
      </c>
      <c r="G31" s="570" t="n"/>
      <c r="H31" s="570" t="n"/>
      <c r="I31" s="570" t="n"/>
      <c r="J31" s="570" t="n"/>
      <c r="K31" s="570" t="n"/>
      <c r="L31" s="570" t="n"/>
      <c r="M31" s="570" t="n"/>
      <c r="N31" s="219" t="n"/>
      <c r="O31" s="570" t="n"/>
      <c r="P31" s="570" t="n"/>
      <c r="Q31" s="570" t="n"/>
      <c r="R31" s="572" t="n"/>
      <c r="S31" s="572" t="n"/>
      <c r="T31" s="570" t="n"/>
      <c r="U31" s="570" t="n"/>
      <c r="V31" s="570" t="n"/>
      <c r="W31" s="570" t="n"/>
      <c r="X31" s="586" t="n"/>
      <c r="Y31" s="586" t="n"/>
      <c r="Z31" s="570" t="n">
        <v>0.007692307692307693</v>
      </c>
      <c r="AA31" s="570" t="n"/>
      <c r="AB31" s="570" t="n"/>
      <c r="AC31" s="570" t="n">
        <v>-0.0384615384615385</v>
      </c>
      <c r="AD31" s="570" t="n"/>
      <c r="AE31" s="572" t="n"/>
      <c r="AF31" s="572" t="n"/>
      <c r="AG31" s="572" t="n"/>
      <c r="AH31" s="572" t="n"/>
      <c r="AI31" s="572" t="n"/>
      <c r="AJ31" s="220" t="n"/>
      <c r="AK31" s="572" t="n"/>
      <c r="AL31" s="570" t="n"/>
      <c r="AM31" s="572" t="n"/>
      <c r="AN31" s="570" t="n"/>
      <c r="AO31" s="572" t="n"/>
      <c r="AP31" s="570" t="n"/>
      <c r="AQ31" s="570" t="n"/>
      <c r="AR31" s="579" t="n"/>
      <c r="AS31" s="579" t="n"/>
      <c r="AT31" s="579" t="n"/>
    </row>
    <row r="32" customFormat="1" s="568">
      <c r="A32" s="227" t="n"/>
      <c r="B32" s="87" t="n"/>
      <c r="C32" s="137">
        <f>E32*D$5</f>
        <v/>
      </c>
      <c r="D32" s="177" t="inlineStr">
        <is>
          <t>Cimarron Mineral Corporation</t>
        </is>
      </c>
      <c r="E32" s="137">
        <f>SUM(G32:HT32)</f>
        <v/>
      </c>
      <c r="F32" s="569">
        <f>IFERROR(IF($E32&gt;0.0000005,$E32/SUMIF($E$11:$E$140,"&gt;0.0000005"),""),"")</f>
        <v/>
      </c>
      <c r="G32" s="570" t="n"/>
      <c r="H32" s="570" t="n"/>
      <c r="I32" s="570" t="n"/>
      <c r="J32" s="570" t="n"/>
      <c r="K32" s="570" t="n"/>
      <c r="L32" s="570" t="n"/>
      <c r="M32" s="570" t="n"/>
      <c r="N32" s="219" t="n"/>
      <c r="O32" s="570" t="n"/>
      <c r="P32" s="570" t="n"/>
      <c r="Q32" s="570" t="n"/>
      <c r="R32" s="572" t="n"/>
      <c r="S32" s="572" t="n"/>
      <c r="T32" s="570" t="n"/>
      <c r="U32" s="570" t="n"/>
      <c r="V32" s="570" t="n"/>
      <c r="W32" s="570" t="n"/>
      <c r="X32" s="586" t="n"/>
      <c r="Y32" s="570" t="n"/>
      <c r="Z32" s="586" t="n"/>
      <c r="AA32" s="570" t="n">
        <v>0.01923076923076923</v>
      </c>
      <c r="AB32" s="570" t="n">
        <v>-0.0192307692307692</v>
      </c>
      <c r="AC32" s="570" t="n"/>
      <c r="AD32" s="570" t="n"/>
      <c r="AE32" s="572" t="n"/>
      <c r="AF32" s="572" t="n"/>
      <c r="AG32" s="572" t="n"/>
      <c r="AH32" s="572" t="n"/>
      <c r="AI32" s="572" t="n"/>
      <c r="AJ32" s="220" t="n"/>
      <c r="AK32" s="572" t="n"/>
      <c r="AL32" s="570" t="n"/>
      <c r="AM32" s="572" t="n"/>
      <c r="AN32" s="570" t="n"/>
      <c r="AO32" s="572" t="n"/>
      <c r="AP32" s="570" t="n"/>
      <c r="AQ32" s="570" t="n"/>
      <c r="AR32" s="579" t="n"/>
      <c r="AS32" s="579" t="n"/>
      <c r="AT32" s="579" t="n"/>
    </row>
    <row r="33" customFormat="1" s="568">
      <c r="A33" s="227" t="n"/>
      <c r="B33" s="87" t="n"/>
      <c r="C33" s="84">
        <f>E33*D$5</f>
        <v/>
      </c>
      <c r="D33" s="177" t="inlineStr">
        <is>
          <t>Inter-American Corporation</t>
        </is>
      </c>
      <c r="E33" s="84">
        <f>SUM(G33:HT33)</f>
        <v/>
      </c>
      <c r="F33" s="569">
        <f>IFERROR(IF($E33&gt;0.0000005,$E33/SUMIF($E$11:$E$140,"&gt;0.0000005"),""),"")</f>
        <v/>
      </c>
      <c r="G33" s="570" t="n"/>
      <c r="H33" s="570" t="n"/>
      <c r="I33" s="570" t="n"/>
      <c r="J33" s="570" t="n"/>
      <c r="K33" s="570" t="n"/>
      <c r="L33" s="570" t="n"/>
      <c r="M33" s="570" t="n"/>
      <c r="N33" s="570" t="n"/>
      <c r="O33" s="570" t="n"/>
      <c r="P33" s="570" t="n"/>
      <c r="Q33" s="570" t="n"/>
      <c r="R33" s="572" t="n"/>
      <c r="S33" s="572" t="n"/>
      <c r="T33" s="570" t="n"/>
      <c r="U33" s="570" t="n"/>
      <c r="V33" s="570" t="n"/>
      <c r="W33" s="570" t="n"/>
      <c r="X33" s="586" t="n"/>
      <c r="Y33" s="570" t="n"/>
      <c r="Z33" s="570" t="n"/>
      <c r="AA33" s="586" t="n"/>
      <c r="AB33" s="570" t="n">
        <v>0.01923076923076923</v>
      </c>
      <c r="AC33" s="570" t="n"/>
      <c r="AD33" s="570" t="n"/>
      <c r="AE33" s="572" t="n"/>
      <c r="AF33" s="572" t="n"/>
      <c r="AG33" s="572" t="n"/>
      <c r="AH33" s="572" t="n"/>
      <c r="AI33" s="572" t="n"/>
      <c r="AJ33" s="572" t="n"/>
      <c r="AK33" s="572" t="n"/>
      <c r="AL33" s="570" t="n"/>
      <c r="AM33" s="572" t="n"/>
      <c r="AN33" s="570" t="n"/>
      <c r="AO33" s="572" t="n"/>
      <c r="AP33" s="570" t="n"/>
      <c r="AQ33" s="570" t="n"/>
      <c r="AR33" s="579" t="n"/>
      <c r="AS33" s="579" t="n"/>
      <c r="AT33" s="579" t="n"/>
    </row>
    <row r="34" customFormat="1" s="568">
      <c r="A34" s="227" t="n"/>
      <c r="B34" s="87" t="n"/>
      <c r="C34" s="84">
        <f>E34*D$5</f>
        <v/>
      </c>
      <c r="D34" s="177" t="inlineStr">
        <is>
          <t>Bluebonnet Investments, Ltd.</t>
        </is>
      </c>
      <c r="E34" s="84">
        <f>SUM(G34:HT34)</f>
        <v/>
      </c>
      <c r="F34" s="569">
        <f>IFERROR(IF($E34&gt;0.0000005,$E34/SUMIF($E$11:$E$140,"&gt;0.0000005"),""),"")</f>
        <v/>
      </c>
      <c r="G34" s="570" t="n"/>
      <c r="H34" s="570" t="n"/>
      <c r="I34" s="570" t="n"/>
      <c r="J34" s="570" t="n"/>
      <c r="K34" s="570" t="n"/>
      <c r="L34" s="570" t="n"/>
      <c r="M34" s="570" t="n"/>
      <c r="N34" s="570" t="n"/>
      <c r="O34" s="570" t="n"/>
      <c r="P34" s="570" t="n"/>
      <c r="Q34" s="570" t="n"/>
      <c r="R34" s="572" t="n"/>
      <c r="S34" s="572" t="n"/>
      <c r="T34" s="570" t="n"/>
      <c r="U34" s="570" t="n"/>
      <c r="V34" s="570" t="n"/>
      <c r="W34" s="570" t="n"/>
      <c r="X34" s="586" t="n"/>
      <c r="Y34" s="570" t="n"/>
      <c r="Z34" s="570" t="n"/>
      <c r="AA34" s="570" t="n"/>
      <c r="AB34" s="586" t="n"/>
      <c r="AC34" s="570" t="n">
        <v>0.03846153846153846</v>
      </c>
      <c r="AD34" s="570" t="n"/>
      <c r="AE34" s="570" t="n"/>
      <c r="AF34" s="572" t="n"/>
      <c r="AG34" s="572" t="n"/>
      <c r="AH34" s="572" t="n"/>
      <c r="AI34" s="572" t="n"/>
      <c r="AJ34" s="572" t="n"/>
      <c r="AK34" s="572" t="n"/>
      <c r="AL34" s="570" t="n"/>
      <c r="AM34" s="572" t="n"/>
      <c r="AN34" s="570" t="n"/>
      <c r="AO34" s="572" t="n"/>
      <c r="AP34" s="570" t="n"/>
      <c r="AQ34" s="570" t="n"/>
      <c r="AR34" s="579" t="n"/>
      <c r="AS34" s="579" t="n"/>
      <c r="AT34" s="579" t="n"/>
    </row>
    <row r="35" customFormat="1" s="568">
      <c r="A35" s="227" t="n"/>
      <c r="B35" s="87" t="n"/>
      <c r="C35" s="84">
        <f>E35*D$5</f>
        <v/>
      </c>
      <c r="D35" s="177" t="n"/>
      <c r="E35" s="84">
        <f>SUM(G35:HT35)</f>
        <v/>
      </c>
      <c r="F35" s="569">
        <f>IFERROR(IF($E35&gt;0.0000005,$E35/SUMIF($E$11:$E$140,"&gt;0.0000005"),""),"")</f>
        <v/>
      </c>
      <c r="G35" s="570" t="n"/>
      <c r="H35" s="570" t="n"/>
      <c r="I35" s="570" t="n"/>
      <c r="J35" s="570" t="n"/>
      <c r="K35" s="570" t="n"/>
      <c r="L35" s="570" t="n"/>
      <c r="M35" s="570" t="n"/>
      <c r="N35" s="570" t="n"/>
      <c r="O35" s="570" t="n"/>
      <c r="P35" s="570" t="n"/>
      <c r="Q35" s="570" t="n"/>
      <c r="R35" s="572" t="n"/>
      <c r="S35" s="572" t="n"/>
      <c r="T35" s="570" t="n"/>
      <c r="U35" s="570" t="n"/>
      <c r="V35" s="570" t="n"/>
      <c r="W35" s="570" t="n"/>
      <c r="X35" s="586" t="n"/>
      <c r="Y35" s="570" t="n"/>
      <c r="Z35" s="570" t="n"/>
      <c r="AA35" s="570" t="n"/>
      <c r="AB35" s="570" t="n"/>
      <c r="AC35" s="570" t="n"/>
      <c r="AD35" s="570" t="n"/>
      <c r="AE35" s="570" t="n"/>
      <c r="AF35" s="572" t="n"/>
      <c r="AG35" s="572" t="n"/>
      <c r="AH35" s="572" t="n"/>
      <c r="AI35" s="572" t="n"/>
      <c r="AJ35" s="572" t="n"/>
      <c r="AK35" s="572" t="n"/>
      <c r="AL35" s="570" t="n"/>
      <c r="AM35" s="570" t="n"/>
      <c r="AN35" s="570" t="n"/>
      <c r="AO35" s="572" t="n"/>
      <c r="AP35" s="570" t="n"/>
      <c r="AQ35" s="570" t="n"/>
      <c r="AR35" s="579" t="n"/>
      <c r="AS35" s="579" t="n"/>
      <c r="AT35" s="579" t="n"/>
    </row>
    <row r="36" customFormat="1" s="568">
      <c r="A36" s="227" t="n"/>
      <c r="B36" s="87" t="n"/>
      <c r="C36" s="84">
        <f>E36*D$5</f>
        <v/>
      </c>
      <c r="D36" s="177" t="n"/>
      <c r="E36" s="84">
        <f>SUM(G36:HT36)</f>
        <v/>
      </c>
      <c r="F36" s="569">
        <f>IFERROR(IF($E36&gt;0.0000005,$E36/SUMIF($E$11:$E$140,"&gt;0.0000005"),""),"")</f>
        <v/>
      </c>
      <c r="G36" s="570" t="n"/>
      <c r="H36" s="570" t="n"/>
      <c r="I36" s="570" t="n"/>
      <c r="J36" s="570" t="n"/>
      <c r="K36" s="570" t="n"/>
      <c r="L36" s="570" t="n"/>
      <c r="M36" s="570" t="n"/>
      <c r="N36" s="570" t="n"/>
      <c r="O36" s="570" t="n"/>
      <c r="P36" s="570" t="n"/>
      <c r="Q36" s="570" t="n"/>
      <c r="R36" s="572" t="n"/>
      <c r="S36" s="572" t="n"/>
      <c r="T36" s="570" t="n"/>
      <c r="U36" s="570" t="n"/>
      <c r="V36" s="570" t="n"/>
      <c r="W36" s="570" t="n"/>
      <c r="X36" s="570" t="n"/>
      <c r="Y36" s="570" t="n"/>
      <c r="Z36" s="570" t="n"/>
      <c r="AA36" s="570" t="n"/>
      <c r="AB36" s="570" t="n"/>
      <c r="AC36" s="570" t="n"/>
      <c r="AD36" s="570" t="n"/>
      <c r="AE36" s="570" t="n"/>
      <c r="AF36" s="572" t="n"/>
      <c r="AG36" s="573" t="n"/>
      <c r="AH36" s="572" t="n"/>
      <c r="AI36" s="572" t="n"/>
      <c r="AJ36" s="572" t="n"/>
      <c r="AK36" s="572" t="n"/>
      <c r="AL36" s="570" t="n"/>
      <c r="AM36" s="572" t="n"/>
      <c r="AN36" s="570" t="n"/>
      <c r="AO36" s="573" t="n"/>
      <c r="AP36" s="570" t="n"/>
      <c r="AQ36" s="570" t="n"/>
      <c r="AR36" s="579" t="n"/>
      <c r="AS36" s="579" t="n"/>
      <c r="AT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2" t="n"/>
      <c r="AE37" s="570" t="n"/>
      <c r="AF37" s="572" t="n"/>
      <c r="AG37" s="573" t="n"/>
      <c r="AH37" s="573" t="n"/>
      <c r="AI37" s="573" t="n"/>
      <c r="AJ37" s="572" t="n"/>
      <c r="AK37" s="572" t="n"/>
      <c r="AL37" s="572" t="n"/>
      <c r="AM37" s="570" t="n"/>
      <c r="AN37" s="572" t="n"/>
      <c r="AO37" s="572" t="n"/>
      <c r="AP37" s="572" t="n"/>
      <c r="AQ37" s="572"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84">
        <f>E38*D$5</f>
        <v/>
      </c>
      <c r="D38" s="52" t="n"/>
      <c r="E38" s="84">
        <f>SUM(G38:HT38)</f>
        <v/>
      </c>
      <c r="F38" s="569">
        <f>IFERROR(IF($E38&gt;0.0000005,$E38/SUMIF($E$11:$E$140,"&gt;0.0000005"),""),"")</f>
        <v/>
      </c>
      <c r="G38" s="570" t="n"/>
      <c r="H38" s="570" t="n"/>
      <c r="I38" s="570" t="n"/>
      <c r="J38" s="570" t="n"/>
      <c r="K38" s="570" t="n"/>
      <c r="L38" s="570" t="n"/>
      <c r="M38" s="570" t="n"/>
      <c r="N38" s="570" t="n"/>
      <c r="O38" s="570" t="n"/>
      <c r="P38" s="570" t="n"/>
      <c r="Q38" s="570" t="n"/>
      <c r="R38" s="572" t="n"/>
      <c r="S38" s="572" t="n"/>
      <c r="T38" s="570" t="n"/>
      <c r="U38" s="570" t="n"/>
      <c r="V38" s="570" t="n"/>
      <c r="W38" s="570" t="n"/>
      <c r="X38" s="570" t="n"/>
      <c r="Y38" s="570" t="n"/>
      <c r="Z38" s="570" t="n"/>
      <c r="AA38" s="570" t="n"/>
      <c r="AB38" s="570" t="n"/>
      <c r="AC38" s="570" t="n"/>
      <c r="AD38" s="570" t="n"/>
      <c r="AE38" s="570" t="n"/>
      <c r="AF38" s="572" t="n"/>
      <c r="AG38" s="573" t="n"/>
      <c r="AH38" s="573" t="n"/>
      <c r="AI38" s="572" t="n"/>
      <c r="AJ38" s="572" t="n"/>
      <c r="AK38" s="573" t="n"/>
      <c r="AL38" s="570" t="n"/>
      <c r="AM38" s="570" t="n"/>
      <c r="AN38" s="570" t="n"/>
      <c r="AO38" s="573" t="n"/>
      <c r="AP38" s="570" t="n"/>
      <c r="AQ38" s="570" t="n"/>
      <c r="AR38" s="579" t="n"/>
      <c r="AS38" s="579" t="n"/>
      <c r="AT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2" t="n"/>
      <c r="AG39" s="573" t="n"/>
      <c r="AH39" s="573" t="n"/>
      <c r="AI39" s="573" t="n"/>
      <c r="AJ39" s="572" t="n"/>
      <c r="AK39" s="572" t="n"/>
      <c r="AL39" s="572" t="n"/>
      <c r="AM39" s="572" t="n"/>
      <c r="AN39" s="572" t="n"/>
      <c r="AO39" s="572" t="n"/>
      <c r="AP39" s="572" t="n"/>
      <c r="AQ39" s="572"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2" t="n"/>
      <c r="AH40" s="573" t="n"/>
      <c r="AI40" s="572" t="n"/>
      <c r="AJ40" s="572" t="n"/>
      <c r="AK40" s="573" t="n"/>
      <c r="AL40" s="572" t="n"/>
      <c r="AM40" s="572" t="n"/>
      <c r="AN40" s="572" t="n"/>
      <c r="AO40" s="572" t="n"/>
      <c r="AP40" s="572" t="n"/>
      <c r="AQ40" s="572"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2" t="n"/>
      <c r="AI41" s="573" t="n"/>
      <c r="AJ41" s="573" t="n"/>
      <c r="AK41" s="572" t="n"/>
      <c r="AL41" s="572" t="n"/>
      <c r="AM41" s="572" t="n"/>
      <c r="AN41" s="572" t="n"/>
      <c r="AO41" s="572" t="n"/>
      <c r="AP41" s="572" t="n"/>
      <c r="AQ41" s="572"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2" t="n"/>
      <c r="AK42" s="573" t="n"/>
      <c r="AL42" s="572" t="n"/>
      <c r="AM42" s="572" t="n"/>
      <c r="AN42" s="572" t="n"/>
      <c r="AO42" s="572" t="n"/>
      <c r="AP42" s="572" t="n"/>
      <c r="AQ42" s="572"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2" t="n"/>
      <c r="AK43" s="573" t="n"/>
      <c r="AL43" s="572" t="n"/>
      <c r="AM43" s="572" t="n"/>
      <c r="AN43" s="572" t="n"/>
      <c r="AO43" s="572" t="n"/>
      <c r="AP43" s="572" t="n"/>
      <c r="AQ43" s="572"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ht="12" customFormat="1" customHeight="1" s="568">
      <c r="A44" s="227" t="n"/>
      <c r="B44" s="87" t="n">
        <v>7</v>
      </c>
      <c r="C44" s="137">
        <f>E44*D$5</f>
        <v/>
      </c>
      <c r="D44" s="52" t="n"/>
      <c r="E44" s="137">
        <f>SUM(G44:HT44)</f>
        <v/>
      </c>
      <c r="F44" s="569">
        <f>IFERROR(IF($E44&gt;0.0000005,$E44/SUMIF($E$11:$E$140,"&gt;0.0000005"),""),"")</f>
        <v/>
      </c>
      <c r="G44" s="570" t="n"/>
      <c r="H44" s="570" t="n"/>
      <c r="I44" s="570" t="n"/>
      <c r="J44" s="570" t="n"/>
      <c r="K44" s="570" t="n"/>
      <c r="L44" s="570" t="n"/>
      <c r="M44" s="570" t="n"/>
      <c r="N44" s="570" t="n"/>
      <c r="O44" s="570" t="n"/>
      <c r="P44" s="570" t="n"/>
      <c r="Q44" s="570" t="n"/>
      <c r="R44" s="572" t="n"/>
      <c r="S44" s="572" t="n"/>
      <c r="T44" s="570" t="n"/>
      <c r="U44" s="570" t="n"/>
      <c r="V44" s="570" t="n"/>
      <c r="W44" s="570" t="n"/>
      <c r="X44" s="570" t="n"/>
      <c r="Y44" s="570" t="n"/>
      <c r="Z44" s="570" t="n"/>
      <c r="AA44" s="570" t="n"/>
      <c r="AB44" s="570" t="n"/>
      <c r="AC44" s="570" t="n"/>
      <c r="AD44" s="570" t="n"/>
      <c r="AE44" s="572" t="n"/>
      <c r="AF44" s="572" t="n"/>
      <c r="AG44" s="572" t="n"/>
      <c r="AH44" s="572" t="n"/>
      <c r="AI44" s="573" t="n"/>
      <c r="AJ44" s="573" t="n"/>
      <c r="AK44" s="572" t="n"/>
      <c r="AL44" s="570" t="n"/>
      <c r="AM44" s="572" t="n"/>
      <c r="AN44" s="570" t="n"/>
      <c r="AO44" s="572" t="n"/>
      <c r="AP44" s="570" t="n"/>
      <c r="AQ44" s="570" t="n"/>
      <c r="AR44" s="579" t="n"/>
      <c r="AS44" s="579" t="n"/>
      <c r="AT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2" t="n"/>
      <c r="AK45" s="573" t="n"/>
      <c r="AL45" s="572" t="n"/>
      <c r="AM45" s="570" t="n"/>
      <c r="AN45" s="572" t="n"/>
      <c r="AO45" s="572" t="n"/>
      <c r="AP45" s="572" t="n"/>
      <c r="AQ45" s="572"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SUM(G46:HT46)</f>
        <v/>
      </c>
      <c r="F46" s="569">
        <f>IFERROR(IF($E46&gt;0.0000005,$E46/SUMIF($E$11:$E$140,"&gt;0.0000005"),""),"")</f>
        <v/>
      </c>
      <c r="G46" s="570" t="n"/>
      <c r="H46" s="570" t="n"/>
      <c r="I46" s="570" t="n"/>
      <c r="J46" s="570" t="n"/>
      <c r="K46" s="570" t="n"/>
      <c r="L46" s="570" t="n"/>
      <c r="M46" s="570" t="n"/>
      <c r="N46" s="570" t="n"/>
      <c r="O46" s="570" t="n"/>
      <c r="P46" s="570" t="n"/>
      <c r="Q46" s="570" t="n"/>
      <c r="R46" s="572" t="n"/>
      <c r="S46" s="572" t="n"/>
      <c r="T46" s="570" t="n"/>
      <c r="U46" s="570" t="n"/>
      <c r="V46" s="570" t="n"/>
      <c r="W46" s="570" t="n"/>
      <c r="X46" s="570" t="n"/>
      <c r="Y46" s="570" t="n"/>
      <c r="Z46" s="570" t="n"/>
      <c r="AA46" s="570" t="n"/>
      <c r="AB46" s="570" t="n"/>
      <c r="AC46" s="570" t="n"/>
      <c r="AD46" s="570" t="n"/>
      <c r="AE46" s="572" t="n"/>
      <c r="AF46" s="572" t="n"/>
      <c r="AG46" s="572" t="n"/>
      <c r="AH46" s="572" t="n"/>
      <c r="AI46" s="572" t="n"/>
      <c r="AJ46" s="572" t="n"/>
      <c r="AK46" s="573" t="n"/>
      <c r="AL46" s="570" t="n"/>
      <c r="AM46" s="572" t="n"/>
      <c r="AN46" s="586" t="n"/>
      <c r="AO46" s="572" t="n"/>
      <c r="AP46" s="570" t="n"/>
      <c r="AQ46" s="570" t="n"/>
      <c r="AR46" s="579" t="n"/>
      <c r="AS46" s="579" t="n"/>
      <c r="AT46" s="579" t="n"/>
    </row>
    <row r="47" customFormat="1" s="568">
      <c r="A47" s="227" t="n"/>
      <c r="B47" s="87" t="n">
        <v>2</v>
      </c>
      <c r="C47" s="137">
        <f>E47*D$5</f>
        <v/>
      </c>
      <c r="D47" s="51" t="n"/>
      <c r="E47" s="137">
        <f>SUM(G47:HT47)</f>
        <v/>
      </c>
      <c r="F47" s="569">
        <f>IFERROR(IF($E47&gt;0.0000005,$E47/SUMIF($E$11:$E$140,"&gt;0.0000005"),""),"")</f>
        <v/>
      </c>
      <c r="G47" s="570" t="n"/>
      <c r="H47" s="570" t="n"/>
      <c r="I47" s="570" t="n"/>
      <c r="J47" s="570" t="n"/>
      <c r="K47" s="570" t="n"/>
      <c r="L47" s="570" t="n"/>
      <c r="M47" s="570" t="n"/>
      <c r="N47" s="570" t="n"/>
      <c r="O47" s="570" t="n"/>
      <c r="P47" s="570" t="n"/>
      <c r="Q47" s="570" t="n"/>
      <c r="R47" s="572" t="n"/>
      <c r="S47" s="572" t="n"/>
      <c r="T47" s="570" t="n"/>
      <c r="U47" s="570" t="n"/>
      <c r="V47" s="570" t="n"/>
      <c r="W47" s="570" t="n"/>
      <c r="X47" s="570" t="n"/>
      <c r="Y47" s="570" t="n"/>
      <c r="Z47" s="570" t="n"/>
      <c r="AA47" s="570" t="n"/>
      <c r="AB47" s="570" t="n"/>
      <c r="AC47" s="570" t="n"/>
      <c r="AD47" s="570" t="n"/>
      <c r="AE47" s="572" t="n"/>
      <c r="AF47" s="572" t="n"/>
      <c r="AG47" s="572" t="n"/>
      <c r="AH47" s="572" t="n"/>
      <c r="AI47" s="572" t="n"/>
      <c r="AJ47" s="572" t="n"/>
      <c r="AK47" s="572" t="n"/>
      <c r="AL47" s="570" t="n"/>
      <c r="AM47" s="572" t="n"/>
      <c r="AN47" s="586" t="n"/>
      <c r="AO47" s="573" t="n"/>
      <c r="AP47" s="570" t="n"/>
      <c r="AQ47" s="570" t="n"/>
      <c r="AR47" s="579" t="n"/>
      <c r="AS47" s="579" t="n"/>
      <c r="AT47" s="579" t="n"/>
    </row>
    <row r="48" customFormat="1" s="568">
      <c r="A48" s="227" t="n"/>
      <c r="B48" s="87" t="n">
        <v>3</v>
      </c>
      <c r="C48" s="84">
        <f>E48*D$5</f>
        <v/>
      </c>
      <c r="D48" s="52" t="n"/>
      <c r="E48" s="84">
        <f>SUM(G48:HT48)</f>
        <v/>
      </c>
      <c r="F48" s="569">
        <f>IFERROR(IF($E48&gt;0.0000005,$E48/SUMIF($E$11:$E$140,"&gt;0.0000005"),""),"")</f>
        <v/>
      </c>
      <c r="G48" s="570" t="n"/>
      <c r="H48" s="570" t="n"/>
      <c r="I48" s="570" t="n"/>
      <c r="J48" s="570" t="n"/>
      <c r="K48" s="570" t="n"/>
      <c r="L48" s="570" t="n"/>
      <c r="M48" s="570" t="n"/>
      <c r="N48" s="570" t="n"/>
      <c r="O48" s="570" t="n"/>
      <c r="P48" s="570" t="n"/>
      <c r="Q48" s="570" t="n"/>
      <c r="R48" s="572" t="n"/>
      <c r="S48" s="572" t="n"/>
      <c r="T48" s="570" t="n"/>
      <c r="U48" s="570" t="n"/>
      <c r="V48" s="570" t="n"/>
      <c r="W48" s="570" t="n"/>
      <c r="X48" s="570" t="n"/>
      <c r="Y48" s="570" t="n"/>
      <c r="Z48" s="570" t="n"/>
      <c r="AA48" s="570" t="n"/>
      <c r="AB48" s="570" t="n"/>
      <c r="AC48" s="570" t="n"/>
      <c r="AD48" s="570" t="n"/>
      <c r="AE48" s="572" t="n"/>
      <c r="AF48" s="572" t="n"/>
      <c r="AG48" s="572" t="n"/>
      <c r="AH48" s="572" t="n"/>
      <c r="AI48" s="572" t="n"/>
      <c r="AJ48" s="572" t="n"/>
      <c r="AK48" s="572" t="n"/>
      <c r="AL48" s="570" t="n"/>
      <c r="AM48" s="572" t="n"/>
      <c r="AN48" s="586" t="n"/>
      <c r="AO48" s="573" t="n"/>
      <c r="AP48" s="570" t="n"/>
      <c r="AQ48" s="570" t="n"/>
      <c r="AR48" s="579" t="n"/>
      <c r="AS48" s="579" t="n"/>
      <c r="AT48" s="579" t="n"/>
    </row>
    <row r="49" customFormat="1" s="568">
      <c r="A49" s="227" t="n"/>
      <c r="B49" s="87" t="n">
        <v>16</v>
      </c>
      <c r="C49" s="137">
        <f>E49*D$5</f>
        <v/>
      </c>
      <c r="D49" s="51" t="n"/>
      <c r="E49" s="84">
        <f>SUM(G49:HT49)</f>
        <v/>
      </c>
      <c r="F49" s="569">
        <f>IFERROR(IF($E49&gt;0.0000005,$E49/SUMIF($E$11:$E$140,"&gt;0.0000005"),""),"")</f>
        <v/>
      </c>
      <c r="G49" s="570" t="n"/>
      <c r="H49" s="570" t="n"/>
      <c r="I49" s="570" t="n"/>
      <c r="J49" s="570" t="n"/>
      <c r="K49" s="570" t="n"/>
      <c r="L49" s="570" t="n"/>
      <c r="M49" s="570" t="n"/>
      <c r="N49" s="570" t="n"/>
      <c r="O49" s="570" t="n"/>
      <c r="P49" s="570" t="n"/>
      <c r="Q49" s="570" t="n"/>
      <c r="R49" s="572" t="n"/>
      <c r="S49" s="572" t="n"/>
      <c r="T49" s="570" t="n"/>
      <c r="U49" s="570" t="n"/>
      <c r="V49" s="570" t="n"/>
      <c r="W49" s="570" t="n"/>
      <c r="X49" s="570" t="n"/>
      <c r="Y49" s="570" t="n"/>
      <c r="Z49" s="570" t="n"/>
      <c r="AA49" s="570" t="n"/>
      <c r="AB49" s="570" t="n"/>
      <c r="AC49" s="570" t="n"/>
      <c r="AD49" s="570" t="n"/>
      <c r="AE49" s="572" t="n"/>
      <c r="AF49" s="572" t="n"/>
      <c r="AG49" s="572" t="n"/>
      <c r="AH49" s="572" t="n"/>
      <c r="AI49" s="572" t="n"/>
      <c r="AJ49" s="572" t="n"/>
      <c r="AK49" s="572" t="n"/>
      <c r="AL49" s="570" t="n"/>
      <c r="AM49" s="572" t="n"/>
      <c r="AN49" s="570" t="n"/>
      <c r="AO49" s="573" t="n"/>
      <c r="AP49" s="570" t="n"/>
      <c r="AQ49" s="570" t="n"/>
      <c r="AR49" s="579" t="n"/>
      <c r="AS49" s="579" t="n"/>
      <c r="AT49" s="579" t="n"/>
    </row>
    <row r="50" customFormat="1" s="568">
      <c r="A50" s="86" t="n"/>
      <c r="B50" s="85" t="n"/>
      <c r="C50" s="84">
        <f>E50*D$5</f>
        <v/>
      </c>
      <c r="D50" s="52" t="n"/>
      <c r="E50" s="84">
        <f>SUM(G50:HT50)</f>
        <v/>
      </c>
      <c r="F50" s="568">
        <f>IFERROR(IF($E50&gt;0.0000005,$E50/SUMIF($E$11:$E$140,"&gt;0.0000005"),""),"")</f>
        <v/>
      </c>
      <c r="G50" s="571" t="n"/>
      <c r="H50" s="570" t="n"/>
      <c r="I50" s="570" t="n"/>
      <c r="J50" s="570" t="n"/>
      <c r="K50" s="570" t="n"/>
      <c r="L50" s="570" t="n"/>
      <c r="M50" s="570" t="n"/>
      <c r="N50" s="570" t="n"/>
      <c r="O50" s="570" t="n"/>
      <c r="P50" s="570" t="n"/>
      <c r="Q50" s="570" t="n"/>
      <c r="R50" s="572" t="n"/>
      <c r="S50" s="572" t="n"/>
      <c r="T50" s="570" t="n"/>
      <c r="U50" s="570" t="n"/>
      <c r="V50" s="570" t="n"/>
      <c r="W50" s="570" t="n"/>
      <c r="X50" s="570" t="n"/>
      <c r="Y50" s="570" t="n"/>
      <c r="Z50" s="570" t="n"/>
      <c r="AA50" s="570" t="n"/>
      <c r="AB50" s="570" t="n"/>
      <c r="AC50" s="571" t="n"/>
      <c r="AD50" s="570" t="n"/>
      <c r="AE50" s="572" t="n"/>
      <c r="AF50" s="572" t="n"/>
      <c r="AG50" s="572" t="n"/>
      <c r="AH50" s="572" t="n"/>
      <c r="AI50" s="572" t="n"/>
      <c r="AJ50" s="572" t="n"/>
      <c r="AK50" s="572" t="n"/>
      <c r="AL50" s="570" t="n"/>
      <c r="AM50" s="572" t="n"/>
      <c r="AN50" s="570" t="n"/>
      <c r="AO50" s="572" t="n"/>
      <c r="AP50" s="570" t="n"/>
      <c r="AQ50" s="570" t="n"/>
      <c r="AR50" s="579" t="n"/>
      <c r="AS50" s="579" t="n"/>
      <c r="AT50" s="579" t="n"/>
    </row>
    <row r="51" customFormat="1" s="568">
      <c r="A51" s="86" t="n"/>
      <c r="B51" s="85" t="n"/>
      <c r="C51" s="84">
        <f>E51*D$5</f>
        <v/>
      </c>
      <c r="D51" s="52" t="n"/>
      <c r="E51" s="84">
        <f>SUM(G51:HT51)</f>
        <v/>
      </c>
      <c r="F51" s="568">
        <f>IFERROR(IF($E51&gt;0.0000005,$E51/SUMIF($E$11:$E$140,"&gt;0.0000005"),""),"")</f>
        <v/>
      </c>
      <c r="G51" s="571" t="n"/>
      <c r="H51" s="570" t="n"/>
      <c r="I51" s="570" t="n"/>
      <c r="J51" s="570" t="n"/>
      <c r="K51" s="570" t="n"/>
      <c r="L51" s="570" t="n"/>
      <c r="M51" s="570" t="n"/>
      <c r="N51" s="570" t="n"/>
      <c r="O51" s="570" t="n"/>
      <c r="P51" s="570" t="n"/>
      <c r="Q51" s="570" t="n"/>
      <c r="R51" s="572" t="n"/>
      <c r="S51" s="572" t="n"/>
      <c r="T51" s="570" t="n"/>
      <c r="U51" s="570" t="n"/>
      <c r="V51" s="570" t="n"/>
      <c r="W51" s="570" t="n"/>
      <c r="X51" s="570" t="n"/>
      <c r="Y51" s="570" t="n"/>
      <c r="Z51" s="570" t="n"/>
      <c r="AA51" s="570" t="n"/>
      <c r="AB51" s="570" t="n"/>
      <c r="AC51" s="570" t="n"/>
      <c r="AD51" s="570" t="n"/>
      <c r="AE51" s="572" t="n"/>
      <c r="AF51" s="572" t="n"/>
      <c r="AG51" s="572" t="n"/>
      <c r="AH51" s="572" t="n"/>
      <c r="AI51" s="572" t="n"/>
      <c r="AJ51" s="572" t="n"/>
      <c r="AK51" s="572" t="n"/>
      <c r="AL51" s="570" t="n"/>
      <c r="AM51" s="572" t="n"/>
      <c r="AN51" s="570" t="n"/>
      <c r="AO51" s="572" t="n"/>
      <c r="AP51" s="570" t="n"/>
      <c r="AQ51" s="570" t="n"/>
      <c r="AR51" s="579" t="n"/>
      <c r="AS51" s="579" t="n"/>
      <c r="AT51" s="579" t="n"/>
    </row>
    <row r="52" customFormat="1" s="568">
      <c r="A52" s="86" t="n"/>
      <c r="B52" s="85" t="n"/>
      <c r="C52" s="137">
        <f>E52*D$5</f>
        <v/>
      </c>
      <c r="D52" s="52" t="n"/>
      <c r="E52" s="137">
        <f>SUM(G52:HT52)</f>
        <v/>
      </c>
      <c r="F52" s="568">
        <f>IFERROR(IF($E52&gt;0.0000005,$E52/SUMIF($E$11:$E$140,"&gt;0.0000005"),""),"")</f>
        <v/>
      </c>
      <c r="G52" s="571" t="n"/>
      <c r="H52" s="570" t="n"/>
      <c r="I52" s="570" t="n"/>
      <c r="J52" s="570" t="n"/>
      <c r="K52" s="570" t="n"/>
      <c r="L52" s="570" t="n"/>
      <c r="M52" s="570" t="n"/>
      <c r="N52" s="570" t="n"/>
      <c r="O52" s="570" t="n"/>
      <c r="P52" s="570" t="n"/>
      <c r="Q52" s="570" t="n"/>
      <c r="R52" s="572" t="n"/>
      <c r="S52" s="572" t="n"/>
      <c r="T52" s="570" t="n"/>
      <c r="U52" s="570" t="n"/>
      <c r="V52" s="570" t="n"/>
      <c r="W52" s="570" t="n"/>
      <c r="X52" s="570" t="n"/>
      <c r="Y52" s="570" t="n"/>
      <c r="Z52" s="570" t="n"/>
      <c r="AA52" s="570" t="n"/>
      <c r="AB52" s="570" t="n"/>
      <c r="AC52" s="570" t="n"/>
      <c r="AD52" s="570" t="n"/>
      <c r="AE52" s="572" t="n"/>
      <c r="AF52" s="572" t="n"/>
      <c r="AG52" s="572" t="n"/>
      <c r="AH52" s="572" t="n"/>
      <c r="AI52" s="572" t="n"/>
      <c r="AJ52" s="572" t="n"/>
      <c r="AK52" s="572" t="n"/>
      <c r="AL52" s="570" t="n"/>
      <c r="AM52" s="572" t="n"/>
      <c r="AN52" s="570" t="n"/>
      <c r="AO52" s="572" t="n"/>
      <c r="AP52" s="570" t="n"/>
      <c r="AQ52" s="570" t="n"/>
      <c r="AR52" s="579" t="n"/>
      <c r="AS52" s="579" t="n"/>
      <c r="AT52" s="579" t="n"/>
    </row>
    <row r="53" customFormat="1" s="568">
      <c r="A53" s="86" t="n"/>
      <c r="B53" s="85" t="n"/>
      <c r="C53" s="137">
        <f>E53*D$5</f>
        <v/>
      </c>
      <c r="D53" s="52" t="n"/>
      <c r="E53" s="137">
        <f>SUM(G53:HT53)</f>
        <v/>
      </c>
      <c r="F53" s="568">
        <f>IFERROR(IF($E53&gt;0.0000005,$E53/SUMIF($E$11:$E$140,"&gt;0.0000005"),""),"")</f>
        <v/>
      </c>
      <c r="G53" s="571" t="n"/>
      <c r="H53" s="570" t="n"/>
      <c r="I53" s="570" t="n"/>
      <c r="J53" s="570" t="n"/>
      <c r="K53" s="570" t="n"/>
      <c r="L53" s="570" t="n"/>
      <c r="M53" s="570" t="n"/>
      <c r="N53" s="570" t="n"/>
      <c r="O53" s="570" t="n"/>
      <c r="P53" s="570" t="n"/>
      <c r="Q53" s="570" t="n"/>
      <c r="R53" s="572" t="n"/>
      <c r="S53" s="572" t="n"/>
      <c r="T53" s="570" t="n"/>
      <c r="U53" s="570" t="n"/>
      <c r="V53" s="570" t="n"/>
      <c r="W53" s="570" t="n"/>
      <c r="X53" s="570" t="n"/>
      <c r="Y53" s="570" t="n"/>
      <c r="Z53" s="570" t="n"/>
      <c r="AA53" s="570" t="n"/>
      <c r="AB53" s="570" t="n"/>
      <c r="AC53" s="570" t="n"/>
      <c r="AD53" s="570" t="n"/>
      <c r="AE53" s="572" t="n"/>
      <c r="AF53" s="572" t="n"/>
      <c r="AG53" s="572" t="n"/>
      <c r="AH53" s="572" t="n"/>
      <c r="AI53" s="572" t="n"/>
      <c r="AJ53" s="572" t="n"/>
      <c r="AK53" s="572" t="n"/>
      <c r="AL53" s="570" t="n"/>
      <c r="AM53" s="572" t="n"/>
      <c r="AN53" s="570" t="n"/>
      <c r="AO53" s="572" t="n"/>
      <c r="AP53" s="570" t="n"/>
      <c r="AQ53" s="570" t="n"/>
      <c r="AR53" s="579" t="n"/>
      <c r="AS53" s="579" t="n"/>
      <c r="AT53" s="579" t="n"/>
    </row>
    <row r="54" ht="12.95" customFormat="1" customHeight="1" s="568">
      <c r="A54" s="86" t="n"/>
      <c r="B54" s="85" t="n"/>
      <c r="C54" s="84">
        <f>E54*D$5</f>
        <v/>
      </c>
      <c r="D54" s="52" t="n"/>
      <c r="E54" s="84">
        <f>SUM(G54:HT54)</f>
        <v/>
      </c>
      <c r="F54" s="568">
        <f>IFERROR(IF($E54&gt;0.0000005,$E54/SUMIF($E$11:$E$140,"&gt;0.0000005"),""),"")</f>
        <v/>
      </c>
      <c r="G54" s="571" t="n"/>
      <c r="H54" s="570" t="n"/>
      <c r="I54" s="570" t="n"/>
      <c r="J54" s="570" t="n"/>
      <c r="K54" s="570" t="n"/>
      <c r="L54" s="570" t="n"/>
      <c r="M54" s="570" t="n"/>
      <c r="N54" s="570" t="n"/>
      <c r="O54" s="570" t="n"/>
      <c r="P54" s="570" t="n"/>
      <c r="Q54" s="570" t="n"/>
      <c r="R54" s="572" t="n"/>
      <c r="S54" s="572" t="n"/>
      <c r="T54" s="570" t="n"/>
      <c r="U54" s="570" t="n"/>
      <c r="V54" s="570" t="n"/>
      <c r="W54" s="570" t="n"/>
      <c r="X54" s="570" t="n"/>
      <c r="Y54" s="570" t="n"/>
      <c r="Z54" s="570" t="n"/>
      <c r="AA54" s="570" t="n"/>
      <c r="AB54" s="570" t="n"/>
      <c r="AC54" s="570" t="n"/>
      <c r="AD54" s="570" t="n"/>
      <c r="AE54" s="572" t="n"/>
      <c r="AF54" s="572" t="n"/>
      <c r="AG54" s="572" t="n"/>
      <c r="AH54" s="572" t="n"/>
      <c r="AI54" s="572" t="n"/>
      <c r="AJ54" s="572" t="n"/>
      <c r="AK54" s="572" t="n"/>
      <c r="AL54" s="570" t="n"/>
      <c r="AM54" s="572" t="n"/>
      <c r="AN54" s="570" t="n"/>
      <c r="AO54" s="572" t="n"/>
      <c r="AP54" s="570" t="n"/>
      <c r="AQ54" s="570" t="n"/>
      <c r="AR54" s="579" t="n"/>
      <c r="AS54" s="579" t="n"/>
      <c r="AT54" s="579" t="n"/>
    </row>
    <row r="55" ht="14.1" customFormat="1" customHeight="1" s="568">
      <c r="A55" s="86" t="n"/>
      <c r="B55" s="85" t="n"/>
      <c r="C55" s="84">
        <f>E55*D$5</f>
        <v/>
      </c>
      <c r="D55" s="52" t="n"/>
      <c r="E55" s="84">
        <f>SUM(G55:HT55)</f>
        <v/>
      </c>
      <c r="F55" s="568">
        <f>IFERROR(IF($E55&gt;0.0000005,$E55/SUMIF($E$11:$E$140,"&gt;0.0000005"),""),"")</f>
        <v/>
      </c>
      <c r="G55" s="571" t="n"/>
      <c r="H55" s="570" t="n"/>
      <c r="I55" s="570" t="n"/>
      <c r="J55" s="570" t="n"/>
      <c r="K55" s="570" t="n"/>
      <c r="L55" s="570" t="n"/>
      <c r="M55" s="570" t="n"/>
      <c r="N55" s="570" t="n"/>
      <c r="O55" s="570" t="n"/>
      <c r="P55" s="570" t="n"/>
      <c r="Q55" s="570" t="n"/>
      <c r="R55" s="572" t="n"/>
      <c r="S55" s="572" t="n"/>
      <c r="T55" s="570" t="n"/>
      <c r="U55" s="570" t="n"/>
      <c r="V55" s="570" t="n"/>
      <c r="W55" s="570" t="n"/>
      <c r="X55" s="570" t="n"/>
      <c r="Y55" s="570" t="n"/>
      <c r="Z55" s="570" t="n"/>
      <c r="AA55" s="570" t="n"/>
      <c r="AB55" s="570" t="n"/>
      <c r="AC55" s="570" t="n"/>
      <c r="AD55" s="570" t="n"/>
      <c r="AE55" s="572" t="n"/>
      <c r="AF55" s="572" t="n"/>
      <c r="AG55" s="572" t="n"/>
      <c r="AH55" s="572" t="n"/>
      <c r="AI55" s="572" t="n"/>
      <c r="AJ55" s="572" t="n"/>
      <c r="AK55" s="572" t="n"/>
      <c r="AL55" s="570" t="n"/>
      <c r="AM55" s="572" t="n"/>
      <c r="AN55" s="570" t="n"/>
      <c r="AO55" s="573" t="n"/>
      <c r="AP55" s="570" t="n"/>
      <c r="AQ55" s="570" t="n"/>
      <c r="AR55" s="579" t="n"/>
      <c r="AS55" s="579" t="n"/>
      <c r="AT55" s="579" t="n"/>
    </row>
    <row r="56" ht="17.45" customFormat="1" customHeight="1" s="568">
      <c r="A56" s="86" t="n"/>
      <c r="B56" s="85" t="n"/>
      <c r="C56" s="84">
        <f>E56*D$5</f>
        <v/>
      </c>
      <c r="D56" s="577" t="n"/>
      <c r="E56" s="84">
        <f>SUM(G56:HT56)</f>
        <v/>
      </c>
      <c r="F56" s="568">
        <f>IFERROR(IF($E56&gt;0.0000005,$E56/SUMIF($E$11:$E$140,"&gt;0.0000005"),""),"")</f>
        <v/>
      </c>
      <c r="H56" s="579" t="n"/>
      <c r="I56" s="579" t="n"/>
      <c r="J56" s="579" t="n"/>
      <c r="K56" s="579" t="n"/>
      <c r="L56" s="579" t="n"/>
      <c r="M56" s="579" t="n"/>
      <c r="N56" s="579" t="n"/>
      <c r="O56" s="579" t="n"/>
      <c r="P56" s="579" t="n"/>
      <c r="Q56" s="579" t="n"/>
      <c r="R56" s="574" t="n"/>
      <c r="S56" s="574" t="n"/>
      <c r="T56" s="579" t="n"/>
      <c r="U56" s="579" t="n"/>
      <c r="V56" s="579" t="n"/>
      <c r="W56" s="579" t="n"/>
      <c r="X56" s="579" t="n"/>
      <c r="Y56" s="579" t="n"/>
      <c r="Z56" s="579" t="n"/>
      <c r="AA56" s="579" t="n"/>
      <c r="AB56" s="579" t="n"/>
      <c r="AC56" s="579" t="n"/>
      <c r="AD56" s="579" t="n"/>
      <c r="AE56" s="574" t="n"/>
      <c r="AF56" s="574" t="n"/>
      <c r="AG56" s="574" t="n"/>
      <c r="AH56" s="574" t="n"/>
      <c r="AI56" s="574" t="n"/>
      <c r="AJ56" s="574" t="n"/>
      <c r="AK56" s="574" t="n"/>
      <c r="AL56" s="579" t="n"/>
      <c r="AM56" s="574" t="n"/>
      <c r="AN56" s="579" t="n"/>
      <c r="AO56" s="572" t="n"/>
      <c r="AP56" s="579" t="n"/>
      <c r="AQ56" s="579" t="n"/>
      <c r="AR56" s="579" t="n"/>
      <c r="AS56" s="579" t="n"/>
      <c r="AT56" s="579" t="n"/>
    </row>
    <row r="57" ht="17.45" customFormat="1" customHeight="1" s="568">
      <c r="A57" s="86" t="n"/>
      <c r="B57" s="85" t="n"/>
      <c r="C57" s="84">
        <f>E57*D$5</f>
        <v/>
      </c>
      <c r="D57" s="578" t="n"/>
      <c r="E57" s="84">
        <f>SUM(G57:HT57)</f>
        <v/>
      </c>
      <c r="F57" s="568">
        <f>IFERROR(IF($E57&gt;0.0000005,$E57/SUMIF($E$11:$E$140,"&gt;0.0000005"),""),"")</f>
        <v/>
      </c>
      <c r="H57" s="579" t="n"/>
      <c r="I57" s="579" t="n"/>
      <c r="J57" s="579" t="n"/>
      <c r="K57" s="579" t="n"/>
      <c r="L57" s="579" t="n"/>
      <c r="M57" s="579" t="n"/>
      <c r="N57" s="579" t="n"/>
      <c r="O57" s="579" t="n"/>
      <c r="P57" s="579" t="n"/>
      <c r="Q57" s="579" t="n"/>
      <c r="R57" s="574" t="n"/>
      <c r="S57" s="574" t="n"/>
      <c r="T57" s="579" t="n"/>
      <c r="U57" s="579" t="n"/>
      <c r="V57" s="579" t="n"/>
      <c r="W57" s="579" t="n"/>
      <c r="X57" s="579" t="n"/>
      <c r="Y57" s="579" t="n"/>
      <c r="Z57" s="579" t="n"/>
      <c r="AA57" s="579" t="n"/>
      <c r="AB57" s="579" t="n"/>
      <c r="AC57" s="579" t="n"/>
      <c r="AD57" s="579" t="n"/>
      <c r="AE57" s="574" t="n"/>
      <c r="AF57" s="574" t="n"/>
      <c r="AG57" s="574" t="n"/>
      <c r="AH57" s="574" t="n"/>
      <c r="AI57" s="574" t="n"/>
      <c r="AJ57" s="574" t="n"/>
      <c r="AK57" s="574" t="n"/>
      <c r="AL57" s="579" t="n"/>
      <c r="AM57" s="574" t="n"/>
      <c r="AN57" s="579" t="n"/>
      <c r="AO57" s="572" t="n"/>
      <c r="AP57" s="579" t="n"/>
      <c r="AQ57" s="579" t="n"/>
      <c r="AR57" s="579" t="n"/>
      <c r="AS57" s="579" t="n"/>
      <c r="AT57" s="579" t="n"/>
    </row>
    <row r="58" ht="17.45" customFormat="1" customHeight="1" s="568">
      <c r="A58" s="86" t="n"/>
      <c r="B58" s="85" t="n"/>
      <c r="C58" s="84">
        <f>E58*D$5</f>
        <v/>
      </c>
      <c r="D58" s="577" t="n"/>
      <c r="E58" s="84">
        <f>SUM(G58:HT58)</f>
        <v/>
      </c>
      <c r="F58" s="568">
        <f>IFERROR(IF($E58&gt;0.0000005,$E58/SUMIF($E$11:$E$140,"&gt;0.0000005"),""),"")</f>
        <v/>
      </c>
      <c r="H58" s="579" t="n"/>
      <c r="I58" s="579" t="n"/>
      <c r="J58" s="579" t="n"/>
      <c r="K58" s="579" t="n"/>
      <c r="L58" s="579" t="n"/>
      <c r="M58" s="579" t="n"/>
      <c r="N58" s="579" t="n"/>
      <c r="O58" s="579" t="n"/>
      <c r="P58" s="579" t="n"/>
      <c r="Q58" s="579" t="n"/>
      <c r="R58" s="574" t="n"/>
      <c r="S58" s="574" t="n"/>
      <c r="T58" s="579" t="n"/>
      <c r="U58" s="579" t="n"/>
      <c r="V58" s="579" t="n"/>
      <c r="W58" s="579" t="n"/>
      <c r="X58" s="579" t="n"/>
      <c r="Y58" s="579" t="n"/>
      <c r="Z58" s="579" t="n"/>
      <c r="AA58" s="579" t="n"/>
      <c r="AB58" s="579" t="n"/>
      <c r="AC58" s="579" t="n"/>
      <c r="AD58" s="579" t="n"/>
      <c r="AE58" s="574" t="n"/>
      <c r="AF58" s="574" t="n"/>
      <c r="AG58" s="574" t="n"/>
      <c r="AH58" s="574" t="n"/>
      <c r="AI58" s="574" t="n"/>
      <c r="AJ58" s="574" t="n"/>
      <c r="AK58" s="574" t="n"/>
      <c r="AL58" s="579" t="n"/>
      <c r="AM58" s="574" t="n"/>
      <c r="AN58" s="579" t="n"/>
      <c r="AO58" s="572" t="n"/>
      <c r="AP58" s="579" t="n"/>
      <c r="AQ58" s="579" t="n"/>
      <c r="AR58" s="579" t="n"/>
      <c r="AS58" s="579" t="n"/>
      <c r="AT58" s="579" t="n"/>
    </row>
    <row r="59" ht="17.45" customFormat="1" customHeight="1" s="568">
      <c r="A59" s="86" t="inlineStr">
        <is>
          <t> </t>
        </is>
      </c>
      <c r="B59" s="85" t="n"/>
      <c r="C59" s="84">
        <f>E59*D$5</f>
        <v/>
      </c>
      <c r="D59" s="577" t="n"/>
      <c r="E59" s="84">
        <f>SUM(G59:HT59)</f>
        <v/>
      </c>
      <c r="F59" s="568">
        <f>IFERROR(IF($E59&gt;0.0000005,$E59/SUMIF($E$11:$E$140,"&gt;0.0000005"),""),"")</f>
        <v/>
      </c>
      <c r="H59" s="579" t="n"/>
      <c r="I59" s="579" t="n"/>
      <c r="J59" s="579" t="n"/>
      <c r="K59" s="579" t="n"/>
      <c r="L59" s="579" t="n"/>
      <c r="M59" s="579" t="n"/>
      <c r="N59" s="579" t="n"/>
      <c r="O59" s="579" t="n"/>
      <c r="P59" s="579" t="n"/>
      <c r="Q59" s="579" t="n"/>
      <c r="R59" s="574" t="n"/>
      <c r="S59" s="574" t="n"/>
      <c r="T59" s="579" t="n"/>
      <c r="U59" s="579" t="n"/>
      <c r="V59" s="579" t="n"/>
      <c r="W59" s="579" t="n"/>
      <c r="X59" s="579" t="n"/>
      <c r="Y59" s="579" t="n"/>
      <c r="Z59" s="579" t="n"/>
      <c r="AA59" s="579" t="n"/>
      <c r="AB59" s="579" t="n"/>
      <c r="AC59" s="579" t="n"/>
      <c r="AD59" s="579" t="n"/>
      <c r="AE59" s="574" t="n"/>
      <c r="AF59" s="574" t="n"/>
      <c r="AG59" s="574" t="n"/>
      <c r="AH59" s="574" t="n"/>
      <c r="AI59" s="574" t="n"/>
      <c r="AJ59" s="574" t="n"/>
      <c r="AK59" s="574" t="n"/>
      <c r="AL59" s="579" t="n"/>
      <c r="AM59" s="574" t="n"/>
      <c r="AN59" s="579" t="n"/>
      <c r="AO59" s="572" t="n"/>
      <c r="AP59" s="579" t="n"/>
      <c r="AQ59" s="579" t="n"/>
      <c r="AR59" s="579" t="n"/>
      <c r="AS59" s="579" t="n"/>
      <c r="AT59" s="579" t="n"/>
    </row>
    <row r="60" ht="16.5" customFormat="1" customHeight="1" s="568">
      <c r="A60" s="86" t="n"/>
      <c r="B60" s="85" t="n"/>
      <c r="C60" s="84">
        <f>E60*D$5</f>
        <v/>
      </c>
      <c r="D60" s="577" t="n"/>
      <c r="E60" s="84">
        <f>SUM(G60:HT60)</f>
        <v/>
      </c>
      <c r="F60" s="568">
        <f>IFERROR(IF($E60&gt;0.0000005,$E60/SUMIF($E$11:$E$140,"&gt;0.0000005"),""),"")</f>
        <v/>
      </c>
      <c r="H60" s="579" t="n"/>
      <c r="I60" s="579" t="n"/>
      <c r="J60" s="579" t="n"/>
      <c r="K60" s="579" t="n"/>
      <c r="L60" s="579" t="n"/>
      <c r="M60" s="579" t="n"/>
      <c r="N60" s="579" t="n"/>
      <c r="O60" s="579" t="n"/>
      <c r="P60" s="579" t="n"/>
      <c r="Q60" s="579" t="n"/>
      <c r="R60" s="574" t="n"/>
      <c r="S60" s="574" t="n"/>
      <c r="T60" s="579" t="n"/>
      <c r="U60" s="579" t="n"/>
      <c r="V60" s="579" t="n"/>
      <c r="W60" s="579" t="n"/>
      <c r="X60" s="579" t="n"/>
      <c r="Y60" s="579" t="n"/>
      <c r="Z60" s="579" t="n"/>
      <c r="AA60" s="579" t="n"/>
      <c r="AB60" s="579" t="n"/>
      <c r="AC60" s="579" t="n"/>
      <c r="AD60" s="579" t="n"/>
      <c r="AE60" s="574" t="n"/>
      <c r="AF60" s="574" t="n"/>
      <c r="AG60" s="574" t="n"/>
      <c r="AH60" s="574" t="n"/>
      <c r="AI60" s="574" t="n"/>
      <c r="AJ60" s="574" t="n"/>
      <c r="AK60" s="574" t="n"/>
      <c r="AL60" s="579" t="n"/>
      <c r="AM60" s="574" t="n"/>
      <c r="AN60" s="579" t="n"/>
      <c r="AO60" s="572" t="n"/>
      <c r="AP60" s="579" t="n"/>
      <c r="AQ60" s="579" t="n"/>
      <c r="AR60" s="579" t="n"/>
      <c r="AS60" s="579" t="n"/>
      <c r="AT60" s="579" t="n"/>
    </row>
    <row r="61" customFormat="1" s="568">
      <c r="A61" s="86" t="n"/>
      <c r="B61" s="85" t="n"/>
      <c r="C61" s="84">
        <f>E61*D$5</f>
        <v/>
      </c>
      <c r="D61" s="52" t="n"/>
      <c r="E61" s="84">
        <f>SUM(G61:HT61)</f>
        <v/>
      </c>
      <c r="F61" s="568">
        <f>IFERROR(IF($E61&gt;0.0000005,$E61/SUMIF($E$11:$E$140,"&gt;0.0000005"),""),"")</f>
        <v/>
      </c>
      <c r="H61" s="579" t="n"/>
      <c r="I61" s="579" t="n"/>
      <c r="J61" s="579" t="n"/>
      <c r="K61" s="579" t="n"/>
      <c r="L61" s="579" t="n"/>
      <c r="M61" s="579" t="n"/>
      <c r="N61" s="579" t="n"/>
      <c r="O61" s="579" t="n"/>
      <c r="P61" s="579" t="n"/>
      <c r="Q61" s="579" t="n"/>
      <c r="R61" s="574" t="n"/>
      <c r="S61" s="574" t="n"/>
      <c r="T61" s="579" t="n"/>
      <c r="U61" s="579" t="n"/>
      <c r="V61" s="579" t="n"/>
      <c r="W61" s="579" t="n"/>
      <c r="X61" s="579" t="n"/>
      <c r="Y61" s="579" t="n"/>
      <c r="Z61" s="579" t="n"/>
      <c r="AA61" s="579" t="n"/>
      <c r="AB61" s="579" t="n"/>
      <c r="AC61" s="579" t="n"/>
      <c r="AD61" s="579" t="n"/>
      <c r="AE61" s="574" t="n"/>
      <c r="AF61" s="574" t="n"/>
      <c r="AG61" s="574" t="n"/>
      <c r="AH61" s="574" t="n"/>
      <c r="AI61" s="574" t="n"/>
      <c r="AJ61" s="574" t="n"/>
      <c r="AK61" s="574" t="n"/>
      <c r="AL61" s="579" t="n"/>
      <c r="AM61" s="574" t="n"/>
      <c r="AN61" s="579" t="n"/>
      <c r="AO61" s="572" t="n"/>
      <c r="AP61" s="579" t="n"/>
      <c r="AQ61" s="579" t="n"/>
      <c r="AR61" s="579" t="n"/>
      <c r="AS61" s="579" t="n"/>
      <c r="AT61" s="579" t="n"/>
    </row>
    <row r="62" customFormat="1" s="568">
      <c r="A62" s="86" t="n"/>
      <c r="B62" s="85" t="n"/>
      <c r="C62" s="137">
        <f>E62*D$5</f>
        <v/>
      </c>
      <c r="D62" s="51" t="n"/>
      <c r="E62" s="137">
        <f>SUM(G62:HT62)</f>
        <v/>
      </c>
      <c r="F62" s="568">
        <f>IFERROR(IF($E62&gt;0.0000005,$E62/SUMIF($E$11:$E$140,"&gt;0.0000005"),""),"")</f>
        <v/>
      </c>
      <c r="H62" s="579" t="n"/>
      <c r="I62" s="579" t="n"/>
      <c r="J62" s="579" t="n"/>
      <c r="K62" s="579" t="n"/>
      <c r="L62" s="579" t="n"/>
      <c r="M62" s="579" t="n"/>
      <c r="N62" s="579" t="n"/>
      <c r="O62" s="579" t="n"/>
      <c r="P62" s="579" t="n"/>
      <c r="Q62" s="579" t="n"/>
      <c r="R62" s="574" t="n"/>
      <c r="S62" s="574" t="n"/>
      <c r="T62" s="579" t="n"/>
      <c r="U62" s="579" t="n"/>
      <c r="V62" s="579" t="n"/>
      <c r="W62" s="579" t="n"/>
      <c r="X62" s="579" t="n"/>
      <c r="Y62" s="579" t="n"/>
      <c r="Z62" s="579" t="n"/>
      <c r="AA62" s="579" t="n"/>
      <c r="AB62" s="579" t="n"/>
      <c r="AC62" s="579" t="n"/>
      <c r="AD62" s="579" t="n"/>
      <c r="AE62" s="574" t="n"/>
      <c r="AF62" s="574" t="n"/>
      <c r="AG62" s="574" t="n"/>
      <c r="AH62" s="574" t="n"/>
      <c r="AI62" s="574" t="n"/>
      <c r="AJ62" s="574" t="n"/>
      <c r="AK62" s="574" t="n"/>
      <c r="AL62" s="579" t="n"/>
      <c r="AM62" s="574" t="n"/>
      <c r="AN62" s="579" t="n"/>
      <c r="AO62" s="572" t="n"/>
      <c r="AP62" s="579" t="n"/>
      <c r="AQ62" s="579" t="n"/>
      <c r="AR62" s="579" t="n"/>
      <c r="AS62" s="579" t="n"/>
      <c r="AT62" s="579" t="n"/>
    </row>
    <row r="63" customFormat="1" s="568">
      <c r="A63" s="86" t="n"/>
      <c r="B63" s="85" t="n"/>
      <c r="C63" s="137">
        <f>E63*D$5</f>
        <v/>
      </c>
      <c r="D63" s="51" t="n"/>
      <c r="E63" s="137">
        <f>SUM(G63:HT63)</f>
        <v/>
      </c>
      <c r="F63" s="568">
        <f>IFERROR(IF($E63&gt;0.0000005,$E63/SUMIF($E$11:$E$140,"&gt;0.0000005"),""),"")</f>
        <v/>
      </c>
      <c r="H63" s="579" t="n"/>
      <c r="I63" s="579" t="n"/>
      <c r="J63" s="579" t="n"/>
      <c r="K63" s="579" t="n"/>
      <c r="L63" s="579" t="n"/>
      <c r="M63" s="579" t="n"/>
      <c r="N63" s="579" t="n"/>
      <c r="O63" s="579" t="n"/>
      <c r="P63" s="579" t="n"/>
      <c r="Q63" s="579" t="n"/>
      <c r="R63" s="574" t="n"/>
      <c r="S63" s="574" t="n"/>
      <c r="T63" s="579" t="n"/>
      <c r="U63" s="579" t="n"/>
      <c r="V63" s="579" t="n"/>
      <c r="W63" s="579" t="n"/>
      <c r="X63" s="579" t="n"/>
      <c r="Y63" s="579" t="n"/>
      <c r="Z63" s="579" t="n"/>
      <c r="AA63" s="579" t="n"/>
      <c r="AB63" s="579" t="n"/>
      <c r="AC63" s="579" t="n"/>
      <c r="AD63" s="579" t="n"/>
      <c r="AE63" s="574" t="n"/>
      <c r="AF63" s="574" t="n"/>
      <c r="AG63" s="574" t="n"/>
      <c r="AH63" s="574" t="n"/>
      <c r="AI63" s="574" t="n"/>
      <c r="AJ63" s="574" t="n"/>
      <c r="AK63" s="574" t="n"/>
      <c r="AL63" s="579" t="n"/>
      <c r="AM63" s="574" t="n"/>
      <c r="AN63" s="579" t="n"/>
      <c r="AO63" s="572" t="n"/>
      <c r="AP63" s="579" t="n"/>
      <c r="AQ63" s="579" t="n"/>
      <c r="AR63" s="579" t="n"/>
      <c r="AS63" s="579" t="n"/>
      <c r="AT63" s="579" t="n"/>
    </row>
    <row r="64" customFormat="1" s="568">
      <c r="A64" s="86" t="n"/>
      <c r="B64" s="85" t="n"/>
      <c r="C64" s="84">
        <f>E64*D$5</f>
        <v/>
      </c>
      <c r="D64" s="52" t="n"/>
      <c r="E64" s="84">
        <f>SUM(G64:HT64)</f>
        <v/>
      </c>
      <c r="F64" s="568">
        <f>IFERROR(IF($E64&gt;0.0000005,$E64/SUMIF($E$11:$E$140,"&gt;0.0000005"),""),"")</f>
        <v/>
      </c>
      <c r="I64" s="579" t="n"/>
      <c r="J64" s="579" t="n"/>
      <c r="L64" s="579" t="n"/>
      <c r="M64" s="579" t="n"/>
      <c r="N64" s="579" t="n"/>
      <c r="O64" s="579" t="n"/>
      <c r="P64" s="579" t="n"/>
      <c r="Q64" s="579" t="n"/>
      <c r="R64" s="574" t="n"/>
      <c r="S64" s="574" t="n"/>
      <c r="T64" s="579" t="n"/>
      <c r="U64" s="579" t="n"/>
      <c r="V64" s="579" t="n"/>
      <c r="W64" s="579" t="n"/>
      <c r="X64" s="579" t="n"/>
      <c r="Y64" s="579" t="n"/>
      <c r="Z64" s="579" t="n"/>
      <c r="AA64" s="579" t="n"/>
      <c r="AB64" s="579" t="n"/>
      <c r="AC64" s="579" t="n"/>
      <c r="AD64" s="579" t="n"/>
      <c r="AE64" s="574" t="n"/>
      <c r="AF64" s="574" t="n"/>
      <c r="AG64" s="574" t="n"/>
      <c r="AH64" s="574" t="n"/>
      <c r="AI64" s="574" t="n"/>
      <c r="AJ64" s="574" t="n"/>
      <c r="AK64" s="574" t="n"/>
      <c r="AL64" s="579" t="n"/>
      <c r="AM64" s="574" t="n"/>
      <c r="AN64" s="579" t="n"/>
      <c r="AO64" s="572" t="n"/>
      <c r="AP64" s="579" t="n"/>
      <c r="AQ64" s="579" t="n"/>
      <c r="AR64" s="579" t="n"/>
      <c r="AS64" s="579" t="n"/>
      <c r="AT64" s="579" t="n"/>
    </row>
    <row r="65" customFormat="1" s="568">
      <c r="A65" s="86" t="n"/>
      <c r="B65" s="85" t="n"/>
      <c r="C65" s="137">
        <f>E65*D$5</f>
        <v/>
      </c>
      <c r="D65" s="51" t="n"/>
      <c r="E65" s="137">
        <f>SUM(G65:HT65)</f>
        <v/>
      </c>
      <c r="F65" s="568">
        <f>IFERROR(IF($E65&gt;0.0000005,$E65/SUMIF($E$11:$E$140,"&gt;0.0000005"),""),"")</f>
        <v/>
      </c>
      <c r="I65" s="579" t="n"/>
      <c r="J65" s="579" t="n"/>
      <c r="M65" s="579" t="n"/>
      <c r="N65" s="579" t="n"/>
      <c r="O65" s="579" t="n"/>
      <c r="P65" s="579" t="n"/>
      <c r="Q65" s="579" t="n"/>
      <c r="R65" s="574" t="n"/>
      <c r="S65" s="574" t="n"/>
      <c r="T65" s="579" t="n"/>
      <c r="U65" s="579" t="n"/>
      <c r="V65" s="579" t="n"/>
      <c r="W65" s="579" t="n"/>
      <c r="X65" s="579" t="n"/>
      <c r="Y65" s="579" t="n"/>
      <c r="Z65" s="579" t="n"/>
      <c r="AA65" s="579" t="n"/>
      <c r="AB65" s="579" t="n"/>
      <c r="AC65" s="579" t="n"/>
      <c r="AD65" s="579" t="n"/>
      <c r="AE65" s="574" t="n"/>
      <c r="AF65" s="574" t="n"/>
      <c r="AG65" s="574" t="n"/>
      <c r="AH65" s="574" t="n"/>
      <c r="AI65" s="574" t="n"/>
      <c r="AJ65" s="574" t="n"/>
      <c r="AK65" s="574" t="n"/>
      <c r="AL65" s="579" t="n"/>
      <c r="AM65" s="574" t="n"/>
      <c r="AN65" s="579" t="n"/>
      <c r="AO65" s="572" t="n"/>
      <c r="AP65" s="579" t="n"/>
      <c r="AQ65" s="579" t="n"/>
      <c r="AR65" s="579" t="n"/>
      <c r="AS65" s="579" t="n"/>
      <c r="AT65" s="579" t="n"/>
    </row>
    <row r="66" customFormat="1" s="568">
      <c r="A66" s="86" t="n"/>
      <c r="B66" s="85" t="n"/>
      <c r="C66" s="137">
        <f>E66*D$5</f>
        <v/>
      </c>
      <c r="D66" s="51" t="n"/>
      <c r="E66" s="137">
        <f>SUM(G66:HT66)</f>
        <v/>
      </c>
      <c r="F66" s="568">
        <f>IFERROR(IF($E66&gt;0.0000005,$E66/SUMIF($E$11:$E$140,"&gt;0.0000005"),""),"")</f>
        <v/>
      </c>
      <c r="I66" s="579" t="n"/>
      <c r="J66" s="579" t="n"/>
      <c r="M66" s="579" t="n"/>
      <c r="N66" s="579" t="n"/>
      <c r="O66" s="579" t="n"/>
      <c r="P66" s="579" t="n"/>
      <c r="Q66" s="579" t="n"/>
      <c r="R66" s="574" t="n"/>
      <c r="S66" s="574" t="n"/>
      <c r="T66" s="579" t="n"/>
      <c r="U66" s="579" t="n"/>
      <c r="V66" s="579" t="n"/>
      <c r="W66" s="579" t="n"/>
      <c r="X66" s="579" t="n"/>
      <c r="Y66" s="579" t="n"/>
      <c r="Z66" s="579" t="n"/>
      <c r="AA66" s="579" t="n"/>
      <c r="AB66" s="579" t="n"/>
      <c r="AC66" s="579" t="n"/>
      <c r="AD66" s="579" t="n"/>
      <c r="AE66" s="574" t="n"/>
      <c r="AF66" s="574" t="n"/>
      <c r="AG66" s="574" t="n"/>
      <c r="AH66" s="588" t="n"/>
      <c r="AI66" s="588" t="n"/>
      <c r="AJ66" s="574" t="n"/>
      <c r="AK66" s="574" t="n"/>
      <c r="AL66" s="579" t="n"/>
      <c r="AM66" s="574" t="n"/>
      <c r="AN66" s="579" t="n"/>
      <c r="AO66" s="572" t="n"/>
      <c r="AP66" s="579" t="n"/>
      <c r="AQ66" s="579" t="n"/>
      <c r="AR66" s="579" t="n"/>
      <c r="AS66" s="579" t="n"/>
      <c r="AT66" s="579" t="n"/>
    </row>
    <row r="67" customFormat="1" s="568">
      <c r="A67" s="86" t="n"/>
      <c r="B67" s="85" t="n"/>
      <c r="C67" s="84">
        <f>E67*D$5</f>
        <v/>
      </c>
      <c r="D67" s="52" t="n"/>
      <c r="E67" s="84">
        <f>SUM(G67:HT67)</f>
        <v/>
      </c>
      <c r="F67" s="568">
        <f>IFERROR(IF($E67&gt;0.0000005,$E67/SUMIF($E$11:$E$140,"&gt;0.0000005"),""),"")</f>
        <v/>
      </c>
      <c r="H67" s="579" t="n"/>
      <c r="I67" s="579" t="n"/>
      <c r="J67" s="579" t="n"/>
      <c r="K67" s="579" t="n"/>
      <c r="L67" s="579" t="n"/>
      <c r="M67" s="579" t="n"/>
      <c r="N67" s="579" t="n"/>
      <c r="O67" s="579" t="n"/>
      <c r="P67" s="579" t="n"/>
      <c r="Q67" s="579" t="n"/>
      <c r="R67" s="574" t="n"/>
      <c r="S67" s="574" t="n"/>
      <c r="T67" s="579" t="n"/>
      <c r="U67" s="579" t="n"/>
      <c r="V67" s="579" t="n"/>
      <c r="W67" s="579" t="n"/>
      <c r="X67" s="579" t="n"/>
      <c r="Y67" s="579" t="n"/>
      <c r="Z67" s="579" t="n"/>
      <c r="AA67" s="579" t="n"/>
      <c r="AB67" s="579" t="n"/>
      <c r="AC67" s="579" t="n"/>
      <c r="AD67" s="579" t="n"/>
      <c r="AE67" s="574" t="n"/>
      <c r="AF67" s="574" t="n"/>
      <c r="AG67" s="574" t="n"/>
      <c r="AH67" s="588" t="n"/>
      <c r="AI67" s="574" t="n"/>
      <c r="AJ67" s="574" t="n"/>
      <c r="AK67" s="588" t="n"/>
      <c r="AL67" s="579" t="n"/>
      <c r="AM67" s="574" t="n"/>
      <c r="AN67" s="579" t="n"/>
      <c r="AO67" s="572" t="n"/>
      <c r="AP67" s="579" t="n"/>
      <c r="AQ67" s="579" t="n"/>
      <c r="AR67" s="579" t="n"/>
      <c r="AS67" s="579" t="n"/>
      <c r="AT67" s="579" t="n"/>
    </row>
    <row r="68" customFormat="1" s="568">
      <c r="A68" s="86" t="n"/>
      <c r="B68" s="85" t="n"/>
      <c r="C68" s="84">
        <f>E68*D$5</f>
        <v/>
      </c>
      <c r="D68" s="52" t="n"/>
      <c r="E68" s="84">
        <f>SUM(G68:HT68)</f>
        <v/>
      </c>
      <c r="F68" s="568">
        <f>IFERROR(IF($E68&gt;0.0000005,$E68/SUMIF($E$11:$E$140,"&gt;0.0000005"),""),"")</f>
        <v/>
      </c>
      <c r="H68" s="579" t="n"/>
      <c r="I68" s="579" t="n"/>
      <c r="J68" s="579" t="n"/>
      <c r="K68" s="579" t="n"/>
      <c r="L68" s="579" t="n"/>
      <c r="M68" s="579" t="n"/>
      <c r="N68" s="579" t="n"/>
      <c r="O68" s="579" t="n"/>
      <c r="P68" s="579" t="n"/>
      <c r="Q68" s="579" t="n"/>
      <c r="R68" s="574" t="n"/>
      <c r="S68" s="574" t="n"/>
      <c r="T68" s="579" t="n"/>
      <c r="U68" s="579" t="n"/>
      <c r="V68" s="579" t="n"/>
      <c r="W68" s="579" t="n"/>
      <c r="X68" s="579" t="n"/>
      <c r="Y68" s="579" t="n"/>
      <c r="Z68" s="579" t="n"/>
      <c r="AA68" s="579" t="n"/>
      <c r="AB68" s="579" t="n"/>
      <c r="AC68" s="579" t="n"/>
      <c r="AD68" s="579" t="n"/>
      <c r="AE68" s="574" t="n"/>
      <c r="AF68" s="574" t="n"/>
      <c r="AG68" s="574" t="n"/>
      <c r="AH68" s="574" t="n"/>
      <c r="AI68" s="588" t="n"/>
      <c r="AJ68" s="588" t="n"/>
      <c r="AK68" s="574" t="n"/>
      <c r="AL68" s="579" t="n"/>
      <c r="AM68" s="574" t="n"/>
      <c r="AN68" s="579" t="n"/>
      <c r="AO68" s="573" t="n"/>
      <c r="AP68" s="579" t="n"/>
      <c r="AQ68" s="579" t="n"/>
      <c r="AR68" s="579" t="n"/>
      <c r="AS68" s="579" t="n"/>
      <c r="AT68" s="579" t="n"/>
    </row>
    <row r="69" customFormat="1" s="568">
      <c r="A69" s="86" t="n"/>
      <c r="B69" s="85" t="n"/>
      <c r="C69" s="84">
        <f>E69*D$5</f>
        <v/>
      </c>
      <c r="D69" s="52" t="n"/>
      <c r="E69" s="84">
        <f>SUM(G69:HT69)</f>
        <v/>
      </c>
      <c r="F69" s="568">
        <f>IFERROR(IF($E69&gt;0.0000005,$E69/SUMIF($E$11:$E$140,"&gt;0.0000005"),""),"")</f>
        <v/>
      </c>
      <c r="H69" s="579" t="n"/>
      <c r="I69" s="579" t="n"/>
      <c r="J69" s="579" t="n"/>
      <c r="K69" s="579" t="n"/>
      <c r="L69" s="579" t="n"/>
      <c r="M69" s="579" t="n"/>
      <c r="N69" s="579" t="n"/>
      <c r="O69" s="579" t="n"/>
      <c r="P69" s="579" t="n"/>
      <c r="Q69" s="579" t="n"/>
      <c r="R69" s="574" t="n"/>
      <c r="S69" s="574" t="n"/>
      <c r="T69" s="579" t="n"/>
      <c r="U69" s="579" t="n"/>
      <c r="V69" s="579" t="n"/>
      <c r="W69" s="579" t="n"/>
      <c r="X69" s="579" t="n"/>
      <c r="Y69" s="579" t="n"/>
      <c r="Z69" s="579" t="n"/>
      <c r="AA69" s="579" t="n"/>
      <c r="AB69" s="579" t="n"/>
      <c r="AC69" s="579" t="n"/>
      <c r="AD69" s="579" t="n"/>
      <c r="AE69" s="574" t="n"/>
      <c r="AF69" s="574" t="n"/>
      <c r="AG69" s="574" t="n"/>
      <c r="AH69" s="574" t="n"/>
      <c r="AI69" s="574" t="n"/>
      <c r="AJ69" s="574" t="n"/>
      <c r="AK69" s="588" t="n"/>
      <c r="AL69" s="579" t="n"/>
      <c r="AM69" s="574" t="n"/>
      <c r="AN69" s="579" t="n"/>
      <c r="AO69" s="572" t="n"/>
      <c r="AP69" s="579" t="n"/>
      <c r="AQ69" s="579" t="n"/>
      <c r="AR69" s="579" t="n"/>
      <c r="AS69" s="579" t="n"/>
      <c r="AT69" s="579" t="n"/>
    </row>
    <row r="70" customFormat="1" s="568">
      <c r="A70" s="86" t="n"/>
      <c r="B70" s="85" t="n"/>
      <c r="C70" s="84">
        <f>E70*D$5</f>
        <v/>
      </c>
      <c r="D70" s="578" t="n"/>
      <c r="E70" s="84">
        <f>SUM(G70:HT70)</f>
        <v/>
      </c>
      <c r="F70" s="568">
        <f>IFERROR(IF($E70&gt;0.0000005,$E70/SUMIF($E$11:$E$140,"&gt;0.0000005"),""),"")</f>
        <v/>
      </c>
      <c r="H70" s="579" t="n"/>
      <c r="I70" s="579" t="n"/>
      <c r="J70" s="579" t="n"/>
      <c r="K70" s="579" t="n"/>
      <c r="L70" s="579" t="n"/>
      <c r="M70" s="579" t="n"/>
      <c r="N70" s="579" t="n"/>
      <c r="O70" s="579" t="n"/>
      <c r="P70" s="579" t="n"/>
      <c r="Q70" s="579" t="n"/>
      <c r="R70" s="574" t="n"/>
      <c r="S70" s="574" t="n"/>
      <c r="T70" s="579" t="n"/>
      <c r="U70" s="579" t="n"/>
      <c r="V70" s="579" t="n"/>
      <c r="W70" s="579" t="n"/>
      <c r="X70" s="579" t="n"/>
      <c r="Y70" s="579" t="n"/>
      <c r="Z70" s="579" t="n"/>
      <c r="AA70" s="579" t="n"/>
      <c r="AB70" s="579" t="n"/>
      <c r="AC70" s="579" t="n"/>
      <c r="AD70" s="579" t="n"/>
      <c r="AE70" s="574" t="n"/>
      <c r="AF70" s="574" t="n"/>
      <c r="AG70" s="574" t="n"/>
      <c r="AH70" s="574" t="n"/>
      <c r="AI70" s="574" t="n"/>
      <c r="AJ70" s="574" t="n"/>
      <c r="AK70" s="588" t="n"/>
      <c r="AL70" s="579" t="n"/>
      <c r="AM70" s="574" t="n"/>
      <c r="AN70" s="579" t="n"/>
      <c r="AO70" s="572" t="n"/>
      <c r="AP70" s="579" t="n"/>
      <c r="AQ70" s="579" t="n"/>
      <c r="AR70" s="579" t="n"/>
      <c r="AS70" s="579" t="n"/>
      <c r="AT70" s="579" t="n"/>
    </row>
    <row r="71" customFormat="1" s="568">
      <c r="A71" s="86" t="n"/>
      <c r="B71" s="85" t="n"/>
      <c r="C71" s="84">
        <f>E71*D$5</f>
        <v/>
      </c>
      <c r="D71" s="114" t="n"/>
      <c r="E71" s="84">
        <f>SUM(G71:HT71)</f>
        <v/>
      </c>
      <c r="F71" s="568">
        <f>IFERROR(IF($E71&gt;0.0000005,$E71/SUMIF($E$11:$E$140,"&gt;0.0000005"),""),"")</f>
        <v/>
      </c>
      <c r="H71" s="579" t="n"/>
      <c r="I71" s="579" t="n"/>
      <c r="J71" s="579" t="n"/>
      <c r="K71" s="579" t="n"/>
      <c r="L71" s="579" t="n"/>
      <c r="M71" s="579" t="n"/>
      <c r="N71" s="579" t="n"/>
      <c r="O71" s="579" t="n"/>
      <c r="P71" s="579" t="n"/>
      <c r="Q71" s="579" t="n"/>
      <c r="R71" s="574" t="n"/>
      <c r="S71" s="574" t="n"/>
      <c r="T71" s="579" t="n"/>
      <c r="U71" s="579" t="n"/>
      <c r="V71" s="579" t="n"/>
      <c r="W71" s="579" t="n"/>
      <c r="X71" s="579" t="n"/>
      <c r="Y71" s="579" t="n"/>
      <c r="Z71" s="579" t="n"/>
      <c r="AA71" s="579" t="n"/>
      <c r="AB71" s="579" t="n"/>
      <c r="AC71" s="579" t="n"/>
      <c r="AD71" s="579" t="n"/>
      <c r="AE71" s="574" t="n"/>
      <c r="AF71" s="574" t="n"/>
      <c r="AG71" s="574" t="n"/>
      <c r="AH71" s="574" t="n"/>
      <c r="AI71" s="574" t="n"/>
      <c r="AJ71" s="574" t="n"/>
      <c r="AK71" s="588" t="n"/>
      <c r="AL71" s="579" t="n"/>
      <c r="AM71" s="574" t="n"/>
      <c r="AN71" s="579" t="n"/>
      <c r="AO71" s="572" t="n"/>
      <c r="AP71" s="579" t="n"/>
      <c r="AQ71" s="579" t="n"/>
      <c r="AR71" s="579" t="n"/>
      <c r="AS71" s="579" t="n"/>
      <c r="AT71" s="579" t="n"/>
    </row>
    <row r="72" customFormat="1" s="568">
      <c r="A72" s="86" t="n"/>
      <c r="B72" s="85" t="n"/>
      <c r="C72" s="84">
        <f>E72*D$5</f>
        <v/>
      </c>
      <c r="D72" s="114" t="n"/>
      <c r="E72" s="84">
        <f>SUM(G72:HT72)</f>
        <v/>
      </c>
      <c r="F72" s="568">
        <f>IFERROR(IF($E72&gt;0.0000005,$E72/SUMIF($E$11:$E$140,"&gt;0.0000005"),""),"")</f>
        <v/>
      </c>
      <c r="H72" s="579" t="n"/>
      <c r="I72" s="579" t="n"/>
      <c r="J72" s="579" t="n"/>
      <c r="K72" s="579" t="n"/>
      <c r="L72" s="579" t="n"/>
      <c r="M72" s="579" t="n"/>
      <c r="N72" s="579" t="n"/>
      <c r="O72" s="579" t="n"/>
      <c r="P72" s="579" t="n"/>
      <c r="Q72" s="579" t="n"/>
      <c r="R72" s="574" t="n"/>
      <c r="S72" s="574" t="n"/>
      <c r="T72" s="579" t="n"/>
      <c r="U72" s="579" t="n"/>
      <c r="V72" s="579" t="n"/>
      <c r="W72" s="579" t="n"/>
      <c r="X72" s="579" t="n"/>
      <c r="Y72" s="579" t="n"/>
      <c r="Z72" s="579" t="n"/>
      <c r="AA72" s="579" t="n"/>
      <c r="AB72" s="579" t="n"/>
      <c r="AC72" s="579" t="n"/>
      <c r="AD72" s="579" t="n"/>
      <c r="AE72" s="574" t="n"/>
      <c r="AF72" s="574" t="n"/>
      <c r="AG72" s="574" t="n"/>
      <c r="AH72" s="574" t="n"/>
      <c r="AI72" s="574" t="n"/>
      <c r="AJ72" s="574" t="n"/>
      <c r="AK72" s="588" t="n"/>
      <c r="AL72" s="579" t="n"/>
      <c r="AM72" s="574" t="n"/>
      <c r="AN72" s="579" t="n"/>
      <c r="AO72" s="572" t="n"/>
      <c r="AP72" s="579" t="n"/>
      <c r="AQ72" s="579" t="n"/>
      <c r="AR72" s="579" t="n"/>
      <c r="AS72" s="579" t="n"/>
      <c r="AT72" s="579" t="n"/>
    </row>
    <row r="73" customFormat="1" s="568">
      <c r="A73" s="86" t="n"/>
      <c r="B73" s="85" t="n"/>
      <c r="C73" s="137">
        <f>E73*D$5</f>
        <v/>
      </c>
      <c r="D73" s="114" t="n"/>
      <c r="E73" s="137">
        <f>SUM(G73:HT73)</f>
        <v/>
      </c>
      <c r="F73" s="568">
        <f>IFERROR(IF($E73&gt;0.0000005,$E73/SUMIF($E$11:$E$140,"&gt;0.0000005"),""),"")</f>
        <v/>
      </c>
      <c r="H73" s="579" t="n"/>
      <c r="I73" s="579" t="n"/>
      <c r="J73" s="579" t="n"/>
      <c r="K73" s="579" t="n"/>
      <c r="L73" s="579" t="n"/>
      <c r="M73" s="579" t="n"/>
      <c r="N73" s="579" t="n"/>
      <c r="O73" s="579" t="n"/>
      <c r="P73" s="579" t="n"/>
      <c r="Q73" s="579" t="n"/>
      <c r="R73" s="574" t="n"/>
      <c r="S73" s="574" t="n"/>
      <c r="T73" s="579" t="n"/>
      <c r="U73" s="579" t="n"/>
      <c r="V73" s="579" t="n"/>
      <c r="W73" s="579" t="n"/>
      <c r="X73" s="579" t="n"/>
      <c r="Y73" s="579" t="n"/>
      <c r="Z73" s="579" t="n"/>
      <c r="AA73" s="579" t="n"/>
      <c r="AB73" s="579" t="n"/>
      <c r="AC73" s="579" t="n"/>
      <c r="AD73" s="579" t="n"/>
      <c r="AE73" s="574" t="n"/>
      <c r="AF73" s="574" t="n"/>
      <c r="AG73" s="574" t="n"/>
      <c r="AH73" s="574" t="n"/>
      <c r="AI73" s="574" t="n"/>
      <c r="AJ73" s="574" t="n"/>
      <c r="AK73" s="574" t="n"/>
      <c r="AL73" s="579" t="n"/>
      <c r="AM73" s="574" t="n"/>
      <c r="AN73" s="579" t="n"/>
      <c r="AO73" s="572" t="n"/>
      <c r="AP73" s="579" t="n"/>
      <c r="AQ73" s="579" t="n"/>
      <c r="AR73" s="579" t="n"/>
      <c r="AS73" s="579" t="n"/>
      <c r="AT73" s="579" t="n"/>
    </row>
    <row r="74" customFormat="1" s="568">
      <c r="A74" s="86" t="n"/>
      <c r="B74" s="85" t="n"/>
      <c r="C74" s="137">
        <f>E74*D$5</f>
        <v/>
      </c>
      <c r="D74" s="114" t="n"/>
      <c r="E74" s="137">
        <f>SUM(G74:HT74)</f>
        <v/>
      </c>
      <c r="F74" s="568">
        <f>IFERROR(IF($E74&gt;0.0000005,$E74/SUMIF($E$11:$E$140,"&gt;0.0000005"),""),"")</f>
        <v/>
      </c>
      <c r="H74" s="579" t="n"/>
      <c r="I74" s="579" t="n"/>
      <c r="J74" s="579" t="n"/>
      <c r="K74" s="579" t="n"/>
      <c r="L74" s="579" t="n"/>
      <c r="M74" s="579" t="n"/>
      <c r="N74" s="579" t="n"/>
      <c r="O74" s="579" t="n"/>
      <c r="P74" s="579" t="n"/>
      <c r="Q74" s="579" t="n"/>
      <c r="R74" s="574" t="n"/>
      <c r="S74" s="574" t="n"/>
      <c r="T74" s="579" t="n"/>
      <c r="U74" s="579" t="n"/>
      <c r="V74" s="579" t="n"/>
      <c r="W74" s="579" t="n"/>
      <c r="X74" s="579" t="n"/>
      <c r="Y74" s="579" t="n"/>
      <c r="Z74" s="579" t="n"/>
      <c r="AA74" s="579" t="n"/>
      <c r="AB74" s="579" t="n"/>
      <c r="AC74" s="579" t="n"/>
      <c r="AD74" s="579" t="n"/>
      <c r="AE74" s="574" t="n"/>
      <c r="AF74" s="574" t="n"/>
      <c r="AG74" s="574" t="n"/>
      <c r="AH74" s="574" t="n"/>
      <c r="AI74" s="574" t="n"/>
      <c r="AJ74" s="574" t="n"/>
      <c r="AK74" s="574" t="n"/>
      <c r="AL74" s="579" t="n"/>
      <c r="AM74" s="574" t="n"/>
      <c r="AN74" s="579" t="n"/>
      <c r="AO74" s="572" t="n"/>
      <c r="AP74" s="579" t="n"/>
      <c r="AQ74" s="579" t="n"/>
      <c r="AR74" s="579" t="n"/>
      <c r="AS74" s="579" t="n"/>
      <c r="AT74" s="579" t="n"/>
    </row>
    <row r="75" customFormat="1" s="568">
      <c r="A75" s="86" t="n"/>
      <c r="B75" s="85" t="n"/>
      <c r="C75" s="84">
        <f>E75*D$5</f>
        <v/>
      </c>
      <c r="D75" s="114" t="n"/>
      <c r="E75" s="84">
        <f>SUM(G75:HT75)</f>
        <v/>
      </c>
      <c r="F75" s="568">
        <f>IFERROR(IF($E75&gt;0.0000005,$E75/SUMIF($E$11:$E$140,"&gt;0.0000005"),""),"")</f>
        <v/>
      </c>
      <c r="H75" s="579" t="n"/>
      <c r="I75" s="579" t="n"/>
      <c r="J75" s="579" t="n"/>
      <c r="K75" s="579" t="n"/>
      <c r="L75" s="579" t="n"/>
      <c r="M75" s="579" t="n"/>
      <c r="N75" s="579" t="n"/>
      <c r="O75" s="579" t="n"/>
      <c r="P75" s="579" t="n"/>
      <c r="Q75" s="579" t="n"/>
      <c r="R75" s="574" t="n"/>
      <c r="S75" s="574" t="n"/>
      <c r="T75" s="579" t="n"/>
      <c r="U75" s="579" t="n"/>
      <c r="V75" s="579" t="n"/>
      <c r="W75" s="579" t="n"/>
      <c r="X75" s="579" t="n"/>
      <c r="Y75" s="579" t="n"/>
      <c r="Z75" s="579" t="n"/>
      <c r="AA75" s="579" t="n"/>
      <c r="AB75" s="579" t="n"/>
      <c r="AC75" s="579" t="n"/>
      <c r="AD75" s="579" t="n"/>
      <c r="AE75" s="574" t="n"/>
      <c r="AF75" s="574" t="n"/>
      <c r="AG75" s="574" t="n"/>
      <c r="AH75" s="574" t="n"/>
      <c r="AI75" s="574" t="n"/>
      <c r="AJ75" s="574" t="n"/>
      <c r="AK75" s="574" t="n"/>
      <c r="AL75" s="579" t="n"/>
      <c r="AM75" s="574" t="n"/>
      <c r="AN75" s="579" t="n"/>
      <c r="AO75" s="574" t="n"/>
      <c r="AP75" s="579" t="n"/>
      <c r="AQ75" s="579" t="n"/>
      <c r="AR75" s="579" t="n"/>
      <c r="AS75" s="579" t="n"/>
      <c r="AT75" s="579" t="n"/>
    </row>
    <row r="76" customFormat="1" s="568">
      <c r="A76" s="86" t="n"/>
      <c r="B76" s="85" t="n"/>
      <c r="C76" s="84">
        <f>E76*D$5</f>
        <v/>
      </c>
      <c r="D76" s="114" t="n"/>
      <c r="E76" s="84">
        <f>SUM(G76:HT76)</f>
        <v/>
      </c>
      <c r="F76" s="568">
        <f>IFERROR(IF($E76&gt;0.0000005,$E76/SUMIF($E$11:$E$140,"&gt;0.0000005"),""),"")</f>
        <v/>
      </c>
      <c r="H76" s="579" t="n"/>
      <c r="I76" s="579" t="n"/>
      <c r="J76" s="579" t="n"/>
      <c r="K76" s="579" t="n"/>
      <c r="L76" s="579" t="n"/>
      <c r="M76" s="579" t="n"/>
      <c r="N76" s="579" t="n"/>
      <c r="O76" s="579" t="n"/>
      <c r="P76" s="579" t="n"/>
      <c r="Q76" s="579" t="n"/>
      <c r="R76" s="574" t="n"/>
      <c r="S76" s="574" t="n"/>
      <c r="T76" s="579" t="n"/>
      <c r="U76" s="579" t="n"/>
      <c r="V76" s="579" t="n"/>
      <c r="W76" s="579" t="n"/>
      <c r="X76" s="579" t="n"/>
      <c r="Y76" s="579" t="n"/>
      <c r="Z76" s="579" t="n"/>
      <c r="AA76" s="579" t="n"/>
      <c r="AB76" s="579" t="n"/>
      <c r="AC76" s="579" t="n"/>
      <c r="AD76" s="579" t="n"/>
      <c r="AE76" s="574" t="n"/>
      <c r="AF76" s="574" t="n"/>
      <c r="AG76" s="574" t="n"/>
      <c r="AH76" s="574" t="n"/>
      <c r="AI76" s="574" t="n"/>
      <c r="AJ76" s="574" t="n"/>
      <c r="AK76" s="574" t="n"/>
      <c r="AL76" s="579" t="n"/>
      <c r="AM76" s="574" t="n"/>
      <c r="AN76" s="579" t="n"/>
      <c r="AO76" s="574" t="n"/>
      <c r="AP76" s="579" t="n"/>
      <c r="AQ76" s="579" t="n"/>
      <c r="AR76" s="579" t="n"/>
      <c r="AS76" s="579" t="n"/>
      <c r="AT76" s="579" t="n"/>
    </row>
    <row r="77" customFormat="1" s="568">
      <c r="A77" s="86" t="n"/>
      <c r="B77" s="85" t="n"/>
      <c r="C77" s="84">
        <f>E77*D$5</f>
        <v/>
      </c>
      <c r="D77" s="139" t="n"/>
      <c r="E77" s="84">
        <f>SUM(G77:HT77)</f>
        <v/>
      </c>
      <c r="F77" s="568">
        <f>IFERROR(IF($E77&gt;0.0000005,$E77/SUMIF($E$11:$E$140,"&gt;0.0000005"),""),"")</f>
        <v/>
      </c>
      <c r="H77" s="579" t="n"/>
      <c r="I77" s="579" t="n"/>
      <c r="J77" s="579" t="n"/>
      <c r="K77" s="579" t="n"/>
      <c r="L77" s="579" t="n"/>
      <c r="M77" s="579" t="n"/>
      <c r="N77" s="579" t="n"/>
      <c r="O77" s="579" t="n"/>
      <c r="P77" s="579" t="n"/>
      <c r="Q77" s="579" t="n"/>
      <c r="R77" s="574" t="n"/>
      <c r="S77" s="574" t="n"/>
      <c r="T77" s="579" t="n"/>
      <c r="U77" s="579" t="n"/>
      <c r="V77" s="579" t="n"/>
      <c r="W77" s="579" t="n"/>
      <c r="X77" s="579" t="n"/>
      <c r="Y77" s="579" t="n"/>
      <c r="Z77" s="579" t="n"/>
      <c r="AA77" s="579" t="n"/>
      <c r="AB77" s="579" t="n"/>
      <c r="AC77" s="579" t="n"/>
      <c r="AD77" s="579" t="n"/>
      <c r="AE77" s="574" t="n"/>
      <c r="AF77" s="574" t="n"/>
      <c r="AG77" s="574" t="n"/>
      <c r="AH77" s="574" t="n"/>
      <c r="AI77" s="574" t="n"/>
      <c r="AJ77" s="574" t="n"/>
      <c r="AK77" s="574" t="n"/>
      <c r="AL77" s="579" t="n"/>
      <c r="AM77" s="574" t="n"/>
      <c r="AN77" s="579" t="n"/>
      <c r="AO77" s="574" t="n"/>
      <c r="AP77" s="579" t="n"/>
      <c r="AQ77" s="579" t="n"/>
      <c r="AR77" s="579" t="n"/>
      <c r="AS77" s="579" t="n"/>
      <c r="AT77" s="579" t="n"/>
    </row>
    <row r="78" customFormat="1" s="568">
      <c r="A78" s="86" t="n"/>
      <c r="B78" s="85" t="n"/>
      <c r="C78" s="84">
        <f>E78*D$5</f>
        <v/>
      </c>
      <c r="D78" s="114" t="n"/>
      <c r="E78" s="84">
        <f>SUM(G78:HT78)</f>
        <v/>
      </c>
      <c r="F78" s="568">
        <f>IFERROR(IF($E78&gt;0.0000005,$E78/SUMIF($E$11:$E$140,"&gt;0.0000005"),""),"")</f>
        <v/>
      </c>
      <c r="H78" s="579" t="n"/>
      <c r="I78" s="579" t="n"/>
      <c r="J78" s="579" t="n"/>
      <c r="K78" s="579" t="n"/>
      <c r="L78" s="579" t="n"/>
      <c r="M78" s="579" t="n"/>
      <c r="N78" s="579" t="n"/>
      <c r="O78" s="579" t="n"/>
      <c r="P78" s="579" t="n"/>
      <c r="Q78" s="579" t="n"/>
      <c r="R78" s="574" t="n"/>
      <c r="S78" s="574" t="n"/>
      <c r="T78" s="579" t="n"/>
      <c r="U78" s="579" t="n"/>
      <c r="V78" s="579" t="n"/>
      <c r="W78" s="579" t="n"/>
      <c r="X78" s="579" t="n"/>
      <c r="Y78" s="579" t="n"/>
      <c r="Z78" s="579" t="n"/>
      <c r="AA78" s="579" t="n"/>
      <c r="AB78" s="579" t="n"/>
      <c r="AC78" s="579" t="n"/>
      <c r="AD78" s="579" t="n"/>
      <c r="AE78" s="574" t="n"/>
      <c r="AF78" s="574" t="n"/>
      <c r="AG78" s="574" t="n"/>
      <c r="AH78" s="574" t="n"/>
      <c r="AI78" s="574" t="n"/>
      <c r="AJ78" s="574" t="n"/>
      <c r="AK78" s="574" t="n"/>
      <c r="AL78" s="579" t="n"/>
      <c r="AM78" s="574" t="n"/>
      <c r="AN78" s="579" t="n"/>
      <c r="AO78" s="574" t="n"/>
      <c r="AP78" s="579" t="n"/>
      <c r="AQ78" s="579" t="n"/>
      <c r="AR78" s="579" t="n"/>
      <c r="AS78" s="579" t="n"/>
      <c r="AT78" s="579" t="n"/>
    </row>
    <row r="79" customFormat="1" s="568">
      <c r="A79" s="86" t="n"/>
      <c r="B79" s="85" t="n"/>
      <c r="C79" s="137">
        <f>E79*D$5</f>
        <v/>
      </c>
      <c r="D79" s="51" t="n"/>
      <c r="E79" s="137">
        <f>SUM(G79:HT79)</f>
        <v/>
      </c>
      <c r="F79" s="568">
        <f>IFERROR(IF($E79&gt;0.0000005,$E79/SUMIF($E$11:$E$140,"&gt;0.0000005"),""),"")</f>
        <v/>
      </c>
      <c r="H79" s="579" t="n"/>
      <c r="I79" s="579" t="n"/>
      <c r="J79" s="579" t="n"/>
      <c r="K79" s="579" t="n"/>
      <c r="L79" s="579" t="n"/>
      <c r="M79" s="579" t="n"/>
      <c r="N79" s="579" t="n"/>
      <c r="O79" s="579" t="n"/>
      <c r="P79" s="579" t="n"/>
      <c r="Q79" s="579" t="n"/>
      <c r="R79" s="574" t="n"/>
      <c r="S79" s="574" t="n"/>
      <c r="T79" s="579" t="n"/>
      <c r="U79" s="579" t="n"/>
      <c r="V79" s="579" t="n"/>
      <c r="W79" s="579" t="n"/>
      <c r="X79" s="579" t="n"/>
      <c r="Y79" s="579" t="n"/>
      <c r="Z79" s="579" t="n"/>
      <c r="AA79" s="579" t="n"/>
      <c r="AB79" s="579" t="n"/>
      <c r="AC79" s="579" t="n"/>
      <c r="AD79" s="579" t="n"/>
      <c r="AE79" s="574" t="n"/>
      <c r="AF79" s="574" t="n"/>
      <c r="AG79" s="574" t="n"/>
      <c r="AH79" s="574" t="n"/>
      <c r="AI79" s="574" t="n"/>
      <c r="AJ79" s="574" t="n"/>
      <c r="AK79" s="574" t="n"/>
      <c r="AL79" s="579" t="n"/>
      <c r="AM79" s="574" t="n"/>
      <c r="AN79" s="579" t="n"/>
      <c r="AO79" s="574" t="n"/>
      <c r="AP79" s="579" t="n"/>
      <c r="AQ79" s="579" t="n"/>
      <c r="AR79" s="579" t="n"/>
      <c r="AS79" s="579" t="n"/>
      <c r="AT79" s="579" t="n"/>
    </row>
    <row r="80" customFormat="1" s="568">
      <c r="A80" s="86" t="n"/>
      <c r="B80" s="85" t="n"/>
      <c r="C80" s="84">
        <f>E80*D$5</f>
        <v/>
      </c>
      <c r="D80" s="114" t="n"/>
      <c r="E80" s="84">
        <f>SUM(G80:HT80)</f>
        <v/>
      </c>
      <c r="F80" s="568">
        <f>IFERROR(IF($E80&gt;0.0000005,$E80/SUMIF($E$11:$E$140,"&gt;0.0000005"),""),"")</f>
        <v/>
      </c>
      <c r="H80" s="579" t="n"/>
      <c r="I80" s="579" t="n"/>
      <c r="J80" s="579" t="n"/>
      <c r="K80" s="579" t="n"/>
      <c r="L80" s="579" t="n"/>
      <c r="M80" s="579" t="n"/>
      <c r="N80" s="579" t="n"/>
      <c r="O80" s="579" t="n"/>
      <c r="P80" s="579" t="n"/>
      <c r="Q80" s="579" t="n"/>
      <c r="R80" s="574" t="n"/>
      <c r="S80" s="574" t="n"/>
      <c r="T80" s="579" t="n"/>
      <c r="U80" s="579" t="n"/>
      <c r="V80" s="579" t="n"/>
      <c r="W80" s="579" t="n"/>
      <c r="X80" s="579" t="n"/>
      <c r="Y80" s="579" t="n"/>
      <c r="Z80" s="579" t="n"/>
      <c r="AA80" s="579" t="n"/>
      <c r="AB80" s="579" t="n"/>
      <c r="AC80" s="579" t="n"/>
      <c r="AD80" s="579" t="n"/>
      <c r="AE80" s="574" t="n"/>
      <c r="AF80" s="574" t="n"/>
      <c r="AG80" s="574" t="n"/>
      <c r="AH80" s="574" t="n"/>
      <c r="AI80" s="574" t="n"/>
      <c r="AJ80" s="574" t="n"/>
      <c r="AK80" s="574" t="n"/>
      <c r="AL80" s="579" t="n"/>
      <c r="AM80" s="574" t="n"/>
      <c r="AN80" s="579" t="n"/>
      <c r="AO80" s="574" t="n"/>
      <c r="AP80" s="579" t="n"/>
      <c r="AQ80" s="579" t="n"/>
      <c r="AR80" s="579" t="n"/>
      <c r="AS80" s="579" t="n"/>
      <c r="AT80" s="579" t="n"/>
    </row>
    <row r="81" customFormat="1" s="568">
      <c r="A81" s="86" t="n"/>
      <c r="B81" s="85" t="n"/>
      <c r="C81" s="137">
        <f>E81*D$5</f>
        <v/>
      </c>
      <c r="D81" s="51" t="n"/>
      <c r="E81" s="137">
        <f>SUM(G81:HT81)</f>
        <v/>
      </c>
      <c r="F81" s="568">
        <f>IFERROR(IF($E81&gt;0.0000005,$E81/SUMIF($E$11:$E$140,"&gt;0.0000005"),""),"")</f>
        <v/>
      </c>
      <c r="H81" s="579" t="n"/>
      <c r="I81" s="579" t="n"/>
      <c r="J81" s="579" t="n"/>
      <c r="K81" s="579" t="n"/>
      <c r="L81" s="579" t="n"/>
      <c r="M81" s="579" t="n"/>
      <c r="N81" s="579" t="n"/>
      <c r="O81" s="579" t="n"/>
      <c r="P81" s="579" t="n"/>
      <c r="Q81" s="579" t="n"/>
      <c r="R81" s="574" t="n"/>
      <c r="S81" s="574" t="n"/>
      <c r="T81" s="579" t="n"/>
      <c r="U81" s="579" t="n"/>
      <c r="V81" s="579" t="n"/>
      <c r="W81" s="579" t="n"/>
      <c r="X81" s="579" t="n"/>
      <c r="Y81" s="579" t="n"/>
      <c r="Z81" s="579" t="n"/>
      <c r="AA81" s="579" t="n"/>
      <c r="AB81" s="579" t="n"/>
      <c r="AC81" s="579" t="n"/>
      <c r="AD81" s="579" t="n"/>
      <c r="AE81" s="574" t="n"/>
      <c r="AF81" s="574" t="n"/>
      <c r="AG81" s="574" t="n"/>
      <c r="AH81" s="574" t="n"/>
      <c r="AI81" s="574" t="n"/>
      <c r="AJ81" s="574" t="n"/>
      <c r="AK81" s="574" t="n"/>
      <c r="AL81" s="579" t="n"/>
      <c r="AM81" s="574" t="n"/>
      <c r="AN81" s="579" t="n"/>
      <c r="AO81" s="574" t="n"/>
      <c r="AP81" s="579" t="n"/>
      <c r="AQ81" s="579" t="n"/>
      <c r="AR81" s="579" t="n"/>
      <c r="AS81" s="579" t="n"/>
      <c r="AT81" s="579" t="n"/>
    </row>
    <row r="82" customFormat="1" s="568">
      <c r="A82" s="86" t="n"/>
      <c r="B82" s="85" t="n"/>
      <c r="C82" s="84">
        <f>E82*D$5</f>
        <v/>
      </c>
      <c r="D82" s="114" t="n"/>
      <c r="E82" s="84">
        <f>SUM(G82:HT82)</f>
        <v/>
      </c>
      <c r="F82" s="568">
        <f>IFERROR(IF($E82&gt;0.0000005,$E82/SUMIF($E$11:$E$140,"&gt;0.0000005"),""),"")</f>
        <v/>
      </c>
      <c r="H82" s="579" t="n"/>
      <c r="I82" s="579" t="n"/>
      <c r="J82" s="579" t="n"/>
      <c r="K82" s="579" t="n"/>
      <c r="L82" s="579" t="n"/>
      <c r="M82" s="579" t="n"/>
      <c r="N82" s="579" t="n"/>
      <c r="O82" s="579" t="n"/>
      <c r="P82" s="579" t="n"/>
      <c r="Q82" s="579" t="n"/>
      <c r="R82" s="574" t="n"/>
      <c r="S82" s="574" t="n"/>
      <c r="T82" s="579" t="n"/>
      <c r="U82" s="579" t="n"/>
      <c r="V82" s="579" t="n"/>
      <c r="W82" s="579" t="n"/>
      <c r="X82" s="579" t="n"/>
      <c r="Y82" s="579" t="n"/>
      <c r="Z82" s="579" t="n"/>
      <c r="AA82" s="579" t="n"/>
      <c r="AB82" s="579" t="n"/>
      <c r="AC82" s="579" t="n"/>
      <c r="AD82" s="579" t="n"/>
      <c r="AE82" s="574" t="n"/>
      <c r="AF82" s="574" t="n"/>
      <c r="AG82" s="574" t="n"/>
      <c r="AH82" s="574" t="n"/>
      <c r="AI82" s="574" t="n"/>
      <c r="AJ82" s="574" t="n"/>
      <c r="AK82" s="574" t="n"/>
      <c r="AL82" s="579" t="n"/>
      <c r="AM82" s="574" t="n"/>
      <c r="AN82" s="579" t="n"/>
      <c r="AO82" s="574" t="n"/>
      <c r="AP82" s="579" t="n"/>
      <c r="AQ82" s="579" t="n"/>
      <c r="AR82" s="579" t="n"/>
      <c r="AS82" s="579" t="n"/>
      <c r="AT82" s="579" t="n"/>
    </row>
    <row r="83" customFormat="1" s="568">
      <c r="A83" s="86" t="n"/>
      <c r="B83" s="85" t="n"/>
      <c r="C83" s="137">
        <f>E83*D$5</f>
        <v/>
      </c>
      <c r="D83" s="51" t="n"/>
      <c r="E83" s="137">
        <f>SUM(G83:HT83)</f>
        <v/>
      </c>
      <c r="F83" s="568">
        <f>IFERROR(IF($E83&gt;0.0000005,$E83/SUMIF($E$11:$E$140,"&gt;0.0000005"),""),"")</f>
        <v/>
      </c>
      <c r="H83" s="579" t="n"/>
      <c r="I83" s="579" t="n"/>
      <c r="J83" s="579" t="n"/>
      <c r="K83" s="579" t="n"/>
      <c r="L83" s="579" t="n"/>
      <c r="M83" s="579" t="n"/>
      <c r="N83" s="579" t="n"/>
      <c r="O83" s="579" t="n"/>
      <c r="P83" s="579" t="n"/>
      <c r="Q83" s="579" t="n"/>
      <c r="R83" s="574" t="n"/>
      <c r="S83" s="574" t="n"/>
      <c r="T83" s="579" t="n"/>
      <c r="U83" s="579" t="n"/>
      <c r="V83" s="579" t="n"/>
      <c r="W83" s="579" t="n"/>
      <c r="X83" s="579" t="n"/>
      <c r="Y83" s="579" t="n"/>
      <c r="Z83" s="579" t="n"/>
      <c r="AA83" s="579" t="n"/>
      <c r="AB83" s="579" t="n"/>
      <c r="AC83" s="579" t="n"/>
      <c r="AD83" s="579" t="n"/>
      <c r="AE83" s="574" t="n"/>
      <c r="AF83" s="574" t="n"/>
      <c r="AG83" s="574" t="n"/>
      <c r="AH83" s="574" t="n"/>
      <c r="AI83" s="574" t="n"/>
      <c r="AJ83" s="574" t="n"/>
      <c r="AK83" s="574" t="n"/>
      <c r="AL83" s="579" t="n"/>
      <c r="AM83" s="574" t="n"/>
      <c r="AN83" s="579" t="n"/>
      <c r="AO83" s="574" t="n"/>
      <c r="AP83" s="579" t="n"/>
      <c r="AQ83" s="579" t="n"/>
      <c r="AR83" s="579" t="n"/>
      <c r="AS83" s="579" t="n"/>
      <c r="AT83" s="579"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9" t="n"/>
      <c r="R84" s="574" t="n"/>
      <c r="S84" s="574" t="n"/>
      <c r="T84" s="579" t="n"/>
      <c r="U84" s="579" t="n"/>
      <c r="V84" s="579" t="n"/>
      <c r="W84" s="579" t="n"/>
      <c r="X84" s="579" t="n"/>
      <c r="Y84" s="579" t="n"/>
      <c r="Z84" s="579" t="n"/>
      <c r="AA84" s="579" t="n"/>
      <c r="AB84" s="579" t="n"/>
      <c r="AC84" s="579" t="n"/>
      <c r="AD84" s="579" t="n"/>
      <c r="AE84" s="574" t="n"/>
      <c r="AF84" s="574" t="n"/>
      <c r="AG84" s="574" t="n"/>
      <c r="AH84" s="574" t="n"/>
      <c r="AI84" s="574" t="n"/>
      <c r="AJ84" s="574" t="n"/>
      <c r="AK84" s="574" t="n"/>
      <c r="AL84" s="579" t="n"/>
      <c r="AM84" s="574" t="n"/>
      <c r="AN84" s="579" t="n"/>
      <c r="AO84" s="574" t="n"/>
      <c r="AP84" s="579" t="n"/>
      <c r="AQ84" s="579" t="n"/>
      <c r="AR84" s="579" t="n"/>
      <c r="AS84" s="579" t="n"/>
      <c r="AT84" s="579" t="n"/>
    </row>
    <row r="85" customFormat="1" s="568">
      <c r="A85" s="86" t="n"/>
      <c r="B85" s="85" t="n"/>
      <c r="C85" s="84">
        <f>E85*D$5</f>
        <v/>
      </c>
      <c r="D85" s="114" t="n"/>
      <c r="E85" s="84">
        <f>SUM(G85:HT85)</f>
        <v/>
      </c>
      <c r="F85" s="568">
        <f>IFERROR(IF($E85&gt;0.0000005,$E85/SUMIF($E$11:$E$140,"&gt;0.0000005"),""),"")</f>
        <v/>
      </c>
      <c r="H85" s="579" t="n"/>
      <c r="I85" s="579" t="n"/>
      <c r="J85" s="579" t="n"/>
      <c r="K85" s="579" t="n"/>
      <c r="L85" s="579" t="n"/>
      <c r="M85" s="579" t="n"/>
      <c r="N85" s="579" t="n"/>
      <c r="O85" s="579" t="n"/>
      <c r="P85" s="579" t="n"/>
      <c r="Q85" s="579" t="n"/>
      <c r="R85" s="574" t="n"/>
      <c r="S85" s="574" t="n"/>
      <c r="T85" s="579" t="n"/>
      <c r="U85" s="579" t="n"/>
      <c r="V85" s="579" t="n"/>
      <c r="W85" s="579" t="n"/>
      <c r="X85" s="579" t="n"/>
      <c r="Y85" s="579" t="n"/>
      <c r="Z85" s="579" t="n"/>
      <c r="AA85" s="579" t="n"/>
      <c r="AB85" s="579" t="n"/>
      <c r="AC85" s="579" t="n"/>
      <c r="AD85" s="579" t="n"/>
      <c r="AE85" s="574" t="n"/>
      <c r="AF85" s="574" t="n"/>
      <c r="AG85" s="574" t="n"/>
      <c r="AH85" s="574" t="n"/>
      <c r="AI85" s="574" t="n"/>
      <c r="AJ85" s="574" t="n"/>
      <c r="AK85" s="574" t="n"/>
      <c r="AL85" s="579" t="n"/>
      <c r="AM85" s="574" t="n"/>
      <c r="AN85" s="579" t="n"/>
      <c r="AO85" s="574" t="n"/>
      <c r="AP85" s="579" t="n"/>
      <c r="AQ85" s="579" t="n"/>
      <c r="AR85" s="579" t="n"/>
      <c r="AS85" s="579" t="n"/>
      <c r="AT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4" t="n"/>
      <c r="S86" s="574" t="n"/>
      <c r="T86" s="579" t="n"/>
      <c r="U86" s="579" t="n"/>
      <c r="V86" s="579" t="n"/>
      <c r="W86" s="579" t="n"/>
      <c r="X86" s="579" t="n"/>
      <c r="Y86" s="579" t="n"/>
      <c r="Z86" s="579" t="n"/>
      <c r="AA86" s="579" t="n"/>
      <c r="AB86" s="579" t="n"/>
      <c r="AC86" s="579" t="n"/>
      <c r="AD86" s="579" t="n"/>
      <c r="AE86" s="574" t="n"/>
      <c r="AF86" s="574" t="n"/>
      <c r="AG86" s="574" t="n"/>
      <c r="AH86" s="574" t="n"/>
      <c r="AI86" s="574" t="n"/>
      <c r="AJ86" s="574" t="n"/>
      <c r="AK86" s="574" t="n"/>
      <c r="AL86" s="579" t="n"/>
      <c r="AM86" s="574" t="n"/>
      <c r="AN86" s="579" t="n"/>
      <c r="AO86" s="574" t="n"/>
      <c r="AP86" s="579" t="n"/>
      <c r="AQ86" s="579" t="n"/>
      <c r="AR86" s="579" t="n"/>
      <c r="AS86" s="579" t="n"/>
      <c r="AT86" s="579" t="n"/>
    </row>
    <row r="87" customFormat="1" s="568">
      <c r="A87" s="477" t="inlineStr">
        <is>
          <t>Notes</t>
        </is>
      </c>
      <c r="B87" s="478" t="n"/>
      <c r="C87" s="479" t="inlineStr">
        <is>
          <t>Net Acres</t>
        </is>
      </c>
      <c r="D87" s="476" t="inlineStr">
        <is>
          <t>Mineral Owner</t>
        </is>
      </c>
      <c r="E87" s="84" t="n"/>
      <c r="R87" s="574" t="n"/>
      <c r="S87" s="574" t="n"/>
      <c r="AE87" s="574" t="n"/>
      <c r="AF87" s="574" t="n"/>
      <c r="AG87" s="574" t="n"/>
      <c r="AH87" s="574" t="n"/>
      <c r="AI87" s="574" t="n"/>
      <c r="AJ87" s="574" t="n"/>
      <c r="AK87" s="574" t="n"/>
      <c r="AM87" s="574" t="n"/>
      <c r="AO87" s="574" t="n"/>
    </row>
    <row r="88" ht="25.5" customFormat="1" customHeight="1" s="568">
      <c r="A88" s="86" t="inlineStr">
        <is>
          <t>per Title summary (6/25/2026)</t>
        </is>
      </c>
      <c r="B88" s="85" t="n"/>
      <c r="C88" s="482" t="n">
        <v>5.38</v>
      </c>
      <c r="D88" s="51" t="inlineStr">
        <is>
          <t>Gena W. Moore, a/k/a Gena Mitchell Williams, a/k/a Gena Williams</t>
        </is>
      </c>
      <c r="E88" s="137" t="n"/>
      <c r="R88" s="574" t="n"/>
      <c r="S88" s="574" t="n"/>
      <c r="AE88" s="574" t="n"/>
      <c r="AF88" s="574" t="n"/>
      <c r="AG88" s="574" t="n"/>
      <c r="AH88" s="574" t="n"/>
      <c r="AI88" s="574" t="n"/>
      <c r="AJ88" s="574" t="n"/>
      <c r="AK88" s="574" t="n"/>
      <c r="AM88" s="574" t="n"/>
      <c r="AO88" s="574" t="n"/>
    </row>
    <row r="89" ht="25.5" customFormat="1" customHeight="1" s="568">
      <c r="A89" s="86" t="inlineStr">
        <is>
          <t>per Title summary (6/25/2026)</t>
        </is>
      </c>
      <c r="B89" s="85" t="n"/>
      <c r="C89" s="481" t="n">
        <v>5.38</v>
      </c>
      <c r="D89" s="114" t="inlineStr">
        <is>
          <t>Mitchell Buonaccorsi Living Trust U/A dated July 9, 2024</t>
        </is>
      </c>
      <c r="E89" s="84" t="n"/>
      <c r="R89" s="574" t="n"/>
      <c r="S89" s="574" t="n"/>
      <c r="AE89" s="574" t="n"/>
      <c r="AF89" s="574" t="n"/>
      <c r="AG89" s="574" t="n"/>
      <c r="AH89" s="574" t="n"/>
      <c r="AI89" s="574" t="n"/>
      <c r="AJ89" s="574" t="n"/>
      <c r="AK89" s="574" t="n"/>
      <c r="AM89" s="574" t="n"/>
      <c r="AO89" s="574" t="n"/>
    </row>
    <row r="90" ht="25.5" customFormat="1" customHeight="1" s="568">
      <c r="A90" s="86" t="inlineStr">
        <is>
          <t>per Title summary (6/25/2026)</t>
        </is>
      </c>
      <c r="B90" s="85" t="n"/>
      <c r="C90" s="481" t="n">
        <v>5.38</v>
      </c>
      <c r="D90" s="114" t="inlineStr">
        <is>
          <t>Keri Lee Daigle Tucker Trust</t>
        </is>
      </c>
      <c r="E90" s="137" t="n"/>
      <c r="R90" s="574" t="n"/>
      <c r="S90" s="574" t="n"/>
      <c r="AE90" s="574" t="n"/>
      <c r="AF90" s="574" t="n"/>
      <c r="AG90" s="574" t="n"/>
      <c r="AH90" s="574" t="n"/>
      <c r="AI90" s="574" t="n"/>
      <c r="AJ90" s="574" t="n"/>
      <c r="AK90" s="574" t="n"/>
      <c r="AM90" s="574" t="n"/>
      <c r="AO90" s="574" t="n"/>
    </row>
    <row r="91" ht="25.5" customFormat="1" customHeight="1" s="568">
      <c r="A91" s="86" t="inlineStr">
        <is>
          <t>per Title summary (6/25/2026)</t>
        </is>
      </c>
      <c r="B91" s="85" t="n"/>
      <c r="C91" s="482" t="n">
        <v>5.38</v>
      </c>
      <c r="D91" s="114" t="inlineStr">
        <is>
          <t>Ronald Paul Dold</t>
        </is>
      </c>
      <c r="E91" s="137" t="n"/>
      <c r="R91" s="574" t="n"/>
      <c r="S91" s="574" t="n"/>
      <c r="AE91" s="574" t="n"/>
      <c r="AF91" s="574" t="n"/>
      <c r="AG91" s="574" t="n"/>
      <c r="AH91" s="574" t="n"/>
      <c r="AI91" s="574" t="n"/>
      <c r="AJ91" s="574" t="n"/>
      <c r="AK91" s="574" t="n"/>
      <c r="AM91" s="574" t="n"/>
      <c r="AO91" s="574" t="n"/>
    </row>
    <row r="92" ht="25.5" customFormat="1" customHeight="1" s="568">
      <c r="A92" s="86" t="inlineStr">
        <is>
          <t>per Title summary (6/25/2026)</t>
        </is>
      </c>
      <c r="B92" s="85" t="n"/>
      <c r="C92" s="481" t="n">
        <v>7.69230769230769</v>
      </c>
      <c r="D92" s="114" t="inlineStr">
        <is>
          <t>Mark Ashley Daigle Trust</t>
        </is>
      </c>
      <c r="E92" s="137" t="n"/>
      <c r="R92" s="574" t="n"/>
      <c r="S92" s="574" t="n"/>
      <c r="AE92" s="574" t="n"/>
      <c r="AF92" s="574" t="n"/>
      <c r="AG92" s="574" t="n"/>
      <c r="AH92" s="574" t="n"/>
      <c r="AI92" s="574" t="n"/>
      <c r="AJ92" s="574" t="n"/>
      <c r="AK92" s="574" t="n"/>
      <c r="AM92" s="574" t="n"/>
      <c r="AO92" s="574" t="n"/>
    </row>
    <row r="93" ht="25.5" customFormat="1" customHeight="1" s="568">
      <c r="A93" s="86" t="inlineStr">
        <is>
          <t>per Title summary (6/25/2026)</t>
        </is>
      </c>
      <c r="B93" s="85" t="n"/>
      <c r="C93" s="482" t="n">
        <v>5.38</v>
      </c>
      <c r="D93" s="114" t="inlineStr">
        <is>
          <t>Kevin Warner Johnson Trust</t>
        </is>
      </c>
      <c r="E93" s="137" t="n"/>
      <c r="R93" s="574" t="n"/>
      <c r="S93" s="574" t="n"/>
      <c r="AE93" s="574" t="n"/>
      <c r="AF93" s="574" t="n"/>
      <c r="AG93" s="574" t="n"/>
      <c r="AH93" s="574" t="n"/>
      <c r="AI93" s="574" t="n"/>
      <c r="AJ93" s="574" t="n"/>
      <c r="AK93" s="574" t="n"/>
      <c r="AM93" s="574" t="n"/>
      <c r="AO93" s="574" t="n"/>
    </row>
    <row r="94" ht="25.5" customFormat="1" customHeight="1" s="568">
      <c r="A94" s="86" t="inlineStr">
        <is>
          <t>per Title summary (6/25/2026)</t>
        </is>
      </c>
      <c r="B94" s="85" t="n"/>
      <c r="C94" s="481" t="n">
        <v>5.40769231</v>
      </c>
      <c r="D94" s="114" t="inlineStr">
        <is>
          <t>Carrie Leeann Mitchell / Nancy Susan Mitchell</t>
        </is>
      </c>
      <c r="E94" s="137" t="n"/>
      <c r="R94" s="574" t="n"/>
      <c r="S94" s="574" t="n"/>
      <c r="AE94" s="574" t="n"/>
      <c r="AF94" s="574" t="n"/>
      <c r="AG94" s="574" t="n"/>
      <c r="AH94" s="574" t="n"/>
      <c r="AI94" s="574" t="n"/>
      <c r="AJ94" s="574" t="n"/>
      <c r="AK94" s="574" t="n"/>
      <c r="AM94" s="574" t="n"/>
      <c r="AO94" s="574" t="n"/>
    </row>
    <row r="95" customFormat="1" s="568">
      <c r="A95" s="86" t="n"/>
      <c r="B95" s="85" t="n"/>
      <c r="C95" s="484">
        <f>SUM(C88:C94)</f>
        <v/>
      </c>
      <c r="D95" s="476" t="inlineStr">
        <is>
          <t>TOTAL — current mineral ownership (NMA)</t>
        </is>
      </c>
      <c r="E95" s="137" t="n"/>
      <c r="R95" s="574" t="n"/>
      <c r="S95" s="574" t="n"/>
      <c r="AE95" s="574" t="n"/>
      <c r="AF95" s="574" t="n"/>
      <c r="AG95" s="574" t="n"/>
      <c r="AH95" s="574" t="n"/>
      <c r="AI95" s="574" t="n"/>
      <c r="AJ95" s="574" t="n"/>
      <c r="AK95" s="574" t="n"/>
      <c r="AM95" s="574" t="n"/>
      <c r="AO95" s="574" t="n"/>
    </row>
    <row r="96" customFormat="1" s="568">
      <c r="A96" s="86" t="n"/>
      <c r="B96" s="85" t="n"/>
      <c r="C96" s="84" t="n"/>
      <c r="D96" s="114" t="n"/>
      <c r="E96" s="84" t="n"/>
      <c r="R96" s="574" t="n"/>
      <c r="S96" s="574" t="n"/>
      <c r="AE96" s="574" t="n"/>
      <c r="AF96" s="574" t="n"/>
      <c r="AG96" s="574" t="n"/>
      <c r="AH96" s="574" t="n"/>
      <c r="AI96" s="574" t="n"/>
      <c r="AJ96" s="574" t="n"/>
      <c r="AK96" s="574" t="n"/>
      <c r="AM96" s="574" t="n"/>
      <c r="AO96" s="574" t="n"/>
    </row>
    <row r="97" customFormat="1" s="568">
      <c r="A97" s="86" t="n"/>
      <c r="B97" s="85" t="n"/>
      <c r="C97" s="84" t="n"/>
      <c r="D97" s="114" t="n"/>
      <c r="E97" s="84" t="n"/>
      <c r="R97" s="574" t="n"/>
      <c r="S97" s="574" t="n"/>
      <c r="AE97" s="574" t="n"/>
      <c r="AF97" s="574" t="n"/>
      <c r="AG97" s="574" t="n"/>
      <c r="AH97" s="574" t="n"/>
      <c r="AI97" s="574" t="n"/>
      <c r="AJ97" s="574" t="n"/>
      <c r="AK97" s="574" t="n"/>
      <c r="AM97" s="574" t="n"/>
      <c r="AO97" s="574" t="n"/>
    </row>
    <row r="98" customFormat="1" s="568">
      <c r="A98" s="86" t="n"/>
      <c r="B98" s="85" t="n"/>
      <c r="C98" s="84">
        <f>E98*D$5</f>
        <v/>
      </c>
      <c r="D98" s="114" t="n"/>
      <c r="E98" s="84">
        <f>SUM(G98:HT98)</f>
        <v/>
      </c>
      <c r="F98" s="568">
        <f>IFERROR(IF($E98&gt;0.0000005,$E98/SUMIF($E$11:$E$140,"&gt;0.0000005"),""),"")</f>
        <v/>
      </c>
      <c r="R98" s="574" t="n"/>
      <c r="S98" s="574" t="n"/>
      <c r="AE98" s="574" t="n"/>
      <c r="AF98" s="574" t="n"/>
      <c r="AG98" s="574" t="n"/>
      <c r="AH98" s="574" t="n"/>
      <c r="AI98" s="574" t="n"/>
      <c r="AJ98" s="574" t="n"/>
      <c r="AK98" s="574" t="n"/>
      <c r="AM98" s="574" t="n"/>
      <c r="AO98" s="574" t="n"/>
    </row>
    <row r="99" customFormat="1" s="568">
      <c r="A99" s="86" t="n"/>
      <c r="B99" s="85" t="n"/>
      <c r="C99" s="84">
        <f>E99*D$5</f>
        <v/>
      </c>
      <c r="D99" s="51" t="n"/>
      <c r="E99" s="84">
        <f>SUM(G99:HT99)</f>
        <v/>
      </c>
      <c r="F99" s="568">
        <f>IFERROR(IF($E99&gt;0.0000005,$E99/SUMIF($E$11:$E$140,"&gt;0.0000005"),""),"")</f>
        <v/>
      </c>
      <c r="R99" s="574" t="n"/>
      <c r="S99" s="574" t="n"/>
      <c r="AE99" s="574" t="n"/>
      <c r="AF99" s="574" t="n"/>
      <c r="AG99" s="574" t="n"/>
      <c r="AH99" s="574" t="n"/>
      <c r="AI99" s="574" t="n"/>
      <c r="AJ99" s="574" t="n"/>
      <c r="AK99" s="574" t="n"/>
      <c r="AM99" s="574" t="n"/>
      <c r="AO99" s="574" t="n"/>
    </row>
    <row r="100" customFormat="1" s="568">
      <c r="A100" s="86" t="n"/>
      <c r="B100" s="85" t="n"/>
      <c r="C100" s="84">
        <f>E100*D$5</f>
        <v/>
      </c>
      <c r="D100" s="51" t="n"/>
      <c r="E100" s="84">
        <f>SUM(G100:HT100)</f>
        <v/>
      </c>
      <c r="F100" s="568">
        <f>IFERROR(IF($E100&gt;0.0000005,$E100/SUMIF($E$11:$E$140,"&gt;0.0000005"),""),"")</f>
        <v/>
      </c>
      <c r="R100" s="574" t="n"/>
      <c r="S100" s="574" t="n"/>
      <c r="AE100" s="574" t="n"/>
      <c r="AF100" s="574" t="n"/>
      <c r="AG100" s="574" t="n"/>
      <c r="AH100" s="574" t="n"/>
      <c r="AI100" s="574" t="n"/>
      <c r="AJ100" s="574" t="n"/>
      <c r="AK100" s="574" t="n"/>
      <c r="AM100" s="574" t="n"/>
      <c r="AO100" s="574" t="n"/>
    </row>
    <row r="101" customFormat="1" s="568">
      <c r="A101" s="86" t="n"/>
      <c r="B101" s="85" t="n"/>
      <c r="C101" s="84">
        <f>E101*D$5</f>
        <v/>
      </c>
      <c r="D101" s="68" t="n"/>
      <c r="E101" s="84">
        <f>SUM(G101:HT101)</f>
        <v/>
      </c>
      <c r="F101" s="568">
        <f>IFERROR(IF($E101&gt;0.0000005,$E101/SUMIF($E$11:$E$140,"&gt;0.0000005"),""),"")</f>
        <v/>
      </c>
      <c r="R101" s="574" t="n"/>
      <c r="S101" s="574" t="n"/>
      <c r="AE101" s="574" t="n"/>
      <c r="AF101" s="574" t="n"/>
      <c r="AG101" s="574" t="n"/>
      <c r="AH101" s="574" t="n"/>
      <c r="AI101" s="574" t="n"/>
      <c r="AJ101" s="574" t="n"/>
      <c r="AK101" s="574" t="n"/>
      <c r="AM101" s="574" t="n"/>
      <c r="AO101" s="574" t="n"/>
    </row>
    <row r="102" customFormat="1" s="568">
      <c r="A102" s="86" t="n"/>
      <c r="B102" s="85" t="n"/>
      <c r="C102" s="84">
        <f>E102*D$5</f>
        <v/>
      </c>
      <c r="D102" s="68" t="n"/>
      <c r="E102" s="84">
        <f>SUM(G102:HT102)</f>
        <v/>
      </c>
      <c r="F102" s="568">
        <f>IFERROR(IF($E102&gt;0.0000005,$E102/SUMIF($E$11:$E$140,"&gt;0.0000005"),""),"")</f>
        <v/>
      </c>
      <c r="R102" s="574" t="n"/>
      <c r="S102" s="574" t="n"/>
      <c r="AE102" s="574" t="n"/>
      <c r="AF102" s="574" t="n"/>
      <c r="AG102" s="574" t="n"/>
      <c r="AH102" s="574" t="n"/>
      <c r="AI102" s="574" t="n"/>
      <c r="AJ102" s="574" t="n"/>
      <c r="AK102" s="574" t="n"/>
      <c r="AM102" s="574" t="n"/>
      <c r="AO102" s="574" t="n"/>
    </row>
    <row r="103" customFormat="1" s="568">
      <c r="A103" s="86" t="n"/>
      <c r="B103" s="85" t="n"/>
      <c r="C103" s="84">
        <f>E103*D$5</f>
        <v/>
      </c>
      <c r="D103" s="68" t="n"/>
      <c r="E103" s="84">
        <f>SUM(G103:HT103)</f>
        <v/>
      </c>
      <c r="F103" s="568">
        <f>IFERROR(IF($E103&gt;0.0000005,$E103/SUMIF($E$11:$E$140,"&gt;0.0000005"),""),"")</f>
        <v/>
      </c>
      <c r="R103" s="574" t="n"/>
      <c r="S103" s="574" t="n"/>
      <c r="AE103" s="574" t="n"/>
      <c r="AF103" s="574" t="n"/>
      <c r="AG103" s="574" t="n"/>
      <c r="AH103" s="574" t="n"/>
      <c r="AI103" s="574" t="n"/>
      <c r="AJ103" s="574" t="n"/>
      <c r="AK103" s="574" t="n"/>
      <c r="AM103" s="574" t="n"/>
      <c r="AO103" s="574" t="n"/>
    </row>
    <row r="104" customFormat="1" s="568">
      <c r="A104" s="86" t="n"/>
      <c r="B104" s="85" t="n"/>
      <c r="C104" s="84">
        <f>E104*D$5</f>
        <v/>
      </c>
      <c r="D104" s="68" t="n"/>
      <c r="E104" s="84">
        <f>SUM(G104:HT104)</f>
        <v/>
      </c>
      <c r="F104" s="568">
        <f>IFERROR(IF($E104&gt;0.0000005,$E104/SUMIF($E$11:$E$140,"&gt;0.0000005"),""),"")</f>
        <v/>
      </c>
      <c r="R104" s="574" t="n"/>
      <c r="S104" s="574" t="n"/>
      <c r="AE104" s="574" t="n"/>
      <c r="AF104" s="574" t="n"/>
      <c r="AG104" s="574" t="n"/>
      <c r="AH104" s="574" t="n"/>
      <c r="AI104" s="574" t="n"/>
      <c r="AJ104" s="574" t="n"/>
      <c r="AK104" s="574" t="n"/>
      <c r="AM104" s="574" t="n"/>
      <c r="AO104" s="574" t="n"/>
    </row>
    <row r="105" customFormat="1" s="568">
      <c r="A105" s="86" t="n"/>
      <c r="B105" s="85" t="n"/>
      <c r="C105" s="84">
        <f>E105*D$5</f>
        <v/>
      </c>
      <c r="D105" s="68" t="n"/>
      <c r="E105" s="84">
        <f>SUM(G105:HT105)</f>
        <v/>
      </c>
      <c r="F105" s="568">
        <f>IFERROR(IF($E105&gt;0.0000005,$E105/SUMIF($E$11:$E$140,"&gt;0.0000005"),""),"")</f>
        <v/>
      </c>
      <c r="R105" s="574" t="n"/>
      <c r="S105" s="574" t="n"/>
      <c r="AE105" s="574" t="n"/>
      <c r="AF105" s="574" t="n"/>
      <c r="AG105" s="574" t="n"/>
      <c r="AH105" s="574" t="n"/>
      <c r="AI105" s="574" t="n"/>
      <c r="AJ105" s="574" t="n"/>
      <c r="AK105" s="574" t="n"/>
      <c r="AM105" s="574" t="n"/>
      <c r="AO105" s="574" t="n"/>
    </row>
    <row r="106" customFormat="1" s="568">
      <c r="A106" s="86" t="n"/>
      <c r="B106" s="85" t="n"/>
      <c r="C106" s="84">
        <f>E106*D$5</f>
        <v/>
      </c>
      <c r="D106" s="68" t="n"/>
      <c r="E106" s="84">
        <f>SUM(G106:HT106)</f>
        <v/>
      </c>
      <c r="F106" s="568">
        <f>IFERROR(IF($E106&gt;0.0000005,$E106/SUMIF($E$11:$E$140,"&gt;0.0000005"),""),"")</f>
        <v/>
      </c>
      <c r="R106" s="574" t="n"/>
      <c r="S106" s="574" t="n"/>
      <c r="AE106" s="574" t="n"/>
      <c r="AF106" s="574" t="n"/>
      <c r="AG106" s="574" t="n"/>
      <c r="AH106" s="574" t="n"/>
      <c r="AI106" s="574" t="n"/>
      <c r="AJ106" s="574" t="n"/>
      <c r="AK106" s="574" t="n"/>
      <c r="AM106" s="574" t="n"/>
      <c r="AO106" s="574" t="n"/>
    </row>
    <row r="107" customFormat="1" s="568">
      <c r="A107" s="86" t="n"/>
      <c r="B107" s="85" t="n"/>
      <c r="C107" s="84">
        <f>E107*D$5</f>
        <v/>
      </c>
      <c r="D107" s="68" t="n"/>
      <c r="E107" s="84">
        <f>SUM(G107:HT107)</f>
        <v/>
      </c>
      <c r="F107" s="568">
        <f>IFERROR(IF($E107&gt;0.0000005,$E107/SUMIF($E$11:$E$140,"&gt;0.0000005"),""),"")</f>
        <v/>
      </c>
      <c r="R107" s="574" t="n"/>
      <c r="S107" s="574" t="n"/>
      <c r="AE107" s="574" t="n"/>
      <c r="AF107" s="574" t="n"/>
      <c r="AG107" s="574" t="n"/>
      <c r="AH107" s="574" t="n"/>
      <c r="AI107" s="574" t="n"/>
      <c r="AJ107" s="574" t="n"/>
      <c r="AK107" s="574" t="n"/>
      <c r="AM107" s="574" t="n"/>
      <c r="AO107" s="574" t="n"/>
    </row>
    <row r="108" customFormat="1" s="568">
      <c r="A108" s="86" t="n"/>
      <c r="B108" s="85" t="n"/>
      <c r="C108" s="84">
        <f>E108*D$5</f>
        <v/>
      </c>
      <c r="D108" s="68" t="n"/>
      <c r="E108" s="84">
        <f>SUM(G108:HT108)</f>
        <v/>
      </c>
      <c r="F108" s="568">
        <f>IFERROR(IF($E108&gt;0.0000005,$E108/SUMIF($E$11:$E$140,"&gt;0.0000005"),""),"")</f>
        <v/>
      </c>
      <c r="R108" s="574" t="n"/>
      <c r="S108" s="574" t="n"/>
      <c r="AE108" s="574" t="n"/>
      <c r="AF108" s="574" t="n"/>
      <c r="AG108" s="574" t="n"/>
      <c r="AH108" s="574" t="n"/>
      <c r="AI108" s="574" t="n"/>
      <c r="AJ108" s="574" t="n"/>
      <c r="AK108" s="574" t="n"/>
      <c r="AM108" s="574" t="n"/>
      <c r="AO108" s="574" t="n"/>
    </row>
    <row r="109" customFormat="1" s="568">
      <c r="A109" s="86" t="n"/>
      <c r="B109" s="85" t="n"/>
      <c r="C109" s="84">
        <f>E109*D$5</f>
        <v/>
      </c>
      <c r="D109" s="68" t="n"/>
      <c r="E109" s="84">
        <f>SUM(G109:HT109)</f>
        <v/>
      </c>
      <c r="F109" s="568">
        <f>IFERROR(IF($E109&gt;0.0000005,$E109/SUMIF($E$11:$E$140,"&gt;0.0000005"),""),"")</f>
        <v/>
      </c>
      <c r="R109" s="574" t="n"/>
      <c r="S109" s="574" t="n"/>
      <c r="AE109" s="574" t="n"/>
      <c r="AF109" s="574" t="n"/>
      <c r="AG109" s="574" t="n"/>
      <c r="AH109" s="574" t="n"/>
      <c r="AI109" s="574" t="n"/>
      <c r="AJ109" s="574" t="n"/>
      <c r="AK109" s="574" t="n"/>
      <c r="AM109" s="574" t="n"/>
      <c r="AO109" s="574" t="n"/>
    </row>
    <row r="110" customFormat="1" s="568">
      <c r="A110" s="86" t="n"/>
      <c r="B110" s="85" t="n"/>
      <c r="C110" s="84">
        <f>E110*D$5</f>
        <v/>
      </c>
      <c r="D110" s="68" t="n"/>
      <c r="E110" s="84">
        <f>SUM(G110:HT110)</f>
        <v/>
      </c>
      <c r="F110" s="568">
        <f>IFERROR(IF($E110&gt;0.0000005,$E110/SUMIF($E$11:$E$140,"&gt;0.0000005"),""),"")</f>
        <v/>
      </c>
      <c r="R110" s="574" t="n"/>
      <c r="S110" s="574" t="n"/>
      <c r="AE110" s="574" t="n"/>
      <c r="AF110" s="574" t="n"/>
      <c r="AG110" s="574" t="n"/>
      <c r="AH110" s="574" t="n"/>
      <c r="AI110" s="574" t="n"/>
      <c r="AJ110" s="574" t="n"/>
      <c r="AK110" s="574" t="n"/>
      <c r="AM110" s="574" t="n"/>
      <c r="AO110" s="574" t="n"/>
    </row>
    <row r="111" customFormat="1" s="568">
      <c r="A111" s="86" t="n"/>
      <c r="B111" s="85" t="n"/>
      <c r="C111" s="84">
        <f>E111*D$5</f>
        <v/>
      </c>
      <c r="D111" s="68" t="n"/>
      <c r="E111" s="84">
        <f>SUM(G111:HT111)</f>
        <v/>
      </c>
      <c r="F111" s="568">
        <f>IFERROR(IF($E111&gt;0.0000005,$E111/SUMIF($E$11:$E$140,"&gt;0.0000005"),""),"")</f>
        <v/>
      </c>
      <c r="R111" s="574" t="n"/>
      <c r="S111" s="574" t="n"/>
      <c r="AE111" s="574" t="n"/>
      <c r="AF111" s="574" t="n"/>
      <c r="AG111" s="574" t="n"/>
      <c r="AH111" s="574" t="n"/>
      <c r="AI111" s="574" t="n"/>
      <c r="AJ111" s="574" t="n"/>
      <c r="AK111" s="574" t="n"/>
      <c r="AM111" s="574" t="n"/>
      <c r="AO111" s="574" t="n"/>
    </row>
    <row r="112" customFormat="1" s="568">
      <c r="A112" s="86" t="n"/>
      <c r="B112" s="85" t="n"/>
      <c r="C112" s="84">
        <f>E112*D$5</f>
        <v/>
      </c>
      <c r="D112" s="68" t="n"/>
      <c r="E112" s="84">
        <f>SUM(G112:HT112)</f>
        <v/>
      </c>
      <c r="F112" s="568">
        <f>IFERROR(IF($E112&gt;0.0000005,$E112/SUMIF($E$11:$E$140,"&gt;0.0000005"),""),"")</f>
        <v/>
      </c>
      <c r="R112" s="574" t="n"/>
      <c r="S112" s="574" t="n"/>
      <c r="AE112" s="574" t="n"/>
      <c r="AF112" s="574" t="n"/>
      <c r="AG112" s="574" t="n"/>
      <c r="AH112" s="574" t="n"/>
      <c r="AI112" s="574" t="n"/>
      <c r="AJ112" s="574" t="n"/>
      <c r="AK112" s="574" t="n"/>
      <c r="AM112" s="574" t="n"/>
      <c r="AO112" s="574" t="n"/>
    </row>
    <row r="113" customFormat="1" s="568">
      <c r="A113" s="86" t="n"/>
      <c r="B113" s="85" t="n"/>
      <c r="C113" s="84">
        <f>E113*D$5</f>
        <v/>
      </c>
      <c r="D113" s="68" t="n"/>
      <c r="E113" s="84">
        <f>SUM(G113:HT113)</f>
        <v/>
      </c>
      <c r="F113" s="568">
        <f>IFERROR(IF($E113&gt;0.0000005,$E113/SUMIF($E$11:$E$140,"&gt;0.0000005"),""),"")</f>
        <v/>
      </c>
      <c r="R113" s="574" t="n"/>
      <c r="S113" s="574" t="n"/>
      <c r="AE113" s="574" t="n"/>
      <c r="AF113" s="574" t="n"/>
      <c r="AG113" s="574" t="n"/>
      <c r="AH113" s="574" t="n"/>
      <c r="AI113" s="574" t="n"/>
      <c r="AJ113" s="574" t="n"/>
      <c r="AK113" s="574" t="n"/>
      <c r="AM113" s="574" t="n"/>
      <c r="AO113" s="574" t="n"/>
    </row>
    <row r="114" customFormat="1" s="568">
      <c r="A114" s="86" t="n"/>
      <c r="B114" s="85" t="n"/>
      <c r="C114" s="84">
        <f>E114*D$5</f>
        <v/>
      </c>
      <c r="D114" s="68" t="n"/>
      <c r="E114" s="84">
        <f>SUM(G114:HT114)</f>
        <v/>
      </c>
      <c r="F114" s="568">
        <f>IFERROR(IF($E114&gt;0.0000005,$E114/SUMIF($E$11:$E$140,"&gt;0.0000005"),""),"")</f>
        <v/>
      </c>
      <c r="R114" s="574" t="n"/>
      <c r="S114" s="574" t="n"/>
      <c r="AE114" s="574" t="n"/>
      <c r="AF114" s="574" t="n"/>
      <c r="AG114" s="574" t="n"/>
      <c r="AH114" s="574" t="n"/>
      <c r="AI114" s="574" t="n"/>
      <c r="AJ114" s="574" t="n"/>
      <c r="AK114" s="574" t="n"/>
      <c r="AM114" s="574" t="n"/>
      <c r="AO114" s="574" t="n"/>
    </row>
    <row r="115" customFormat="1" s="568">
      <c r="A115" s="86" t="n"/>
      <c r="B115" s="85" t="n"/>
      <c r="C115" s="84">
        <f>E115*D$5</f>
        <v/>
      </c>
      <c r="D115" s="68" t="n"/>
      <c r="E115" s="84">
        <f>SUM(G115:HT115)</f>
        <v/>
      </c>
      <c r="F115" s="568">
        <f>IFERROR(IF($E115&gt;0.0000005,$E115/SUMIF($E$11:$E$140,"&gt;0.0000005"),""),"")</f>
        <v/>
      </c>
      <c r="R115" s="574" t="n"/>
      <c r="S115" s="574" t="n"/>
      <c r="AE115" s="574" t="n"/>
      <c r="AF115" s="574" t="n"/>
      <c r="AG115" s="574" t="n"/>
      <c r="AH115" s="574" t="n"/>
      <c r="AI115" s="574" t="n"/>
      <c r="AJ115" s="574" t="n"/>
      <c r="AK115" s="574" t="n"/>
      <c r="AM115" s="574" t="n"/>
      <c r="AO115" s="574" t="n"/>
    </row>
    <row r="116" customFormat="1" s="568">
      <c r="A116" s="86" t="n"/>
      <c r="B116" s="85" t="n"/>
      <c r="C116" s="84">
        <f>E116*D$5</f>
        <v/>
      </c>
      <c r="D116" s="68" t="n"/>
      <c r="E116" s="84">
        <f>SUM(G116:HT116)</f>
        <v/>
      </c>
      <c r="F116" s="568">
        <f>IFERROR(IF($E116&gt;0.0000005,$E116/SUMIF($E$11:$E$140,"&gt;0.0000005"),""),"")</f>
        <v/>
      </c>
      <c r="R116" s="574" t="n"/>
      <c r="S116" s="574" t="n"/>
      <c r="AE116" s="574" t="n"/>
      <c r="AF116" s="574" t="n"/>
      <c r="AG116" s="574" t="n"/>
      <c r="AH116" s="574" t="n"/>
      <c r="AI116" s="574" t="n"/>
      <c r="AJ116" s="574" t="n"/>
      <c r="AK116" s="574" t="n"/>
      <c r="AM116" s="574" t="n"/>
      <c r="AO116" s="574" t="n"/>
    </row>
    <row r="117" customFormat="1" s="568">
      <c r="A117" s="86" t="n"/>
      <c r="B117" s="85" t="n"/>
      <c r="C117" s="84">
        <f>E117*D$5</f>
        <v/>
      </c>
      <c r="D117" s="68" t="n"/>
      <c r="E117" s="84">
        <f>SUM(G117:HT117)</f>
        <v/>
      </c>
      <c r="F117" s="568">
        <f>IFERROR(IF($E117&gt;0.0000005,$E117/SUMIF($E$11:$E$140,"&gt;0.0000005"),""),"")</f>
        <v/>
      </c>
      <c r="R117" s="574" t="n"/>
      <c r="S117" s="574" t="n"/>
      <c r="AE117" s="574" t="n"/>
      <c r="AF117" s="574" t="n"/>
      <c r="AG117" s="574" t="n"/>
      <c r="AH117" s="574" t="n"/>
      <c r="AI117" s="574" t="n"/>
      <c r="AJ117" s="574" t="n"/>
      <c r="AK117" s="574" t="n"/>
      <c r="AM117" s="574" t="n"/>
      <c r="AO117" s="574" t="n"/>
    </row>
    <row r="118" customFormat="1" s="568">
      <c r="A118" s="86" t="n"/>
      <c r="B118" s="85" t="n"/>
      <c r="C118" s="84">
        <f>E118*D$5</f>
        <v/>
      </c>
      <c r="D118" s="68" t="n"/>
      <c r="E118" s="84">
        <f>SUM(G118:HT118)</f>
        <v/>
      </c>
      <c r="F118" s="568">
        <f>IFERROR(IF($E118&gt;0.0000005,$E118/SUMIF($E$11:$E$140,"&gt;0.0000005"),""),"")</f>
        <v/>
      </c>
      <c r="R118" s="574" t="n"/>
      <c r="S118" s="574" t="n"/>
      <c r="AE118" s="574" t="n"/>
      <c r="AF118" s="574" t="n"/>
      <c r="AG118" s="574" t="n"/>
      <c r="AH118" s="574" t="n"/>
      <c r="AI118" s="574" t="n"/>
      <c r="AJ118" s="574" t="n"/>
      <c r="AK118" s="574" t="n"/>
      <c r="AM118" s="574" t="n"/>
      <c r="AO118" s="574" t="n"/>
    </row>
    <row r="119" customFormat="1" s="568">
      <c r="A119" s="86" t="n"/>
      <c r="B119" s="85" t="n"/>
      <c r="C119" s="84">
        <f>E119*D$5</f>
        <v/>
      </c>
      <c r="D119" s="68" t="n"/>
      <c r="E119" s="84">
        <f>SUM(G119:HT119)</f>
        <v/>
      </c>
      <c r="F119" s="568">
        <f>IFERROR(IF($E119&gt;0.0000005,$E119/SUMIF($E$11:$E$140,"&gt;0.0000005"),""),"")</f>
        <v/>
      </c>
      <c r="R119" s="574" t="n"/>
      <c r="S119" s="574" t="n"/>
      <c r="AE119" s="574" t="n"/>
      <c r="AF119" s="574" t="n"/>
      <c r="AG119" s="574" t="n"/>
      <c r="AH119" s="574" t="n"/>
      <c r="AI119" s="574" t="n"/>
      <c r="AJ119" s="574" t="n"/>
      <c r="AK119" s="574" t="n"/>
      <c r="AM119" s="574" t="n"/>
      <c r="AO119" s="574" t="n"/>
    </row>
    <row r="120" customFormat="1" s="568">
      <c r="A120" s="86" t="n"/>
      <c r="B120" s="85" t="n"/>
      <c r="C120" s="84">
        <f>E120*D$5</f>
        <v/>
      </c>
      <c r="D120" s="68" t="n"/>
      <c r="E120" s="84">
        <f>SUM(G120:HT120)</f>
        <v/>
      </c>
      <c r="F120" s="568">
        <f>IFERROR(IF($E120&gt;0.0000005,$E120/SUMIF($E$11:$E$140,"&gt;0.0000005"),""),"")</f>
        <v/>
      </c>
      <c r="R120" s="574" t="n"/>
      <c r="S120" s="574" t="n"/>
      <c r="AE120" s="574" t="n"/>
      <c r="AF120" s="574" t="n"/>
      <c r="AG120" s="574" t="n"/>
      <c r="AH120" s="574" t="n"/>
      <c r="AI120" s="574" t="n"/>
      <c r="AJ120" s="574" t="n"/>
      <c r="AK120" s="574" t="n"/>
      <c r="AM120" s="574" t="n"/>
      <c r="AO120" s="574" t="n"/>
    </row>
    <row r="121" customFormat="1" s="568">
      <c r="A121" s="86" t="n"/>
      <c r="B121" s="85" t="n"/>
      <c r="C121" s="84">
        <f>E121*D$5</f>
        <v/>
      </c>
      <c r="D121" s="68" t="n"/>
      <c r="E121" s="84">
        <f>SUM(G121:HT121)</f>
        <v/>
      </c>
      <c r="F121" s="568">
        <f>IFERROR(IF($E121&gt;0.0000005,$E121/SUMIF($E$11:$E$140,"&gt;0.0000005"),""),"")</f>
        <v/>
      </c>
      <c r="R121" s="574" t="n"/>
      <c r="S121" s="574" t="n"/>
      <c r="AE121" s="574" t="n"/>
      <c r="AF121" s="574" t="n"/>
      <c r="AG121" s="574" t="n"/>
      <c r="AH121" s="574" t="n"/>
      <c r="AI121" s="574" t="n"/>
      <c r="AJ121" s="574" t="n"/>
      <c r="AK121" s="574" t="n"/>
      <c r="AM121" s="574" t="n"/>
      <c r="AO121" s="574" t="n"/>
    </row>
    <row r="122" customFormat="1" s="568">
      <c r="A122" s="86" t="n"/>
      <c r="B122" s="85" t="n"/>
      <c r="C122" s="84">
        <f>E122*D$5</f>
        <v/>
      </c>
      <c r="D122" s="68" t="n"/>
      <c r="E122" s="84">
        <f>SUM(G122:HT122)</f>
        <v/>
      </c>
      <c r="F122" s="568">
        <f>IFERROR(IF($E122&gt;0.0000005,$E122/SUMIF($E$11:$E$140,"&gt;0.0000005"),""),"")</f>
        <v/>
      </c>
      <c r="R122" s="574" t="n"/>
      <c r="S122" s="574" t="n"/>
      <c r="AE122" s="574" t="n"/>
      <c r="AF122" s="574" t="n"/>
      <c r="AG122" s="574" t="n"/>
      <c r="AH122" s="574" t="n"/>
      <c r="AI122" s="574" t="n"/>
      <c r="AJ122" s="574" t="n"/>
      <c r="AK122" s="574" t="n"/>
      <c r="AM122" s="574" t="n"/>
      <c r="AO122" s="574" t="n"/>
    </row>
    <row r="123" customFormat="1" s="568">
      <c r="A123" s="86" t="n"/>
      <c r="B123" s="85" t="n"/>
      <c r="C123" s="84">
        <f>E123*D$5</f>
        <v/>
      </c>
      <c r="D123" s="68" t="n"/>
      <c r="E123" s="84">
        <f>SUM(G123:HT123)</f>
        <v/>
      </c>
      <c r="F123" s="568">
        <f>IFERROR(IF($E123&gt;0.0000005,$E123/SUMIF($E$11:$E$140,"&gt;0.0000005"),""),"")</f>
        <v/>
      </c>
      <c r="R123" s="574" t="n"/>
      <c r="S123" s="574" t="n"/>
      <c r="AE123" s="574" t="n"/>
      <c r="AF123" s="574" t="n"/>
      <c r="AG123" s="574" t="n"/>
      <c r="AH123" s="574" t="n"/>
      <c r="AI123" s="574" t="n"/>
      <c r="AJ123" s="574" t="n"/>
      <c r="AK123" s="574" t="n"/>
      <c r="AM123" s="574" t="n"/>
      <c r="AO123" s="574" t="n"/>
    </row>
    <row r="124" customFormat="1" s="568">
      <c r="A124" s="86" t="n"/>
      <c r="B124" s="85" t="n"/>
      <c r="C124" s="84">
        <f>E124*D$5</f>
        <v/>
      </c>
      <c r="D124" s="68" t="n"/>
      <c r="E124" s="84">
        <f>SUM(G124:HT124)</f>
        <v/>
      </c>
      <c r="F124" s="568">
        <f>IFERROR(IF($E124&gt;0.0000005,$E124/SUMIF($E$11:$E$140,"&gt;0.0000005"),""),"")</f>
        <v/>
      </c>
      <c r="R124" s="574" t="n"/>
      <c r="S124" s="574" t="n"/>
      <c r="AE124" s="574" t="n"/>
      <c r="AF124" s="574" t="n"/>
      <c r="AG124" s="574" t="n"/>
      <c r="AH124" s="574" t="n"/>
      <c r="AI124" s="574" t="n"/>
      <c r="AJ124" s="574" t="n"/>
      <c r="AK124" s="574" t="n"/>
      <c r="AM124" s="574" t="n"/>
      <c r="AO124" s="574" t="n"/>
    </row>
    <row r="125" customFormat="1" s="568">
      <c r="A125" s="86" t="n"/>
      <c r="B125" s="85" t="n"/>
      <c r="C125" s="84">
        <f>E125*D$5</f>
        <v/>
      </c>
      <c r="D125" s="68" t="n"/>
      <c r="E125" s="84">
        <f>SUM(G125:HT125)</f>
        <v/>
      </c>
      <c r="F125" s="568">
        <f>IFERROR(IF($E125&gt;0.0000005,$E125/SUMIF($E$11:$E$140,"&gt;0.0000005"),""),"")</f>
        <v/>
      </c>
      <c r="R125" s="574" t="n"/>
      <c r="S125" s="574" t="n"/>
      <c r="AE125" s="574" t="n"/>
      <c r="AF125" s="574" t="n"/>
      <c r="AG125" s="574" t="n"/>
      <c r="AH125" s="574" t="n"/>
      <c r="AI125" s="574" t="n"/>
      <c r="AJ125" s="574" t="n"/>
      <c r="AK125" s="574" t="n"/>
      <c r="AM125" s="574" t="n"/>
      <c r="AO125" s="574" t="n"/>
    </row>
    <row r="126" customFormat="1" s="568">
      <c r="A126" s="86" t="n"/>
      <c r="B126" s="85" t="n"/>
      <c r="C126" s="84">
        <f>E126*D$5</f>
        <v/>
      </c>
      <c r="D126" s="68" t="n"/>
      <c r="E126" s="84">
        <f>SUM(G126:HT126)</f>
        <v/>
      </c>
      <c r="F126" s="568">
        <f>IFERROR(IF($E126&gt;0.0000005,$E126/SUMIF($E$11:$E$140,"&gt;0.0000005"),""),"")</f>
        <v/>
      </c>
      <c r="R126" s="574" t="n"/>
      <c r="S126" s="574" t="n"/>
      <c r="AE126" s="574" t="n"/>
      <c r="AF126" s="574" t="n"/>
      <c r="AG126" s="574" t="n"/>
      <c r="AH126" s="574" t="n"/>
      <c r="AI126" s="574" t="n"/>
      <c r="AJ126" s="574" t="n"/>
      <c r="AK126" s="574" t="n"/>
      <c r="AM126" s="574" t="n"/>
      <c r="AO126" s="574" t="n"/>
    </row>
    <row r="127" customFormat="1" s="568">
      <c r="A127" s="86" t="n"/>
      <c r="B127" s="85" t="n"/>
      <c r="C127" s="84">
        <f>E127*D$5</f>
        <v/>
      </c>
      <c r="D127" s="68" t="n"/>
      <c r="E127" s="84">
        <f>SUM(G127:HT127)</f>
        <v/>
      </c>
      <c r="F127" s="568">
        <f>IFERROR(IF($E127&gt;0.0000005,$E127/SUMIF($E$11:$E$140,"&gt;0.0000005"),""),"")</f>
        <v/>
      </c>
      <c r="R127" s="574" t="n"/>
      <c r="S127" s="574" t="n"/>
      <c r="AE127" s="574" t="n"/>
      <c r="AF127" s="574" t="n"/>
      <c r="AG127" s="574" t="n"/>
      <c r="AH127" s="574" t="n"/>
      <c r="AI127" s="574" t="n"/>
      <c r="AJ127" s="574" t="n"/>
      <c r="AK127" s="574" t="n"/>
      <c r="AM127" s="574" t="n"/>
      <c r="AO127" s="574" t="n"/>
    </row>
    <row r="128" customFormat="1" s="568">
      <c r="A128" s="86" t="n"/>
      <c r="B128" s="85" t="n"/>
      <c r="C128" s="84">
        <f>E128*D$5</f>
        <v/>
      </c>
      <c r="D128" s="68" t="n"/>
      <c r="E128" s="84">
        <f>SUM(G128:HT128)</f>
        <v/>
      </c>
      <c r="F128" s="568">
        <f>IFERROR(IF($E128&gt;0.0000005,$E128/SUMIF($E$11:$E$140,"&gt;0.0000005"),""),"")</f>
        <v/>
      </c>
      <c r="R128" s="574" t="n"/>
      <c r="S128" s="574" t="n"/>
      <c r="AE128" s="574" t="n"/>
      <c r="AF128" s="574" t="n"/>
      <c r="AG128" s="574" t="n"/>
      <c r="AH128" s="574" t="n"/>
      <c r="AI128" s="574" t="n"/>
      <c r="AJ128" s="574" t="n"/>
      <c r="AK128" s="574" t="n"/>
      <c r="AM128" s="574" t="n"/>
      <c r="AO128" s="574" t="n"/>
    </row>
    <row r="129" customFormat="1" s="568">
      <c r="A129" s="86" t="n"/>
      <c r="B129" s="85" t="n"/>
      <c r="C129" s="84">
        <f>E129*D$5</f>
        <v/>
      </c>
      <c r="D129" s="68" t="n"/>
      <c r="E129" s="84">
        <f>SUM(G129:HT129)</f>
        <v/>
      </c>
      <c r="F129" s="568">
        <f>IFERROR(IF($E129&gt;0.0000005,$E129/SUMIF($E$11:$E$140,"&gt;0.0000005"),""),"")</f>
        <v/>
      </c>
      <c r="R129" s="574" t="n"/>
      <c r="S129" s="574" t="n"/>
      <c r="AE129" s="574" t="n"/>
      <c r="AF129" s="574" t="n"/>
      <c r="AG129" s="574" t="n"/>
      <c r="AH129" s="574" t="n"/>
      <c r="AI129" s="574" t="n"/>
      <c r="AJ129" s="574" t="n"/>
      <c r="AK129" s="574" t="n"/>
      <c r="AM129" s="574" t="n"/>
      <c r="AO129" s="574" t="n"/>
    </row>
    <row r="130" customFormat="1" s="568">
      <c r="A130" s="86" t="n"/>
      <c r="B130" s="85" t="n"/>
      <c r="C130" s="84">
        <f>E130*D$5</f>
        <v/>
      </c>
      <c r="D130" s="68" t="n"/>
      <c r="E130" s="84">
        <f>SUM(G130:HT130)</f>
        <v/>
      </c>
      <c r="F130" s="568">
        <f>IFERROR(IF($E130&gt;0.0000005,$E130/SUMIF($E$11:$E$140,"&gt;0.0000005"),""),"")</f>
        <v/>
      </c>
      <c r="R130" s="574" t="n"/>
      <c r="S130" s="574" t="n"/>
      <c r="AE130" s="574" t="n"/>
      <c r="AF130" s="574" t="n"/>
      <c r="AG130" s="574" t="n"/>
      <c r="AH130" s="574" t="n"/>
      <c r="AI130" s="574" t="n"/>
      <c r="AJ130" s="574" t="n"/>
      <c r="AK130" s="574" t="n"/>
      <c r="AM130" s="574" t="n"/>
      <c r="AO130" s="574" t="n"/>
    </row>
    <row r="131" customFormat="1" s="568">
      <c r="A131" s="86" t="n"/>
      <c r="B131" s="85" t="n"/>
      <c r="C131" s="84">
        <f>E131*D$5</f>
        <v/>
      </c>
      <c r="D131" s="68" t="n"/>
      <c r="E131" s="84">
        <f>SUM(G131:HT131)</f>
        <v/>
      </c>
      <c r="F131" s="568">
        <f>IFERROR(IF($E131&gt;0.0000005,$E131/SUMIF($E$11:$E$140,"&gt;0.0000005"),""),"")</f>
        <v/>
      </c>
      <c r="R131" s="574" t="n"/>
      <c r="S131" s="574" t="n"/>
      <c r="AE131" s="574" t="n"/>
      <c r="AF131" s="574" t="n"/>
      <c r="AG131" s="574" t="n"/>
      <c r="AH131" s="574" t="n"/>
      <c r="AI131" s="574" t="n"/>
      <c r="AJ131" s="574" t="n"/>
      <c r="AK131" s="574" t="n"/>
      <c r="AM131" s="574" t="n"/>
      <c r="AO131" s="574" t="n"/>
    </row>
    <row r="132" customFormat="1" s="568">
      <c r="A132" s="86" t="n"/>
      <c r="B132" s="85" t="n"/>
      <c r="C132" s="84">
        <f>E132*D$5</f>
        <v/>
      </c>
      <c r="D132" s="68" t="n"/>
      <c r="E132" s="84">
        <f>SUM(G132:HT132)</f>
        <v/>
      </c>
      <c r="F132" s="568">
        <f>IFERROR(IF($E132&gt;0.0000005,$E132/SUMIF($E$11:$E$140,"&gt;0.0000005"),""),"")</f>
        <v/>
      </c>
      <c r="R132" s="574" t="n"/>
      <c r="S132" s="574" t="n"/>
      <c r="AE132" s="574" t="n"/>
      <c r="AF132" s="574" t="n"/>
      <c r="AG132" s="574" t="n"/>
      <c r="AH132" s="574" t="n"/>
      <c r="AI132" s="574" t="n"/>
      <c r="AJ132" s="574" t="n"/>
      <c r="AK132" s="574" t="n"/>
      <c r="AM132" s="574" t="n"/>
      <c r="AO132" s="574" t="n"/>
    </row>
    <row r="133" customFormat="1" s="568">
      <c r="A133" s="86" t="n"/>
      <c r="B133" s="85" t="n"/>
      <c r="C133" s="84">
        <f>E133*D$5</f>
        <v/>
      </c>
      <c r="D133" s="68" t="n"/>
      <c r="E133" s="84">
        <f>SUM(G133:HT133)</f>
        <v/>
      </c>
      <c r="F133" s="568">
        <f>IFERROR(IF($E133&gt;0.0000005,$E133/SUMIF($E$11:$E$140,"&gt;0.0000005"),""),"")</f>
        <v/>
      </c>
      <c r="R133" s="574" t="n"/>
      <c r="S133" s="574" t="n"/>
      <c r="AE133" s="574" t="n"/>
      <c r="AF133" s="574" t="n"/>
      <c r="AG133" s="574" t="n"/>
      <c r="AH133" s="574" t="n"/>
      <c r="AI133" s="574" t="n"/>
      <c r="AJ133" s="574" t="n"/>
      <c r="AK133" s="574" t="n"/>
      <c r="AM133" s="574" t="n"/>
      <c r="AO133" s="574" t="n"/>
    </row>
    <row r="134" customFormat="1" s="568">
      <c r="A134" s="86" t="n"/>
      <c r="B134" s="85" t="n"/>
      <c r="C134" s="84">
        <f>E134*D$5</f>
        <v/>
      </c>
      <c r="D134" s="68" t="n"/>
      <c r="E134" s="84">
        <f>SUM(G134:HT134)</f>
        <v/>
      </c>
      <c r="F134" s="568">
        <f>IFERROR(IF($E134&gt;0.0000005,$E134/SUMIF($E$11:$E$140,"&gt;0.0000005"),""),"")</f>
        <v/>
      </c>
      <c r="R134" s="574" t="n"/>
      <c r="S134" s="574" t="n"/>
      <c r="AE134" s="574" t="n"/>
      <c r="AF134" s="574" t="n"/>
      <c r="AG134" s="574" t="n"/>
      <c r="AH134" s="574" t="n"/>
      <c r="AI134" s="574" t="n"/>
      <c r="AJ134" s="574" t="n"/>
      <c r="AK134" s="574" t="n"/>
      <c r="AM134" s="574" t="n"/>
      <c r="AO134" s="574" t="n"/>
    </row>
    <row r="135" customFormat="1" s="568">
      <c r="A135" s="86" t="n"/>
      <c r="B135" s="85" t="n"/>
      <c r="C135" s="84">
        <f>E135*D$5</f>
        <v/>
      </c>
      <c r="D135" s="68" t="n"/>
      <c r="E135" s="84">
        <f>SUM(G135:HT135)</f>
        <v/>
      </c>
      <c r="F135" s="568">
        <f>IFERROR(IF($E135&gt;0.0000005,$E135/SUMIF($E$11:$E$140,"&gt;0.0000005"),""),"")</f>
        <v/>
      </c>
      <c r="R135" s="574" t="n"/>
      <c r="S135" s="574" t="n"/>
      <c r="AE135" s="574" t="n"/>
      <c r="AF135" s="574" t="n"/>
      <c r="AG135" s="574" t="n"/>
      <c r="AH135" s="574" t="n"/>
      <c r="AI135" s="574" t="n"/>
      <c r="AJ135" s="574" t="n"/>
      <c r="AK135" s="574" t="n"/>
      <c r="AM135" s="574" t="n"/>
      <c r="AO135" s="574" t="n"/>
    </row>
    <row r="136" customFormat="1" s="568">
      <c r="A136" s="86" t="n"/>
      <c r="B136" s="85" t="n"/>
      <c r="C136" s="84">
        <f>E136*D$5</f>
        <v/>
      </c>
      <c r="D136" s="68" t="n"/>
      <c r="E136" s="84">
        <f>SUM(G136:HT136)</f>
        <v/>
      </c>
      <c r="F136" s="568">
        <f>IFERROR(IF($E136&gt;0.0000005,$E136/SUMIF($E$11:$E$140,"&gt;0.0000005"),""),"")</f>
        <v/>
      </c>
      <c r="R136" s="574" t="n"/>
      <c r="S136" s="574" t="n"/>
      <c r="AE136" s="574" t="n"/>
      <c r="AF136" s="574" t="n"/>
      <c r="AG136" s="574" t="n"/>
      <c r="AH136" s="574" t="n"/>
      <c r="AI136" s="574" t="n"/>
      <c r="AJ136" s="574" t="n"/>
      <c r="AK136" s="574" t="n"/>
      <c r="AM136" s="574" t="n"/>
      <c r="AO136" s="574" t="n"/>
    </row>
    <row r="137" customFormat="1" s="568">
      <c r="A137" s="86" t="n"/>
      <c r="B137" s="85" t="n"/>
      <c r="C137" s="84">
        <f>E137*D$5</f>
        <v/>
      </c>
      <c r="D137" s="68" t="n"/>
      <c r="E137" s="84">
        <f>SUM(G137:HT137)</f>
        <v/>
      </c>
      <c r="F137" s="568">
        <f>IFERROR(IF($E137&gt;0.0000005,$E137/SUMIF($E$11:$E$140,"&gt;0.0000005"),""),"")</f>
        <v/>
      </c>
      <c r="R137" s="574" t="n"/>
      <c r="S137" s="574" t="n"/>
      <c r="AE137" s="574" t="n"/>
      <c r="AF137" s="574" t="n"/>
      <c r="AG137" s="574" t="n"/>
      <c r="AH137" s="574" t="n"/>
      <c r="AI137" s="574" t="n"/>
      <c r="AJ137" s="574" t="n"/>
      <c r="AK137" s="574" t="n"/>
      <c r="AM137" s="574" t="n"/>
      <c r="AO137" s="574" t="n"/>
    </row>
    <row r="138" customFormat="1" s="568">
      <c r="A138" s="86" t="n"/>
      <c r="B138" s="85" t="n"/>
      <c r="C138" s="84">
        <f>E138*D$5</f>
        <v/>
      </c>
      <c r="D138" s="68" t="n"/>
      <c r="E138" s="84">
        <f>SUM(G138:HT138)</f>
        <v/>
      </c>
      <c r="F138" s="568">
        <f>IFERROR(IF($E138&gt;0.0000005,$E138/SUMIF($E$11:$E$140,"&gt;0.0000005"),""),"")</f>
        <v/>
      </c>
      <c r="R138" s="574" t="n"/>
      <c r="S138" s="574" t="n"/>
      <c r="AE138" s="574" t="n"/>
      <c r="AF138" s="574" t="n"/>
      <c r="AG138" s="574" t="n"/>
      <c r="AH138" s="574" t="n"/>
      <c r="AI138" s="574" t="n"/>
      <c r="AJ138" s="574" t="n"/>
      <c r="AK138" s="574" t="n"/>
      <c r="AM138" s="574" t="n"/>
      <c r="AO138" s="574" t="n"/>
    </row>
    <row r="139" customFormat="1" s="568">
      <c r="A139" s="86" t="n"/>
      <c r="B139" s="85" t="n"/>
      <c r="C139" s="84">
        <f>E139*D$5</f>
        <v/>
      </c>
      <c r="D139" s="68" t="n"/>
      <c r="E139" s="84">
        <f>SUM(G139:HT139)</f>
        <v/>
      </c>
      <c r="F139" s="568">
        <f>IFERROR(IF($E139&gt;0.0000005,$E139/SUMIF($E$11:$E$140,"&gt;0.0000005"),""),"")</f>
        <v/>
      </c>
      <c r="R139" s="574" t="n"/>
      <c r="S139" s="574" t="n"/>
      <c r="AE139" s="574" t="n"/>
      <c r="AF139" s="574" t="n"/>
      <c r="AG139" s="574" t="n"/>
      <c r="AH139" s="574" t="n"/>
      <c r="AI139" s="574" t="n"/>
      <c r="AJ139" s="574" t="n"/>
      <c r="AK139" s="574" t="n"/>
      <c r="AM139" s="574" t="n"/>
      <c r="AO139" s="574" t="n"/>
    </row>
    <row r="140" customFormat="1" s="568">
      <c r="A140" s="86" t="n"/>
      <c r="B140" s="85" t="n"/>
      <c r="C140" s="84">
        <f>E140*D$5</f>
        <v/>
      </c>
      <c r="D140" s="68" t="n"/>
      <c r="E140" s="84">
        <f>SUM(G140:HT140)</f>
        <v/>
      </c>
      <c r="F140" s="568">
        <f>IFERROR(IF($E140&gt;0.0000005,$E140/SUMIF($E$11:$E$140,"&gt;0.0000005"),""),"")</f>
        <v/>
      </c>
      <c r="R140" s="574" t="n"/>
      <c r="S140" s="574" t="n"/>
      <c r="AE140" s="574" t="n"/>
      <c r="AF140" s="574" t="n"/>
      <c r="AG140" s="574" t="n"/>
      <c r="AH140" s="574" t="n"/>
      <c r="AI140" s="574" t="n"/>
      <c r="AJ140" s="574" t="n"/>
      <c r="AK140" s="574" t="n"/>
      <c r="AM140" s="574" t="n"/>
      <c r="AO140" s="574" t="n"/>
    </row>
    <row r="141" customFormat="1" s="568">
      <c r="A141" s="86" t="n"/>
      <c r="B141" s="85" t="n"/>
      <c r="C141" s="84">
        <f>E141*D$5</f>
        <v/>
      </c>
      <c r="D141" s="68" t="n"/>
      <c r="E141" s="84">
        <f>SUM(G141:HT141)</f>
        <v/>
      </c>
      <c r="R141" s="574" t="n"/>
      <c r="S141" s="574" t="n"/>
      <c r="AE141" s="574" t="n"/>
      <c r="AF141" s="574" t="n"/>
      <c r="AG141" s="574" t="n"/>
      <c r="AH141" s="574" t="n"/>
      <c r="AI141" s="574" t="n"/>
      <c r="AJ141" s="574" t="n"/>
      <c r="AK141" s="574" t="n"/>
      <c r="AM141" s="574" t="n"/>
      <c r="AO141" s="574" t="n"/>
    </row>
    <row r="142" customFormat="1" s="568">
      <c r="A142" s="86" t="n"/>
      <c r="B142" s="85" t="n"/>
      <c r="C142" s="84">
        <f>E142*D$5</f>
        <v/>
      </c>
      <c r="D142" s="68" t="n"/>
      <c r="E142" s="84">
        <f>SUM(G142:HT142)</f>
        <v/>
      </c>
      <c r="R142" s="574" t="n"/>
      <c r="S142" s="574" t="n"/>
      <c r="AE142" s="574" t="n"/>
      <c r="AF142" s="574" t="n"/>
      <c r="AG142" s="574" t="n"/>
      <c r="AH142" s="574" t="n"/>
      <c r="AI142" s="574" t="n"/>
      <c r="AJ142" s="574" t="n"/>
      <c r="AK142" s="574" t="n"/>
      <c r="AM142" s="574" t="n"/>
      <c r="AO142" s="574" t="n"/>
    </row>
    <row r="143" customFormat="1" s="568">
      <c r="A143" s="86" t="n"/>
      <c r="B143" s="85" t="n"/>
      <c r="C143" s="84">
        <f>E143*D$5</f>
        <v/>
      </c>
      <c r="D143" s="68" t="n"/>
      <c r="E143" s="84">
        <f>SUM(G143:HT143)</f>
        <v/>
      </c>
      <c r="R143" s="574" t="n"/>
      <c r="S143" s="574" t="n"/>
      <c r="AE143" s="574" t="n"/>
      <c r="AF143" s="574" t="n"/>
      <c r="AG143" s="574" t="n"/>
      <c r="AH143" s="574" t="n"/>
      <c r="AI143" s="574" t="n"/>
      <c r="AJ143" s="574" t="n"/>
      <c r="AK143" s="574" t="n"/>
      <c r="AM143" s="574" t="n"/>
      <c r="AO143" s="574" t="n"/>
    </row>
    <row r="144" customFormat="1" s="568">
      <c r="A144" s="86" t="n"/>
      <c r="B144" s="85" t="n"/>
      <c r="C144" s="84">
        <f>E144*D$5</f>
        <v/>
      </c>
      <c r="D144" s="68" t="n"/>
      <c r="E144" s="84">
        <f>SUM(G144:HT144)</f>
        <v/>
      </c>
      <c r="R144" s="574" t="n"/>
      <c r="S144" s="574" t="n"/>
      <c r="AE144" s="574" t="n"/>
      <c r="AF144" s="574" t="n"/>
      <c r="AG144" s="574" t="n"/>
      <c r="AH144" s="574" t="n"/>
      <c r="AI144" s="574" t="n"/>
      <c r="AJ144" s="574" t="n"/>
      <c r="AK144" s="574" t="n"/>
      <c r="AM144" s="574" t="n"/>
      <c r="AO144" s="574" t="n"/>
    </row>
    <row r="145" customFormat="1" s="568">
      <c r="A145" s="86" t="n"/>
      <c r="B145" s="85" t="n"/>
      <c r="C145" s="84">
        <f>E145*D$5</f>
        <v/>
      </c>
      <c r="D145" s="68" t="n"/>
      <c r="E145" s="84">
        <f>SUM(G145:HT145)</f>
        <v/>
      </c>
      <c r="R145" s="574" t="n"/>
      <c r="S145" s="574" t="n"/>
      <c r="AE145" s="574" t="n"/>
      <c r="AF145" s="574" t="n"/>
      <c r="AG145" s="574" t="n"/>
      <c r="AH145" s="574" t="n"/>
      <c r="AI145" s="574" t="n"/>
      <c r="AJ145" s="574" t="n"/>
      <c r="AK145" s="574" t="n"/>
      <c r="AM145" s="574" t="n"/>
      <c r="AO145" s="574" t="n"/>
    </row>
    <row r="146" customFormat="1" s="568">
      <c r="A146" s="86" t="n"/>
      <c r="B146" s="85" t="n"/>
      <c r="C146" s="84">
        <f>E146*D$5</f>
        <v/>
      </c>
      <c r="D146" s="68" t="n"/>
      <c r="E146" s="84">
        <f>SUM(G146:HT146)</f>
        <v/>
      </c>
      <c r="R146" s="574" t="n"/>
      <c r="S146" s="574" t="n"/>
      <c r="AE146" s="574" t="n"/>
      <c r="AF146" s="574" t="n"/>
      <c r="AG146" s="574" t="n"/>
      <c r="AH146" s="574" t="n"/>
      <c r="AI146" s="574" t="n"/>
      <c r="AJ146" s="574" t="n"/>
      <c r="AK146" s="574" t="n"/>
      <c r="AM146" s="574" t="n"/>
      <c r="AO146" s="574" t="n"/>
    </row>
    <row r="147" customFormat="1" s="568">
      <c r="A147" s="86" t="n"/>
      <c r="B147" s="85" t="n"/>
      <c r="C147" s="84">
        <f>E147*D$5</f>
        <v/>
      </c>
      <c r="D147" s="68" t="n"/>
      <c r="E147" s="84">
        <f>SUM(G147:HT147)</f>
        <v/>
      </c>
      <c r="R147" s="574" t="n"/>
      <c r="S147" s="574" t="n"/>
      <c r="AE147" s="574" t="n"/>
      <c r="AF147" s="574" t="n"/>
      <c r="AG147" s="574" t="n"/>
      <c r="AH147" s="574" t="n"/>
      <c r="AI147" s="574" t="n"/>
      <c r="AJ147" s="574" t="n"/>
      <c r="AK147" s="574" t="n"/>
      <c r="AM147" s="574" t="n"/>
      <c r="AO147" s="574" t="n"/>
    </row>
    <row r="148" customFormat="1" s="568">
      <c r="A148" s="86" t="n"/>
      <c r="B148" s="85" t="n"/>
      <c r="C148" s="84">
        <f>E148*D$5</f>
        <v/>
      </c>
      <c r="D148" s="68" t="n"/>
      <c r="E148" s="84">
        <f>SUM(G148:HT148)</f>
        <v/>
      </c>
      <c r="R148" s="574" t="n"/>
      <c r="S148" s="574" t="n"/>
      <c r="AE148" s="574" t="n"/>
      <c r="AF148" s="574" t="n"/>
      <c r="AG148" s="574" t="n"/>
      <c r="AH148" s="574" t="n"/>
      <c r="AI148" s="574" t="n"/>
      <c r="AJ148" s="574" t="n"/>
      <c r="AK148" s="574" t="n"/>
      <c r="AM148" s="574" t="n"/>
      <c r="AO148" s="574" t="n"/>
    </row>
    <row r="149" customFormat="1" s="568">
      <c r="A149" s="86" t="n"/>
      <c r="B149" s="85" t="n"/>
      <c r="C149" s="84">
        <f>E149*D$5</f>
        <v/>
      </c>
      <c r="D149" s="68" t="n"/>
      <c r="E149" s="84">
        <f>SUM(G149:HT149)</f>
        <v/>
      </c>
      <c r="R149" s="574" t="n"/>
      <c r="S149" s="574" t="n"/>
      <c r="AE149" s="574" t="n"/>
      <c r="AF149" s="574" t="n"/>
      <c r="AG149" s="574" t="n"/>
      <c r="AH149" s="574" t="n"/>
      <c r="AI149" s="574" t="n"/>
      <c r="AJ149" s="574" t="n"/>
      <c r="AK149" s="574" t="n"/>
      <c r="AM149" s="574" t="n"/>
      <c r="AO149" s="574" t="n"/>
    </row>
    <row r="150" customFormat="1" s="568">
      <c r="A150" s="86" t="n"/>
      <c r="B150" s="85" t="n"/>
      <c r="C150" s="84">
        <f>E150*D$5</f>
        <v/>
      </c>
      <c r="D150" s="68" t="n"/>
      <c r="E150" s="84">
        <f>SUM(G150:HT150)</f>
        <v/>
      </c>
      <c r="R150" s="574" t="n"/>
      <c r="S150" s="574" t="n"/>
      <c r="AE150" s="574" t="n"/>
      <c r="AF150" s="574" t="n"/>
      <c r="AG150" s="574" t="n"/>
      <c r="AH150" s="574" t="n"/>
      <c r="AI150" s="574" t="n"/>
      <c r="AJ150" s="574" t="n"/>
      <c r="AK150" s="574" t="n"/>
      <c r="AM150" s="574" t="n"/>
      <c r="AO150" s="574" t="n"/>
    </row>
    <row r="151" customFormat="1" s="568">
      <c r="A151" s="86" t="n"/>
      <c r="B151" s="85" t="n"/>
      <c r="C151" s="84">
        <f>E151*D$5</f>
        <v/>
      </c>
      <c r="D151" s="68" t="n"/>
      <c r="E151" s="84">
        <f>SUM(G151:HT151)</f>
        <v/>
      </c>
      <c r="R151" s="574" t="n"/>
      <c r="S151" s="574" t="n"/>
      <c r="AE151" s="574" t="n"/>
      <c r="AF151" s="574" t="n"/>
      <c r="AG151" s="574" t="n"/>
      <c r="AH151" s="574" t="n"/>
      <c r="AI151" s="574" t="n"/>
      <c r="AJ151" s="574" t="n"/>
      <c r="AK151" s="574" t="n"/>
      <c r="AM151" s="574" t="n"/>
      <c r="AO151" s="574" t="n"/>
    </row>
    <row r="152" customFormat="1" s="568">
      <c r="A152" s="86" t="n"/>
      <c r="B152" s="85" t="n"/>
      <c r="C152" s="84">
        <f>E152*D$5</f>
        <v/>
      </c>
      <c r="D152" s="68" t="n"/>
      <c r="E152" s="84">
        <f>SUM(G152:HT152)</f>
        <v/>
      </c>
      <c r="R152" s="574" t="n"/>
      <c r="S152" s="574" t="n"/>
      <c r="AE152" s="574" t="n"/>
      <c r="AF152" s="574" t="n"/>
      <c r="AG152" s="574" t="n"/>
      <c r="AH152" s="574" t="n"/>
      <c r="AI152" s="574" t="n"/>
      <c r="AJ152" s="574" t="n"/>
      <c r="AK152" s="574" t="n"/>
      <c r="AM152" s="574" t="n"/>
      <c r="AO152" s="574" t="n"/>
    </row>
    <row r="153" customFormat="1" s="568">
      <c r="A153" s="86" t="n"/>
      <c r="B153" s="85" t="n"/>
      <c r="C153" s="84">
        <f>E153*D$5</f>
        <v/>
      </c>
      <c r="D153" s="68" t="n"/>
      <c r="E153" s="84">
        <f>SUM(G153:HT153)</f>
        <v/>
      </c>
      <c r="R153" s="574" t="n"/>
      <c r="S153" s="574" t="n"/>
      <c r="AE153" s="574" t="n"/>
      <c r="AF153" s="574" t="n"/>
      <c r="AG153" s="574" t="n"/>
      <c r="AH153" s="574" t="n"/>
      <c r="AI153" s="574" t="n"/>
      <c r="AJ153" s="574" t="n"/>
      <c r="AK153" s="574" t="n"/>
      <c r="AM153" s="574" t="n"/>
      <c r="AO153" s="574" t="n"/>
    </row>
    <row r="154" customFormat="1" s="568">
      <c r="A154" s="86" t="n"/>
      <c r="B154" s="85" t="n"/>
      <c r="C154" s="84">
        <f>E154*D$5</f>
        <v/>
      </c>
      <c r="D154" s="68" t="n"/>
      <c r="E154" s="84">
        <f>SUM(G154:HT154)</f>
        <v/>
      </c>
      <c r="R154" s="574" t="n"/>
      <c r="S154" s="574" t="n"/>
      <c r="AE154" s="574" t="n"/>
      <c r="AF154" s="574" t="n"/>
      <c r="AG154" s="574" t="n"/>
      <c r="AH154" s="574" t="n"/>
      <c r="AI154" s="574" t="n"/>
      <c r="AJ154" s="574" t="n"/>
      <c r="AK154" s="574" t="n"/>
      <c r="AM154" s="574" t="n"/>
      <c r="AO154" s="574" t="n"/>
    </row>
    <row r="155" customFormat="1" s="568">
      <c r="A155" s="86" t="n"/>
      <c r="B155" s="85" t="n"/>
      <c r="C155" s="84">
        <f>E155*D$5</f>
        <v/>
      </c>
      <c r="D155" s="68" t="n"/>
      <c r="E155" s="84">
        <f>SUM(G155:HT155)</f>
        <v/>
      </c>
      <c r="R155" s="574" t="n"/>
      <c r="S155" s="574" t="n"/>
      <c r="AE155" s="574" t="n"/>
      <c r="AF155" s="574" t="n"/>
      <c r="AG155" s="574" t="n"/>
      <c r="AH155" s="574" t="n"/>
      <c r="AI155" s="574" t="n"/>
      <c r="AJ155" s="574" t="n"/>
      <c r="AK155" s="574" t="n"/>
      <c r="AM155" s="574" t="n"/>
      <c r="AO155" s="574" t="n"/>
    </row>
    <row r="156" customFormat="1" s="568">
      <c r="A156" s="86" t="n"/>
      <c r="B156" s="85" t="n"/>
      <c r="C156" s="84">
        <f>E156*D$5</f>
        <v/>
      </c>
      <c r="D156" s="68" t="n"/>
      <c r="E156" s="84">
        <f>SUM(G156:HT156)</f>
        <v/>
      </c>
      <c r="R156" s="574" t="n"/>
      <c r="S156" s="574" t="n"/>
      <c r="AE156" s="574" t="n"/>
      <c r="AF156" s="574" t="n"/>
      <c r="AG156" s="574" t="n"/>
      <c r="AH156" s="574" t="n"/>
      <c r="AI156" s="574" t="n"/>
      <c r="AJ156" s="574" t="n"/>
      <c r="AK156" s="574" t="n"/>
      <c r="AM156" s="574" t="n"/>
      <c r="AO156" s="574" t="n"/>
    </row>
    <row r="157" customFormat="1" s="568">
      <c r="A157" s="86" t="n"/>
      <c r="B157" s="85" t="n"/>
      <c r="C157" s="84">
        <f>E157*D$5</f>
        <v/>
      </c>
      <c r="D157" s="68" t="n"/>
      <c r="E157" s="84">
        <f>SUM(G157:HT157)</f>
        <v/>
      </c>
      <c r="R157" s="574" t="n"/>
      <c r="S157" s="574" t="n"/>
      <c r="AE157" s="574" t="n"/>
      <c r="AF157" s="574" t="n"/>
      <c r="AG157" s="574" t="n"/>
      <c r="AH157" s="574" t="n"/>
      <c r="AI157" s="574" t="n"/>
      <c r="AJ157" s="574" t="n"/>
      <c r="AK157" s="574" t="n"/>
      <c r="AM157" s="574" t="n"/>
      <c r="AO157" s="574" t="n"/>
    </row>
    <row r="158" customFormat="1" s="568">
      <c r="A158" s="86" t="n"/>
      <c r="B158" s="85" t="n"/>
      <c r="C158" s="84">
        <f>E158*D$5</f>
        <v/>
      </c>
      <c r="D158" s="68" t="n"/>
      <c r="E158" s="84">
        <f>SUM(G158:HT158)</f>
        <v/>
      </c>
      <c r="R158" s="574" t="n"/>
      <c r="S158" s="574" t="n"/>
      <c r="AE158" s="574" t="n"/>
      <c r="AF158" s="574" t="n"/>
      <c r="AG158" s="574" t="n"/>
      <c r="AH158" s="574" t="n"/>
      <c r="AI158" s="574" t="n"/>
      <c r="AJ158" s="574" t="n"/>
      <c r="AK158" s="574" t="n"/>
      <c r="AM158" s="574" t="n"/>
      <c r="AO158" s="574" t="n"/>
    </row>
    <row r="159" customFormat="1" s="568">
      <c r="A159" s="86" t="n"/>
      <c r="B159" s="85" t="n"/>
      <c r="C159" s="84">
        <f>E159*D$5</f>
        <v/>
      </c>
      <c r="D159" s="68" t="n"/>
      <c r="E159" s="84">
        <f>SUM(G159:HT159)</f>
        <v/>
      </c>
      <c r="R159" s="574" t="n"/>
      <c r="S159" s="574" t="n"/>
      <c r="AE159" s="574" t="n"/>
      <c r="AF159" s="574" t="n"/>
      <c r="AG159" s="574" t="n"/>
      <c r="AH159" s="574" t="n"/>
      <c r="AI159" s="574" t="n"/>
      <c r="AJ159" s="574" t="n"/>
      <c r="AK159" s="574" t="n"/>
      <c r="AM159" s="574" t="n"/>
      <c r="AO159" s="574" t="n"/>
    </row>
    <row r="160" customFormat="1" s="568">
      <c r="A160" s="86" t="n"/>
      <c r="B160" s="85" t="n"/>
      <c r="C160" s="84">
        <f>E160*D$5</f>
        <v/>
      </c>
      <c r="D160" s="68" t="n"/>
      <c r="E160" s="84">
        <f>SUM(G160:HT160)</f>
        <v/>
      </c>
      <c r="R160" s="574" t="n"/>
      <c r="S160" s="574" t="n"/>
      <c r="AE160" s="574" t="n"/>
      <c r="AF160" s="574" t="n"/>
      <c r="AG160" s="574" t="n"/>
      <c r="AH160" s="574" t="n"/>
      <c r="AI160" s="574" t="n"/>
      <c r="AJ160" s="574" t="n"/>
      <c r="AK160" s="574" t="n"/>
      <c r="AM160" s="574" t="n"/>
      <c r="AO160" s="574" t="n"/>
    </row>
    <row r="161" customFormat="1" s="568">
      <c r="A161" s="86" t="n"/>
      <c r="B161" s="85" t="n"/>
      <c r="C161" s="84">
        <f>E161*D$5</f>
        <v/>
      </c>
      <c r="D161" s="68" t="n"/>
      <c r="E161" s="84">
        <f>SUM(G161:HT161)</f>
        <v/>
      </c>
      <c r="R161" s="574" t="n"/>
      <c r="S161" s="574" t="n"/>
      <c r="AE161" s="574" t="n"/>
      <c r="AF161" s="574" t="n"/>
      <c r="AG161" s="574" t="n"/>
      <c r="AH161" s="574" t="n"/>
      <c r="AI161" s="574" t="n"/>
      <c r="AJ161" s="574" t="n"/>
      <c r="AK161" s="574" t="n"/>
      <c r="AM161" s="574" t="n"/>
      <c r="AO161" s="574" t="n"/>
    </row>
    <row r="162" customFormat="1" s="568">
      <c r="A162" s="86" t="n"/>
      <c r="B162" s="85" t="n"/>
      <c r="C162" s="84">
        <f>E162*D$5</f>
        <v/>
      </c>
      <c r="D162" s="68" t="n"/>
      <c r="E162" s="84">
        <f>SUM(G162:HT162)</f>
        <v/>
      </c>
      <c r="R162" s="574" t="n"/>
      <c r="S162" s="574" t="n"/>
      <c r="AE162" s="574" t="n"/>
      <c r="AF162" s="574" t="n"/>
      <c r="AG162" s="574" t="n"/>
      <c r="AH162" s="574" t="n"/>
      <c r="AI162" s="574" t="n"/>
      <c r="AJ162" s="574" t="n"/>
      <c r="AK162" s="574" t="n"/>
      <c r="AM162" s="574" t="n"/>
      <c r="AO162" s="574" t="n"/>
    </row>
    <row r="163" customFormat="1" s="568">
      <c r="A163" s="86" t="n"/>
      <c r="B163" s="85" t="n"/>
      <c r="C163" s="84">
        <f>E163*D$5</f>
        <v/>
      </c>
      <c r="D163" s="68" t="n"/>
      <c r="E163" s="84">
        <f>SUM(G163:HT163)</f>
        <v/>
      </c>
      <c r="R163" s="574" t="n"/>
      <c r="S163" s="574" t="n"/>
      <c r="AE163" s="574" t="n"/>
      <c r="AF163" s="574" t="n"/>
      <c r="AG163" s="574" t="n"/>
      <c r="AH163" s="574" t="n"/>
      <c r="AI163" s="574" t="n"/>
      <c r="AJ163" s="574" t="n"/>
      <c r="AK163" s="574" t="n"/>
      <c r="AM163" s="574" t="n"/>
      <c r="AO163" s="574" t="n"/>
    </row>
    <row r="164" customFormat="1" s="568">
      <c r="A164" s="86" t="n"/>
      <c r="B164" s="85" t="n"/>
      <c r="C164" s="84">
        <f>E164*D$5</f>
        <v/>
      </c>
      <c r="D164" s="68" t="n"/>
      <c r="E164" s="84">
        <f>SUM(G164:HT164)</f>
        <v/>
      </c>
      <c r="R164" s="574" t="n"/>
      <c r="S164" s="574" t="n"/>
      <c r="AE164" s="574" t="n"/>
      <c r="AF164" s="574" t="n"/>
      <c r="AG164" s="574" t="n"/>
      <c r="AH164" s="574" t="n"/>
      <c r="AI164" s="574" t="n"/>
      <c r="AJ164" s="574" t="n"/>
      <c r="AK164" s="574" t="n"/>
      <c r="AM164" s="574" t="n"/>
      <c r="AO164" s="574" t="n"/>
    </row>
    <row r="165" customFormat="1" s="568">
      <c r="A165" s="86" t="n"/>
      <c r="B165" s="85" t="n"/>
      <c r="C165" s="84">
        <f>E165*D$5</f>
        <v/>
      </c>
      <c r="D165" s="68" t="n"/>
      <c r="E165" s="84">
        <f>SUM(G165:HT165)</f>
        <v/>
      </c>
      <c r="R165" s="574" t="n"/>
      <c r="S165" s="574" t="n"/>
      <c r="AE165" s="574" t="n"/>
      <c r="AF165" s="574" t="n"/>
      <c r="AG165" s="574" t="n"/>
      <c r="AH165" s="574" t="n"/>
      <c r="AI165" s="574" t="n"/>
      <c r="AJ165" s="574" t="n"/>
      <c r="AK165" s="574" t="n"/>
      <c r="AM165" s="574" t="n"/>
      <c r="AO165" s="574" t="n"/>
    </row>
    <row r="166" customFormat="1" s="568">
      <c r="A166" s="86" t="n"/>
      <c r="B166" s="85" t="n"/>
      <c r="C166" s="84">
        <f>E166*D$5</f>
        <v/>
      </c>
      <c r="D166" s="68" t="n"/>
      <c r="E166" s="84">
        <f>SUM(G166:HT166)</f>
        <v/>
      </c>
      <c r="R166" s="574" t="n"/>
      <c r="S166" s="574" t="n"/>
      <c r="AE166" s="574" t="n"/>
      <c r="AF166" s="574" t="n"/>
      <c r="AG166" s="574" t="n"/>
      <c r="AH166" s="574" t="n"/>
      <c r="AI166" s="574" t="n"/>
      <c r="AJ166" s="574" t="n"/>
      <c r="AK166" s="574" t="n"/>
      <c r="AM166" s="574" t="n"/>
      <c r="AO166" s="574" t="n"/>
    </row>
    <row r="167" customFormat="1" s="568">
      <c r="A167" s="86" t="n"/>
      <c r="B167" s="85" t="n"/>
      <c r="C167" s="84">
        <f>E167*D$5</f>
        <v/>
      </c>
      <c r="D167" s="68" t="n"/>
      <c r="E167" s="84">
        <f>SUM(G167:HT167)</f>
        <v/>
      </c>
      <c r="R167" s="574" t="n"/>
      <c r="S167" s="574" t="n"/>
      <c r="AE167" s="574" t="n"/>
      <c r="AF167" s="574" t="n"/>
      <c r="AG167" s="574" t="n"/>
      <c r="AH167" s="574" t="n"/>
      <c r="AI167" s="574" t="n"/>
      <c r="AJ167" s="574" t="n"/>
      <c r="AK167" s="574" t="n"/>
      <c r="AM167" s="574" t="n"/>
      <c r="AO167" s="574" t="n"/>
    </row>
    <row r="168" customFormat="1" s="568">
      <c r="A168" s="86" t="n"/>
      <c r="B168" s="85" t="n"/>
      <c r="C168" s="84">
        <f>E168*D$5</f>
        <v/>
      </c>
      <c r="D168" s="68" t="n"/>
      <c r="E168" s="84">
        <f>SUM(G168:HT168)</f>
        <v/>
      </c>
      <c r="R168" s="574" t="n"/>
      <c r="S168" s="574" t="n"/>
      <c r="AE168" s="574" t="n"/>
      <c r="AF168" s="574" t="n"/>
      <c r="AG168" s="574" t="n"/>
      <c r="AH168" s="574" t="n"/>
      <c r="AI168" s="574" t="n"/>
      <c r="AJ168" s="574" t="n"/>
      <c r="AK168" s="574" t="n"/>
      <c r="AM168" s="574" t="n"/>
      <c r="AO168" s="574" t="n"/>
    </row>
    <row r="169" customFormat="1" s="568">
      <c r="A169" s="86" t="n"/>
      <c r="B169" s="85" t="n"/>
      <c r="C169" s="84">
        <f>E169*D$5</f>
        <v/>
      </c>
      <c r="D169" s="68" t="n"/>
      <c r="E169" s="84">
        <f>SUM(G169:HT169)</f>
        <v/>
      </c>
      <c r="R169" s="574" t="n"/>
      <c r="S169" s="574" t="n"/>
      <c r="AE169" s="574" t="n"/>
      <c r="AF169" s="574" t="n"/>
      <c r="AG169" s="574" t="n"/>
      <c r="AH169" s="574" t="n"/>
      <c r="AI169" s="574" t="n"/>
      <c r="AJ169" s="574" t="n"/>
      <c r="AK169" s="574" t="n"/>
      <c r="AM169" s="574" t="n"/>
      <c r="AO169" s="574" t="n"/>
    </row>
    <row r="170" customFormat="1" s="568">
      <c r="A170" s="86" t="n"/>
      <c r="B170" s="85" t="n"/>
      <c r="C170" s="84">
        <f>E170*D$5</f>
        <v/>
      </c>
      <c r="D170" s="68" t="n"/>
      <c r="E170" s="84">
        <f>SUM(G170:HT170)</f>
        <v/>
      </c>
      <c r="R170" s="574" t="n"/>
      <c r="S170" s="574" t="n"/>
      <c r="AE170" s="574" t="n"/>
      <c r="AF170" s="574" t="n"/>
      <c r="AG170" s="574" t="n"/>
      <c r="AH170" s="574" t="n"/>
      <c r="AI170" s="574" t="n"/>
      <c r="AJ170" s="574" t="n"/>
      <c r="AK170" s="574" t="n"/>
      <c r="AM170" s="574" t="n"/>
      <c r="AO170" s="574" t="n"/>
    </row>
    <row r="171" customFormat="1" s="568">
      <c r="A171" s="86" t="n"/>
      <c r="B171" s="85" t="n"/>
      <c r="C171" s="84">
        <f>E171*D$5</f>
        <v/>
      </c>
      <c r="D171" s="68" t="n"/>
      <c r="E171" s="84">
        <f>SUM(G171:HT171)</f>
        <v/>
      </c>
      <c r="R171" s="574" t="n"/>
      <c r="S171" s="574" t="n"/>
      <c r="AE171" s="574" t="n"/>
      <c r="AF171" s="574" t="n"/>
      <c r="AG171" s="574" t="n"/>
      <c r="AH171" s="574" t="n"/>
      <c r="AI171" s="574" t="n"/>
      <c r="AJ171" s="574" t="n"/>
      <c r="AK171" s="574" t="n"/>
      <c r="AM171" s="574" t="n"/>
      <c r="AO171" s="574" t="n"/>
    </row>
    <row r="172" customFormat="1" s="568">
      <c r="A172" s="86" t="n"/>
      <c r="B172" s="85" t="n"/>
      <c r="C172" s="84">
        <f>E172*D$5</f>
        <v/>
      </c>
      <c r="D172" s="68" t="n"/>
      <c r="E172" s="84">
        <f>SUM(G172:HT172)</f>
        <v/>
      </c>
      <c r="R172" s="574" t="n"/>
      <c r="S172" s="574" t="n"/>
      <c r="AE172" s="574" t="n"/>
      <c r="AF172" s="574" t="n"/>
      <c r="AG172" s="574" t="n"/>
      <c r="AH172" s="574" t="n"/>
      <c r="AI172" s="574" t="n"/>
      <c r="AJ172" s="574" t="n"/>
      <c r="AK172" s="574" t="n"/>
      <c r="AM172" s="574" t="n"/>
      <c r="AO172" s="574" t="n"/>
    </row>
    <row r="173" customFormat="1" s="568">
      <c r="A173" s="86" t="n"/>
      <c r="B173" s="85" t="n"/>
      <c r="C173" s="84">
        <f>E173*D$5</f>
        <v/>
      </c>
      <c r="D173" s="68" t="n"/>
      <c r="E173" s="84">
        <f>SUM(G173:HT173)</f>
        <v/>
      </c>
      <c r="R173" s="574" t="n"/>
      <c r="S173" s="574" t="n"/>
      <c r="AE173" s="574" t="n"/>
      <c r="AF173" s="574" t="n"/>
      <c r="AG173" s="574" t="n"/>
      <c r="AH173" s="574" t="n"/>
      <c r="AI173" s="574" t="n"/>
      <c r="AJ173" s="574" t="n"/>
      <c r="AK173" s="574" t="n"/>
      <c r="AM173" s="574" t="n"/>
      <c r="AO173" s="574" t="n"/>
    </row>
    <row r="174" customFormat="1" s="568">
      <c r="A174" s="86" t="n"/>
      <c r="B174" s="85" t="n"/>
      <c r="C174" s="84">
        <f>E174*D$5</f>
        <v/>
      </c>
      <c r="D174" s="68" t="n"/>
      <c r="E174" s="84">
        <f>SUM(G174:HT174)</f>
        <v/>
      </c>
      <c r="R174" s="574" t="n"/>
      <c r="S174" s="574" t="n"/>
      <c r="AE174" s="574" t="n"/>
      <c r="AF174" s="574" t="n"/>
      <c r="AG174" s="574" t="n"/>
      <c r="AH174" s="574" t="n"/>
      <c r="AI174" s="574" t="n"/>
      <c r="AJ174" s="574" t="n"/>
      <c r="AK174" s="574" t="n"/>
      <c r="AM174" s="574" t="n"/>
      <c r="AO174" s="574" t="n"/>
    </row>
    <row r="175" customFormat="1" s="568">
      <c r="A175" s="86" t="n"/>
      <c r="B175" s="85" t="n"/>
      <c r="C175" s="84">
        <f>E175*D$5</f>
        <v/>
      </c>
      <c r="D175" s="68" t="n"/>
      <c r="E175" s="84">
        <f>SUM(G175:HT175)</f>
        <v/>
      </c>
      <c r="R175" s="574" t="n"/>
      <c r="S175" s="574" t="n"/>
      <c r="AE175" s="574" t="n"/>
      <c r="AF175" s="574" t="n"/>
      <c r="AG175" s="574" t="n"/>
      <c r="AH175" s="574" t="n"/>
      <c r="AI175" s="574" t="n"/>
      <c r="AJ175" s="574" t="n"/>
      <c r="AK175" s="574" t="n"/>
      <c r="AM175" s="574" t="n"/>
      <c r="AO175" s="574" t="n"/>
    </row>
    <row r="176" customFormat="1" s="568">
      <c r="A176" s="86" t="n"/>
      <c r="B176" s="85" t="n"/>
      <c r="C176" s="84">
        <f>E176*D$5</f>
        <v/>
      </c>
      <c r="D176" s="68" t="n"/>
      <c r="E176" s="84">
        <f>SUM(G176:HT176)</f>
        <v/>
      </c>
      <c r="R176" s="574" t="n"/>
      <c r="S176" s="574" t="n"/>
      <c r="AE176" s="574" t="n"/>
      <c r="AF176" s="574" t="n"/>
      <c r="AG176" s="574" t="n"/>
      <c r="AH176" s="574" t="n"/>
      <c r="AI176" s="574" t="n"/>
      <c r="AJ176" s="574" t="n"/>
      <c r="AK176" s="574" t="n"/>
      <c r="AM176" s="574" t="n"/>
      <c r="AO176" s="574" t="n"/>
    </row>
    <row r="177" customFormat="1" s="568">
      <c r="A177" s="86" t="n"/>
      <c r="B177" s="85" t="n"/>
      <c r="C177" s="84">
        <f>E177*D$5</f>
        <v/>
      </c>
      <c r="D177" s="68" t="n"/>
      <c r="E177" s="84">
        <f>SUM(G177:HT177)</f>
        <v/>
      </c>
      <c r="R177" s="574" t="n"/>
      <c r="S177" s="574" t="n"/>
      <c r="AE177" s="574" t="n"/>
      <c r="AF177" s="574" t="n"/>
      <c r="AG177" s="574" t="n"/>
      <c r="AH177" s="574" t="n"/>
      <c r="AI177" s="574" t="n"/>
      <c r="AJ177" s="574" t="n"/>
      <c r="AK177" s="574" t="n"/>
      <c r="AM177" s="574" t="n"/>
      <c r="AO177" s="574" t="n"/>
    </row>
    <row r="178" customFormat="1" s="568">
      <c r="A178" s="86" t="n"/>
      <c r="B178" s="85" t="n"/>
      <c r="C178" s="84">
        <f>E178*D$5</f>
        <v/>
      </c>
      <c r="D178" s="68" t="n"/>
      <c r="E178" s="84">
        <f>SUM(G178:HT178)</f>
        <v/>
      </c>
      <c r="R178" s="574" t="n"/>
      <c r="S178" s="574" t="n"/>
      <c r="AE178" s="574" t="n"/>
      <c r="AF178" s="574" t="n"/>
      <c r="AG178" s="574" t="n"/>
      <c r="AH178" s="574" t="n"/>
      <c r="AI178" s="574" t="n"/>
      <c r="AJ178" s="574" t="n"/>
      <c r="AK178" s="574" t="n"/>
      <c r="AM178" s="574" t="n"/>
      <c r="AO178" s="574" t="n"/>
    </row>
    <row r="179" customFormat="1" s="568">
      <c r="A179" s="86" t="n"/>
      <c r="B179" s="85" t="n"/>
      <c r="C179" s="84">
        <f>E179*D$5</f>
        <v/>
      </c>
      <c r="D179" s="68" t="n"/>
      <c r="E179" s="84">
        <f>SUM(G179:HT179)</f>
        <v/>
      </c>
      <c r="R179" s="574" t="n"/>
      <c r="S179" s="574" t="n"/>
      <c r="AE179" s="574" t="n"/>
      <c r="AF179" s="574" t="n"/>
      <c r="AG179" s="574" t="n"/>
      <c r="AH179" s="574" t="n"/>
      <c r="AI179" s="574" t="n"/>
      <c r="AJ179" s="574" t="n"/>
      <c r="AK179" s="574" t="n"/>
      <c r="AM179" s="574" t="n"/>
      <c r="AO179" s="574" t="n"/>
    </row>
    <row r="180" customFormat="1" s="568">
      <c r="A180" s="86" t="n"/>
      <c r="B180" s="85" t="n"/>
      <c r="C180" s="84">
        <f>E180*D$5</f>
        <v/>
      </c>
      <c r="D180" s="68" t="n"/>
      <c r="E180" s="84">
        <f>SUM(G180:HT180)</f>
        <v/>
      </c>
      <c r="R180" s="574" t="n"/>
      <c r="S180" s="574" t="n"/>
      <c r="AE180" s="574" t="n"/>
      <c r="AF180" s="574" t="n"/>
      <c r="AG180" s="574" t="n"/>
      <c r="AH180" s="574" t="n"/>
      <c r="AI180" s="574" t="n"/>
      <c r="AJ180" s="574" t="n"/>
      <c r="AK180" s="574" t="n"/>
      <c r="AM180" s="574" t="n"/>
      <c r="AO180" s="574" t="n"/>
    </row>
    <row r="181" customFormat="1" s="568">
      <c r="A181" s="86" t="n"/>
      <c r="B181" s="85" t="n"/>
      <c r="C181" s="84">
        <f>E181*D$5</f>
        <v/>
      </c>
      <c r="D181" s="68" t="n"/>
      <c r="E181" s="84">
        <f>SUM(G181:HT181)</f>
        <v/>
      </c>
      <c r="R181" s="574" t="n"/>
      <c r="S181" s="574" t="n"/>
      <c r="AE181" s="574" t="n"/>
      <c r="AF181" s="574" t="n"/>
      <c r="AG181" s="574" t="n"/>
      <c r="AH181" s="574" t="n"/>
      <c r="AI181" s="574" t="n"/>
      <c r="AJ181" s="574" t="n"/>
      <c r="AK181" s="574" t="n"/>
      <c r="AM181" s="574" t="n"/>
      <c r="AO181" s="574" t="n"/>
    </row>
    <row r="182" customFormat="1" s="568">
      <c r="A182" s="86" t="n"/>
      <c r="B182" s="85" t="n"/>
      <c r="C182" s="84">
        <f>E182*D$5</f>
        <v/>
      </c>
      <c r="D182" s="68" t="n"/>
      <c r="E182" s="84">
        <f>SUM(G182:HT182)</f>
        <v/>
      </c>
      <c r="R182" s="574" t="n"/>
      <c r="S182" s="574" t="n"/>
      <c r="AE182" s="574" t="n"/>
      <c r="AF182" s="574" t="n"/>
      <c r="AG182" s="574" t="n"/>
      <c r="AH182" s="574" t="n"/>
      <c r="AI182" s="574" t="n"/>
      <c r="AJ182" s="574" t="n"/>
      <c r="AK182" s="574" t="n"/>
      <c r="AM182" s="574" t="n"/>
      <c r="AO182" s="574" t="n"/>
    </row>
    <row r="183" customFormat="1" s="568">
      <c r="A183" s="86" t="n"/>
      <c r="B183" s="85" t="n"/>
      <c r="C183" s="84">
        <f>E183*D$5</f>
        <v/>
      </c>
      <c r="D183" s="68" t="n"/>
      <c r="E183" s="84">
        <f>SUM(G183:HT183)</f>
        <v/>
      </c>
      <c r="R183" s="574" t="n"/>
      <c r="S183" s="574" t="n"/>
      <c r="AE183" s="574" t="n"/>
      <c r="AF183" s="574" t="n"/>
      <c r="AG183" s="574" t="n"/>
      <c r="AH183" s="574" t="n"/>
      <c r="AI183" s="574" t="n"/>
      <c r="AJ183" s="574" t="n"/>
      <c r="AK183" s="574" t="n"/>
      <c r="AM183" s="574" t="n"/>
      <c r="AO183" s="574" t="n"/>
    </row>
    <row r="184" customFormat="1" s="568">
      <c r="A184" s="86" t="n"/>
      <c r="B184" s="85" t="n"/>
      <c r="C184" s="84">
        <f>E184*D$5</f>
        <v/>
      </c>
      <c r="D184" s="68" t="n"/>
      <c r="E184" s="84">
        <f>SUM(G184:HT184)</f>
        <v/>
      </c>
      <c r="R184" s="574" t="n"/>
      <c r="S184" s="574" t="n"/>
      <c r="AE184" s="574" t="n"/>
      <c r="AF184" s="574" t="n"/>
      <c r="AG184" s="574" t="n"/>
      <c r="AH184" s="574" t="n"/>
      <c r="AI184" s="574" t="n"/>
      <c r="AJ184" s="574" t="n"/>
      <c r="AK184" s="574" t="n"/>
      <c r="AM184" s="574" t="n"/>
      <c r="AO184" s="574" t="n"/>
    </row>
    <row r="185" customFormat="1" s="568">
      <c r="A185" s="86" t="n"/>
      <c r="B185" s="85" t="n"/>
      <c r="C185" s="84">
        <f>E185*D$5</f>
        <v/>
      </c>
      <c r="D185" s="68" t="n"/>
      <c r="E185" s="84">
        <f>SUM(G185:HT185)</f>
        <v/>
      </c>
      <c r="R185" s="574" t="n"/>
      <c r="S185" s="574" t="n"/>
      <c r="AE185" s="574" t="n"/>
      <c r="AF185" s="574" t="n"/>
      <c r="AG185" s="574" t="n"/>
      <c r="AH185" s="574" t="n"/>
      <c r="AI185" s="574" t="n"/>
      <c r="AJ185" s="574" t="n"/>
      <c r="AK185" s="574" t="n"/>
      <c r="AM185" s="574" t="n"/>
      <c r="AO185" s="574" t="n"/>
    </row>
    <row r="186" customFormat="1" s="568">
      <c r="A186" s="86" t="n"/>
      <c r="B186" s="85" t="n"/>
      <c r="C186" s="84">
        <f>E186*D$5</f>
        <v/>
      </c>
      <c r="D186" s="68" t="n"/>
      <c r="E186" s="84">
        <f>SUM(G186:HT186)</f>
        <v/>
      </c>
      <c r="R186" s="574" t="n"/>
      <c r="S186" s="574" t="n"/>
      <c r="AE186" s="574" t="n"/>
      <c r="AF186" s="574" t="n"/>
      <c r="AG186" s="574" t="n"/>
      <c r="AH186" s="574" t="n"/>
      <c r="AI186" s="574" t="n"/>
      <c r="AJ186" s="574" t="n"/>
      <c r="AK186" s="574" t="n"/>
      <c r="AM186" s="574" t="n"/>
      <c r="AO186" s="574" t="n"/>
    </row>
    <row r="187" customFormat="1" s="568">
      <c r="A187" s="86" t="n"/>
      <c r="B187" s="85" t="n"/>
      <c r="C187" s="84">
        <f>E187*D$5</f>
        <v/>
      </c>
      <c r="D187" s="68" t="n"/>
      <c r="E187" s="84">
        <f>SUM(G187:HT187)</f>
        <v/>
      </c>
      <c r="R187" s="574" t="n"/>
      <c r="S187" s="574" t="n"/>
      <c r="AE187" s="574" t="n"/>
      <c r="AF187" s="574" t="n"/>
      <c r="AG187" s="574" t="n"/>
      <c r="AH187" s="574" t="n"/>
      <c r="AI187" s="574" t="n"/>
      <c r="AJ187" s="574" t="n"/>
      <c r="AK187" s="574" t="n"/>
      <c r="AM187" s="574" t="n"/>
      <c r="AO187" s="574" t="n"/>
    </row>
    <row r="188" customFormat="1" s="568">
      <c r="A188" s="86" t="n"/>
      <c r="B188" s="85" t="n"/>
      <c r="C188" s="84">
        <f>E188*D$5</f>
        <v/>
      </c>
      <c r="D188" s="68" t="n"/>
      <c r="E188" s="84">
        <f>SUM(G188:HT188)</f>
        <v/>
      </c>
      <c r="R188" s="574" t="n"/>
      <c r="S188" s="574" t="n"/>
      <c r="AE188" s="574" t="n"/>
      <c r="AF188" s="574" t="n"/>
      <c r="AG188" s="574" t="n"/>
      <c r="AH188" s="574" t="n"/>
      <c r="AI188" s="574" t="n"/>
      <c r="AJ188" s="574" t="n"/>
      <c r="AK188" s="574" t="n"/>
      <c r="AM188" s="574" t="n"/>
      <c r="AO188" s="574" t="n"/>
    </row>
    <row r="189" customFormat="1" s="568">
      <c r="A189" s="86" t="n"/>
      <c r="B189" s="85" t="n"/>
      <c r="C189" s="84">
        <f>E189*D$5</f>
        <v/>
      </c>
      <c r="D189" s="68" t="n"/>
      <c r="E189" s="84">
        <f>SUM(G189:HT189)</f>
        <v/>
      </c>
      <c r="R189" s="574" t="n"/>
      <c r="S189" s="574" t="n"/>
      <c r="AE189" s="574" t="n"/>
      <c r="AF189" s="574" t="n"/>
      <c r="AG189" s="574" t="n"/>
      <c r="AH189" s="574" t="n"/>
      <c r="AI189" s="574" t="n"/>
      <c r="AJ189" s="574" t="n"/>
      <c r="AK189" s="574" t="n"/>
      <c r="AM189" s="574" t="n"/>
      <c r="AO189" s="574" t="n"/>
    </row>
    <row r="190" customFormat="1" s="568">
      <c r="A190" s="86" t="n"/>
      <c r="B190" s="85" t="n"/>
      <c r="C190" s="84">
        <f>E190*D$5</f>
        <v/>
      </c>
      <c r="D190" s="68" t="n"/>
      <c r="E190" s="84">
        <f>SUM(G190:HT190)</f>
        <v/>
      </c>
      <c r="R190" s="574" t="n"/>
      <c r="S190" s="574" t="n"/>
      <c r="AE190" s="574" t="n"/>
      <c r="AF190" s="574" t="n"/>
      <c r="AG190" s="574" t="n"/>
      <c r="AH190" s="574" t="n"/>
      <c r="AI190" s="574" t="n"/>
      <c r="AJ190" s="574" t="n"/>
      <c r="AK190" s="574" t="n"/>
      <c r="AM190" s="574" t="n"/>
      <c r="AO190" s="574" t="n"/>
    </row>
    <row r="191" customFormat="1" s="568">
      <c r="A191" s="86" t="n"/>
      <c r="B191" s="85" t="n"/>
      <c r="C191" s="84">
        <f>E191*D$5</f>
        <v/>
      </c>
      <c r="D191" s="68" t="n"/>
      <c r="E191" s="84">
        <f>SUM(G191:HT191)</f>
        <v/>
      </c>
      <c r="R191" s="574" t="n"/>
      <c r="S191" s="574" t="n"/>
      <c r="AE191" s="574" t="n"/>
      <c r="AF191" s="574" t="n"/>
      <c r="AG191" s="574" t="n"/>
      <c r="AH191" s="574" t="n"/>
      <c r="AI191" s="574" t="n"/>
      <c r="AJ191" s="574" t="n"/>
      <c r="AK191" s="574" t="n"/>
      <c r="AM191" s="574" t="n"/>
      <c r="AO191" s="574" t="n"/>
    </row>
    <row r="192" customFormat="1" s="568">
      <c r="A192" s="86" t="n"/>
      <c r="B192" s="85" t="n"/>
      <c r="C192" s="84">
        <f>E192*D$5</f>
        <v/>
      </c>
      <c r="D192" s="68" t="n"/>
      <c r="E192" s="84">
        <f>SUM(G192:HT192)</f>
        <v/>
      </c>
      <c r="R192" s="574" t="n"/>
      <c r="S192" s="574" t="n"/>
      <c r="AE192" s="574" t="n"/>
      <c r="AF192" s="574" t="n"/>
      <c r="AG192" s="574" t="n"/>
      <c r="AH192" s="574" t="n"/>
      <c r="AI192" s="574" t="n"/>
      <c r="AJ192" s="574" t="n"/>
      <c r="AK192" s="574" t="n"/>
      <c r="AM192" s="574" t="n"/>
      <c r="AO192" s="574" t="n"/>
    </row>
    <row r="193" customFormat="1" s="568">
      <c r="A193" s="86" t="n"/>
      <c r="B193" s="85" t="n"/>
      <c r="C193" s="84">
        <f>E193*D$5</f>
        <v/>
      </c>
      <c r="D193" s="68" t="n"/>
      <c r="E193" s="84">
        <f>SUM(G193:HT193)</f>
        <v/>
      </c>
      <c r="R193" s="574" t="n"/>
      <c r="S193" s="574" t="n"/>
      <c r="AE193" s="574" t="n"/>
      <c r="AF193" s="574" t="n"/>
      <c r="AG193" s="574" t="n"/>
      <c r="AH193" s="574" t="n"/>
      <c r="AI193" s="574" t="n"/>
      <c r="AJ193" s="574" t="n"/>
      <c r="AK193" s="574" t="n"/>
      <c r="AM193" s="574" t="n"/>
      <c r="AO193" s="574" t="n"/>
    </row>
    <row r="194" customFormat="1" s="568">
      <c r="A194" s="86" t="n"/>
      <c r="B194" s="85" t="n"/>
      <c r="C194" s="84">
        <f>E194*D$5</f>
        <v/>
      </c>
      <c r="D194" s="68" t="n"/>
      <c r="E194" s="84">
        <f>SUM(G194:HT194)</f>
        <v/>
      </c>
      <c r="R194" s="574" t="n"/>
      <c r="S194" s="574" t="n"/>
      <c r="AE194" s="574" t="n"/>
      <c r="AF194" s="574" t="n"/>
      <c r="AG194" s="574" t="n"/>
      <c r="AH194" s="574" t="n"/>
      <c r="AI194" s="574" t="n"/>
      <c r="AJ194" s="574" t="n"/>
      <c r="AK194" s="574" t="n"/>
      <c r="AM194" s="574" t="n"/>
      <c r="AO194" s="574" t="n"/>
    </row>
    <row r="195" customFormat="1" s="568">
      <c r="A195" s="86" t="n"/>
      <c r="B195" s="85" t="n"/>
      <c r="C195" s="84">
        <f>E195*D$5</f>
        <v/>
      </c>
      <c r="D195" s="68" t="n"/>
      <c r="E195" s="84">
        <f>SUM(G195:HT195)</f>
        <v/>
      </c>
      <c r="R195" s="574" t="n"/>
      <c r="S195" s="574" t="n"/>
      <c r="AE195" s="574" t="n"/>
      <c r="AF195" s="574" t="n"/>
      <c r="AG195" s="574" t="n"/>
      <c r="AH195" s="574" t="n"/>
      <c r="AI195" s="574" t="n"/>
      <c r="AJ195" s="574" t="n"/>
      <c r="AK195" s="574" t="n"/>
      <c r="AM195" s="574" t="n"/>
      <c r="AO195" s="574" t="n"/>
    </row>
    <row r="196" customFormat="1" s="568">
      <c r="A196" s="86" t="n"/>
      <c r="B196" s="85" t="n"/>
      <c r="C196" s="84">
        <f>E196*D$5</f>
        <v/>
      </c>
      <c r="D196" s="68" t="n"/>
      <c r="E196" s="84">
        <f>SUM(G196:HT196)</f>
        <v/>
      </c>
      <c r="R196" s="574" t="n"/>
      <c r="S196" s="574" t="n"/>
      <c r="AE196" s="574" t="n"/>
      <c r="AF196" s="574" t="n"/>
      <c r="AG196" s="574" t="n"/>
      <c r="AH196" s="574" t="n"/>
      <c r="AI196" s="574" t="n"/>
      <c r="AJ196" s="574" t="n"/>
      <c r="AK196" s="574" t="n"/>
      <c r="AM196" s="574" t="n"/>
      <c r="AO196" s="574" t="n"/>
    </row>
    <row r="197" customFormat="1" s="568">
      <c r="A197" s="86" t="n"/>
      <c r="B197" s="85" t="n"/>
      <c r="C197" s="84">
        <f>E197*D$5</f>
        <v/>
      </c>
      <c r="D197" s="68" t="n"/>
      <c r="E197" s="84">
        <f>SUM(G197:HT197)</f>
        <v/>
      </c>
      <c r="R197" s="574" t="n"/>
      <c r="S197" s="574" t="n"/>
      <c r="AE197" s="574" t="n"/>
      <c r="AF197" s="574" t="n"/>
      <c r="AG197" s="574" t="n"/>
      <c r="AH197" s="574" t="n"/>
      <c r="AI197" s="574" t="n"/>
      <c r="AJ197" s="574" t="n"/>
      <c r="AK197" s="574" t="n"/>
      <c r="AM197" s="574" t="n"/>
      <c r="AO197" s="574" t="n"/>
    </row>
    <row r="198" customFormat="1" s="568">
      <c r="A198" s="86" t="n"/>
      <c r="B198" s="85" t="n"/>
      <c r="C198" s="84">
        <f>E198*D$5</f>
        <v/>
      </c>
      <c r="D198" s="68" t="n"/>
      <c r="E198" s="84">
        <f>SUM(G198:HT198)</f>
        <v/>
      </c>
      <c r="R198" s="574" t="n"/>
      <c r="S198" s="574" t="n"/>
      <c r="AE198" s="574" t="n"/>
      <c r="AF198" s="574" t="n"/>
      <c r="AG198" s="574" t="n"/>
      <c r="AH198" s="574" t="n"/>
      <c r="AI198" s="574" t="n"/>
      <c r="AJ198" s="574" t="n"/>
      <c r="AK198" s="574" t="n"/>
      <c r="AM198" s="574" t="n"/>
      <c r="AO198" s="574" t="n"/>
    </row>
    <row r="199" customFormat="1" s="568">
      <c r="A199" s="86" t="n"/>
      <c r="B199" s="85" t="n"/>
      <c r="C199" s="84">
        <f>E199*D$5</f>
        <v/>
      </c>
      <c r="D199" s="68" t="n"/>
      <c r="E199" s="84">
        <f>SUM(G199:HT199)</f>
        <v/>
      </c>
      <c r="R199" s="574" t="n"/>
      <c r="S199" s="574" t="n"/>
      <c r="AE199" s="574" t="n"/>
      <c r="AF199" s="574" t="n"/>
      <c r="AG199" s="574" t="n"/>
      <c r="AH199" s="574" t="n"/>
      <c r="AI199" s="574" t="n"/>
      <c r="AJ199" s="574" t="n"/>
      <c r="AK199" s="574" t="n"/>
      <c r="AM199" s="574" t="n"/>
      <c r="AO199" s="574" t="n"/>
    </row>
    <row r="200" customFormat="1" s="568">
      <c r="A200" s="86" t="n"/>
      <c r="B200" s="85" t="n"/>
      <c r="C200" s="84">
        <f>E200*D$5</f>
        <v/>
      </c>
      <c r="D200" s="68" t="n"/>
      <c r="E200" s="84">
        <f>SUM(G200:HT200)</f>
        <v/>
      </c>
      <c r="R200" s="574" t="n"/>
      <c r="S200" s="574" t="n"/>
      <c r="AE200" s="574" t="n"/>
      <c r="AF200" s="574" t="n"/>
      <c r="AG200" s="574" t="n"/>
      <c r="AH200" s="574" t="n"/>
      <c r="AI200" s="574" t="n"/>
      <c r="AJ200" s="574" t="n"/>
      <c r="AK200" s="574" t="n"/>
      <c r="AM200" s="574" t="n"/>
      <c r="AO200" s="574" t="n"/>
    </row>
    <row r="201" customFormat="1" s="568">
      <c r="A201" s="86" t="n"/>
      <c r="B201" s="85" t="n"/>
      <c r="C201" s="84">
        <f>E201*D$5</f>
        <v/>
      </c>
      <c r="D201" s="68" t="n"/>
      <c r="E201" s="84">
        <f>SUM(G201:HT201)</f>
        <v/>
      </c>
      <c r="R201" s="574" t="n"/>
      <c r="S201" s="574" t="n"/>
      <c r="AE201" s="574" t="n"/>
      <c r="AF201" s="574" t="n"/>
      <c r="AG201" s="574" t="n"/>
      <c r="AH201" s="574" t="n"/>
      <c r="AI201" s="574" t="n"/>
      <c r="AJ201" s="574" t="n"/>
      <c r="AK201" s="574" t="n"/>
      <c r="AM201" s="574" t="n"/>
      <c r="AO201" s="574" t="n"/>
    </row>
    <row r="202" customFormat="1" s="568">
      <c r="A202" s="86" t="n"/>
      <c r="B202" s="85" t="n"/>
      <c r="C202" s="84">
        <f>E202*D$5</f>
        <v/>
      </c>
      <c r="D202" s="68" t="n"/>
      <c r="E202" s="84">
        <f>SUM(G202:HT202)</f>
        <v/>
      </c>
      <c r="R202" s="574" t="n"/>
      <c r="S202" s="574" t="n"/>
      <c r="AE202" s="574" t="n"/>
      <c r="AF202" s="574" t="n"/>
      <c r="AG202" s="574" t="n"/>
      <c r="AH202" s="574" t="n"/>
      <c r="AI202" s="574" t="n"/>
      <c r="AJ202" s="574" t="n"/>
      <c r="AK202" s="574" t="n"/>
      <c r="AM202" s="574" t="n"/>
      <c r="AO202" s="574" t="n"/>
    </row>
    <row r="203" customFormat="1" s="568">
      <c r="A203" s="86" t="n"/>
      <c r="B203" s="85" t="n"/>
      <c r="C203" s="84">
        <f>E203*D$5</f>
        <v/>
      </c>
      <c r="D203" s="68" t="n"/>
      <c r="E203" s="84">
        <f>SUM(G203:HT203)</f>
        <v/>
      </c>
      <c r="R203" s="574" t="n"/>
      <c r="S203" s="574" t="n"/>
      <c r="AE203" s="574" t="n"/>
      <c r="AF203" s="574" t="n"/>
      <c r="AG203" s="574" t="n"/>
      <c r="AH203" s="574" t="n"/>
      <c r="AI203" s="574" t="n"/>
      <c r="AJ203" s="574" t="n"/>
      <c r="AK203" s="574" t="n"/>
      <c r="AM203" s="176" t="n"/>
      <c r="AO203" s="574" t="n"/>
    </row>
    <row r="204" customFormat="1" s="77">
      <c r="A204" s="82" t="n"/>
      <c r="B204" s="81" t="n"/>
      <c r="C204" s="80" t="n"/>
      <c r="D204" s="79" t="n"/>
      <c r="E204" s="78" t="n"/>
      <c r="R204" s="574" t="n"/>
      <c r="S204" s="574" t="n"/>
      <c r="AE204" s="574" t="n"/>
      <c r="AF204" s="574" t="n"/>
      <c r="AG204" s="574" t="n"/>
      <c r="AH204" s="574" t="n"/>
      <c r="AI204" s="574" t="n"/>
      <c r="AJ204" s="574" t="n"/>
      <c r="AK204" s="574" t="n"/>
      <c r="AM204" s="169" t="n"/>
      <c r="AO204" s="574" t="n"/>
    </row>
    <row r="205" customFormat="1" s="74">
      <c r="A205" s="73" t="n"/>
      <c r="B205" s="72" t="n"/>
      <c r="C205" s="71" t="n"/>
      <c r="D205" s="70" t="n"/>
      <c r="E205" s="69" t="n"/>
      <c r="R205" s="574" t="n"/>
      <c r="S205" s="574" t="n"/>
      <c r="AE205" s="574" t="n"/>
      <c r="AF205" s="574" t="n"/>
      <c r="AG205" s="574" t="n"/>
      <c r="AH205" s="574" t="n"/>
      <c r="AI205" s="574" t="n"/>
      <c r="AJ205" s="574" t="n"/>
      <c r="AK205" s="574" t="n"/>
      <c r="AM205" s="169" t="n"/>
      <c r="AO205" s="574" t="n"/>
    </row>
    <row r="206">
      <c r="A206" s="73" t="n"/>
      <c r="B206" s="72" t="n"/>
      <c r="C206" s="71" t="n"/>
      <c r="D206" s="70" t="inlineStr">
        <is>
          <t>Do NOT COPY the formulas below this line.</t>
        </is>
      </c>
      <c r="E206" s="69" t="n"/>
      <c r="R206" s="574" t="n"/>
      <c r="S206" s="574" t="n"/>
      <c r="AE206" s="574" t="n"/>
      <c r="AF206" s="574" t="n"/>
      <c r="AG206" s="574" t="n"/>
      <c r="AH206" s="176" t="n"/>
      <c r="AI206" s="176" t="n"/>
      <c r="AJ206" s="176" t="n"/>
      <c r="AK206" s="176" t="n"/>
      <c r="AO206" s="176" t="n"/>
    </row>
    <row r="207">
      <c r="R207" s="574" t="n"/>
      <c r="S207" s="574" t="n"/>
      <c r="AE207" s="176" t="n"/>
      <c r="AF207" s="574" t="n"/>
      <c r="AG207" s="574" t="n"/>
    </row>
    <row r="208">
      <c r="R208" s="176" t="n"/>
      <c r="S208" s="176" t="n"/>
      <c r="AF208" s="176" t="n"/>
      <c r="AG208" s="574" t="n"/>
    </row>
    <row r="209">
      <c r="AG209" s="574" t="n"/>
    </row>
    <row r="210">
      <c r="AG210" s="574" t="n"/>
    </row>
    <row r="211">
      <c r="AG211" s="574" t="n"/>
    </row>
    <row r="212">
      <c r="AG212"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Y7:Y8"/>
    <mergeCell ref="AI7:AI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FP191"/>
  <sheetViews>
    <sheetView zoomScaleNormal="100" workbookViewId="0">
      <pane xSplit="6" topLeftCell="R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7109375" bestFit="1" customWidth="1" style="61" min="8" max="11"/>
    <col width="15" bestFit="1" customWidth="1" style="61" min="12" max="13"/>
    <col width="9.85546875" bestFit="1" customWidth="1" style="61" min="14" max="15"/>
    <col width="9.140625" bestFit="1" customWidth="1" style="61" min="16" max="16"/>
    <col width="9.85546875" bestFit="1" customWidth="1" style="61" min="17" max="17"/>
    <col width="9.28515625" bestFit="1" customWidth="1" style="61" min="18" max="18"/>
    <col width="14.42578125" customWidth="1" style="61" min="19" max="21"/>
    <col width="9.28515625" bestFit="1" customWidth="1" style="61" min="22" max="22"/>
    <col width="9.140625" bestFit="1" customWidth="1" style="61" min="23" max="28"/>
    <col width="18.140625" bestFit="1" customWidth="1" style="61" min="29" max="29"/>
    <col width="9.85546875" bestFit="1" customWidth="1" style="61" min="30" max="30"/>
    <col width="14.42578125" customWidth="1" style="61" min="31" max="170"/>
    <col width="3" customWidth="1" style="62" min="171" max="171"/>
    <col width="14.42578125" customWidth="1" style="61" min="172" max="16384"/>
  </cols>
  <sheetData>
    <row r="1" ht="13.5" customHeight="1" s="267" thickBot="1">
      <c r="E1" s="298" t="inlineStr">
        <is>
          <t>Instrument</t>
        </is>
      </c>
      <c r="F1" s="507" t="n"/>
      <c r="G1" s="111" t="n"/>
      <c r="H1" s="218" t="inlineStr">
        <is>
          <t>PAT</t>
        </is>
      </c>
      <c r="I1" s="218" t="inlineStr">
        <is>
          <t>DEED</t>
        </is>
      </c>
      <c r="J1" s="218" t="n"/>
      <c r="K1" s="218" t="inlineStr">
        <is>
          <t>WD</t>
        </is>
      </c>
      <c r="L1" s="218" t="inlineStr">
        <is>
          <t>MD</t>
        </is>
      </c>
      <c r="M1" s="218" t="inlineStr">
        <is>
          <t>WD</t>
        </is>
      </c>
      <c r="N1" s="218" t="inlineStr">
        <is>
          <t>WD</t>
        </is>
      </c>
      <c r="O1" s="218" t="inlineStr">
        <is>
          <t>MD</t>
        </is>
      </c>
      <c r="P1" s="218" t="inlineStr">
        <is>
          <t>MD</t>
        </is>
      </c>
      <c r="Q1" s="218" t="inlineStr">
        <is>
          <t>MD</t>
        </is>
      </c>
      <c r="R1" s="218" t="inlineStr">
        <is>
          <t>MD</t>
        </is>
      </c>
      <c r="S1" s="218" t="inlineStr">
        <is>
          <t>WD</t>
        </is>
      </c>
      <c r="T1" s="218" t="inlineStr">
        <is>
          <t>JTWD</t>
        </is>
      </c>
      <c r="U1" s="218" t="inlineStr">
        <is>
          <t>PROB</t>
        </is>
      </c>
      <c r="V1" s="218" t="inlineStr">
        <is>
          <t>MD</t>
        </is>
      </c>
      <c r="W1" s="218" t="inlineStr">
        <is>
          <t>MD</t>
        </is>
      </c>
      <c r="X1" s="218" t="inlineStr">
        <is>
          <t>MD</t>
        </is>
      </c>
      <c r="Y1" s="218" t="inlineStr">
        <is>
          <t>MD</t>
        </is>
      </c>
      <c r="Z1" s="218" t="inlineStr">
        <is>
          <t>MD</t>
        </is>
      </c>
      <c r="AA1" s="218" t="inlineStr">
        <is>
          <t>MD</t>
        </is>
      </c>
      <c r="AB1" s="218" t="inlineStr">
        <is>
          <t>MD</t>
        </is>
      </c>
      <c r="AC1" s="218" t="inlineStr">
        <is>
          <t>MD</t>
        </is>
      </c>
      <c r="AD1" s="218" t="inlineStr">
        <is>
          <t>MD</t>
        </is>
      </c>
      <c r="AE1" s="218" t="inlineStr">
        <is>
          <t>MD</t>
        </is>
      </c>
      <c r="AF1" s="218" t="inlineStr">
        <is>
          <t>QCMD</t>
        </is>
      </c>
      <c r="AG1" s="218" t="inlineStr">
        <is>
          <t>MD</t>
        </is>
      </c>
      <c r="AH1" s="218" t="inlineStr">
        <is>
          <t>MD</t>
        </is>
      </c>
      <c r="AI1" s="218" t="inlineStr">
        <is>
          <t>MD</t>
        </is>
      </c>
      <c r="AJ1" s="169" t="inlineStr">
        <is>
          <t>MD</t>
        </is>
      </c>
      <c r="AK1" s="169" t="inlineStr">
        <is>
          <t>MD</t>
        </is>
      </c>
      <c r="AL1" s="169" t="inlineStr">
        <is>
          <t>MD</t>
        </is>
      </c>
      <c r="AM1" s="169" t="inlineStr">
        <is>
          <t>QCMD</t>
        </is>
      </c>
      <c r="AN1" s="169" t="inlineStr">
        <is>
          <t>QCMD</t>
        </is>
      </c>
      <c r="AO1" s="169" t="inlineStr">
        <is>
          <t>QCMD</t>
        </is>
      </c>
      <c r="AP1" s="169" t="inlineStr">
        <is>
          <t>QCMD</t>
        </is>
      </c>
      <c r="AQ1" s="169" t="inlineStr">
        <is>
          <t>QCMD</t>
        </is>
      </c>
      <c r="AR1" s="169" t="inlineStr">
        <is>
          <t>MD</t>
        </is>
      </c>
      <c r="AS1" s="169" t="inlineStr">
        <is>
          <t>QCMD</t>
        </is>
      </c>
      <c r="AT1" s="169" t="inlineStr">
        <is>
          <t>PROB</t>
        </is>
      </c>
      <c r="AU1" s="169" t="inlineStr">
        <is>
          <t>MD</t>
        </is>
      </c>
      <c r="AV1" s="169" t="inlineStr">
        <is>
          <t>MD</t>
        </is>
      </c>
      <c r="AW1" s="169" t="inlineStr">
        <is>
          <t>MD</t>
        </is>
      </c>
      <c r="AX1" s="169" t="inlineStr">
        <is>
          <t>MD</t>
        </is>
      </c>
      <c r="AY1" s="169" t="inlineStr">
        <is>
          <t>QCMD</t>
        </is>
      </c>
      <c r="AZ1" s="169" t="inlineStr">
        <is>
          <t>PROB</t>
        </is>
      </c>
      <c r="BA1" s="169" t="inlineStr">
        <is>
          <t>MD</t>
        </is>
      </c>
      <c r="BB1" s="169" t="inlineStr">
        <is>
          <t>MD</t>
        </is>
      </c>
      <c r="BC1" s="169" t="inlineStr">
        <is>
          <t>MD</t>
        </is>
      </c>
      <c r="BD1" s="169" t="inlineStr">
        <is>
          <t>MD</t>
        </is>
      </c>
      <c r="BE1" s="169" t="inlineStr">
        <is>
          <t>PROB</t>
        </is>
      </c>
      <c r="BF1" s="169" t="inlineStr">
        <is>
          <t>MD</t>
        </is>
      </c>
      <c r="BG1" s="169" t="inlineStr">
        <is>
          <t>PROB</t>
        </is>
      </c>
      <c r="BH1" s="169" t="inlineStr">
        <is>
          <t>WD</t>
        </is>
      </c>
      <c r="BI1" s="169" t="inlineStr">
        <is>
          <t>PROB</t>
        </is>
      </c>
      <c r="BJ1" s="169" t="inlineStr">
        <is>
          <t>MD</t>
        </is>
      </c>
      <c r="BK1" s="169" t="inlineStr">
        <is>
          <t>MD</t>
        </is>
      </c>
      <c r="BL1" s="169" t="inlineStr">
        <is>
          <t>MD</t>
        </is>
      </c>
      <c r="BM1" s="169" t="inlineStr">
        <is>
          <t>MD</t>
        </is>
      </c>
      <c r="BN1" s="169" t="inlineStr">
        <is>
          <t>MD</t>
        </is>
      </c>
      <c r="BO1" s="169" t="inlineStr">
        <is>
          <t>MD</t>
        </is>
      </c>
      <c r="BP1" s="169" t="inlineStr">
        <is>
          <t>MD</t>
        </is>
      </c>
      <c r="BQ1" s="169" t="inlineStr">
        <is>
          <t>QCMD</t>
        </is>
      </c>
      <c r="BR1" s="169" t="inlineStr">
        <is>
          <t>MD</t>
        </is>
      </c>
      <c r="BS1" s="169" t="inlineStr">
        <is>
          <t>MD</t>
        </is>
      </c>
      <c r="BT1" s="169" t="inlineStr">
        <is>
          <t>MD</t>
        </is>
      </c>
      <c r="BU1" s="169" t="inlineStr">
        <is>
          <t>MD</t>
        </is>
      </c>
      <c r="BV1" s="169" t="inlineStr">
        <is>
          <t>PROB</t>
        </is>
      </c>
      <c r="BW1" s="169" t="inlineStr">
        <is>
          <t>MD</t>
        </is>
      </c>
      <c r="BX1" s="169" t="inlineStr">
        <is>
          <t>MD</t>
        </is>
      </c>
      <c r="BY1" s="169" t="inlineStr">
        <is>
          <t>MD</t>
        </is>
      </c>
      <c r="BZ1" s="169" t="inlineStr">
        <is>
          <t>QCMD</t>
        </is>
      </c>
      <c r="CA1" s="169" t="inlineStr">
        <is>
          <t>MD</t>
        </is>
      </c>
      <c r="CB1" s="169" t="inlineStr">
        <is>
          <t>MD</t>
        </is>
      </c>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row>
    <row r="2" ht="12.75" customFormat="1" customHeight="1" s="110" thickTop="1">
      <c r="A2" s="534" t="inlineStr">
        <is>
          <t>4</t>
        </is>
      </c>
      <c r="B2" s="535" t="inlineStr">
        <is>
          <t>TRACT</t>
        </is>
      </c>
      <c r="C2" s="536" t="n"/>
      <c r="D2" s="537" t="inlineStr">
        <is>
          <t>E/2 NW/4, containing 80 acres</t>
        </is>
      </c>
      <c r="E2" s="538" t="inlineStr">
        <is>
          <t>Image Number</t>
        </is>
      </c>
      <c r="F2" s="539" t="n"/>
      <c r="G2" s="111" t="n"/>
      <c r="H2" s="220" t="inlineStr">
        <is>
          <t>1907-005379</t>
        </is>
      </c>
      <c r="I2" s="220" t="inlineStr">
        <is>
          <t>1905-000429</t>
        </is>
      </c>
      <c r="J2" s="220" t="inlineStr">
        <is>
          <t>Missing</t>
        </is>
      </c>
      <c r="K2" s="220" t="inlineStr">
        <is>
          <t>1949-000814</t>
        </is>
      </c>
      <c r="L2" s="220" t="inlineStr">
        <is>
          <t>1949-001867</t>
        </is>
      </c>
      <c r="M2" s="220" t="inlineStr">
        <is>
          <t>1950-000383</t>
        </is>
      </c>
      <c r="N2" s="220" t="inlineStr">
        <is>
          <t>1953-000493</t>
        </is>
      </c>
      <c r="O2" s="220" t="inlineStr">
        <is>
          <t>1974-001639</t>
        </is>
      </c>
      <c r="P2" s="220" t="inlineStr">
        <is>
          <t>1974-001700</t>
        </is>
      </c>
      <c r="Q2" s="220" t="inlineStr">
        <is>
          <t>1974-002044</t>
        </is>
      </c>
      <c r="R2" s="220" t="inlineStr">
        <is>
          <t>1975-000869</t>
        </is>
      </c>
      <c r="S2" s="220" t="inlineStr">
        <is>
          <t>1976-003251</t>
        </is>
      </c>
      <c r="T2" s="220" t="inlineStr">
        <is>
          <t>1977-007503</t>
        </is>
      </c>
      <c r="U2" s="220" t="inlineStr">
        <is>
          <t>1979-002206</t>
        </is>
      </c>
      <c r="V2" s="220" t="inlineStr">
        <is>
          <t>1981-003445</t>
        </is>
      </c>
      <c r="W2" s="220" t="inlineStr">
        <is>
          <t>1981-005180</t>
        </is>
      </c>
      <c r="X2" s="220" t="inlineStr">
        <is>
          <t>1981-005181</t>
        </is>
      </c>
      <c r="Y2" s="220" t="inlineStr">
        <is>
          <t>1981-007481</t>
        </is>
      </c>
      <c r="Z2" s="220" t="inlineStr">
        <is>
          <t>1981-009501</t>
        </is>
      </c>
      <c r="AA2" s="220" t="inlineStr">
        <is>
          <t>1982-004342</t>
        </is>
      </c>
      <c r="AB2" s="220" t="inlineStr">
        <is>
          <t>1982-005352</t>
        </is>
      </c>
      <c r="AC2" s="220" t="inlineStr">
        <is>
          <t>1982-007158</t>
        </is>
      </c>
      <c r="AD2" s="220" t="inlineStr">
        <is>
          <t>1984-002943</t>
        </is>
      </c>
      <c r="AE2" s="220" t="inlineStr">
        <is>
          <t>1984-002948</t>
        </is>
      </c>
      <c r="AF2" s="220" t="inlineStr">
        <is>
          <t>1985-002650</t>
        </is>
      </c>
      <c r="AG2" s="220" t="inlineStr">
        <is>
          <t>1986-000268</t>
        </is>
      </c>
      <c r="AH2" s="220" t="inlineStr">
        <is>
          <t>1986-000656</t>
        </is>
      </c>
      <c r="AI2" s="220" t="inlineStr">
        <is>
          <t>1986-005341</t>
        </is>
      </c>
      <c r="AJ2" s="170" t="inlineStr">
        <is>
          <t>1988-000762</t>
        </is>
      </c>
      <c r="AK2" s="170" t="inlineStr">
        <is>
          <t>1988-005620</t>
        </is>
      </c>
      <c r="AL2" s="170" t="inlineStr">
        <is>
          <t>1989-006590</t>
        </is>
      </c>
      <c r="AM2" s="170" t="inlineStr">
        <is>
          <t>1990-001925</t>
        </is>
      </c>
      <c r="AN2" s="170" t="inlineStr">
        <is>
          <t>1990-002146</t>
        </is>
      </c>
      <c r="AO2" s="170" t="inlineStr">
        <is>
          <t>1990-002451</t>
        </is>
      </c>
      <c r="AP2" s="170" t="inlineStr">
        <is>
          <t>1990-003160</t>
        </is>
      </c>
      <c r="AQ2" s="170" t="inlineStr">
        <is>
          <t>1990-003924</t>
        </is>
      </c>
      <c r="AR2" s="170" t="inlineStr">
        <is>
          <t>1990-005042</t>
        </is>
      </c>
      <c r="AS2" s="170" t="inlineStr">
        <is>
          <t>1990-005043</t>
        </is>
      </c>
      <c r="AT2" s="170" t="inlineStr">
        <is>
          <t>1990-006747</t>
        </is>
      </c>
      <c r="AU2" s="170" t="inlineStr">
        <is>
          <t>1992-001067</t>
        </is>
      </c>
      <c r="AV2" s="170" t="inlineStr">
        <is>
          <t>1992-001682</t>
        </is>
      </c>
      <c r="AW2" s="170" t="inlineStr">
        <is>
          <t>1994-006415</t>
        </is>
      </c>
      <c r="AX2" s="170" t="inlineStr">
        <is>
          <t>1995-003404</t>
        </is>
      </c>
      <c r="AY2" s="170" t="inlineStr">
        <is>
          <t>1995-000748</t>
        </is>
      </c>
      <c r="AZ2" s="170" t="inlineStr">
        <is>
          <t>1999-005936</t>
        </is>
      </c>
      <c r="BA2" s="170" t="inlineStr">
        <is>
          <t>2000-007685</t>
        </is>
      </c>
      <c r="BB2" s="170" t="inlineStr">
        <is>
          <t>2001-000957</t>
        </is>
      </c>
      <c r="BC2" s="170" t="inlineStr">
        <is>
          <t>2001-001414</t>
        </is>
      </c>
      <c r="BD2" s="170" t="inlineStr">
        <is>
          <t>2001-001463</t>
        </is>
      </c>
      <c r="BE2" s="170" t="inlineStr">
        <is>
          <t>2001-002342</t>
        </is>
      </c>
      <c r="BF2" s="170" t="inlineStr">
        <is>
          <t>2002-004595</t>
        </is>
      </c>
      <c r="BG2" s="170" t="inlineStr">
        <is>
          <t>2003-005699</t>
        </is>
      </c>
      <c r="BH2" s="170" t="inlineStr">
        <is>
          <t>2003-004945</t>
        </is>
      </c>
      <c r="BI2" s="170" t="inlineStr">
        <is>
          <t>2004-000099</t>
        </is>
      </c>
      <c r="BJ2" s="170" t="inlineStr">
        <is>
          <t>2004-005738</t>
        </is>
      </c>
      <c r="BK2" s="170" t="inlineStr">
        <is>
          <t>2004-005739</t>
        </is>
      </c>
      <c r="BL2" s="170" t="inlineStr">
        <is>
          <t>2004-005901</t>
        </is>
      </c>
      <c r="BM2" s="170" t="inlineStr">
        <is>
          <t>2008-006536</t>
        </is>
      </c>
      <c r="BN2" s="170" t="inlineStr">
        <is>
          <t>2005-000158</t>
        </is>
      </c>
      <c r="BO2" s="170" t="inlineStr">
        <is>
          <t>2005-004044</t>
        </is>
      </c>
      <c r="BP2" s="170" t="inlineStr">
        <is>
          <t>2005-007551</t>
        </is>
      </c>
      <c r="BQ2" s="170" t="inlineStr">
        <is>
          <t>2006-000154</t>
        </is>
      </c>
      <c r="BR2" s="170" t="inlineStr">
        <is>
          <t>2010-008934</t>
        </is>
      </c>
      <c r="BS2" s="170" t="inlineStr">
        <is>
          <t>2011-001007</t>
        </is>
      </c>
      <c r="BT2" s="170" t="inlineStr">
        <is>
          <t>2011-001008</t>
        </is>
      </c>
      <c r="BU2" s="170" t="inlineStr">
        <is>
          <t>2011-001009</t>
        </is>
      </c>
      <c r="BV2" s="170" t="inlineStr">
        <is>
          <t>2013-000518</t>
        </is>
      </c>
      <c r="BW2" s="170" t="inlineStr">
        <is>
          <t>2014-003089</t>
        </is>
      </c>
      <c r="BX2" s="170" t="inlineStr">
        <is>
          <t>2014-005899</t>
        </is>
      </c>
      <c r="BY2" s="170" t="inlineStr">
        <is>
          <t>2014-006293</t>
        </is>
      </c>
      <c r="BZ2" s="170" t="inlineStr">
        <is>
          <t>2018-002650</t>
        </is>
      </c>
      <c r="CA2" s="170" t="inlineStr">
        <is>
          <t>2019-001855</t>
        </is>
      </c>
      <c r="CB2" s="170" t="inlineStr">
        <is>
          <t>2021-001068</t>
        </is>
      </c>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GAP</t>
        </is>
      </c>
      <c r="K3" s="54" t="inlineStr">
        <is>
          <t>D59/251</t>
        </is>
      </c>
      <c r="L3" s="54" t="inlineStr">
        <is>
          <t>D63/97</t>
        </is>
      </c>
      <c r="M3" s="54" t="inlineStr">
        <is>
          <t>D59/410</t>
        </is>
      </c>
      <c r="N3" s="54" t="inlineStr">
        <is>
          <t>D67/154</t>
        </is>
      </c>
      <c r="O3" s="54" t="inlineStr">
        <is>
          <t>163/565</t>
        </is>
      </c>
      <c r="P3" s="54" t="inlineStr">
        <is>
          <t>164/66</t>
        </is>
      </c>
      <c r="Q3" s="54" t="inlineStr">
        <is>
          <t>165/87</t>
        </is>
      </c>
      <c r="R3" s="54" t="inlineStr">
        <is>
          <t>176/144</t>
        </is>
      </c>
      <c r="S3" s="54" t="inlineStr">
        <is>
          <t>197/116</t>
        </is>
      </c>
      <c r="T3" s="54" t="inlineStr">
        <is>
          <t>227/89</t>
        </is>
      </c>
      <c r="U3" s="54" t="inlineStr">
        <is>
          <t>264/428</t>
        </is>
      </c>
      <c r="V3" s="54" t="inlineStr">
        <is>
          <t>332/238</t>
        </is>
      </c>
      <c r="W3" s="54" t="inlineStr">
        <is>
          <t>341/154</t>
        </is>
      </c>
      <c r="X3" s="54" t="inlineStr">
        <is>
          <t>341/155</t>
        </is>
      </c>
      <c r="Y3" s="54" t="inlineStr">
        <is>
          <t>355/341</t>
        </is>
      </c>
      <c r="Z3" s="54" t="inlineStr">
        <is>
          <t>368/272</t>
        </is>
      </c>
      <c r="AA3" s="54" t="inlineStr">
        <is>
          <t>432/110</t>
        </is>
      </c>
      <c r="AB3" s="54" t="inlineStr">
        <is>
          <t>438/128</t>
        </is>
      </c>
      <c r="AC3" s="54" t="inlineStr">
        <is>
          <t>451/176</t>
        </is>
      </c>
      <c r="AD3" s="54" t="inlineStr">
        <is>
          <t>604/350</t>
        </is>
      </c>
      <c r="AE3" s="53" t="inlineStr">
        <is>
          <t>605/27</t>
        </is>
      </c>
      <c r="AF3" s="54" t="inlineStr">
        <is>
          <t>710/34</t>
        </is>
      </c>
      <c r="AG3" s="54" t="inlineStr">
        <is>
          <t>781/183</t>
        </is>
      </c>
      <c r="AH3" s="220" t="inlineStr">
        <is>
          <t>786/270</t>
        </is>
      </c>
      <c r="AI3" s="220" t="inlineStr">
        <is>
          <t>839/100</t>
        </is>
      </c>
      <c r="AJ3" s="170" t="inlineStr">
        <is>
          <t>946/223</t>
        </is>
      </c>
      <c r="AK3" s="170" t="inlineStr">
        <is>
          <t>998/204</t>
        </is>
      </c>
      <c r="AL3" s="170" t="inlineStr">
        <is>
          <t>1100/48</t>
        </is>
      </c>
      <c r="AM3" s="170" t="inlineStr">
        <is>
          <t>1126/98</t>
        </is>
      </c>
      <c r="AN3" s="170" t="inlineStr">
        <is>
          <t>1128/39</t>
        </is>
      </c>
      <c r="AO3" s="170" t="inlineStr">
        <is>
          <t>1131/89</t>
        </is>
      </c>
      <c r="AP3" s="170" t="inlineStr">
        <is>
          <t>1140/26</t>
        </is>
      </c>
      <c r="AQ3" s="170" t="inlineStr">
        <is>
          <t>1147/242</t>
        </is>
      </c>
      <c r="AR3" s="170" t="inlineStr">
        <is>
          <t>1159/224</t>
        </is>
      </c>
      <c r="AS3" s="170" t="inlineStr">
        <is>
          <t>1159/225</t>
        </is>
      </c>
      <c r="AT3" s="170" t="inlineStr">
        <is>
          <t>1176/54</t>
        </is>
      </c>
      <c r="AU3" s="170" t="inlineStr">
        <is>
          <t>1267/168</t>
        </is>
      </c>
      <c r="AV3" s="170" t="inlineStr">
        <is>
          <t>1274/277</t>
        </is>
      </c>
      <c r="AW3" s="170" t="inlineStr">
        <is>
          <t>1422/9</t>
        </is>
      </c>
      <c r="AX3" s="170" t="inlineStr">
        <is>
          <t>1457/173</t>
        </is>
      </c>
      <c r="AY3" s="170" t="inlineStr">
        <is>
          <t>1471/574</t>
        </is>
      </c>
      <c r="AZ3" s="170" t="inlineStr">
        <is>
          <t>1600/1</t>
        </is>
      </c>
      <c r="BA3" s="170" t="inlineStr">
        <is>
          <t>1611/503</t>
        </is>
      </c>
      <c r="BB3" s="170" t="inlineStr">
        <is>
          <t>1637/26</t>
        </is>
      </c>
      <c r="BC3" s="170" t="inlineStr">
        <is>
          <t>1639/206</t>
        </is>
      </c>
      <c r="BD3" s="170" t="inlineStr">
        <is>
          <t>1639/426</t>
        </is>
      </c>
      <c r="BE3" s="170" t="inlineStr">
        <is>
          <t>1643/389</t>
        </is>
      </c>
      <c r="BF3" s="170" t="inlineStr">
        <is>
          <t>1695/238</t>
        </is>
      </c>
      <c r="BG3" s="170" t="inlineStr">
        <is>
          <t>1728/457</t>
        </is>
      </c>
      <c r="BH3" s="170" t="inlineStr">
        <is>
          <t>1724/582</t>
        </is>
      </c>
      <c r="BI3" s="170" t="inlineStr">
        <is>
          <t>1734/14</t>
        </is>
      </c>
      <c r="BJ3" s="170" t="inlineStr">
        <is>
          <t>1764/344</t>
        </is>
      </c>
      <c r="BK3" s="170" t="inlineStr">
        <is>
          <t>1764/345</t>
        </is>
      </c>
      <c r="BL3" s="170" t="inlineStr">
        <is>
          <t>1765/306</t>
        </is>
      </c>
      <c r="BM3" s="170" t="inlineStr">
        <is>
          <t>1937/418</t>
        </is>
      </c>
      <c r="BN3" s="170" t="inlineStr">
        <is>
          <t>1774/309</t>
        </is>
      </c>
      <c r="BO3" s="170" t="inlineStr">
        <is>
          <t>1794/173</t>
        </is>
      </c>
      <c r="BP3" s="170" t="inlineStr">
        <is>
          <t>1812/138</t>
        </is>
      </c>
      <c r="BQ3" s="170" t="inlineStr">
        <is>
          <t>1819/157</t>
        </is>
      </c>
      <c r="BR3" s="170" t="inlineStr">
        <is>
          <t>2041/406</t>
        </is>
      </c>
      <c r="BS3" s="170" t="inlineStr">
        <is>
          <t>2063/491</t>
        </is>
      </c>
      <c r="BT3" s="170" t="inlineStr">
        <is>
          <t>2063/494</t>
        </is>
      </c>
      <c r="BU3" s="170" t="inlineStr">
        <is>
          <t>2063/497</t>
        </is>
      </c>
      <c r="BV3" s="170" t="inlineStr">
        <is>
          <t>2177/33</t>
        </is>
      </c>
      <c r="BW3" s="170" t="inlineStr">
        <is>
          <t>2251/529</t>
        </is>
      </c>
      <c r="BX3" s="170" t="inlineStr">
        <is>
          <t>2270/252</t>
        </is>
      </c>
      <c r="BY3" s="170" t="inlineStr">
        <is>
          <t>2273/223</t>
        </is>
      </c>
      <c r="BZ3" s="170" t="inlineStr">
        <is>
          <t>2406/228</t>
        </is>
      </c>
      <c r="CA3" s="170" t="inlineStr">
        <is>
          <t>2426/154</t>
        </is>
      </c>
      <c r="CB3" s="170" t="inlineStr">
        <is>
          <t>2467/476</t>
        </is>
      </c>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row>
    <row r="4" ht="12.75" customFormat="1" customHeight="1" s="110">
      <c r="A4" s="540" t="n"/>
      <c r="B4" s="544" t="n"/>
      <c r="C4" s="536" t="n"/>
      <c r="D4" s="545" t="n"/>
      <c r="E4" s="312" t="inlineStr">
        <is>
          <t xml:space="preserve">Date </t>
        </is>
      </c>
      <c r="F4" s="539" t="n"/>
      <c r="G4" s="111" t="n"/>
      <c r="H4" s="53" t="n">
        <v>2169</v>
      </c>
      <c r="I4" s="53" t="n">
        <v>2062</v>
      </c>
      <c r="J4" s="53" t="n"/>
      <c r="K4" s="53" t="n">
        <v>17950</v>
      </c>
      <c r="L4" s="53" t="n">
        <v>18170</v>
      </c>
      <c r="M4" s="53" t="n">
        <v>18420</v>
      </c>
      <c r="N4" s="53" t="n">
        <v>19396</v>
      </c>
      <c r="O4" s="53" t="n">
        <v>27163</v>
      </c>
      <c r="P4" s="53" t="n">
        <v>27171</v>
      </c>
      <c r="Q4" s="53" t="n">
        <v>27207</v>
      </c>
      <c r="R4" s="53" t="n">
        <v>27481</v>
      </c>
      <c r="S4" s="53" t="n">
        <v>28005</v>
      </c>
      <c r="T4" s="53" t="n">
        <v>28445</v>
      </c>
      <c r="U4" s="222" t="n">
        <v>28961</v>
      </c>
      <c r="V4" s="222" t="n">
        <v>29675</v>
      </c>
      <c r="W4" s="53" t="n">
        <v>29714</v>
      </c>
      <c r="X4" s="53" t="n">
        <v>29714</v>
      </c>
      <c r="Y4" s="53" t="n">
        <v>29767</v>
      </c>
      <c r="Z4" s="53" t="n">
        <v>29812</v>
      </c>
      <c r="AA4" s="53" t="n">
        <v>30054</v>
      </c>
      <c r="AB4" s="53" t="n">
        <v>30081</v>
      </c>
      <c r="AC4" s="53" t="n">
        <v>30124</v>
      </c>
      <c r="AD4" s="53" t="n">
        <v>30741</v>
      </c>
      <c r="AE4" s="53" t="n">
        <v>30770</v>
      </c>
      <c r="AF4" s="53" t="n">
        <v>31158</v>
      </c>
      <c r="AG4" s="53" t="n">
        <v>31418</v>
      </c>
      <c r="AH4" s="222" t="n">
        <v>31434</v>
      </c>
      <c r="AI4" s="222" t="n">
        <v>31723</v>
      </c>
      <c r="AJ4" s="171" t="n">
        <v>32177</v>
      </c>
      <c r="AK4" s="171" t="n">
        <v>32405</v>
      </c>
      <c r="AL4" s="171" t="n">
        <v>32847</v>
      </c>
      <c r="AM4" s="171" t="n">
        <v>32969</v>
      </c>
      <c r="AN4" s="171" t="n">
        <v>32975</v>
      </c>
      <c r="AO4" s="171" t="n">
        <v>32993</v>
      </c>
      <c r="AP4" s="171" t="n">
        <v>33025</v>
      </c>
      <c r="AQ4" s="171" t="n">
        <v>33059</v>
      </c>
      <c r="AR4" s="171" t="n">
        <v>33114</v>
      </c>
      <c r="AS4" s="171" t="n">
        <v>33114</v>
      </c>
      <c r="AT4" s="171" t="n">
        <v>33205</v>
      </c>
      <c r="AU4" s="171" t="n">
        <v>33693</v>
      </c>
      <c r="AV4" s="171" t="n">
        <v>33737</v>
      </c>
      <c r="AW4" s="171" t="n">
        <v>34542</v>
      </c>
      <c r="AX4" s="171" t="n">
        <v>34754</v>
      </c>
      <c r="AY4" s="171" t="n">
        <v>34950</v>
      </c>
      <c r="AZ4" s="171" t="n">
        <v>36511</v>
      </c>
      <c r="BA4" s="171" t="n">
        <v>36647</v>
      </c>
      <c r="BB4" s="171" t="n">
        <v>36922</v>
      </c>
      <c r="BC4" s="171" t="n">
        <v>36957</v>
      </c>
      <c r="BD4" s="171" t="n">
        <v>36963</v>
      </c>
      <c r="BE4" s="171" t="n">
        <v>37014</v>
      </c>
      <c r="BF4" s="171" t="n">
        <v>37586</v>
      </c>
      <c r="BG4" s="171" t="n">
        <v>37802</v>
      </c>
      <c r="BH4" s="171" t="n">
        <v>37848</v>
      </c>
      <c r="BI4" s="171" t="n">
        <v>37990</v>
      </c>
      <c r="BJ4" s="171" t="n">
        <v>38260</v>
      </c>
      <c r="BK4" s="171" t="n">
        <v>38267</v>
      </c>
      <c r="BL4" s="171" t="n">
        <v>38275</v>
      </c>
      <c r="BM4" s="171" t="n">
        <v>38286</v>
      </c>
      <c r="BN4" s="171" t="n">
        <v>38362</v>
      </c>
      <c r="BO4" s="171" t="n">
        <v>38516</v>
      </c>
      <c r="BP4" s="171" t="n">
        <v>38650</v>
      </c>
      <c r="BQ4" s="171" t="n">
        <v>38699</v>
      </c>
      <c r="BR4" s="171" t="n">
        <v>40437</v>
      </c>
      <c r="BS4" s="171" t="n">
        <v>40577</v>
      </c>
      <c r="BT4" s="171" t="n">
        <v>40577</v>
      </c>
      <c r="BU4" s="171" t="n">
        <v>40583</v>
      </c>
      <c r="BV4" s="171" t="n">
        <v>41290</v>
      </c>
      <c r="BW4" s="171" t="n">
        <v>41746</v>
      </c>
      <c r="BX4" s="171" t="n">
        <v>41851</v>
      </c>
      <c r="BY4" s="171" t="n">
        <v>41926</v>
      </c>
      <c r="BZ4" s="171" t="n">
        <v>43363</v>
      </c>
      <c r="CA4" s="171" t="n">
        <v>43739</v>
      </c>
      <c r="CB4" s="171" t="n">
        <v>44348</v>
      </c>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row>
    <row r="5" ht="27.75" customFormat="1" customHeight="1" s="105">
      <c r="A5" s="540" t="n"/>
      <c r="B5" s="546" t="inlineStr">
        <is>
          <t>TRACT ACRES</t>
        </is>
      </c>
      <c r="C5" s="547" t="n"/>
      <c r="D5" s="548" t="n">
        <v>80</v>
      </c>
      <c r="E5" s="549" t="inlineStr">
        <is>
          <t xml:space="preserve">Conveyance </t>
        </is>
      </c>
      <c r="F5" s="550" t="n"/>
      <c r="G5" s="108" t="n"/>
      <c r="H5" s="220" t="inlineStr">
        <is>
          <t>ARTI</t>
        </is>
      </c>
      <c r="I5" s="220" t="inlineStr">
        <is>
          <t>ARTI</t>
        </is>
      </c>
      <c r="J5" s="220" t="n"/>
      <c r="K5" s="220" t="inlineStr">
        <is>
          <t>UND 1/2</t>
        </is>
      </c>
      <c r="L5" s="220" t="inlineStr">
        <is>
          <t>UND 20/260</t>
        </is>
      </c>
      <c r="M5" s="220" t="inlineStr">
        <is>
          <t>ARTI</t>
        </is>
      </c>
      <c r="N5" s="220" t="inlineStr">
        <is>
          <t>ARTI</t>
        </is>
      </c>
      <c r="O5" s="220" t="inlineStr">
        <is>
          <t>UND 60/260</t>
        </is>
      </c>
      <c r="P5" s="220" t="inlineStr">
        <is>
          <t>UND 40/260</t>
        </is>
      </c>
      <c r="Q5" s="220" t="inlineStr">
        <is>
          <t>10.769231 NMA</t>
        </is>
      </c>
      <c r="R5" s="220" t="inlineStr">
        <is>
          <t>10.769231 NMA</t>
        </is>
      </c>
      <c r="S5" s="220" t="inlineStr">
        <is>
          <t>ARTI</t>
        </is>
      </c>
      <c r="T5" s="220" t="inlineStr">
        <is>
          <t>ARTI</t>
        </is>
      </c>
      <c r="U5" s="220" t="inlineStr">
        <is>
          <t>ARTI</t>
        </is>
      </c>
      <c r="V5" s="220" t="inlineStr">
        <is>
          <t>11 NMA</t>
        </is>
      </c>
      <c r="W5" s="220" t="inlineStr">
        <is>
          <t>10.769231 NMA</t>
        </is>
      </c>
      <c r="X5" s="220" t="inlineStr">
        <is>
          <t>5.384615 NMA</t>
        </is>
      </c>
      <c r="Y5" s="220" t="inlineStr">
        <is>
          <t>10.725 NMA</t>
        </is>
      </c>
      <c r="Z5" s="220" t="inlineStr">
        <is>
          <t>0.55 NMA</t>
        </is>
      </c>
      <c r="AA5" s="220" t="inlineStr">
        <is>
          <t>43.076923 NMA</t>
        </is>
      </c>
      <c r="AB5" s="220" t="inlineStr">
        <is>
          <t>0.22 NMA</t>
        </is>
      </c>
      <c r="AC5" s="499" t="inlineStr">
        <is>
          <t>2 NMA</t>
        </is>
      </c>
      <c r="AD5" s="220" t="inlineStr">
        <is>
          <t>89%</t>
        </is>
      </c>
      <c r="AE5" s="220" t="inlineStr">
        <is>
          <t>15.789%</t>
        </is>
      </c>
      <c r="AF5" s="220" t="inlineStr">
        <is>
          <t>ARTI</t>
        </is>
      </c>
      <c r="AG5" s="220" t="inlineStr">
        <is>
          <t>2.153846 NMA</t>
        </is>
      </c>
      <c r="AH5" s="220" t="inlineStr">
        <is>
          <t>ARTI</t>
        </is>
      </c>
      <c r="AI5" s="220" t="inlineStr">
        <is>
          <t>16.385%</t>
        </is>
      </c>
      <c r="AJ5" s="170" t="inlineStr">
        <is>
          <t>ARTI</t>
        </is>
      </c>
      <c r="AK5" s="170" t="inlineStr">
        <is>
          <t>ARTI</t>
        </is>
      </c>
      <c r="AL5" s="170" t="inlineStr">
        <is>
          <t>10.769231 NMA</t>
        </is>
      </c>
      <c r="AM5" s="170" t="inlineStr">
        <is>
          <t>ARTI</t>
        </is>
      </c>
      <c r="AN5" s="170" t="inlineStr">
        <is>
          <t>ARTI</t>
        </is>
      </c>
      <c r="AO5" s="170" t="inlineStr">
        <is>
          <t>ARTI</t>
        </is>
      </c>
      <c r="AP5" s="170" t="inlineStr">
        <is>
          <t>ARTI</t>
        </is>
      </c>
      <c r="AQ5" s="170" t="inlineStr">
        <is>
          <t>ARTI</t>
        </is>
      </c>
      <c r="AR5" s="170" t="inlineStr">
        <is>
          <t>5.384615 NMA</t>
        </is>
      </c>
      <c r="AS5" s="170" t="inlineStr">
        <is>
          <t>ARTI</t>
        </is>
      </c>
      <c r="AT5" s="170" t="inlineStr">
        <is>
          <t>ARTI</t>
        </is>
      </c>
      <c r="AU5" s="170" t="inlineStr">
        <is>
          <t>ARTI</t>
        </is>
      </c>
      <c r="AV5" s="170" t="inlineStr">
        <is>
          <t>1.076923 NMA</t>
        </is>
      </c>
      <c r="AW5" s="170" t="inlineStr">
        <is>
          <t>2.153846 NMA</t>
        </is>
      </c>
      <c r="AX5" s="170" t="inlineStr">
        <is>
          <t>ARTI</t>
        </is>
      </c>
      <c r="AY5" s="170" t="inlineStr">
        <is>
          <t>ARTI</t>
        </is>
      </c>
      <c r="AZ5" s="170" t="inlineStr">
        <is>
          <t>ARTI</t>
        </is>
      </c>
      <c r="BA5" s="170" t="inlineStr">
        <is>
          <t>ARTI</t>
        </is>
      </c>
      <c r="BB5" s="170" t="inlineStr">
        <is>
          <t>ARTI</t>
        </is>
      </c>
      <c r="BC5" s="170" t="inlineStr">
        <is>
          <t>ARTI</t>
        </is>
      </c>
      <c r="BD5" s="170" t="inlineStr">
        <is>
          <t>ARTI</t>
        </is>
      </c>
      <c r="BE5" s="170" t="inlineStr">
        <is>
          <t>ARTI</t>
        </is>
      </c>
      <c r="BF5" s="500" t="inlineStr">
        <is>
          <t>1.386 NMA</t>
        </is>
      </c>
      <c r="BG5" s="170" t="inlineStr">
        <is>
          <t>ARTI</t>
        </is>
      </c>
      <c r="BH5" s="170" t="inlineStr">
        <is>
          <t>ARTI</t>
        </is>
      </c>
      <c r="BI5" s="170" t="inlineStr">
        <is>
          <t>ARTI</t>
        </is>
      </c>
      <c r="BJ5" s="500" t="inlineStr">
        <is>
          <t>10 NMA</t>
        </is>
      </c>
      <c r="BK5" s="500" t="inlineStr">
        <is>
          <t>5 NMA</t>
        </is>
      </c>
      <c r="BL5" s="170" t="inlineStr">
        <is>
          <t>ARTI</t>
        </is>
      </c>
      <c r="BM5" s="500" t="inlineStr">
        <is>
          <t>5 NMA</t>
        </is>
      </c>
      <c r="BN5" s="170" t="inlineStr">
        <is>
          <t>ARTI</t>
        </is>
      </c>
      <c r="BO5" s="170" t="inlineStr">
        <is>
          <t>ARTI</t>
        </is>
      </c>
      <c r="BP5" s="170" t="inlineStr">
        <is>
          <t>ARTI</t>
        </is>
      </c>
      <c r="BQ5" s="170" t="inlineStr">
        <is>
          <t>256.666667 NMA</t>
        </is>
      </c>
      <c r="BR5" s="170" t="inlineStr">
        <is>
          <t>ARTI</t>
        </is>
      </c>
      <c r="BS5" s="170" t="inlineStr">
        <is>
          <t>ARTI</t>
        </is>
      </c>
      <c r="BT5" s="170" t="inlineStr">
        <is>
          <t>ARTI</t>
        </is>
      </c>
      <c r="BU5" s="170" t="inlineStr">
        <is>
          <t>ARTI</t>
        </is>
      </c>
      <c r="BV5" s="170" t="inlineStr">
        <is>
          <t>ARTI</t>
        </is>
      </c>
      <c r="BW5" s="170" t="inlineStr">
        <is>
          <t>118.461538 NMA</t>
        </is>
      </c>
      <c r="BX5" s="170" t="inlineStr">
        <is>
          <t>ARTI</t>
        </is>
      </c>
      <c r="BY5" s="170" t="inlineStr">
        <is>
          <t>ARTI</t>
        </is>
      </c>
      <c r="BZ5" s="170" t="inlineStr">
        <is>
          <t>ARTI</t>
        </is>
      </c>
      <c r="CA5" s="170" t="inlineStr">
        <is>
          <t>ARTI</t>
        </is>
      </c>
      <c r="CB5" s="170" t="inlineStr">
        <is>
          <t>ARTI</t>
        </is>
      </c>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row>
    <row r="6" ht="14.25" customFormat="1" customHeight="1" s="103" thickBot="1">
      <c r="A6" s="551" t="n"/>
      <c r="B6" s="552" t="inlineStr">
        <is>
          <t>BASE OGL</t>
        </is>
      </c>
      <c r="C6" s="553" t="inlineStr">
        <is>
          <t>289, 290, 291, 292, 293, 294</t>
        </is>
      </c>
      <c r="D6" s="554" t="inlineStr">
        <is>
          <t>Tract 4</t>
        </is>
      </c>
      <c r="E6" s="553">
        <f>SUBTOTAL(9,E9:E186)</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487" t="inlineStr">
        <is>
          <t>SOURCE REVIEW</t>
        </is>
      </c>
      <c r="AD6" s="112">
        <f>IF(AD7=0,"","RECHECK")</f>
        <v/>
      </c>
      <c r="AE6" s="112">
        <f>IF(AE7=0,"","RECHECK")</f>
        <v/>
      </c>
      <c r="AF6" s="112">
        <f>IF(AF7=0,"","RECHECK")</f>
        <v/>
      </c>
      <c r="AG6" s="112">
        <f>IF(AG7=0,"","RECHECK")</f>
        <v/>
      </c>
      <c r="AH6" s="112">
        <f>IF(AH7=0,"","RECHECK")</f>
        <v/>
      </c>
      <c r="AI6" s="112">
        <f>IF(AI7=0,"","RECHECK")</f>
        <v/>
      </c>
      <c r="AJ6" s="11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487" t="inlineStr">
        <is>
          <t>SOURCE REVIEW</t>
        </is>
      </c>
      <c r="BG6" s="112">
        <f>IF(BG7=0,"","RECHECK")</f>
        <v/>
      </c>
      <c r="BH6" s="112">
        <f>IF(BH7=0,"","RECHECK")</f>
        <v/>
      </c>
      <c r="BI6" s="112">
        <f>IF(BI7=0,"","RECHECK")</f>
        <v/>
      </c>
      <c r="BJ6" s="487" t="inlineStr">
        <is>
          <t>SOURCE REVIEW</t>
        </is>
      </c>
      <c r="BK6" s="487" t="inlineStr">
        <is>
          <t>SOURCE REVIEW</t>
        </is>
      </c>
      <c r="BL6" s="112">
        <f>IF(BL7=0,"","RECHECK")</f>
        <v/>
      </c>
      <c r="BM6" s="487" t="inlineStr">
        <is>
          <t>SOURCE REVIEW</t>
        </is>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row>
    <row r="7" ht="14.25" customFormat="1" customHeight="1" s="101" thickBot="1" thickTop="1">
      <c r="A7" s="102" t="n"/>
      <c r="B7" s="536" t="n"/>
      <c r="C7" s="555" t="n"/>
      <c r="D7" s="555" t="n"/>
      <c r="E7" s="555" t="n"/>
      <c r="F7" s="296" t="n"/>
      <c r="G7" s="556">
        <f>SUBTOTAL(9,G10:G187)</f>
        <v/>
      </c>
      <c r="H7" s="557">
        <f>SUBTOTAL(9,H10:H187)</f>
        <v/>
      </c>
      <c r="I7" s="557" t="n">
        <v>0</v>
      </c>
      <c r="J7" s="557">
        <f>SUBTOTAL(9,J10:J187)</f>
        <v/>
      </c>
      <c r="K7" s="557">
        <f>SUBTOTAL(9,K10:K187)</f>
        <v/>
      </c>
      <c r="L7" s="557">
        <f>SUBTOTAL(9,L10:L187)</f>
        <v/>
      </c>
      <c r="M7" s="557">
        <f>SUBTOTAL(9,M10:M187)</f>
        <v/>
      </c>
      <c r="N7" s="557">
        <f>SUBTOTAL(9,N10:N187)</f>
        <v/>
      </c>
      <c r="O7" s="557">
        <f>SUBTOTAL(9,O10:O187)</f>
        <v/>
      </c>
      <c r="P7" s="557">
        <f>SUBTOTAL(9,P10:P187)</f>
        <v/>
      </c>
      <c r="Q7" s="557">
        <f>SUBTOTAL(9,Q10:Q187)</f>
        <v/>
      </c>
      <c r="R7" s="557">
        <f>SUBTOTAL(9,R10:R187)</f>
        <v/>
      </c>
      <c r="S7" s="557">
        <f>SUBTOTAL(9,S10:S187)</f>
        <v/>
      </c>
      <c r="T7" s="557">
        <f>SUBTOTAL(9,T10:T187)</f>
        <v/>
      </c>
      <c r="U7" s="557">
        <f>SUBTOTAL(9,U10:U187)</f>
        <v/>
      </c>
      <c r="V7" s="557">
        <f>SUBTOTAL(9,V10:V190)</f>
        <v/>
      </c>
      <c r="W7" s="557">
        <f>SUBTOTAL(9,W10:W187)</f>
        <v/>
      </c>
      <c r="X7" s="557">
        <f>SUBTOTAL(9,X10:X187)</f>
        <v/>
      </c>
      <c r="Y7" s="557">
        <f>SUBTOTAL(9,Y10:Y187)</f>
        <v/>
      </c>
      <c r="Z7" s="557">
        <f>SUBTOTAL(9,Z10:Z187)</f>
        <v/>
      </c>
      <c r="AA7" s="557">
        <f>SUBTOTAL(9,AA10:AA187)</f>
        <v/>
      </c>
      <c r="AB7" s="557">
        <f>SUBTOTAL(9,AB10:AB187)</f>
        <v/>
      </c>
      <c r="AC7" s="557">
        <f>SUBTOTAL(9,AC10:AC190)</f>
        <v/>
      </c>
      <c r="AD7" s="557">
        <f>SUBTOTAL(9,AD10:AD190)</f>
        <v/>
      </c>
      <c r="AE7" s="557">
        <f>SUBTOTAL(9,AE10:AE187)</f>
        <v/>
      </c>
      <c r="AF7" s="557">
        <f>SUBTOTAL(9,AF10:AF187)</f>
        <v/>
      </c>
      <c r="AG7" s="557">
        <f>SUBTOTAL(9,AG10:AG187)</f>
        <v/>
      </c>
      <c r="AH7" s="557">
        <f>SUBTOTAL(9,AH10:AH187)</f>
        <v/>
      </c>
      <c r="AI7" s="557">
        <f>SUBTOTAL(9,AI10:AI187)</f>
        <v/>
      </c>
      <c r="AJ7" s="557">
        <f>SUBTOTAL(9,AJ10:AJ187)</f>
        <v/>
      </c>
      <c r="AK7" s="557">
        <f>SUBTOTAL(9,AK10:AK187)</f>
        <v/>
      </c>
      <c r="AL7" s="557">
        <f>SUBTOTAL(9,AL10:AL187)</f>
        <v/>
      </c>
      <c r="AM7" s="557">
        <f>SUBTOTAL(9,AM10:AM187)</f>
        <v/>
      </c>
      <c r="AN7" s="557">
        <f>SUBTOTAL(9,AN10:AN187)</f>
        <v/>
      </c>
      <c r="AO7" s="557">
        <f>SUBTOTAL(9,AO10:AO187)</f>
        <v/>
      </c>
      <c r="AP7" s="557">
        <f>SUBTOTAL(9,AP10:AP187)</f>
        <v/>
      </c>
      <c r="AQ7" s="557">
        <f>SUBTOTAL(9,AQ10:AQ187)</f>
        <v/>
      </c>
      <c r="AR7" s="557">
        <f>SUBTOTAL(9,AR10:AR187)</f>
        <v/>
      </c>
      <c r="AS7" s="557">
        <f>SUBTOTAL(9,AS10:AS187)</f>
        <v/>
      </c>
      <c r="AT7" s="557">
        <f>SUBTOTAL(9,AT10:AT187)</f>
        <v/>
      </c>
      <c r="AU7" s="557">
        <f>SUBTOTAL(9,AU10:AU187)</f>
        <v/>
      </c>
      <c r="AV7" s="557">
        <f>SUBTOTAL(9,AV10:AV187)</f>
        <v/>
      </c>
      <c r="AW7" s="557">
        <f>SUBTOTAL(9,AW10:AW187)</f>
        <v/>
      </c>
      <c r="AX7" s="557">
        <f>SUBTOTAL(9,AX10:AX187)</f>
        <v/>
      </c>
      <c r="AY7" s="557">
        <f>SUBTOTAL(9,AY10:AY187)</f>
        <v/>
      </c>
      <c r="AZ7" s="557">
        <f>SUBTOTAL(9,AZ10:AZ187)</f>
        <v/>
      </c>
      <c r="BA7" s="557">
        <f>SUBTOTAL(9,BA10:BA187)</f>
        <v/>
      </c>
      <c r="BB7" s="557">
        <f>SUBTOTAL(9,BB10:BB187)</f>
        <v/>
      </c>
      <c r="BC7" s="557">
        <f>SUBTOTAL(9,BC10:BC187)</f>
        <v/>
      </c>
      <c r="BD7" s="557">
        <f>SUBTOTAL(9,BD10:BD187)</f>
        <v/>
      </c>
      <c r="BE7" s="557">
        <f>SUBTOTAL(9,BE10:BE187)</f>
        <v/>
      </c>
      <c r="BF7" s="557">
        <f>SUBTOTAL(9,BF10:BF187)</f>
        <v/>
      </c>
      <c r="BG7" s="557">
        <f>SUBTOTAL(9,BG10:BG187)</f>
        <v/>
      </c>
      <c r="BH7" s="557">
        <f>SUBTOTAL(9,BH10:BH187)</f>
        <v/>
      </c>
      <c r="BI7" s="557">
        <f>SUBTOTAL(9,BI10:BI187)</f>
        <v/>
      </c>
      <c r="BJ7" s="557">
        <f>SUBTOTAL(9,BJ10:BJ187)</f>
        <v/>
      </c>
      <c r="BK7" s="557">
        <f>SUBTOTAL(9,BK10:BK187)</f>
        <v/>
      </c>
      <c r="BL7" s="557">
        <f>SUBTOTAL(9,BL10:BL187)</f>
        <v/>
      </c>
      <c r="BM7" s="557">
        <f>SUBTOTAL(9,BM10:BM187)</f>
        <v/>
      </c>
      <c r="BN7" s="557">
        <f>SUBTOTAL(9,BN10:BN187)</f>
        <v/>
      </c>
      <c r="BO7" s="557">
        <f>SUBTOTAL(9,BO10:BO187)</f>
        <v/>
      </c>
      <c r="BP7" s="557">
        <f>SUBTOTAL(9,BP10:BP187)</f>
        <v/>
      </c>
      <c r="BQ7" s="557">
        <f>SUBTOTAL(9,BQ10:BQ187)</f>
        <v/>
      </c>
      <c r="BR7" s="557">
        <f>SUBTOTAL(9,BR10:BR187)</f>
        <v/>
      </c>
      <c r="BS7" s="557">
        <f>SUBTOTAL(9,BS10:BS187)</f>
        <v/>
      </c>
      <c r="BT7" s="557">
        <f>SUBTOTAL(9,BT10:BT187)</f>
        <v/>
      </c>
      <c r="BU7" s="557">
        <f>SUBTOTAL(9,BU10:BU187)</f>
        <v/>
      </c>
      <c r="BV7" s="557">
        <f>SUBTOTAL(9,BV10:BV187)</f>
        <v/>
      </c>
      <c r="BW7" s="557">
        <f>SUBTOTAL(9,BW10:BW187)</f>
        <v/>
      </c>
      <c r="BX7" s="557">
        <f>SUBTOTAL(9,BX10:BX187)</f>
        <v/>
      </c>
      <c r="BY7" s="557">
        <f>SUBTOTAL(9,BY10:BY187)</f>
        <v/>
      </c>
      <c r="BZ7" s="557">
        <f>SUBTOTAL(9,BZ10:BZ187)</f>
        <v/>
      </c>
      <c r="CA7" s="557">
        <f>SUBTOTAL(9,CA10:CA187)</f>
        <v/>
      </c>
      <c r="CB7" s="557">
        <f>SUBTOTAL(9,CB10:CB187)</f>
        <v/>
      </c>
      <c r="CC7" s="557">
        <f>SUBTOTAL(9,CC10:CC187)</f>
        <v/>
      </c>
      <c r="CD7" s="557">
        <f>SUBTOTAL(9,CD10:CD187)</f>
        <v/>
      </c>
      <c r="CE7" s="557">
        <f>SUBTOTAL(9,CE10:CE187)</f>
        <v/>
      </c>
      <c r="CF7" s="557">
        <f>SUBTOTAL(9,CF10:CF187)</f>
        <v/>
      </c>
      <c r="CG7" s="557">
        <f>SUBTOTAL(9,CG10:CG187)</f>
        <v/>
      </c>
      <c r="CH7" s="557">
        <f>SUBTOTAL(9,CH10:CH187)</f>
        <v/>
      </c>
      <c r="CI7" s="557">
        <f>SUBTOTAL(9,CI10:CI187)</f>
        <v/>
      </c>
      <c r="CJ7" s="557">
        <f>SUBTOTAL(9,CJ10:CJ187)</f>
        <v/>
      </c>
      <c r="CK7" s="557">
        <f>SUBTOTAL(9,CK10:CK187)</f>
        <v/>
      </c>
      <c r="CL7" s="557">
        <f>SUBTOTAL(9,CL10:CL187)</f>
        <v/>
      </c>
      <c r="CM7" s="557">
        <f>SUBTOTAL(9,CM10:CM187)</f>
        <v/>
      </c>
      <c r="CN7" s="557">
        <f>SUBTOTAL(9,CN10:CN187)</f>
        <v/>
      </c>
      <c r="CO7" s="557">
        <f>SUBTOTAL(9,CO10:CO187)</f>
        <v/>
      </c>
      <c r="CP7" s="557">
        <f>SUBTOTAL(9,CP10:CP187)</f>
        <v/>
      </c>
      <c r="CQ7" s="557">
        <f>SUBTOTAL(9,CQ10:CQ187)</f>
        <v/>
      </c>
      <c r="CR7" s="557">
        <f>SUBTOTAL(9,CR10:CR187)</f>
        <v/>
      </c>
      <c r="CS7" s="557">
        <f>SUBTOTAL(9,CS10:CS187)</f>
        <v/>
      </c>
      <c r="CT7" s="557">
        <f>SUBTOTAL(9,CT10:CT187)</f>
        <v/>
      </c>
      <c r="CU7" s="557">
        <f>SUBTOTAL(9,CU10:CU187)</f>
        <v/>
      </c>
      <c r="CV7" s="557">
        <f>SUBTOTAL(9,CV10:CV187)</f>
        <v/>
      </c>
      <c r="CW7" s="557">
        <f>SUBTOTAL(9,CW10:CW187)</f>
        <v/>
      </c>
      <c r="CX7" s="557">
        <f>SUBTOTAL(9,CX10:CX187)</f>
        <v/>
      </c>
      <c r="CY7" s="557">
        <f>SUBTOTAL(9,CY10:CY187)</f>
        <v/>
      </c>
      <c r="CZ7" s="557">
        <f>SUBTOTAL(9,CZ10:CZ187)</f>
        <v/>
      </c>
      <c r="DA7" s="557">
        <f>SUBTOTAL(9,DA10:DA187)</f>
        <v/>
      </c>
      <c r="DB7" s="557">
        <f>SUBTOTAL(9,DB10:DB187)</f>
        <v/>
      </c>
      <c r="DC7" s="557">
        <f>SUBTOTAL(9,DC10:DC187)</f>
        <v/>
      </c>
      <c r="DD7" s="557">
        <f>SUBTOTAL(9,DD10:DD187)</f>
        <v/>
      </c>
      <c r="DE7" s="557">
        <f>SUBTOTAL(9,DE10:DE187)</f>
        <v/>
      </c>
      <c r="DF7" s="557">
        <f>SUBTOTAL(9,DF10:DF187)</f>
        <v/>
      </c>
      <c r="DG7" s="557">
        <f>SUBTOTAL(9,DG10:DG187)</f>
        <v/>
      </c>
      <c r="DH7" s="557">
        <f>SUBTOTAL(9,DH10:DH187)</f>
        <v/>
      </c>
      <c r="DI7" s="557">
        <f>SUBTOTAL(9,DI10:DI187)</f>
        <v/>
      </c>
      <c r="DJ7" s="557">
        <f>SUBTOTAL(9,DJ10:DJ187)</f>
        <v/>
      </c>
      <c r="DK7" s="557">
        <f>SUBTOTAL(9,DK10:DK187)</f>
        <v/>
      </c>
      <c r="DL7" s="557">
        <f>SUBTOTAL(9,DL10:DL187)</f>
        <v/>
      </c>
      <c r="DM7" s="557">
        <f>SUBTOTAL(9,DM10:DM187)</f>
        <v/>
      </c>
      <c r="DN7" s="557">
        <f>SUBTOTAL(9,DN10:DN187)</f>
        <v/>
      </c>
      <c r="DO7" s="557">
        <f>SUBTOTAL(9,DO10:DO187)</f>
        <v/>
      </c>
      <c r="DP7" s="557">
        <f>SUBTOTAL(9,DP10:DP187)</f>
        <v/>
      </c>
      <c r="DQ7" s="557">
        <f>SUBTOTAL(9,DQ10:DQ187)</f>
        <v/>
      </c>
      <c r="DR7" s="557">
        <f>SUBTOTAL(9,DR10:DR187)</f>
        <v/>
      </c>
      <c r="DS7" s="557">
        <f>SUBTOTAL(9,DS10:DS187)</f>
        <v/>
      </c>
      <c r="DT7" s="557">
        <f>SUBTOTAL(9,DT10:DT187)</f>
        <v/>
      </c>
      <c r="DU7" s="557">
        <f>SUBTOTAL(9,DU10:DU187)</f>
        <v/>
      </c>
      <c r="DV7" s="557">
        <f>SUBTOTAL(9,DV10:DV187)</f>
        <v/>
      </c>
      <c r="DW7" s="557">
        <f>SUBTOTAL(9,DW10:DW187)</f>
        <v/>
      </c>
      <c r="DX7" s="557">
        <f>SUBTOTAL(9,DX10:DX187)</f>
        <v/>
      </c>
      <c r="DY7" s="557">
        <f>SUBTOTAL(9,DY10:DY187)</f>
        <v/>
      </c>
      <c r="DZ7" s="557">
        <f>SUBTOTAL(9,DZ10:DZ187)</f>
        <v/>
      </c>
      <c r="EA7" s="557">
        <f>SUBTOTAL(9,EA10:EA187)</f>
        <v/>
      </c>
      <c r="EB7" s="557">
        <f>SUBTOTAL(9,EB10:EB187)</f>
        <v/>
      </c>
      <c r="EC7" s="557">
        <f>SUBTOTAL(9,EC10:EC187)</f>
        <v/>
      </c>
      <c r="ED7" s="557">
        <f>SUBTOTAL(9,ED10:ED187)</f>
        <v/>
      </c>
      <c r="EE7" s="557">
        <f>SUBTOTAL(9,EE10:EE187)</f>
        <v/>
      </c>
      <c r="EF7" s="557">
        <f>SUBTOTAL(9,EF10:EF187)</f>
        <v/>
      </c>
      <c r="EG7" s="557">
        <f>SUBTOTAL(9,EG10:EG187)</f>
        <v/>
      </c>
      <c r="EH7" s="557">
        <f>SUBTOTAL(9,EH10:EH187)</f>
        <v/>
      </c>
      <c r="EI7" s="557">
        <f>SUBTOTAL(9,EI10:EI187)</f>
        <v/>
      </c>
      <c r="EJ7" s="557">
        <f>SUBTOTAL(9,EJ10:EJ187)</f>
        <v/>
      </c>
      <c r="EK7" s="557">
        <f>SUBTOTAL(9,EK10:EK187)</f>
        <v/>
      </c>
      <c r="EL7" s="557">
        <f>SUBTOTAL(9,EL10:EL187)</f>
        <v/>
      </c>
      <c r="EM7" s="557">
        <f>SUBTOTAL(9,EM10:EM187)</f>
        <v/>
      </c>
      <c r="EN7" s="557">
        <f>SUBTOTAL(9,EN10:EN187)</f>
        <v/>
      </c>
      <c r="EO7" s="557">
        <f>SUBTOTAL(9,EO10:EO187)</f>
        <v/>
      </c>
      <c r="EP7" s="557">
        <f>SUBTOTAL(9,EP10:EP187)</f>
        <v/>
      </c>
      <c r="EQ7" s="557">
        <f>SUBTOTAL(9,EQ10:EQ187)</f>
        <v/>
      </c>
      <c r="ER7" s="557">
        <f>SUBTOTAL(9,ER10:ER187)</f>
        <v/>
      </c>
      <c r="ES7" s="557">
        <f>SUBTOTAL(9,ES10:ES187)</f>
        <v/>
      </c>
      <c r="ET7" s="557">
        <f>SUBTOTAL(9,ET10:ET187)</f>
        <v/>
      </c>
      <c r="EU7" s="557">
        <f>SUBTOTAL(9,EU10:EU187)</f>
        <v/>
      </c>
      <c r="EV7" s="557">
        <f>SUBTOTAL(9,EV10:EV187)</f>
        <v/>
      </c>
      <c r="EW7" s="557">
        <f>SUBTOTAL(9,EW10:EW187)</f>
        <v/>
      </c>
      <c r="EX7" s="557">
        <f>SUBTOTAL(9,EX10:EX187)</f>
        <v/>
      </c>
      <c r="EY7" s="557">
        <f>SUBTOTAL(9,EY10:EY187)</f>
        <v/>
      </c>
      <c r="EZ7" s="557">
        <f>SUBTOTAL(9,EZ10:EZ187)</f>
        <v/>
      </c>
      <c r="FA7" s="557">
        <f>SUBTOTAL(9,FA10:FA187)</f>
        <v/>
      </c>
      <c r="FB7" s="557">
        <f>SUBTOTAL(9,FB10:FB187)</f>
        <v/>
      </c>
      <c r="FC7" s="557">
        <f>SUBTOTAL(9,FC10:FC187)</f>
        <v/>
      </c>
      <c r="FD7" s="557">
        <f>SUBTOTAL(9,FD10:FD187)</f>
        <v/>
      </c>
      <c r="FE7" s="557">
        <f>SUBTOTAL(9,FE10:FE187)</f>
        <v/>
      </c>
      <c r="FF7" s="557">
        <f>SUBTOTAL(9,FF10:FF187)</f>
        <v/>
      </c>
      <c r="FG7" s="557">
        <f>SUBTOTAL(9,FG10:FG187)</f>
        <v/>
      </c>
      <c r="FH7" s="557">
        <f>SUBTOTAL(9,FH10:FH187)</f>
        <v/>
      </c>
      <c r="FI7" s="557">
        <f>SUBTOTAL(9,FI10:FI187)</f>
        <v/>
      </c>
      <c r="FJ7" s="557">
        <f>SUBTOTAL(9,FJ10:FJ187)</f>
        <v/>
      </c>
      <c r="FK7" s="557">
        <f>SUBTOTAL(9,FK10:FK187)</f>
        <v/>
      </c>
      <c r="FL7" s="557">
        <f>SUBTOTAL(9,FL10:FL187)</f>
        <v/>
      </c>
      <c r="FM7" s="557">
        <f>SUBTOTAL(9,FM10:FM187)</f>
        <v/>
      </c>
      <c r="FN7" s="557">
        <f>SUBTOTAL(9,FN10:FN187)</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row>
    <row r="10" customFormat="1" s="568">
      <c r="A10" s="86" t="n"/>
      <c r="B10" s="85" t="n"/>
      <c r="C10" s="84">
        <f>IFERROR(IF(AND($E10&gt;0,$D10&lt;&gt;"The Public"),$E10/SUMIFS($E$10:$E$186,$E$10:$E$186,"&gt;0",$D$10:$D$186,"&lt;&gt;The Public")*$D$5,""),"")</f>
        <v/>
      </c>
      <c r="D10" s="177" t="inlineStr">
        <is>
          <t>United States of America</t>
        </is>
      </c>
      <c r="E10" s="84">
        <f>SUM(G10:HG10)</f>
        <v/>
      </c>
      <c r="F10" s="569">
        <f>IFERROR(IF($E10&gt;0.0000005,$E10/SUMIF($E$11:$E$140,"&gt;0.0000005"),""),"")</f>
        <v/>
      </c>
      <c r="G10" s="570" t="n">
        <v>1</v>
      </c>
      <c r="H10" s="572" t="n">
        <v>-1</v>
      </c>
      <c r="I10" s="572" t="n"/>
      <c r="J10" s="572" t="n"/>
      <c r="K10" s="572" t="n"/>
      <c r="L10" s="572"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4" t="n"/>
      <c r="AK10" s="574" t="n"/>
      <c r="AL10" s="574" t="n"/>
      <c r="AM10" s="574" t="n"/>
      <c r="AN10" s="574" t="n"/>
      <c r="AO10" s="574" t="n"/>
      <c r="AP10" s="574" t="n"/>
      <c r="AQ10" s="574" t="n"/>
      <c r="AR10" s="574" t="n"/>
      <c r="AS10" s="574" t="n"/>
      <c r="AT10" s="574" t="n"/>
      <c r="AU10" s="574" t="n"/>
      <c r="AV10" s="574" t="n"/>
      <c r="AW10" s="574" t="n"/>
      <c r="AX10" s="574" t="n"/>
      <c r="AY10" s="574" t="n"/>
      <c r="AZ10" s="574" t="n"/>
      <c r="BA10" s="574" t="n"/>
      <c r="BB10" s="574" t="n"/>
      <c r="BC10" s="574" t="n"/>
      <c r="BD10" s="574" t="n"/>
      <c r="BE10" s="574" t="n"/>
      <c r="BF10" s="574" t="n"/>
      <c r="BG10" s="574" t="n"/>
      <c r="BH10" s="574"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row>
    <row r="11" customFormat="1" s="568">
      <c r="A11" s="68" t="n"/>
      <c r="B11" s="85" t="n"/>
      <c r="C11" s="137">
        <f>IFERROR(IF(AND($E11&gt;0,$D11&lt;&gt;"The Public"),$E11/SUMIFS($E$10:$E$186,$E$10:$E$186,"&gt;0",$D$10:$D$186,"&lt;&gt;The Public")*$D$5,""),"")</f>
        <v/>
      </c>
      <c r="D11" s="177" t="inlineStr">
        <is>
          <t>Leo Kennett</t>
        </is>
      </c>
      <c r="E11" s="137">
        <f>SUM(G11:HG11)</f>
        <v/>
      </c>
      <c r="F11" s="569">
        <f>IFERROR(IF($E11&gt;0.0000005,$E11/SUMIF($E$11:$E$140,"&gt;0.0000005"),""),"")</f>
        <v/>
      </c>
      <c r="G11" s="570" t="n"/>
      <c r="H11" s="572" t="n">
        <v>1</v>
      </c>
      <c r="I11" s="572" t="n">
        <v>-1</v>
      </c>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4" t="n"/>
      <c r="AK11" s="574" t="n"/>
      <c r="AL11" s="574" t="n"/>
      <c r="AM11" s="574" t="n"/>
      <c r="AN11" s="574" t="n"/>
      <c r="AO11" s="574" t="n"/>
      <c r="AP11" s="574" t="n"/>
      <c r="AQ11" s="574" t="n"/>
      <c r="AR11" s="574" t="n"/>
      <c r="AS11" s="574" t="n"/>
      <c r="AT11" s="574" t="n"/>
      <c r="AU11" s="574" t="n"/>
      <c r="AV11" s="574" t="n"/>
      <c r="AW11" s="574" t="n"/>
      <c r="AX11" s="574" t="n"/>
      <c r="AY11" s="574" t="n"/>
      <c r="AZ11" s="574" t="n"/>
      <c r="BA11" s="574" t="n"/>
      <c r="BB11" s="574" t="n"/>
      <c r="BC11" s="574" t="n"/>
      <c r="BD11" s="574" t="n"/>
      <c r="BE11" s="574" t="n"/>
      <c r="BF11" s="574" t="n"/>
      <c r="BG11" s="574" t="n"/>
      <c r="BH11" s="574"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row>
    <row r="12" customFormat="1" s="568">
      <c r="A12" s="68" t="n"/>
      <c r="B12" s="85" t="n"/>
      <c r="C12" s="137">
        <f>IFERROR(IF(AND($E12&gt;0,$D12&lt;&gt;"The Public"),$E12/SUMIFS($E$10:$E$186,$E$10:$E$186,"&gt;0",$D$10:$D$186,"&lt;&gt;The Public")*$D$5,""),"")</f>
        <v/>
      </c>
      <c r="D12" s="177" t="inlineStr">
        <is>
          <t>Mack Hambrook</t>
        </is>
      </c>
      <c r="E12" s="137">
        <f>SUM(G12:HG12)</f>
        <v/>
      </c>
      <c r="F12" s="569">
        <f>IFERROR(IF($E12&gt;0.0000005,$E12/SUMIF($E$11:$E$140,"&gt;0.0000005"),""),"")</f>
        <v/>
      </c>
      <c r="G12" s="570" t="n"/>
      <c r="H12" s="572" t="n"/>
      <c r="I12" s="572" t="n">
        <v>1</v>
      </c>
      <c r="J12" s="572" t="n">
        <v>-1</v>
      </c>
      <c r="K12" s="572" t="n"/>
      <c r="L12" s="572"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4" t="n"/>
      <c r="AK12" s="574" t="n"/>
      <c r="AL12" s="574" t="n"/>
      <c r="AM12" s="574" t="n"/>
      <c r="AN12" s="574" t="n"/>
      <c r="AO12" s="574" t="n"/>
      <c r="AP12" s="574" t="n"/>
      <c r="AQ12" s="574" t="n"/>
      <c r="AR12" s="574" t="n"/>
      <c r="AS12" s="574" t="n"/>
      <c r="AT12" s="574" t="n"/>
      <c r="AU12" s="574" t="n"/>
      <c r="AV12" s="574" t="n"/>
      <c r="AW12" s="574" t="n"/>
      <c r="AX12" s="574" t="n"/>
      <c r="AY12" s="574" t="n"/>
      <c r="AZ12" s="574" t="n"/>
      <c r="BA12" s="574" t="n"/>
      <c r="BB12" s="574" t="n"/>
      <c r="BC12" s="574" t="n"/>
      <c r="BD12" s="574" t="n"/>
      <c r="BE12" s="574" t="n"/>
      <c r="BF12" s="574" t="n"/>
      <c r="BG12" s="574" t="n"/>
      <c r="BH12" s="574"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row>
    <row r="13" customFormat="1" s="568">
      <c r="B13" s="575" t="n"/>
      <c r="C13" s="84">
        <f>IFERROR(IF(AND($E13&gt;0,$D13&lt;&gt;"The Public"),$E13/SUMIFS($E$10:$E$186,$E$10:$E$186,"&gt;0",$D$10:$D$186,"&lt;&gt;The Public")*$D$5,""),"")</f>
        <v/>
      </c>
      <c r="D13" s="177" t="inlineStr">
        <is>
          <t>H. M. Carter and Ethel Carter, HW</t>
        </is>
      </c>
      <c r="E13" s="84">
        <f>SUM(G13:HG13)</f>
        <v/>
      </c>
      <c r="F13" s="569">
        <f>IFERROR(IF($E13&gt;0.0000005,$E13/SUMIF($E$11:$E$140,"&gt;0.0000005"),""),"")</f>
        <v/>
      </c>
      <c r="G13" s="570" t="n"/>
      <c r="H13" s="572" t="n"/>
      <c r="I13" s="572" t="n"/>
      <c r="J13" s="572" t="n">
        <v>1</v>
      </c>
      <c r="K13" s="572" t="n">
        <v>-0.5</v>
      </c>
      <c r="L13" s="572" t="n">
        <v>-0.07692307692307693</v>
      </c>
      <c r="M13" s="572" t="n">
        <v>-0.423076923076923</v>
      </c>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4" t="n"/>
      <c r="AK13" s="574" t="n"/>
      <c r="AL13" s="574" t="n"/>
      <c r="AM13" s="574" t="n"/>
      <c r="AN13" s="574" t="n"/>
      <c r="AO13" s="574" t="n"/>
      <c r="AP13" s="574" t="n"/>
      <c r="AQ13" s="574" t="n"/>
      <c r="AR13" s="574" t="n"/>
      <c r="AS13" s="574" t="n"/>
      <c r="AT13" s="574" t="n"/>
      <c r="AU13" s="574" t="n"/>
      <c r="AV13" s="574" t="n"/>
      <c r="AW13" s="574" t="n"/>
      <c r="AX13" s="574" t="n"/>
      <c r="AY13" s="574" t="n"/>
      <c r="AZ13" s="574" t="n"/>
      <c r="BA13" s="574" t="n"/>
      <c r="BB13" s="574" t="n"/>
      <c r="BC13" s="574" t="n"/>
      <c r="BD13" s="574" t="n"/>
      <c r="BE13" s="574" t="n"/>
      <c r="BF13" s="574" t="n"/>
      <c r="BG13" s="574" t="n"/>
      <c r="BH13" s="574"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row>
    <row r="14" customFormat="1" s="568">
      <c r="A14" s="127" t="n"/>
      <c r="B14" s="127" t="n"/>
      <c r="C14" s="84">
        <f>IFERROR(IF(AND($E14&gt;0,$D14&lt;&gt;"The Public"),$E14/SUMIFS($E$10:$E$186,$E$10:$E$186,"&gt;0",$D$10:$D$186,"&lt;&gt;The Public")*$D$5,""),"")</f>
        <v/>
      </c>
      <c r="D14" s="177" t="inlineStr">
        <is>
          <t>Marvin G. Mitchell and Carrie Lou Mitchell, HW, JTWROS</t>
        </is>
      </c>
      <c r="E14" s="84">
        <f>SUM(G14:HG14)</f>
        <v/>
      </c>
      <c r="F14" s="569">
        <f>IFERROR(IF($E14&gt;0.0000005,$E14/SUMIF($E$11:$E$140,"&gt;0.0000005"),""),"")</f>
        <v/>
      </c>
      <c r="G14" s="570" t="n"/>
      <c r="H14" s="572" t="n"/>
      <c r="I14" s="572" t="n"/>
      <c r="J14" s="572" t="n"/>
      <c r="K14" s="572" t="n">
        <v>0.5</v>
      </c>
      <c r="L14" s="573" t="n"/>
      <c r="M14" s="573" t="n">
        <v>0.4230769230769231</v>
      </c>
      <c r="N14" s="573" t="n">
        <v>0</v>
      </c>
      <c r="O14" s="573"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4" t="n"/>
      <c r="AK14" s="574" t="n"/>
      <c r="AL14" s="574" t="n"/>
      <c r="AM14" s="574" t="n"/>
      <c r="AN14" s="574" t="n"/>
      <c r="AO14" s="574" t="n"/>
      <c r="AP14" s="574" t="n"/>
      <c r="AQ14" s="574" t="n"/>
      <c r="AR14" s="574" t="n"/>
      <c r="AS14" s="574" t="n"/>
      <c r="AT14" s="574" t="n"/>
      <c r="AU14" s="574" t="n"/>
      <c r="AV14" s="574" t="n"/>
      <c r="AW14" s="574" t="n"/>
      <c r="AX14" s="574" t="n"/>
      <c r="AY14" s="574" t="n"/>
      <c r="AZ14" s="574" t="n"/>
      <c r="BA14" s="574" t="n"/>
      <c r="BB14" s="574" t="n"/>
      <c r="BC14" s="574" t="n"/>
      <c r="BD14" s="574" t="n"/>
      <c r="BE14" s="574" t="n"/>
      <c r="BF14" s="574" t="n"/>
      <c r="BG14" s="574" t="n"/>
      <c r="BH14" s="574"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row>
    <row r="15" customFormat="1" s="568">
      <c r="A15" s="86" t="n"/>
      <c r="B15" s="85" t="n"/>
      <c r="C15" s="84">
        <f>IFERROR(IF(AND($E15&gt;0,$D15&lt;&gt;"The Public"),$E15/SUMIFS($E$10:$E$186,$E$10:$E$186,"&gt;0",$D$10:$D$186,"&lt;&gt;The Public")*$D$5,""),"")</f>
        <v/>
      </c>
      <c r="D15" s="177" t="inlineStr">
        <is>
          <t>G. C. Mitchel</t>
        </is>
      </c>
      <c r="E15" s="84">
        <f>SUM(G15:HG15)</f>
        <v/>
      </c>
      <c r="F15" s="569">
        <f>IFERROR(IF($E15&gt;0.0000005,$E15/SUMIF($E$11:$E$140,"&gt;0.0000005"),""),"")</f>
        <v/>
      </c>
      <c r="G15" s="570" t="n"/>
      <c r="H15" s="572" t="n"/>
      <c r="I15" s="572" t="n"/>
      <c r="J15" s="572" t="n"/>
      <c r="K15" s="572" t="n"/>
      <c r="L15" s="573" t="n">
        <v>0.03846153846153845</v>
      </c>
      <c r="M15" s="573" t="n"/>
      <c r="N15" s="572" t="n"/>
      <c r="O15" s="573"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4" t="n"/>
      <c r="AK15" s="574" t="n"/>
      <c r="AL15" s="574" t="n"/>
      <c r="AM15" s="574" t="n"/>
      <c r="AN15" s="574" t="n"/>
      <c r="AO15" s="574" t="n"/>
      <c r="AP15" s="574" t="n"/>
      <c r="AQ15" s="574" t="n"/>
      <c r="AR15" s="574" t="n"/>
      <c r="AS15" s="574" t="n"/>
      <c r="AT15" s="574" t="n"/>
      <c r="AU15" s="574" t="n"/>
      <c r="AV15" s="574" t="n"/>
      <c r="AW15" s="574" t="n"/>
      <c r="AX15" s="574" t="n"/>
      <c r="AY15" s="574" t="n"/>
      <c r="AZ15" s="574" t="n"/>
      <c r="BA15" s="574" t="n"/>
      <c r="BB15" s="574" t="n"/>
      <c r="BC15" s="574" t="n"/>
      <c r="BD15" s="574" t="n"/>
      <c r="BE15" s="574" t="n"/>
      <c r="BF15" s="574" t="n"/>
      <c r="BG15" s="574" t="n"/>
      <c r="BH15" s="574"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row>
    <row r="16" customFormat="1" s="568">
      <c r="A16" s="86" t="n"/>
      <c r="B16" s="87" t="n"/>
      <c r="C16" s="84">
        <f>IFERROR(IF(AND($E16&gt;0,$D16&lt;&gt;"The Public"),$E16/SUMIFS($E$10:$E$186,$E$10:$E$186,"&gt;0",$D$10:$D$186,"&lt;&gt;The Public")*$D$5,""),"")</f>
        <v/>
      </c>
      <c r="D16" s="177" t="inlineStr">
        <is>
          <t>Glenn D. Mitchel</t>
        </is>
      </c>
      <c r="E16" s="84">
        <f>SUM(G16:HH16)</f>
        <v/>
      </c>
      <c r="F16" s="569">
        <f>IFERROR(IF($E16&gt;0.0000005,$E16/SUMIF($E$11:$E$140,"&gt;0.0000005"),""),"")</f>
        <v/>
      </c>
      <c r="G16" s="570" t="n"/>
      <c r="H16" s="572" t="n"/>
      <c r="I16" s="572" t="n"/>
      <c r="J16" s="572" t="n"/>
      <c r="K16" s="572" t="n"/>
      <c r="L16" s="573" t="n">
        <v>0.03846153846153845</v>
      </c>
      <c r="M16" s="573" t="n"/>
      <c r="N16" s="573"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4" t="n"/>
      <c r="AK16" s="574" t="n"/>
      <c r="AL16" s="574" t="n"/>
      <c r="AM16" s="574" t="n"/>
      <c r="AN16" s="574" t="n"/>
      <c r="AO16" s="574" t="n"/>
      <c r="AP16" s="574" t="n"/>
      <c r="AQ16" s="574" t="n"/>
      <c r="AR16" s="574" t="n"/>
      <c r="AS16" s="574" t="n"/>
      <c r="AT16" s="574" t="n">
        <v>0.333333333333333</v>
      </c>
      <c r="AU16" s="574" t="n"/>
      <c r="AV16" s="574" t="n"/>
      <c r="AW16" s="574" t="n"/>
      <c r="AX16" s="574" t="n"/>
      <c r="AY16" s="574" t="n"/>
      <c r="AZ16" s="574" t="n"/>
      <c r="BA16" s="574" t="n"/>
      <c r="BB16" s="574" t="n"/>
      <c r="BC16" s="574" t="n"/>
      <c r="BD16" s="574" t="n"/>
      <c r="BE16" s="574" t="n"/>
      <c r="BF16" s="574" t="n"/>
      <c r="BG16" s="574" t="n"/>
      <c r="BH16" s="574"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row>
    <row r="17" customFormat="1" s="568">
      <c r="A17" s="86" t="n"/>
      <c r="B17" s="87" t="n"/>
      <c r="C17" s="84">
        <f>IFERROR(IF(AND($E17&gt;0,$D17&lt;&gt;"The Public"),$E17/SUMIFS($E$10:$E$186,$E$10:$E$186,"&gt;0",$D$10:$D$186,"&lt;&gt;The Public")*$D$5,""),"")</f>
        <v/>
      </c>
      <c r="D17" s="178" t="inlineStr">
        <is>
          <t>Elvin J. Ridling and Dorothy Jean Ridling, HW</t>
        </is>
      </c>
      <c r="E17" s="84">
        <f>SUM(G17:HH17)</f>
        <v/>
      </c>
      <c r="F17" s="569">
        <f>IFERROR(IF($E17&gt;0.0000005,$E17/SUMIF($E$11:$E$140,"&gt;0.0000005"),""),"")</f>
        <v/>
      </c>
      <c r="G17" s="570" t="n"/>
      <c r="H17" s="572" t="n"/>
      <c r="I17" s="572" t="n"/>
      <c r="J17" s="572" t="n"/>
      <c r="K17" s="572" t="n"/>
      <c r="L17" s="572" t="n"/>
      <c r="M17" s="572" t="n"/>
      <c r="N17" s="572" t="n">
        <v>0</v>
      </c>
      <c r="O17" s="572" t="n"/>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4" t="n"/>
      <c r="AK17" s="574" t="n"/>
      <c r="AL17" s="574" t="n"/>
      <c r="AM17" s="574" t="n"/>
      <c r="AN17" s="574" t="n"/>
      <c r="AO17" s="574" t="n"/>
      <c r="AP17" s="574" t="n"/>
      <c r="AQ17" s="574" t="n"/>
      <c r="AR17" s="574" t="n"/>
      <c r="AS17" s="574" t="n"/>
      <c r="AT17" s="574" t="n"/>
      <c r="AU17" s="574" t="n"/>
      <c r="AV17" s="574" t="n"/>
      <c r="AW17" s="574" t="n"/>
      <c r="AX17" s="574" t="n"/>
      <c r="AY17" s="574" t="n"/>
      <c r="AZ17" s="574" t="n"/>
      <c r="BA17" s="574" t="n"/>
      <c r="BB17" s="574" t="n"/>
      <c r="BC17" s="574" t="n"/>
      <c r="BD17" s="574" t="n"/>
      <c r="BE17" s="574" t="n"/>
      <c r="BF17" s="574" t="n"/>
      <c r="BG17" s="574" t="n"/>
      <c r="BH17" s="574"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row>
    <row r="18" customFormat="1" s="568">
      <c r="A18" s="86" t="n"/>
      <c r="B18" s="87" t="n"/>
      <c r="C18" s="488">
        <f>IFERROR(IF(AND($E18&gt;0,$D18&lt;&gt;"The Public"),$E18/SUMIFS($E$10:$E$186,$E$10:$E$186,"&gt;0",$D$10:$D$186,"&lt;&gt;The Public")*$D$5,""),"")</f>
        <v/>
      </c>
      <c r="D18" s="492" t="inlineStr">
        <is>
          <t>L. E. Thurman and Veronica Thurman, HW</t>
        </is>
      </c>
      <c r="E18" s="488">
        <f>SUM(G18:HH18)</f>
        <v/>
      </c>
      <c r="F18" s="569">
        <f>IFERROR(IF($E18&gt;0.0000005,$E18/SUMIF($E$11:$E$140,"&gt;0.0000005"),""),"")</f>
        <v/>
      </c>
      <c r="G18" s="570" t="n"/>
      <c r="H18" s="572" t="n"/>
      <c r="I18" s="572" t="n"/>
      <c r="J18" s="572" t="n"/>
      <c r="K18" s="572" t="n"/>
      <c r="L18" s="572" t="n"/>
      <c r="M18" s="572" t="n"/>
      <c r="N18" s="572" t="n"/>
      <c r="O18" s="572" t="n">
        <v>-0.230769230769231</v>
      </c>
      <c r="P18" s="572" t="n"/>
      <c r="Q18" s="573" t="n"/>
      <c r="R18" s="573" t="n"/>
      <c r="S18" s="572" t="n"/>
      <c r="T18" s="573" t="n"/>
      <c r="U18" s="572" t="n"/>
      <c r="V18" s="572" t="n"/>
      <c r="W18" s="572" t="n"/>
      <c r="X18" s="572" t="n"/>
      <c r="Y18" s="572" t="n"/>
      <c r="Z18" s="572" t="n"/>
      <c r="AA18" s="572" t="n"/>
      <c r="AB18" s="572" t="n"/>
      <c r="AC18" s="572" t="n"/>
      <c r="AD18" s="572" t="n"/>
      <c r="AE18" s="572" t="n"/>
      <c r="AF18" s="572" t="n"/>
      <c r="AG18" s="572" t="n"/>
      <c r="AH18" s="572" t="n"/>
      <c r="AI18" s="572" t="n"/>
      <c r="AJ18" s="574" t="n"/>
      <c r="AK18" s="574" t="n"/>
      <c r="AL18" s="574" t="n"/>
      <c r="AM18" s="574" t="n"/>
      <c r="AN18" s="574" t="n"/>
      <c r="AO18" s="574" t="n"/>
      <c r="AP18" s="574" t="n"/>
      <c r="AQ18" s="574" t="n"/>
      <c r="AR18" s="574" t="n"/>
      <c r="AS18" s="574" t="n"/>
      <c r="AT18" s="574" t="n"/>
      <c r="AU18" s="574" t="n"/>
      <c r="AV18" s="574" t="n"/>
      <c r="AW18" s="574" t="n"/>
      <c r="AX18" s="574" t="n"/>
      <c r="AY18" s="574" t="n"/>
      <c r="AZ18" s="574" t="n"/>
      <c r="BA18" s="574" t="n"/>
      <c r="BB18" s="574" t="n"/>
      <c r="BC18" s="574" t="n"/>
      <c r="BD18" s="574" t="n"/>
      <c r="BE18" s="574" t="n"/>
      <c r="BF18" s="574" t="n"/>
      <c r="BG18" s="574" t="n"/>
      <c r="BH18" s="574"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row>
    <row r="19" customFormat="1" s="568">
      <c r="A19" s="86" t="n"/>
      <c r="B19" s="85" t="n"/>
      <c r="C19" s="84">
        <f>IFERROR(IF(AND($E19&gt;0,$D19&lt;&gt;"The Public"),$E19/SUMIFS($E$10:$E$186,$E$10:$E$186,"&gt;0",$D$10:$D$186,"&lt;&gt;The Public")*$D$5,""),"")</f>
        <v/>
      </c>
      <c r="D19" s="177" t="inlineStr">
        <is>
          <t>Marie Lister</t>
        </is>
      </c>
      <c r="E19" s="84">
        <f>SUM(G19:HH19)</f>
        <v/>
      </c>
      <c r="F19" s="569">
        <f>IFERROR(IF($E19&gt;0.0000005,$E19/SUMIF($E$11:$E$140,"&gt;0.0000005"),""),"")</f>
        <v/>
      </c>
      <c r="G19" s="570" t="n"/>
      <c r="H19" s="572" t="n"/>
      <c r="I19" s="572" t="n"/>
      <c r="J19" s="572" t="n"/>
      <c r="K19" s="572" t="n"/>
      <c r="L19" s="572" t="n"/>
      <c r="M19" s="572" t="n"/>
      <c r="N19" s="572" t="n"/>
      <c r="O19" s="572" t="n">
        <v>0.230769230769231</v>
      </c>
      <c r="P19" s="572" t="n">
        <v>-0.153846153846154</v>
      </c>
      <c r="Q19" s="573" t="n">
        <v>-0.0384615384615385</v>
      </c>
      <c r="R19" s="573" t="n">
        <v>-0.0384615384615385</v>
      </c>
      <c r="S19" s="572" t="n"/>
      <c r="T19" s="572" t="n"/>
      <c r="U19" s="572" t="n"/>
      <c r="V19" s="572" t="n"/>
      <c r="W19" s="572" t="n"/>
      <c r="X19" s="572" t="n"/>
      <c r="Y19" s="572" t="n"/>
      <c r="Z19" s="572" t="n"/>
      <c r="AA19" s="572" t="n"/>
      <c r="AB19" s="572" t="n"/>
      <c r="AC19" s="572" t="n"/>
      <c r="AD19" s="572" t="n"/>
      <c r="AE19" s="572" t="n"/>
      <c r="AF19" s="572" t="n"/>
      <c r="AG19" s="572" t="n"/>
      <c r="AH19" s="572" t="n"/>
      <c r="AI19" s="572" t="n"/>
      <c r="AJ19" s="574" t="n"/>
      <c r="AK19" s="574" t="n"/>
      <c r="AL19" s="574" t="n"/>
      <c r="AM19" s="574" t="n"/>
      <c r="AN19" s="574" t="n"/>
      <c r="AO19" s="574" t="n"/>
      <c r="AP19" s="574" t="n"/>
      <c r="AQ19" s="574" t="n"/>
      <c r="AR19" s="574" t="n"/>
      <c r="AS19" s="574" t="n"/>
      <c r="AT19" s="574" t="n"/>
      <c r="AU19" s="574" t="n"/>
      <c r="AV19" s="574" t="n"/>
      <c r="AW19" s="574" t="n"/>
      <c r="AX19" s="574" t="n"/>
      <c r="AY19" s="574" t="n"/>
      <c r="AZ19" s="574" t="n"/>
      <c r="BA19" s="574" t="n"/>
      <c r="BB19" s="574" t="n"/>
      <c r="BC19" s="574" t="n"/>
      <c r="BD19" s="574" t="n"/>
      <c r="BE19" s="574" t="n"/>
      <c r="BF19" s="574" t="n"/>
      <c r="BG19" s="574" t="n"/>
      <c r="BH19" s="574"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row>
    <row r="20" customFormat="1" s="568">
      <c r="A20" s="227" t="n"/>
      <c r="B20" s="87" t="n">
        <v>1</v>
      </c>
      <c r="C20" s="137">
        <f>IFERROR(IF(AND($E20&gt;0,$D20&lt;&gt;"The Public"),$E20/SUMIFS($E$10:$E$186,$E$10:$E$186,"&gt;0",$D$10:$D$186,"&lt;&gt;The Public")*$D$5,""),"")</f>
        <v/>
      </c>
      <c r="D20" s="52" t="inlineStr">
        <is>
          <t>W. H. Sorenson</t>
        </is>
      </c>
      <c r="E20" s="137">
        <f>SUM(G20:HH20)</f>
        <v/>
      </c>
      <c r="F20" s="569">
        <f>IFERROR(IF($E20&gt;0.0000005,$E20/SUMIF($E$11:$E$140,"&gt;0.0000005"),""),"")</f>
        <v/>
      </c>
      <c r="G20" s="570" t="n"/>
      <c r="H20" s="572" t="n"/>
      <c r="I20" s="572" t="n"/>
      <c r="J20" s="572" t="n"/>
      <c r="K20" s="572" t="n"/>
      <c r="L20" s="572" t="n"/>
      <c r="M20" s="572" t="n"/>
      <c r="N20" s="572" t="n"/>
      <c r="O20" s="572" t="n"/>
      <c r="P20" s="572" t="n">
        <v>0.153846153846154</v>
      </c>
      <c r="Q20" s="573" t="n"/>
      <c r="R20" s="572" t="n"/>
      <c r="S20" s="572" t="n"/>
      <c r="T20" s="572" t="n"/>
      <c r="U20" s="572" t="n"/>
      <c r="V20" s="572" t="n"/>
      <c r="W20" s="572" t="n"/>
      <c r="X20" s="572" t="n"/>
      <c r="Y20" s="572" t="n"/>
      <c r="Z20" s="572" t="n"/>
      <c r="AA20" s="572" t="n">
        <v>-0.153846153846154</v>
      </c>
      <c r="AB20" s="572" t="n"/>
      <c r="AC20" s="572" t="n"/>
      <c r="AD20" s="572" t="n"/>
      <c r="AE20" s="572" t="n"/>
      <c r="AF20" s="572" t="n"/>
      <c r="AG20" s="572" t="n"/>
      <c r="AH20" s="572" t="n"/>
      <c r="AI20" s="572" t="n"/>
      <c r="AJ20" s="574" t="n"/>
      <c r="AK20" s="574" t="n"/>
      <c r="AL20" s="574" t="n"/>
      <c r="AM20" s="574" t="n"/>
      <c r="AN20" s="574" t="n"/>
      <c r="AO20" s="574" t="n"/>
      <c r="AP20" s="574" t="n"/>
      <c r="AQ20" s="574" t="n"/>
      <c r="AR20" s="574" t="n"/>
      <c r="AS20" s="574" t="n"/>
      <c r="AT20" s="574" t="n"/>
      <c r="AU20" s="574" t="n"/>
      <c r="AV20" s="574" t="n"/>
      <c r="AW20" s="574" t="n"/>
      <c r="AX20" s="574" t="n"/>
      <c r="AY20" s="574" t="n"/>
      <c r="AZ20" s="574" t="n"/>
      <c r="BA20" s="574" t="n"/>
      <c r="BB20" s="574" t="n"/>
      <c r="BC20" s="574" t="n"/>
      <c r="BD20" s="574" t="n"/>
      <c r="BE20" s="574" t="n"/>
      <c r="BF20" s="574" t="n"/>
      <c r="BG20" s="574" t="n"/>
      <c r="BH20" s="574"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row>
    <row r="21" customFormat="1" s="568">
      <c r="A21" s="227" t="n"/>
      <c r="B21" s="87" t="n"/>
      <c r="C21" s="84">
        <f>IFERROR(IF(AND($E21&gt;0,$D21&lt;&gt;"The Public"),$E21/SUMIFS($E$10:$E$186,$E$10:$E$186,"&gt;0",$D$10:$D$186,"&lt;&gt;The Public")*$D$5,""),"")</f>
        <v/>
      </c>
      <c r="D21" s="177" t="inlineStr">
        <is>
          <t>Mann Childrens Trust</t>
        </is>
      </c>
      <c r="E21" s="84">
        <f>SUM(G21:HG21)</f>
        <v/>
      </c>
      <c r="F21" s="569">
        <f>IFERROR(IF($E21&gt;0.0000005,$E21/SUMIF($E$11:$E$140,"&gt;0.0000005"),""),"")</f>
        <v/>
      </c>
      <c r="G21" s="570" t="n"/>
      <c r="H21" s="572" t="n"/>
      <c r="I21" s="572" t="n"/>
      <c r="J21" s="572" t="n"/>
      <c r="K21" s="572" t="n"/>
      <c r="L21" s="572" t="n"/>
      <c r="M21" s="572" t="n"/>
      <c r="N21" s="572" t="n"/>
      <c r="O21" s="572" t="n"/>
      <c r="P21" s="572" t="n"/>
      <c r="Q21" s="573" t="n">
        <v>0.0384615384615385</v>
      </c>
      <c r="R21" s="572" t="n"/>
      <c r="S21" s="573" t="n"/>
      <c r="T21" s="572" t="n"/>
      <c r="U21" s="572" t="n"/>
      <c r="V21" s="572" t="n"/>
      <c r="W21" s="572" t="n"/>
      <c r="X21" s="572" t="n"/>
      <c r="Y21" s="572" t="n"/>
      <c r="Z21" s="572" t="n"/>
      <c r="AA21" s="572" t="n"/>
      <c r="AB21" s="572" t="n"/>
      <c r="AC21" s="572" t="n"/>
      <c r="AD21" s="572" t="n"/>
      <c r="AE21" s="572" t="n"/>
      <c r="AF21" s="572" t="n"/>
      <c r="AG21" s="572" t="n"/>
      <c r="AH21" s="572" t="n"/>
      <c r="AI21" s="572" t="n"/>
      <c r="AJ21" s="574" t="n"/>
      <c r="AK21" s="574" t="n"/>
      <c r="AL21" s="574" t="n"/>
      <c r="AM21" s="574" t="n"/>
      <c r="AN21" s="574" t="n"/>
      <c r="AO21" s="574" t="n"/>
      <c r="AP21" s="574" t="n"/>
      <c r="AQ21" s="574" t="n"/>
      <c r="AR21" s="574" t="n"/>
      <c r="AS21" s="574" t="n"/>
      <c r="AT21" s="574" t="n"/>
      <c r="AU21" s="574" t="n"/>
      <c r="AV21" s="574" t="n"/>
      <c r="AW21" s="574" t="n"/>
      <c r="AX21" s="574" t="n"/>
      <c r="AY21" s="574" t="n"/>
      <c r="AZ21" s="574" t="n"/>
      <c r="BA21" s="574" t="n"/>
      <c r="BB21" s="574" t="n"/>
      <c r="BC21" s="574" t="n"/>
      <c r="BD21" s="574" t="n"/>
      <c r="BE21" s="574" t="n"/>
      <c r="BF21" s="574" t="n"/>
      <c r="BG21" s="574" t="n"/>
      <c r="BH21" s="574"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row>
    <row r="22" customFormat="1" s="568">
      <c r="A22" s="227" t="n"/>
      <c r="B22" s="87" t="n">
        <v>16</v>
      </c>
      <c r="C22" s="137">
        <f>IFERROR(IF(AND($E22&gt;0,$D22&lt;&gt;"The Public"),$E22/SUMIFS($E$10:$E$186,$E$10:$E$186,"&gt;0",$D$10:$D$186,"&lt;&gt;The Public")*$D$5,""),"")</f>
        <v/>
      </c>
      <c r="D22" s="177" t="inlineStr">
        <is>
          <t>J. E. Barnett</t>
        </is>
      </c>
      <c r="E22" s="137">
        <f>SUM(G22:HG22)</f>
        <v/>
      </c>
      <c r="F22" s="569">
        <f>IFERROR(IF($E22&gt;0.0000005,$E22/SUMIF($E$11:$E$140,"&gt;0.0000005"),""),"")</f>
        <v/>
      </c>
      <c r="G22" s="570" t="n"/>
      <c r="H22" s="572" t="n"/>
      <c r="I22" s="572" t="n"/>
      <c r="J22" s="572" t="n"/>
      <c r="K22" s="572" t="n"/>
      <c r="L22" s="572" t="n"/>
      <c r="M22" s="572" t="n"/>
      <c r="N22" s="572" t="n"/>
      <c r="O22" s="572" t="n"/>
      <c r="P22" s="572" t="n"/>
      <c r="Q22" s="572" t="n"/>
      <c r="R22" s="573" t="n">
        <v>0.0384615384615385</v>
      </c>
      <c r="S22" s="573" t="n"/>
      <c r="T22" s="573" t="n"/>
      <c r="U22" s="573" t="n"/>
      <c r="V22" s="573" t="n"/>
      <c r="W22" s="573" t="n"/>
      <c r="X22" s="573" t="n"/>
      <c r="Y22" s="573" t="n"/>
      <c r="Z22" s="573" t="n"/>
      <c r="AA22" s="573" t="n"/>
      <c r="AB22" s="572" t="n"/>
      <c r="AC22" s="572" t="n"/>
      <c r="AD22" s="573" t="n"/>
      <c r="AE22" s="572" t="n"/>
      <c r="AF22" s="572" t="n"/>
      <c r="AG22" s="572" t="n"/>
      <c r="AH22" s="572" t="n"/>
      <c r="AI22" s="572" t="n"/>
      <c r="AJ22" s="574" t="n"/>
      <c r="AK22" s="574" t="n"/>
      <c r="AL22" s="574" t="n"/>
      <c r="AM22" s="574" t="n"/>
      <c r="AN22" s="574" t="n"/>
      <c r="AO22" s="574" t="n"/>
      <c r="AP22" s="574" t="n"/>
      <c r="AQ22" s="574" t="n"/>
      <c r="AR22" s="574" t="n"/>
      <c r="AS22" s="574" t="n"/>
      <c r="AT22" s="574" t="n"/>
      <c r="AU22" s="574" t="n"/>
      <c r="AV22" s="574" t="n"/>
      <c r="AW22" s="574" t="n"/>
      <c r="AX22" s="574" t="n"/>
      <c r="AY22" s="574" t="n"/>
      <c r="AZ22" s="574" t="n"/>
      <c r="BA22" s="574" t="n"/>
      <c r="BB22" s="574" t="n"/>
      <c r="BC22" s="574" t="n"/>
      <c r="BD22" s="574" t="n"/>
      <c r="BE22" s="574" t="n"/>
      <c r="BF22" s="574" t="n"/>
      <c r="BG22" s="574" t="n"/>
      <c r="BH22" s="574"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row>
    <row r="23" customFormat="1" s="568">
      <c r="A23" s="227" t="inlineStr">
        <is>
          <t>Open</t>
        </is>
      </c>
      <c r="B23" s="87" t="n"/>
      <c r="C23" s="488">
        <f>IFERROR(IF(AND($E23&gt;0,$D23&lt;&gt;"The Public"),$E23/SUMIFS($E$10:$E$186,$E$10:$E$186,"&gt;0",$D$10:$D$186,"&lt;&gt;The Public")*$D$5,""),"")</f>
        <v/>
      </c>
      <c r="D23" s="490" t="inlineStr">
        <is>
          <t>Elmo W. Kirk and Freeda Kirk, HW</t>
        </is>
      </c>
      <c r="E23" s="488">
        <f>SUM(G23:HG23)</f>
        <v/>
      </c>
      <c r="F23" s="569">
        <f>IFERROR(IF($E23&gt;0.0000005,$E23/SUMIF($E$11:$E$140,"&gt;0.0000005"),""),"")</f>
        <v/>
      </c>
      <c r="G23" s="570" t="n"/>
      <c r="H23" s="572" t="n"/>
      <c r="I23" s="572" t="n"/>
      <c r="J23" s="572" t="n"/>
      <c r="K23" s="572" t="n"/>
      <c r="L23" s="572" t="n"/>
      <c r="M23" s="572" t="n"/>
      <c r="N23" s="572" t="n"/>
      <c r="O23" s="572" t="n"/>
      <c r="P23" s="572" t="n"/>
      <c r="Q23" s="572" t="n"/>
      <c r="R23" s="572" t="n"/>
      <c r="S23" s="572" t="n">
        <v>-1</v>
      </c>
      <c r="T23" s="572" t="n"/>
      <c r="U23" s="573" t="n"/>
      <c r="V23" s="572" t="n"/>
      <c r="W23" s="572" t="n"/>
      <c r="X23" s="572" t="n"/>
      <c r="Y23" s="572" t="n"/>
      <c r="Z23" s="572" t="n"/>
      <c r="AA23" s="572" t="n"/>
      <c r="AB23" s="572" t="n"/>
      <c r="AC23" s="572" t="n"/>
      <c r="AD23" s="572" t="n"/>
      <c r="AE23" s="572" t="n"/>
      <c r="AF23" s="572" t="n"/>
      <c r="AG23" s="572" t="n"/>
      <c r="AH23" s="572" t="n"/>
      <c r="AI23" s="572" t="n"/>
      <c r="AJ23" s="574" t="n"/>
      <c r="AK23" s="574" t="n"/>
      <c r="AL23" s="574" t="n"/>
      <c r="AM23" s="574" t="n"/>
      <c r="AN23" s="574" t="n"/>
      <c r="AO23" s="574" t="n"/>
      <c r="AP23" s="574" t="n"/>
      <c r="AQ23" s="574" t="n"/>
      <c r="AR23" s="574" t="n"/>
      <c r="AS23" s="574" t="n"/>
      <c r="AT23" s="574" t="n"/>
      <c r="AU23" s="574" t="n"/>
      <c r="AV23" s="574" t="n"/>
      <c r="AW23" s="574" t="n"/>
      <c r="AX23" s="574" t="n"/>
      <c r="AY23" s="574" t="n"/>
      <c r="AZ23" s="574" t="n"/>
      <c r="BA23" s="574" t="n"/>
      <c r="BB23" s="574" t="n"/>
      <c r="BC23" s="574" t="n"/>
      <c r="BD23" s="574" t="n"/>
      <c r="BE23" s="574" t="n"/>
      <c r="BF23" s="574" t="n"/>
      <c r="BG23" s="574" t="n"/>
      <c r="BH23" s="574"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row>
    <row r="24" customFormat="1" s="568">
      <c r="A24" s="227" t="inlineStr">
        <is>
          <t> </t>
        </is>
      </c>
      <c r="B24" s="87" t="n">
        <v>9</v>
      </c>
      <c r="C24" s="137">
        <f>IFERROR(IF(AND($E24&gt;0,$D24&lt;&gt;"The Public"),$E24/SUMIFS($E$10:$E$186,$E$10:$E$186,"&gt;0",$D$10:$D$186,"&lt;&gt;The Public")*$D$5,""),"")</f>
        <v/>
      </c>
      <c r="D24" s="52" t="inlineStr">
        <is>
          <t>Margie Kirk</t>
        </is>
      </c>
      <c r="E24" s="137">
        <f>SUM(G24:HG24)</f>
        <v/>
      </c>
      <c r="F24" s="569">
        <f>IFERROR(IF($E24&gt;0.0000005,$E24/SUMIF($E$11:$E$140,"&gt;0.0000005"),""),"")</f>
        <v/>
      </c>
      <c r="G24" s="570" t="n"/>
      <c r="H24" s="572" t="n"/>
      <c r="I24" s="572" t="n"/>
      <c r="J24" s="572" t="n"/>
      <c r="K24" s="572" t="n"/>
      <c r="L24" s="572" t="n"/>
      <c r="M24" s="572" t="n"/>
      <c r="N24" s="572" t="n"/>
      <c r="O24" s="572" t="n"/>
      <c r="P24" s="572" t="n"/>
      <c r="Q24" s="572" t="n"/>
      <c r="R24" s="572" t="n"/>
      <c r="S24" s="572" t="n">
        <v>1</v>
      </c>
      <c r="T24" s="572" t="n">
        <v>-1</v>
      </c>
      <c r="U24" s="572" t="n"/>
      <c r="V24" s="573" t="n"/>
      <c r="W24" s="572" t="n"/>
      <c r="X24" s="572" t="n"/>
      <c r="Y24" s="572" t="n"/>
      <c r="Z24" s="572" t="n"/>
      <c r="AA24" s="572" t="n"/>
      <c r="AB24" s="572" t="n"/>
      <c r="AC24" s="572" t="n"/>
      <c r="AD24" s="572" t="n"/>
      <c r="AE24" s="572" t="n"/>
      <c r="AF24" s="572" t="n"/>
      <c r="AG24" s="572" t="n"/>
      <c r="AH24" s="572" t="n"/>
      <c r="AI24" s="572" t="n"/>
      <c r="AJ24" s="574" t="n"/>
      <c r="AK24" s="574" t="n"/>
      <c r="AL24" s="574" t="n"/>
      <c r="AM24" s="574" t="n"/>
      <c r="AN24" s="574" t="n"/>
      <c r="AO24" s="574" t="n"/>
      <c r="AP24" s="574" t="n"/>
      <c r="AQ24" s="574" t="n"/>
      <c r="AR24" s="574" t="n"/>
      <c r="AS24" s="574" t="n"/>
      <c r="AT24" s="574" t="n"/>
      <c r="AU24" s="574" t="n"/>
      <c r="AV24" s="574" t="n"/>
      <c r="AW24" s="574" t="n"/>
      <c r="AX24" s="574" t="n"/>
      <c r="AY24" s="574" t="n"/>
      <c r="AZ24" s="574" t="n"/>
      <c r="BA24" s="574" t="n"/>
      <c r="BB24" s="574" t="n"/>
      <c r="BC24" s="574" t="n"/>
      <c r="BD24" s="574" t="n"/>
      <c r="BE24" s="574" t="n"/>
      <c r="BF24" s="574" t="n"/>
      <c r="BG24" s="574" t="n"/>
      <c r="BH24" s="574"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row>
    <row r="25" customFormat="1" s="568">
      <c r="A25" s="227" t="inlineStr">
        <is>
          <t>Open</t>
        </is>
      </c>
      <c r="B25" s="87" t="inlineStr">
        <is>
          <t> </t>
        </is>
      </c>
      <c r="C25" s="137">
        <f>IFERROR(IF(AND($E25&gt;0,$D25&lt;&gt;"The Public"),$E25/SUMIFS($E$10:$E$186,$E$10:$E$186,"&gt;0",$D$10:$D$186,"&lt;&gt;The Public")*$D$5,""),"")</f>
        <v/>
      </c>
      <c r="D25" s="51" t="inlineStr">
        <is>
          <t>Gordon E. Kirk and Ella Pearl Kirk, HW, JTWROS</t>
        </is>
      </c>
      <c r="E25" s="137">
        <f>SUM(G25:HG25)</f>
        <v/>
      </c>
      <c r="F25" s="569">
        <f>IFERROR(IF($E25&gt;0.0000005,$E25/SUMIF($E$11:$E$140,"&gt;0.0000005"),""),"")</f>
        <v/>
      </c>
      <c r="G25" s="570" t="n"/>
      <c r="H25" s="572" t="n"/>
      <c r="I25" s="572" t="n"/>
      <c r="J25" s="572" t="n"/>
      <c r="K25" s="572" t="n"/>
      <c r="L25" s="572" t="n"/>
      <c r="M25" s="572" t="n"/>
      <c r="N25" s="572" t="n"/>
      <c r="O25" s="572" t="n"/>
      <c r="P25" s="572" t="n"/>
      <c r="Q25" s="572" t="n"/>
      <c r="R25" s="572" t="n"/>
      <c r="S25" s="572" t="n"/>
      <c r="T25" s="572" t="n">
        <v>1</v>
      </c>
      <c r="U25" s="572" t="n"/>
      <c r="V25" s="572" t="n"/>
      <c r="W25" s="573" t="n"/>
      <c r="X25" s="572" t="n"/>
      <c r="Y25" s="572" t="n"/>
      <c r="Z25" s="572" t="n"/>
      <c r="AA25" s="572" t="n"/>
      <c r="AB25" s="572" t="n"/>
      <c r="AC25" s="572" t="n"/>
      <c r="AD25" s="572" t="n"/>
      <c r="AE25" s="572" t="n"/>
      <c r="AF25" s="572" t="n"/>
      <c r="AG25" s="572" t="n"/>
      <c r="AH25" s="572" t="n"/>
      <c r="AI25" s="572" t="n"/>
      <c r="AJ25" s="574" t="n"/>
      <c r="AK25" s="574" t="n"/>
      <c r="AL25" s="574" t="n"/>
      <c r="AM25" s="574" t="n"/>
      <c r="AN25" s="574" t="n"/>
      <c r="AO25" s="574" t="n"/>
      <c r="AP25" s="574" t="n"/>
      <c r="AQ25" s="574" t="n"/>
      <c r="AR25" s="574" t="n"/>
      <c r="AS25" s="574" t="n"/>
      <c r="AT25" s="574" t="n"/>
      <c r="AU25" s="574" t="n"/>
      <c r="AV25" s="574" t="n"/>
      <c r="AW25" s="574" t="n"/>
      <c r="AX25" s="574" t="n"/>
      <c r="AY25" s="574" t="n"/>
      <c r="AZ25" s="574" t="n"/>
      <c r="BA25" s="574" t="n"/>
      <c r="BB25" s="574" t="n"/>
      <c r="BC25" s="574" t="n"/>
      <c r="BD25" s="574" t="n"/>
      <c r="BE25" s="574" t="n"/>
      <c r="BF25" s="574" t="n"/>
      <c r="BG25" s="574" t="n"/>
      <c r="BH25" s="574"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row>
    <row r="26" ht="24" customFormat="1" customHeight="1" s="568">
      <c r="A26" s="227" t="inlineStr">
        <is>
          <t> </t>
        </is>
      </c>
      <c r="B26" s="87" t="n">
        <v>17</v>
      </c>
      <c r="C26" s="488">
        <f>IFERROR(IF(AND($E26&gt;0,$D26&lt;&gt;"The Public"),$E26/SUMIFS($E$10:$E$186,$E$10:$E$186,"&gt;0",$D$10:$D$186,"&lt;&gt;The Public")*$D$5,""),"")</f>
        <v/>
      </c>
      <c r="D26" s="493" t="inlineStr">
        <is>
          <t>Beckham County Court, RE: In the Matter of the Estate of Lillie Campbell, Deceased</t>
        </is>
      </c>
      <c r="E26" s="488">
        <f>SUM(G26:HG26)</f>
        <v/>
      </c>
      <c r="F26" s="569">
        <f>IFERROR(IF($E26&gt;0.0000005,$E26/SUMIF($E$11:$E$140,"&gt;0.0000005"),""),"")</f>
        <v/>
      </c>
      <c r="G26" s="570" t="n"/>
      <c r="H26" s="572" t="n"/>
      <c r="I26" s="572" t="n"/>
      <c r="J26" s="572" t="n"/>
      <c r="K26" s="572" t="n"/>
      <c r="L26" s="572" t="n"/>
      <c r="M26" s="572" t="n"/>
      <c r="N26" s="572" t="n"/>
      <c r="O26" s="572" t="n"/>
      <c r="P26" s="572" t="n"/>
      <c r="Q26" s="572" t="n"/>
      <c r="R26" s="572" t="n"/>
      <c r="S26" s="572" t="n"/>
      <c r="T26" s="572" t="n"/>
      <c r="U26" s="572" t="n">
        <v>-1</v>
      </c>
      <c r="V26" s="572" t="n"/>
      <c r="W26" s="572" t="n"/>
      <c r="X26" s="573" t="n"/>
      <c r="Y26" s="572" t="n"/>
      <c r="Z26" s="572" t="n"/>
      <c r="AA26" s="572" t="n"/>
      <c r="AB26" s="572" t="n"/>
      <c r="AC26" s="572" t="n"/>
      <c r="AD26" s="572" t="n"/>
      <c r="AE26" s="572" t="n"/>
      <c r="AF26" s="572" t="n"/>
      <c r="AG26" s="572" t="n"/>
      <c r="AH26" s="572" t="n"/>
      <c r="AI26" s="572" t="n"/>
      <c r="AJ26" s="574" t="n"/>
      <c r="AK26" s="574" t="n"/>
      <c r="AL26" s="574" t="n"/>
      <c r="AM26" s="574" t="n"/>
      <c r="AN26" s="574" t="n"/>
      <c r="AO26" s="574" t="n"/>
      <c r="AP26" s="574" t="n"/>
      <c r="AQ26" s="574" t="n"/>
      <c r="AR26" s="574" t="n"/>
      <c r="AS26" s="574" t="n"/>
      <c r="AT26" s="574" t="n"/>
      <c r="AU26" s="574" t="n"/>
      <c r="AV26" s="574" t="n"/>
      <c r="AW26" s="574" t="n"/>
      <c r="AX26" s="574" t="n"/>
      <c r="AY26" s="574" t="n"/>
      <c r="AZ26" s="574" t="n"/>
      <c r="BA26" s="574" t="n"/>
      <c r="BB26" s="574" t="n"/>
      <c r="BC26" s="574" t="n"/>
      <c r="BD26" s="574" t="n"/>
      <c r="BE26" s="574" t="n"/>
      <c r="BF26" s="574" t="n"/>
      <c r="BG26" s="574" t="n"/>
      <c r="BH26" s="574"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row>
    <row r="27" customFormat="1" s="568">
      <c r="A27" s="227" t="inlineStr">
        <is>
          <t>Open</t>
        </is>
      </c>
      <c r="B27" s="87" t="inlineStr">
        <is>
          <t> </t>
        </is>
      </c>
      <c r="C27" s="84">
        <f>IFERROR(IF(AND($E27&gt;0,$D27&lt;&gt;"The Public"),$E27/SUMIFS($E$10:$E$186,$E$10:$E$186,"&gt;0",$D$10:$D$186,"&lt;&gt;The Public")*$D$5,""),"")</f>
        <v/>
      </c>
      <c r="D27" s="51" t="inlineStr">
        <is>
          <t>Virgil Hambrook</t>
        </is>
      </c>
      <c r="E27" s="84">
        <f>SUM(G27:HK27)</f>
        <v/>
      </c>
      <c r="F27" s="569">
        <f>IFERROR(IF($E27&gt;0.0000005,$E27/SUMIF($E$11:$E$140,"&gt;0.0000005"),""),"")</f>
        <v/>
      </c>
      <c r="G27" s="570" t="n"/>
      <c r="H27" s="572" t="n"/>
      <c r="I27" s="572" t="n"/>
      <c r="J27" s="572" t="n"/>
      <c r="K27" s="572" t="n"/>
      <c r="L27" s="54" t="n"/>
      <c r="M27" s="572" t="n"/>
      <c r="N27" s="572" t="n"/>
      <c r="O27" s="572" t="n"/>
      <c r="P27" s="572" t="n"/>
      <c r="Q27" s="572" t="n"/>
      <c r="R27" s="572" t="n"/>
      <c r="S27" s="572" t="n"/>
      <c r="T27" s="572" t="n"/>
      <c r="U27" s="572" t="n">
        <v>0.5</v>
      </c>
      <c r="V27" s="572" t="n"/>
      <c r="W27" s="572" t="n"/>
      <c r="X27" s="572" t="n"/>
      <c r="Y27" s="573" t="n"/>
      <c r="Z27" s="572" t="n"/>
      <c r="AA27" s="572" t="n"/>
      <c r="AB27" s="572" t="n"/>
      <c r="AC27" s="572" t="n"/>
      <c r="AD27" s="572" t="n"/>
      <c r="AE27" s="572" t="n"/>
      <c r="AF27" s="572" t="n"/>
      <c r="AG27" s="572" t="n"/>
      <c r="AH27" s="572" t="n"/>
      <c r="AI27" s="572" t="n"/>
      <c r="AJ27" s="574" t="n"/>
      <c r="AK27" s="574" t="n"/>
      <c r="AL27" s="574" t="n"/>
      <c r="AM27" s="574" t="n"/>
      <c r="AN27" s="574" t="n"/>
      <c r="AO27" s="574" t="n"/>
      <c r="AP27" s="574" t="n"/>
      <c r="AQ27" s="574" t="n"/>
      <c r="AR27" s="574" t="n"/>
      <c r="AS27" s="574" t="n"/>
      <c r="AT27" s="574" t="n"/>
      <c r="AU27" s="574" t="n"/>
      <c r="AV27" s="574" t="n"/>
      <c r="AW27" s="574" t="n"/>
      <c r="AX27" s="574" t="n"/>
      <c r="AY27" s="574" t="n"/>
      <c r="AZ27" s="574" t="n"/>
      <c r="BA27" s="574" t="n"/>
      <c r="BB27" s="574" t="n"/>
      <c r="BC27" s="574" t="n"/>
      <c r="BD27" s="574" t="n"/>
      <c r="BE27" s="574" t="n"/>
      <c r="BF27" s="574" t="n"/>
      <c r="BG27" s="574" t="n"/>
      <c r="BH27" s="574"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row>
    <row r="28" customFormat="1" s="568">
      <c r="A28" s="227" t="inlineStr">
        <is>
          <t>Open</t>
        </is>
      </c>
      <c r="B28" s="87" t="inlineStr">
        <is>
          <t> </t>
        </is>
      </c>
      <c r="C28" s="84">
        <f>IFERROR(IF(AND($E28&gt;0,$D28&lt;&gt;"The Public"),$E28/SUMIFS($E$10:$E$186,$E$10:$E$186,"&gt;0",$D$10:$D$186,"&lt;&gt;The Public")*$D$5,""),"")</f>
        <v/>
      </c>
      <c r="D28" s="52" t="inlineStr">
        <is>
          <t>Letty Atha</t>
        </is>
      </c>
      <c r="E28" s="84">
        <f>SUM(G28:HK28)</f>
        <v/>
      </c>
      <c r="F28" s="569">
        <f>IFERROR(IF($E28&gt;0.0000005,$E28/SUMIF($E$11:$E$140,"&gt;0.0000005"),""),"")</f>
        <v/>
      </c>
      <c r="G28" s="570" t="n"/>
      <c r="H28" s="572" t="n"/>
      <c r="I28" s="572" t="n"/>
      <c r="J28" s="572" t="n"/>
      <c r="K28" s="572" t="n"/>
      <c r="L28" s="53" t="n"/>
      <c r="M28" s="572" t="n"/>
      <c r="N28" s="572" t="n"/>
      <c r="O28" s="572" t="n"/>
      <c r="P28" s="572" t="n"/>
      <c r="Q28" s="572" t="n"/>
      <c r="R28" s="572" t="n"/>
      <c r="S28" s="572" t="n"/>
      <c r="T28" s="572" t="n"/>
      <c r="U28" s="572" t="n">
        <v>0.5</v>
      </c>
      <c r="V28" s="572" t="n"/>
      <c r="W28" s="572" t="n"/>
      <c r="X28" s="572" t="n"/>
      <c r="Y28" s="572" t="n"/>
      <c r="Z28" s="573" t="n"/>
      <c r="AA28" s="572" t="n"/>
      <c r="AB28" s="572" t="n"/>
      <c r="AC28" s="572" t="n"/>
      <c r="AD28" s="572" t="n"/>
      <c r="AE28" s="572" t="n"/>
      <c r="AF28" s="572" t="n"/>
      <c r="AG28" s="572" t="n"/>
      <c r="AH28" s="572" t="n"/>
      <c r="AI28" s="572" t="n"/>
      <c r="AJ28" s="574" t="n"/>
      <c r="AK28" s="574" t="n"/>
      <c r="AL28" s="574" t="n"/>
      <c r="AM28" s="574" t="n"/>
      <c r="AN28" s="574" t="n"/>
      <c r="AO28" s="574" t="n"/>
      <c r="AP28" s="574" t="n"/>
      <c r="AQ28" s="574" t="n"/>
      <c r="AR28" s="574" t="n"/>
      <c r="AS28" s="574" t="n"/>
      <c r="AT28" s="574" t="n"/>
      <c r="AU28" s="574" t="n"/>
      <c r="AV28" s="574" t="n"/>
      <c r="AW28" s="574" t="n"/>
      <c r="AX28" s="574" t="n"/>
      <c r="AY28" s="574" t="n"/>
      <c r="AZ28" s="574" t="n"/>
      <c r="BA28" s="574" t="n"/>
      <c r="BB28" s="574" t="n"/>
      <c r="BC28" s="574" t="n"/>
      <c r="BD28" s="574" t="n"/>
      <c r="BE28" s="574" t="n"/>
      <c r="BF28" s="574" t="n"/>
      <c r="BG28" s="574" t="n"/>
      <c r="BH28" s="574"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row>
    <row r="29" customFormat="1" s="568">
      <c r="A29" s="227" t="inlineStr">
        <is>
          <t> </t>
        </is>
      </c>
      <c r="B29" s="87" t="n">
        <v>18</v>
      </c>
      <c r="C29" s="488">
        <f>IFERROR(IF(AND($E29&gt;0,$D29&lt;&gt;"The Public"),$E29/SUMIFS($E$10:$E$186,$E$10:$E$186,"&gt;0",$D$10:$D$186,"&lt;&gt;The Public")*$D$5,""),"")</f>
        <v/>
      </c>
      <c r="D29" s="490" t="inlineStr">
        <is>
          <t>L. E. Thurman</t>
        </is>
      </c>
      <c r="E29" s="488">
        <f>SUM(G29:HK29)</f>
        <v/>
      </c>
      <c r="F29" s="569">
        <f>IFERROR(IF($E29&gt;0.0000005,$E29/SUMIF($E$11:$E$140,"&gt;0.0000005"),""),"")</f>
        <v/>
      </c>
      <c r="G29" s="570" t="n"/>
      <c r="H29" s="572" t="n"/>
      <c r="I29" s="572" t="n"/>
      <c r="J29" s="572" t="n"/>
      <c r="K29" s="572" t="n"/>
      <c r="L29" s="53" t="n"/>
      <c r="M29" s="572" t="n"/>
      <c r="N29" s="572" t="n"/>
      <c r="O29" s="572" t="n"/>
      <c r="P29" s="572" t="n"/>
      <c r="Q29" s="572" t="n"/>
      <c r="R29" s="572" t="n"/>
      <c r="S29" s="572" t="n"/>
      <c r="T29" s="572" t="n"/>
      <c r="U29" s="572" t="n"/>
      <c r="V29" s="572" t="n">
        <v>-0.1375</v>
      </c>
      <c r="W29" s="572" t="n"/>
      <c r="X29" s="572" t="n"/>
      <c r="Y29" s="572" t="n"/>
      <c r="Z29" s="572" t="n"/>
      <c r="AA29" s="573" t="n"/>
      <c r="AB29" s="572" t="n"/>
      <c r="AC29" s="572" t="n"/>
      <c r="AD29" s="573" t="n"/>
      <c r="AE29" s="572" t="n"/>
      <c r="AF29" s="572" t="n"/>
      <c r="AG29" s="572" t="n"/>
      <c r="AH29" s="572" t="n"/>
      <c r="AI29" s="572" t="n"/>
      <c r="AJ29" s="574" t="n"/>
      <c r="AK29" s="574" t="n"/>
      <c r="AL29" s="574" t="n"/>
      <c r="AM29" s="574" t="n"/>
      <c r="AN29" s="574" t="n"/>
      <c r="AO29" s="574" t="n"/>
      <c r="AP29" s="574" t="n"/>
      <c r="AQ29" s="574" t="n"/>
      <c r="AR29" s="574" t="n"/>
      <c r="AS29" s="574" t="n"/>
      <c r="AT29" s="574" t="n"/>
      <c r="AU29" s="574" t="n"/>
      <c r="AV29" s="574" t="n"/>
      <c r="AW29" s="574" t="n"/>
      <c r="AX29" s="574" t="n"/>
      <c r="AY29" s="574" t="n"/>
      <c r="AZ29" s="574" t="n"/>
      <c r="BA29" s="574" t="n"/>
      <c r="BB29" s="574" t="n"/>
      <c r="BC29" s="574" t="n"/>
      <c r="BD29" s="574" t="n"/>
      <c r="BE29" s="574" t="n"/>
      <c r="BF29" s="574" t="n"/>
      <c r="BG29" s="574" t="n"/>
      <c r="BH29" s="574"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row>
    <row r="30" customFormat="1" s="568">
      <c r="A30" s="227" t="n"/>
      <c r="B30" s="87" t="n">
        <v>15</v>
      </c>
      <c r="C30" s="485">
        <f>IFERROR(IF(AND($E30&gt;0,$D30&lt;&gt;"The Public"),$E30/SUMIFS($E$10:$E$186,$E$10:$E$186,"&gt;0",$D$10:$D$186,"&lt;&gt;The Public")*$D$5,""),"")</f>
        <v/>
      </c>
      <c r="D30" s="489" t="inlineStr">
        <is>
          <t>Moore-Stansberry, Inc.</t>
        </is>
      </c>
      <c r="E30" s="485">
        <f>SUM(G30:HG30)</f>
        <v/>
      </c>
      <c r="F30" s="569">
        <f>IFERROR(IF($E30&gt;0.0000005,$E30/SUMIF($E$11:$E$140,"&gt;0.0000005"),""),"")</f>
        <v/>
      </c>
      <c r="G30" s="570" t="n"/>
      <c r="H30" s="572" t="n"/>
      <c r="I30" s="572" t="n"/>
      <c r="J30" s="572" t="n"/>
      <c r="K30" s="572" t="n"/>
      <c r="L30" s="220" t="n"/>
      <c r="M30" s="572" t="n"/>
      <c r="N30" s="572" t="n"/>
      <c r="O30" s="572" t="n"/>
      <c r="P30" s="572" t="n"/>
      <c r="Q30" s="572" t="n"/>
      <c r="R30" s="572" t="n"/>
      <c r="S30" s="572" t="n"/>
      <c r="T30" s="572" t="n"/>
      <c r="U30" s="572" t="n"/>
      <c r="V30" s="572" t="n">
        <v>0.1375</v>
      </c>
      <c r="W30" s="572" t="n"/>
      <c r="X30" s="572" t="n"/>
      <c r="Y30" s="572" t="n">
        <v>-0.1340625</v>
      </c>
      <c r="Z30" s="572" t="n">
        <v>-0.006875</v>
      </c>
      <c r="AA30" s="572" t="n"/>
      <c r="AB30" s="572" t="n">
        <v>-0.00275</v>
      </c>
      <c r="AC30" s="572" t="n"/>
      <c r="AD30" s="572" t="n"/>
      <c r="AE30" s="572" t="n"/>
      <c r="AF30" s="572" t="n"/>
      <c r="AG30" s="572" t="n"/>
      <c r="AH30" s="572" t="n"/>
      <c r="AI30" s="572" t="n"/>
      <c r="AJ30" s="574" t="n"/>
      <c r="AK30" s="574" t="n"/>
      <c r="AL30" s="574" t="n"/>
      <c r="AM30" s="574" t="n"/>
      <c r="AN30" s="574" t="n"/>
      <c r="AO30" s="574" t="n"/>
      <c r="AP30" s="574" t="n"/>
      <c r="AQ30" s="574" t="n"/>
      <c r="AR30" s="574" t="n"/>
      <c r="AS30" s="574" t="n"/>
      <c r="AT30" s="574" t="n"/>
      <c r="AU30" s="574" t="n"/>
      <c r="AV30" s="574" t="n"/>
      <c r="AW30" s="574" t="n"/>
      <c r="AX30" s="574" t="n"/>
      <c r="AY30" s="574" t="n"/>
      <c r="AZ30" s="574" t="n"/>
      <c r="BA30" s="574" t="n"/>
      <c r="BB30" s="574" t="n"/>
      <c r="BC30" s="574" t="n"/>
      <c r="BD30" s="574" t="n"/>
      <c r="BE30" s="574" t="n"/>
      <c r="BF30" s="574" t="n"/>
      <c r="BG30" s="574" t="n"/>
      <c r="BH30" s="574"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row>
    <row r="31" customFormat="1" s="568">
      <c r="A31" s="227" t="n"/>
      <c r="B31" s="87" t="n">
        <v>15</v>
      </c>
      <c r="C31" s="488">
        <f>IFERROR(IF(AND($E31&gt;0,$D31&lt;&gt;"The Public"),$E31/SUMIFS($E$10:$E$186,$E$10:$E$186,"&gt;0",$D$10:$D$186,"&lt;&gt;The Public")*$D$5,""),"")</f>
        <v/>
      </c>
      <c r="D31" s="490" t="inlineStr">
        <is>
          <t>Glenn D. Mitchel Hazel P. Mitchel, HW</t>
        </is>
      </c>
      <c r="E31" s="488">
        <f>SUM(G31:HG31)</f>
        <v/>
      </c>
      <c r="F31" s="569">
        <f>IFERROR(IF($E31&gt;0.0000005,$E31/SUMIF($E$11:$E$140,"&gt;0.0000005"),""),"")</f>
        <v/>
      </c>
      <c r="G31" s="570" t="n"/>
      <c r="H31" s="572" t="n"/>
      <c r="I31" s="572" t="n"/>
      <c r="J31" s="572" t="n"/>
      <c r="K31" s="572" t="n"/>
      <c r="L31" s="220" t="n"/>
      <c r="M31" s="572" t="n"/>
      <c r="N31" s="572" t="n"/>
      <c r="O31" s="572" t="n"/>
      <c r="P31" s="572" t="n"/>
      <c r="Q31" s="572" t="n"/>
      <c r="R31" s="572" t="n"/>
      <c r="S31" s="572" t="n"/>
      <c r="T31" s="572" t="n"/>
      <c r="U31" s="572" t="n"/>
      <c r="V31" s="572" t="n"/>
      <c r="W31" s="572" t="n">
        <v>-0.0384615384615385</v>
      </c>
      <c r="X31" s="572" t="n"/>
      <c r="Y31" s="572" t="n"/>
      <c r="Z31" s="572" t="n"/>
      <c r="AA31" s="572" t="n"/>
      <c r="AB31" s="572" t="n"/>
      <c r="AC31" s="572" t="n"/>
      <c r="AD31" s="572" t="n"/>
      <c r="AE31" s="572" t="n"/>
      <c r="AF31" s="572" t="n"/>
      <c r="AG31" s="572" t="n"/>
      <c r="AH31" s="572" t="n"/>
      <c r="AI31" s="572" t="n"/>
      <c r="AJ31" s="574" t="n"/>
      <c r="AK31" s="574" t="n"/>
      <c r="AL31" s="574" t="n"/>
      <c r="AM31" s="574" t="n"/>
      <c r="AN31" s="574" t="n"/>
      <c r="AO31" s="574" t="n"/>
      <c r="AP31" s="574" t="n"/>
      <c r="AQ31" s="574" t="n"/>
      <c r="AR31" s="574" t="n"/>
      <c r="AS31" s="574" t="n"/>
      <c r="AT31" s="574" t="n"/>
      <c r="AU31" s="574" t="n"/>
      <c r="AV31" s="574" t="n"/>
      <c r="AW31" s="574" t="n"/>
      <c r="AX31" s="574" t="n"/>
      <c r="AY31" s="574" t="n"/>
      <c r="AZ31" s="574" t="n"/>
      <c r="BA31" s="574" t="n"/>
      <c r="BB31" s="574" t="n"/>
      <c r="BC31" s="574" t="n"/>
      <c r="BD31" s="574" t="n"/>
      <c r="BE31" s="574" t="n"/>
      <c r="BF31" s="574" t="n"/>
      <c r="BG31" s="574" t="n"/>
      <c r="BH31" s="574"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row>
    <row r="32" customFormat="1" s="568">
      <c r="A32" s="86" t="n"/>
      <c r="B32" s="85" t="n"/>
      <c r="C32" s="84">
        <f>IFERROR(IF(AND($E32&gt;0,$D32&lt;&gt;"The Public"),$E32/SUMIFS($E$10:$E$186,$E$10:$E$186,"&gt;0",$D$10:$D$186,"&lt;&gt;The Public")*$D$5,""),"")</f>
        <v/>
      </c>
      <c r="D32" s="52" t="inlineStr">
        <is>
          <t>Nolan E. Britton, Inc.</t>
        </is>
      </c>
      <c r="E32" s="84">
        <f>SUM(G32:HG32)</f>
        <v/>
      </c>
      <c r="F32" s="568">
        <f>IFERROR(IF($E32&gt;0.0000005,$E32/SUMIF($E$11:$E$140,"&gt;0.0000005"),""),"")</f>
        <v/>
      </c>
      <c r="H32" s="570" t="n"/>
      <c r="I32" s="570" t="n"/>
      <c r="J32" s="570" t="n"/>
      <c r="K32" s="570" t="n"/>
      <c r="L32" s="570" t="n"/>
      <c r="M32" s="570" t="n"/>
      <c r="N32" s="570" t="n"/>
      <c r="O32" s="570" t="n"/>
      <c r="P32" s="570" t="n"/>
      <c r="Q32" s="570" t="n"/>
      <c r="R32" s="570" t="n"/>
      <c r="S32" s="570" t="n"/>
      <c r="T32" s="570" t="n"/>
      <c r="U32" s="570" t="n"/>
      <c r="V32" s="570" t="n"/>
      <c r="W32" s="570" t="n">
        <v>0.0384615384615385</v>
      </c>
      <c r="X32" s="570" t="n">
        <v>-0.0192307692307692</v>
      </c>
      <c r="Y32" s="570" t="n"/>
      <c r="Z32" s="570" t="n"/>
      <c r="AA32" s="570" t="n"/>
      <c r="AB32" s="570" t="n"/>
      <c r="AC32" s="570" t="n"/>
      <c r="AD32" s="570" t="n"/>
      <c r="AE32" s="570" t="n"/>
      <c r="AF32" s="570" t="n"/>
      <c r="AG32" s="570" t="n"/>
      <c r="AH32" s="571" t="n"/>
      <c r="AI32" s="571" t="n"/>
    </row>
    <row r="33" customFormat="1" s="568">
      <c r="A33" s="86" t="n"/>
      <c r="B33" s="85" t="n"/>
      <c r="C33" s="485">
        <f>IFERROR(IF(AND($E33&gt;0,$D33&lt;&gt;"The Public"),$E33/SUMIFS($E$10:$E$186,$E$10:$E$186,"&gt;0",$D$10:$D$186,"&lt;&gt;The Public")*$D$5,""),"")</f>
        <v/>
      </c>
      <c r="D33" s="490" t="inlineStr">
        <is>
          <t>Chinook Resources, Inc.</t>
        </is>
      </c>
      <c r="E33" s="485">
        <f>SUM(G33:HG33)</f>
        <v/>
      </c>
      <c r="F33" s="568">
        <f>IFERROR(IF($E33&gt;0.0000005,$E33/SUMIF($E$11:$E$140,"&gt;0.0000005"),""),"")</f>
        <v/>
      </c>
      <c r="H33" s="570" t="n"/>
      <c r="I33" s="570" t="n"/>
      <c r="J33" s="570" t="n"/>
      <c r="K33" s="570" t="n"/>
      <c r="L33" s="570" t="n"/>
      <c r="M33" s="570" t="n"/>
      <c r="N33" s="570" t="n"/>
      <c r="O33" s="570" t="n"/>
      <c r="P33" s="570" t="n"/>
      <c r="Q33" s="570" t="n"/>
      <c r="R33" s="570" t="n"/>
      <c r="S33" s="570" t="n"/>
      <c r="T33" s="570" t="n"/>
      <c r="U33" s="570" t="n"/>
      <c r="V33" s="570" t="n"/>
      <c r="W33" s="570" t="n"/>
      <c r="X33" s="570" t="n">
        <v>0.0192307692307692</v>
      </c>
      <c r="Y33" s="570" t="n"/>
      <c r="Z33" s="571" t="n"/>
      <c r="AA33" s="570" t="n"/>
      <c r="AB33" s="570" t="n"/>
      <c r="AC33" s="570" t="n"/>
      <c r="AD33" s="570" t="n"/>
      <c r="AE33" s="570" t="n"/>
      <c r="AF33" s="570" t="n">
        <v>-1</v>
      </c>
      <c r="AG33" s="570" t="n"/>
      <c r="AH33" s="571" t="n"/>
      <c r="AI33" s="571" t="n"/>
    </row>
    <row r="34" customFormat="1" s="568">
      <c r="A34" s="86" t="n"/>
      <c r="B34" s="85" t="n"/>
      <c r="C34" s="485">
        <f>IFERROR(IF(AND($E34&gt;0,$D34&lt;&gt;"The Public"),$E34/SUMIFS($E$10:$E$186,$E$10:$E$186,"&gt;0",$D$10:$D$186,"&lt;&gt;The Public")*$D$5,""),"")</f>
        <v/>
      </c>
      <c r="D34" s="490" t="inlineStr">
        <is>
          <t>Leede Exploration</t>
        </is>
      </c>
      <c r="E34" s="485">
        <f>SUM(G34:HG34)</f>
        <v/>
      </c>
      <c r="F34" s="568">
        <f>IFERROR(IF($E34&gt;0.0000005,$E34/SUMIF($E$11:$E$140,"&gt;0.0000005"),""),"")</f>
        <v/>
      </c>
      <c r="H34" s="570" t="n"/>
      <c r="I34" s="570" t="n"/>
      <c r="J34" s="570" t="n"/>
      <c r="K34" s="570" t="n"/>
      <c r="L34" s="570" t="n"/>
      <c r="M34" s="570" t="n"/>
      <c r="N34" s="570" t="n"/>
      <c r="O34" s="570" t="n"/>
      <c r="P34" s="570" t="n"/>
      <c r="Q34" s="570" t="n"/>
      <c r="R34" s="570" t="n"/>
      <c r="S34" s="570" t="n"/>
      <c r="T34" s="570" t="n"/>
      <c r="U34" s="570" t="n"/>
      <c r="V34" s="570" t="n"/>
      <c r="W34" s="570" t="n"/>
      <c r="X34" s="570" t="n"/>
      <c r="Y34" s="570" t="n">
        <v>0.1340625</v>
      </c>
      <c r="Z34" s="570" t="n"/>
      <c r="AA34" s="570" t="n"/>
      <c r="AB34" s="570" t="n">
        <v>0.00275</v>
      </c>
      <c r="AC34" s="570" t="n"/>
      <c r="AD34" s="570" t="n">
        <v>-0.89</v>
      </c>
      <c r="AE34" s="570" t="n">
        <v>-0.15789</v>
      </c>
      <c r="AF34" s="570" t="n"/>
      <c r="AG34" s="570" t="n"/>
      <c r="AH34" s="571" t="n"/>
      <c r="AI34" s="571" t="n"/>
    </row>
    <row r="35" customFormat="1" s="568">
      <c r="A35" s="86" t="n"/>
      <c r="B35" s="85" t="n"/>
      <c r="C35" s="488">
        <f>IFERROR(IF(AND($E35&gt;0,$D35&lt;&gt;"The Public"),$E35/SUMIFS($E$10:$E$186,$E$10:$E$186,"&gt;0",$D$10:$D$186,"&lt;&gt;The Public")*$D$5,""),"")</f>
        <v/>
      </c>
      <c r="D35" s="490" t="inlineStr">
        <is>
          <t>Brent L. Schooley</t>
        </is>
      </c>
      <c r="E35" s="488">
        <f>SUM(G35:HG35)</f>
        <v/>
      </c>
      <c r="F35" s="568">
        <f>IFERROR(IF($E35&gt;0.0000005,$E35/SUMIF($E$11:$E$140,"&gt;0.0000005"),""),"")</f>
        <v/>
      </c>
      <c r="H35" s="579" t="n"/>
      <c r="I35" s="579" t="n"/>
      <c r="J35" s="579" t="n"/>
      <c r="K35" s="579" t="n"/>
      <c r="L35" s="579" t="n"/>
      <c r="M35" s="579" t="n"/>
      <c r="N35" s="579" t="n"/>
      <c r="O35" s="579" t="n"/>
      <c r="P35" s="579" t="n"/>
      <c r="Q35" s="579" t="n"/>
      <c r="R35" s="579" t="n"/>
      <c r="S35" s="579" t="n"/>
      <c r="T35" s="579" t="n"/>
      <c r="U35" s="579" t="n"/>
      <c r="V35" s="579" t="n"/>
      <c r="W35" s="579" t="n"/>
      <c r="X35" s="579" t="n"/>
      <c r="Y35" s="579" t="n"/>
      <c r="Z35" s="579" t="n">
        <v>0.006875</v>
      </c>
      <c r="AA35" s="579" t="n"/>
      <c r="AB35" s="579" t="n"/>
      <c r="AC35" s="579" t="n"/>
      <c r="AD35" s="579" t="n"/>
      <c r="AE35" s="579" t="n"/>
      <c r="AF35" s="579" t="n"/>
      <c r="AG35" s="579" t="n"/>
      <c r="AJ35" s="568" t="n">
        <v>-1</v>
      </c>
    </row>
    <row r="36" ht="24" customFormat="1" customHeight="1" s="568">
      <c r="A36" s="86" t="n"/>
      <c r="B36" s="85" t="n"/>
      <c r="C36" s="137">
        <f>IFERROR(IF(AND($E36&gt;0,$D36&lt;&gt;"The Public"),$E36/SUMIFS($E$10:$E$186,$E$10:$E$186,"&gt;0",$D$10:$D$186,"&lt;&gt;The Public")*$D$5,""),"")</f>
        <v/>
      </c>
      <c r="D36" s="52" t="inlineStr">
        <is>
          <t>Sorenson Oil &amp; Gas Trust, Michelle Sorenson Johnson, Trustee, Marchelle Sorenson Uaigle, Trustee</t>
        </is>
      </c>
      <c r="E36" s="137">
        <f>SUM(G36:HG36)</f>
        <v/>
      </c>
      <c r="F36" s="568">
        <f>IFERROR(IF($E36&gt;0.0000005,$E36/SUMIF($E$11:$E$140,"&gt;0.0000005"),""),"")</f>
        <v/>
      </c>
      <c r="H36" s="579" t="n"/>
      <c r="I36" s="579" t="n"/>
      <c r="J36" s="579" t="n"/>
      <c r="K36" s="579" t="n"/>
      <c r="L36" s="579" t="n"/>
      <c r="M36" s="579" t="n"/>
      <c r="N36" s="579" t="n"/>
      <c r="O36" s="579" t="n"/>
      <c r="P36" s="579" t="n"/>
      <c r="Q36" s="579" t="n"/>
      <c r="R36" s="579" t="n"/>
      <c r="S36" s="579" t="n"/>
      <c r="T36" s="579" t="n"/>
      <c r="U36" s="579" t="n"/>
      <c r="V36" s="579" t="n"/>
      <c r="W36" s="579" t="n"/>
      <c r="X36" s="579" t="n"/>
      <c r="Y36" s="579" t="n"/>
      <c r="Z36" s="579" t="n"/>
      <c r="AA36" s="579" t="n">
        <v>0.153846153846154</v>
      </c>
      <c r="AB36" s="579" t="n"/>
      <c r="AC36" s="579" t="n"/>
      <c r="AD36" s="579" t="n"/>
      <c r="AE36" s="579" t="n"/>
      <c r="AF36" s="579" t="n"/>
      <c r="AG36" s="579" t="n"/>
    </row>
    <row r="37" ht="12.95" customFormat="1" customHeight="1" s="568">
      <c r="A37" s="86" t="n"/>
      <c r="B37" s="85" t="n"/>
      <c r="C37" s="84">
        <f>IFERROR(IF(AND($E37&gt;0,$D37&lt;&gt;"The Public"),$E37/SUMIFS($E$10:$E$186,$E$10:$E$186,"&gt;0",$D$10:$D$186,"&lt;&gt;The Public")*$D$5,""),"")</f>
        <v/>
      </c>
      <c r="D37" s="52" t="inlineStr">
        <is>
          <t>Margie Ann Kirk</t>
        </is>
      </c>
      <c r="E37" s="84">
        <f>SUM(G37:HG37)</f>
        <v/>
      </c>
      <c r="F37" s="568">
        <f>IFERROR(IF($E37&gt;0.0000005,$E37/SUMIF($E$11:$E$140,"&gt;0.0000005"),""),"")</f>
        <v/>
      </c>
      <c r="H37" s="579" t="n"/>
      <c r="I37" s="579" t="n"/>
      <c r="J37" s="579" t="n"/>
      <c r="K37" s="579" t="n"/>
      <c r="L37" s="579" t="n"/>
      <c r="M37" s="579" t="n"/>
      <c r="N37" s="579" t="n"/>
      <c r="O37" s="579" t="n"/>
      <c r="P37" s="579" t="n"/>
      <c r="Q37" s="579" t="n"/>
      <c r="R37" s="579" t="n"/>
      <c r="S37" s="579" t="n"/>
      <c r="T37" s="579" t="n"/>
      <c r="U37" s="579" t="n"/>
      <c r="V37" s="579" t="n"/>
      <c r="W37" s="579" t="n"/>
      <c r="X37" s="579" t="n"/>
      <c r="Y37" s="579" t="n"/>
      <c r="Z37" s="579" t="n"/>
      <c r="AA37" s="579" t="n"/>
      <c r="AB37" s="579" t="n"/>
      <c r="AC37" s="579" t="n"/>
      <c r="AD37" s="579" t="n"/>
      <c r="AE37" s="579" t="n"/>
      <c r="AF37" s="579" t="n"/>
      <c r="AG37" s="579" t="n"/>
    </row>
    <row r="38" ht="14.1" customFormat="1" customHeight="1" s="568">
      <c r="A38" s="86" t="n"/>
      <c r="B38" s="85" t="n"/>
      <c r="C38" s="84">
        <f>IFERROR(IF(AND($E38&gt;0,$D38&lt;&gt;"The Public"),$E38/SUMIFS($E$10:$E$186,$E$10:$E$186,"&gt;0",$D$10:$D$186,"&lt;&gt;The Public")*$D$5,""),"")</f>
        <v/>
      </c>
      <c r="D38" s="52" t="inlineStr">
        <is>
          <t>Eddie Tom Lakey</t>
        </is>
      </c>
      <c r="E38" s="84">
        <f>SUM(G38:HG38)</f>
        <v/>
      </c>
      <c r="F38" s="568">
        <f>IFERROR(IF($E38&gt;0.0000005,$E38/SUMIF($E$11:$E$140,"&gt;0.0000005"),""),"")</f>
        <v/>
      </c>
      <c r="H38" s="579" t="n"/>
      <c r="I38" s="579" t="n"/>
      <c r="J38" s="579" t="n"/>
      <c r="K38" s="579" t="n"/>
      <c r="L38" s="579" t="n"/>
      <c r="M38" s="579" t="n"/>
      <c r="N38" s="579" t="n"/>
      <c r="O38" s="579" t="n"/>
      <c r="P38" s="579" t="n"/>
      <c r="Q38" s="579" t="n"/>
      <c r="R38" s="579" t="n"/>
      <c r="S38" s="579" t="n"/>
      <c r="T38" s="579" t="n"/>
      <c r="U38" s="579" t="n"/>
      <c r="V38" s="579" t="n"/>
      <c r="W38" s="579" t="n"/>
      <c r="X38" s="579" t="n"/>
      <c r="Y38" s="579" t="n"/>
      <c r="Z38" s="579" t="n"/>
      <c r="AA38" s="579" t="n"/>
      <c r="AB38" s="579" t="n"/>
      <c r="AC38" s="579" t="n"/>
      <c r="AD38" s="579" t="n"/>
      <c r="AE38" s="579" t="n"/>
      <c r="AF38" s="579" t="n"/>
      <c r="AG38" s="579" t="n"/>
    </row>
    <row r="39" ht="17.45" customFormat="1" customHeight="1" s="568">
      <c r="A39" s="86" t="inlineStr">
        <is>
          <t>Best guess: grantee per Runsheet 1982-007158 (~2 NMA); verify deed</t>
        </is>
      </c>
      <c r="B39" s="85" t="n"/>
      <c r="C39" s="84">
        <f>IFERROR(IF(AND($E39&gt;0,$D39&lt;&gt;"The Public"),$E39/SUMIFS($E$10:$E$186,$E$10:$E$186,"&gt;0",$D$10:$D$186,"&lt;&gt;The Public")*$D$5,""),"")</f>
        <v/>
      </c>
      <c r="D39" s="590" t="inlineStr">
        <is>
          <t>Eddie Tom Lakey</t>
        </is>
      </c>
      <c r="E39" s="84">
        <f>SUM(G39:HG39)</f>
        <v/>
      </c>
      <c r="F39" s="568">
        <f>IFERROR(IF($E39&gt;0.0000005,$E39/SUMIF($E$11:$E$140,"&gt;0.0000005"),""),"")</f>
        <v/>
      </c>
      <c r="H39" s="579" t="n"/>
      <c r="I39" s="579" t="n"/>
      <c r="J39" s="579" t="n"/>
      <c r="K39" s="579" t="n"/>
      <c r="L39" s="579" t="n"/>
      <c r="M39" s="579" t="n"/>
      <c r="N39" s="579" t="n"/>
      <c r="O39" s="579" t="n"/>
      <c r="P39" s="579" t="n"/>
      <c r="Q39" s="579" t="n"/>
      <c r="R39" s="579" t="n"/>
      <c r="S39" s="579" t="n"/>
      <c r="T39" s="579" t="n"/>
      <c r="U39" s="579" t="n"/>
      <c r="V39" s="579" t="n"/>
      <c r="W39" s="579" t="n"/>
      <c r="X39" s="579" t="n"/>
      <c r="Y39" s="579" t="n"/>
      <c r="Z39" s="579" t="n"/>
      <c r="AA39" s="579" t="n"/>
      <c r="AB39" s="579" t="n"/>
      <c r="AC39" s="579" t="n"/>
      <c r="AD39" s="579" t="n"/>
      <c r="AE39" s="579" t="n"/>
      <c r="AF39" s="579" t="n"/>
      <c r="AG39" s="579" t="n"/>
    </row>
    <row r="40" ht="17.45" customFormat="1" customHeight="1" s="568">
      <c r="A40" s="86" t="n"/>
      <c r="B40" s="85" t="n"/>
      <c r="C40" s="485">
        <f>IFERROR(IF(AND($E40&gt;0,$D40&lt;&gt;"The Public"),$E40/SUMIFS($E$10:$E$186,$E$10:$E$186,"&gt;0",$D$10:$D$186,"&lt;&gt;The Public")*$D$5,""),"")</f>
        <v/>
      </c>
      <c r="D40" s="591" t="inlineStr">
        <is>
          <t>O. I. L. Energy, Inc.</t>
        </is>
      </c>
      <c r="E40" s="485">
        <f>SUM(G40:HG40)</f>
        <v/>
      </c>
      <c r="F40" s="568">
        <f>IFERROR(IF($E40&gt;0.0000005,$E40/SUMIF($E$11:$E$140,"&gt;0.0000005"),""),"")</f>
        <v/>
      </c>
      <c r="H40" s="579" t="n"/>
      <c r="I40" s="579" t="n"/>
      <c r="J40" s="579" t="n"/>
      <c r="K40" s="579" t="n"/>
      <c r="L40" s="579" t="n"/>
      <c r="M40" s="579" t="n"/>
      <c r="N40" s="579" t="n"/>
      <c r="O40" s="579" t="n"/>
      <c r="P40" s="579" t="n"/>
      <c r="Q40" s="579" t="n"/>
      <c r="R40" s="579" t="n"/>
      <c r="S40" s="579" t="n"/>
      <c r="T40" s="579" t="n"/>
      <c r="U40" s="579" t="n"/>
      <c r="V40" s="579" t="n"/>
      <c r="W40" s="579" t="n"/>
      <c r="X40" s="579" t="n"/>
      <c r="Y40" s="579" t="n"/>
      <c r="Z40" s="579" t="n"/>
      <c r="AA40" s="579" t="n"/>
      <c r="AB40" s="579" t="n"/>
      <c r="AC40" s="579" t="n"/>
      <c r="AD40" s="579" t="n">
        <v>0.89</v>
      </c>
      <c r="AE40" s="579" t="n"/>
      <c r="AF40" s="579" t="n"/>
      <c r="AG40" s="579" t="n"/>
      <c r="AH40" s="568" t="n">
        <v>-1</v>
      </c>
    </row>
    <row r="41" ht="17.45" customFormat="1" customHeight="1" s="568">
      <c r="A41" s="86" t="n"/>
      <c r="B41" s="85" t="n"/>
      <c r="C41" s="84">
        <f>IFERROR(IF(AND($E41&gt;0,$D41&lt;&gt;"The Public"),$E41/SUMIFS($E$10:$E$186,$E$10:$E$186,"&gt;0",$D$10:$D$186,"&lt;&gt;The Public")*$D$5,""),"")</f>
        <v/>
      </c>
      <c r="D41" s="577" t="inlineStr">
        <is>
          <t>Robert H. Frazier</t>
        </is>
      </c>
      <c r="E41" s="84">
        <f>SUM(G41:HG41)</f>
        <v/>
      </c>
      <c r="F41" s="568">
        <f>IFERROR(IF($E41&gt;0.0000005,$E41/SUMIF($E$11:$E$140,"&gt;0.0000005"),""),"")</f>
        <v/>
      </c>
      <c r="H41" s="579" t="n"/>
      <c r="I41" s="579" t="n"/>
      <c r="J41" s="579" t="n"/>
      <c r="K41" s="579" t="n"/>
      <c r="L41" s="579" t="n"/>
      <c r="M41" s="579" t="n"/>
      <c r="N41" s="579" t="n"/>
      <c r="O41" s="579" t="n"/>
      <c r="P41" s="579" t="n"/>
      <c r="Q41" s="579" t="n"/>
      <c r="R41" s="579" t="n"/>
      <c r="S41" s="579" t="n"/>
      <c r="T41" s="579" t="n"/>
      <c r="U41" s="579" t="n"/>
      <c r="V41" s="579" t="n"/>
      <c r="W41" s="579" t="n"/>
      <c r="X41" s="579" t="n"/>
      <c r="Y41" s="579" t="n"/>
      <c r="Z41" s="579" t="n"/>
      <c r="AA41" s="579" t="n"/>
      <c r="AB41" s="579" t="n"/>
      <c r="AC41" s="579" t="n"/>
      <c r="AD41" s="579" t="n"/>
      <c r="AE41" s="579" t="n">
        <v>0.05262999999999995</v>
      </c>
      <c r="AF41" s="579" t="n"/>
      <c r="AG41" s="579" t="n"/>
    </row>
    <row r="42" ht="17.45" customFormat="1" customHeight="1" s="568">
      <c r="A42" s="86" t="inlineStr">
        <is>
          <t> </t>
        </is>
      </c>
      <c r="B42" s="85" t="n"/>
      <c r="C42" s="84">
        <f>IFERROR(IF(AND($E42&gt;0,$D42&lt;&gt;"The Public"),$E42/SUMIFS($E$10:$E$186,$E$10:$E$186,"&gt;0",$D$10:$D$186,"&lt;&gt;The Public")*$D$5,""),"")</f>
        <v/>
      </c>
      <c r="D42" s="577" t="inlineStr">
        <is>
          <t>Clyde A. Pine</t>
        </is>
      </c>
      <c r="E42" s="84">
        <f>SUM(G42:HG42)</f>
        <v/>
      </c>
      <c r="F42" s="568">
        <f>IFERROR(IF($E42&gt;0.0000005,$E42/SUMIF($E$11:$E$140,"&gt;0.0000005"),""),"")</f>
        <v/>
      </c>
      <c r="H42" s="579" t="n"/>
      <c r="I42" s="579" t="n"/>
      <c r="J42" s="579" t="n"/>
      <c r="K42" s="579" t="n"/>
      <c r="L42" s="579" t="n"/>
      <c r="M42" s="579" t="n"/>
      <c r="N42" s="579" t="n"/>
      <c r="O42" s="579" t="n"/>
      <c r="P42" s="579" t="n"/>
      <c r="Q42" s="579" t="n"/>
      <c r="R42" s="579" t="n"/>
      <c r="S42" s="579" t="n"/>
      <c r="T42" s="579" t="n"/>
      <c r="U42" s="579" t="n"/>
      <c r="V42" s="579" t="n"/>
      <c r="W42" s="579" t="n"/>
      <c r="X42" s="579" t="n"/>
      <c r="Y42" s="579" t="n"/>
      <c r="Z42" s="579" t="n"/>
      <c r="AA42" s="579" t="n"/>
      <c r="AB42" s="579" t="n"/>
      <c r="AC42" s="579" t="n"/>
      <c r="AD42" s="579" t="n"/>
      <c r="AE42" s="579" t="n">
        <v>0.05262999999999995</v>
      </c>
      <c r="AF42" s="579" t="n"/>
      <c r="AG42" s="579" t="n"/>
    </row>
    <row r="43" ht="16.5" customFormat="1" customHeight="1" s="568">
      <c r="A43" s="86" t="n"/>
      <c r="B43" s="85" t="n"/>
      <c r="C43" s="84">
        <f>IFERROR(IF(AND($E43&gt;0,$D43&lt;&gt;"The Public"),$E43/SUMIFS($E$10:$E$186,$E$10:$E$186,"&gt;0",$D$10:$D$186,"&lt;&gt;The Public")*$D$5,""),"")</f>
        <v/>
      </c>
      <c r="D43" s="577" t="inlineStr">
        <is>
          <t>Charles D. Ray</t>
        </is>
      </c>
      <c r="E43" s="84">
        <f>SUM(G43:HG43)</f>
        <v/>
      </c>
      <c r="F43" s="568">
        <f>IFERROR(IF($E43&gt;0.0000005,$E43/SUMIF($E$11:$E$140,"&gt;0.0000005"),""),"")</f>
        <v/>
      </c>
      <c r="H43" s="579" t="n"/>
      <c r="I43" s="579" t="n"/>
      <c r="J43" s="579" t="n"/>
      <c r="K43" s="579" t="n"/>
      <c r="L43" s="579" t="n"/>
      <c r="M43" s="579" t="n"/>
      <c r="N43" s="579" t="n"/>
      <c r="O43" s="579" t="n"/>
      <c r="P43" s="579" t="n"/>
      <c r="Q43" s="579" t="n"/>
      <c r="R43" s="579" t="n"/>
      <c r="S43" s="579" t="n"/>
      <c r="T43" s="579" t="n"/>
      <c r="U43" s="579" t="n"/>
      <c r="V43" s="579" t="n"/>
      <c r="W43" s="579" t="n"/>
      <c r="X43" s="579" t="n"/>
      <c r="Y43" s="579" t="n"/>
      <c r="Z43" s="579" t="n"/>
      <c r="AA43" s="579" t="n"/>
      <c r="AB43" s="579" t="n"/>
      <c r="AC43" s="579" t="n"/>
      <c r="AD43" s="579" t="n"/>
      <c r="AE43" s="579" t="n">
        <v>0.05262999999999995</v>
      </c>
      <c r="AF43" s="579" t="n"/>
      <c r="AG43" s="579" t="n"/>
    </row>
    <row r="44" customFormat="1" s="568">
      <c r="A44" s="86" t="n"/>
      <c r="B44" s="85" t="n"/>
      <c r="C44" s="84">
        <f>IFERROR(IF(AND($E44&gt;0,$D44&lt;&gt;"The Public"),$E44/SUMIFS($E$10:$E$186,$E$10:$E$186,"&gt;0",$D$10:$D$186,"&lt;&gt;The Public")*$D$5,""),"")</f>
        <v/>
      </c>
      <c r="D44" s="52" t="inlineStr">
        <is>
          <t>Continental Illinois Energy Development Corp</t>
        </is>
      </c>
      <c r="E44" s="84">
        <f>SUM(G44:HG44)</f>
        <v/>
      </c>
      <c r="F44" s="568">
        <f>IFERROR(IF($E44&gt;0.0000005,$E44/SUMIF($E$11:$E$140,"&gt;0.0000005"),""),"")</f>
        <v/>
      </c>
      <c r="H44" s="579" t="n"/>
      <c r="I44" s="579" t="n"/>
      <c r="J44" s="579" t="n"/>
      <c r="K44" s="579" t="n"/>
      <c r="L44" s="579" t="n"/>
      <c r="M44" s="579" t="n"/>
      <c r="N44" s="579" t="n"/>
      <c r="O44" s="579" t="n"/>
      <c r="P44" s="579" t="n"/>
      <c r="Q44" s="579" t="n"/>
      <c r="R44" s="579" t="n"/>
      <c r="S44" s="579" t="n"/>
      <c r="T44" s="579" t="n"/>
      <c r="U44" s="579" t="n"/>
      <c r="V44" s="579" t="n"/>
      <c r="W44" s="579" t="n"/>
      <c r="X44" s="579" t="n"/>
      <c r="Y44" s="579" t="n"/>
      <c r="Z44" s="579" t="n"/>
      <c r="AA44" s="579" t="n"/>
      <c r="AB44" s="579" t="n"/>
      <c r="AC44" s="579" t="n"/>
      <c r="AD44" s="579" t="n"/>
      <c r="AE44" s="579" t="n"/>
      <c r="AF44" s="579" t="n">
        <v>1</v>
      </c>
      <c r="AG44" s="579" t="n"/>
    </row>
    <row r="45" customFormat="1" s="568">
      <c r="A45" s="86" t="n"/>
      <c r="B45" s="85" t="n"/>
      <c r="C45" s="488">
        <f>IFERROR(IF(AND($E45&gt;0,$D45&lt;&gt;"The Public"),$E45/SUMIFS($E$10:$E$186,$E$10:$E$186,"&gt;0",$D$10:$D$186,"&lt;&gt;The Public")*$D$5,""),"")</f>
        <v/>
      </c>
      <c r="D45" s="493" t="inlineStr">
        <is>
          <t>Mann Childrens Trust, by Walter J. Rusek, Trustee</t>
        </is>
      </c>
      <c r="E45" s="488">
        <f>SUM(G45:HG45)</f>
        <v/>
      </c>
      <c r="F45" s="568">
        <f>IFERROR(IF($E45&gt;0.0000005,$E45/SUMIF($E$11:$E$140,"&gt;0.0000005"),""),"")</f>
        <v/>
      </c>
      <c r="H45" s="579" t="n"/>
      <c r="I45" s="579" t="n"/>
      <c r="J45" s="579" t="n"/>
      <c r="K45" s="579" t="n"/>
      <c r="L45" s="579" t="n"/>
      <c r="M45" s="579" t="n"/>
      <c r="N45" s="579" t="n"/>
      <c r="O45" s="579" t="n"/>
      <c r="P45" s="579" t="n"/>
      <c r="Q45" s="579" t="n"/>
      <c r="R45" s="579" t="n"/>
      <c r="S45" s="579" t="n"/>
      <c r="T45" s="579" t="n"/>
      <c r="U45" s="579" t="n"/>
      <c r="V45" s="579" t="n"/>
      <c r="W45" s="579" t="n"/>
      <c r="X45" s="579" t="n"/>
      <c r="Y45" s="579" t="n"/>
      <c r="Z45" s="579" t="n"/>
      <c r="AA45" s="579" t="n"/>
      <c r="AB45" s="579" t="n"/>
      <c r="AC45" s="579" t="n"/>
      <c r="AD45" s="579" t="n"/>
      <c r="AE45" s="579" t="n"/>
      <c r="AF45" s="579" t="n"/>
      <c r="AG45" s="579" t="n">
        <v>-0.00769230769230769</v>
      </c>
    </row>
    <row r="46" customFormat="1" s="568">
      <c r="A46" s="86" t="n"/>
      <c r="B46" s="85" t="n"/>
      <c r="C46" s="488">
        <f>IFERROR(IF(AND($E46&gt;0,$D46&lt;&gt;"The Public"),$E46/SUMIFS($E$10:$E$186,$E$10:$E$186,"&gt;0",$D$10:$D$186,"&lt;&gt;The Public")*$D$5,""),"")</f>
        <v/>
      </c>
      <c r="D46" s="493" t="inlineStr">
        <is>
          <t>Mann Group Investment Company</t>
        </is>
      </c>
      <c r="E46" s="488">
        <f>SUM(G46:HG46)</f>
        <v/>
      </c>
      <c r="F46" s="568">
        <f>IFERROR(IF($E46&gt;0.0000005,$E46/SUMIF($E$11:$E$140,"&gt;0.0000005"),""),"")</f>
        <v/>
      </c>
      <c r="H46" s="579" t="n"/>
      <c r="I46" s="579" t="n"/>
      <c r="J46" s="579" t="n"/>
      <c r="K46" s="579" t="n"/>
      <c r="L46" s="579" t="n"/>
      <c r="M46" s="579" t="n"/>
      <c r="N46" s="579" t="n"/>
      <c r="O46" s="579" t="n"/>
      <c r="P46" s="579" t="n"/>
      <c r="Q46" s="579" t="n"/>
      <c r="R46" s="579" t="n"/>
      <c r="S46" s="579" t="n"/>
      <c r="T46" s="579" t="n"/>
      <c r="U46" s="579" t="n"/>
      <c r="V46" s="579" t="n"/>
      <c r="W46" s="579" t="n"/>
      <c r="X46" s="579" t="n"/>
      <c r="Y46" s="579" t="n"/>
      <c r="Z46" s="579" t="n"/>
      <c r="AA46" s="579" t="n"/>
      <c r="AB46" s="579" t="n"/>
      <c r="AC46" s="579" t="n"/>
      <c r="AD46" s="579" t="n"/>
      <c r="AE46" s="579" t="n"/>
      <c r="AF46" s="579" t="n"/>
      <c r="AG46" s="579" t="n">
        <v>0.00769230769230769</v>
      </c>
      <c r="AL46" s="568" t="n">
        <v>-0.0384615384615385</v>
      </c>
    </row>
    <row r="47" customFormat="1" s="568">
      <c r="A47" s="86" t="n"/>
      <c r="B47" s="85" t="n"/>
      <c r="C47" s="84">
        <f>IFERROR(IF(AND($E47&gt;0,$D47&lt;&gt;"The Public"),$E47/SUMIFS($E$10:$E$186,$E$10:$E$186,"&gt;0",$D$10:$D$186,"&lt;&gt;The Public")*$D$5,""),"")</f>
        <v/>
      </c>
      <c r="D47" s="52" t="inlineStr">
        <is>
          <t>Black Hawk Oil Company</t>
        </is>
      </c>
      <c r="E47" s="84">
        <f>SUM(G47:HG47)</f>
        <v/>
      </c>
      <c r="F47" s="568">
        <f>IFERROR(IF($E47&gt;0.0000005,$E47/SUMIF($E$11:$E$140,"&gt;0.0000005"),""),"")</f>
        <v/>
      </c>
      <c r="H47" s="579" t="n"/>
      <c r="J47" s="579" t="n"/>
      <c r="K47" s="579" t="n"/>
      <c r="L47" s="579" t="n"/>
      <c r="M47" s="579" t="n"/>
      <c r="N47" s="579" t="n"/>
      <c r="O47" s="579" t="n"/>
      <c r="P47" s="579" t="n"/>
      <c r="Q47" s="579" t="n"/>
      <c r="R47" s="579" t="n"/>
      <c r="S47" s="579" t="n"/>
      <c r="T47" s="579" t="n"/>
      <c r="U47" s="579" t="n"/>
      <c r="V47" s="579" t="n"/>
      <c r="W47" s="579" t="n"/>
      <c r="X47" s="579" t="n"/>
      <c r="Y47" s="579" t="n"/>
      <c r="Z47" s="579" t="n"/>
      <c r="AA47" s="579" t="n"/>
      <c r="AB47" s="579" t="n"/>
      <c r="AC47" s="579" t="n"/>
      <c r="AD47" s="579" t="n"/>
      <c r="AE47" s="579" t="n"/>
      <c r="AF47" s="579" t="n"/>
      <c r="AG47" s="579" t="n"/>
      <c r="AH47" s="568" t="n">
        <v>1</v>
      </c>
      <c r="AI47" s="568" t="n">
        <v>-0.16385</v>
      </c>
    </row>
    <row r="48" customFormat="1" s="568">
      <c r="A48" s="86" t="n"/>
      <c r="B48" s="85" t="n"/>
      <c r="C48" s="137">
        <f>IFERROR(IF(AND($E48&gt;0,$D48&lt;&gt;"The Public"),$E48/SUMIFS($E$10:$E$186,$E$10:$E$186,"&gt;0",$D$10:$D$186,"&lt;&gt;The Public")*$D$5,""),"")</f>
        <v/>
      </c>
      <c r="D48" s="51" t="inlineStr">
        <is>
          <t>Proven Properties, Inc.</t>
        </is>
      </c>
      <c r="E48" s="137">
        <f>SUM(G48:HG48)</f>
        <v/>
      </c>
      <c r="F48" s="568">
        <f>IFERROR(IF($E48&gt;0.0000005,$E48/SUMIF($E$11:$E$140,"&gt;0.0000005"),""),"")</f>
        <v/>
      </c>
      <c r="H48" s="579" t="n"/>
      <c r="J48" s="579" t="n"/>
      <c r="L48" s="579" t="n"/>
      <c r="M48" s="579" t="n"/>
      <c r="N48" s="579" t="n"/>
      <c r="O48" s="579" t="n"/>
      <c r="P48" s="579" t="n"/>
      <c r="Q48" s="579" t="n"/>
      <c r="R48" s="579" t="n"/>
      <c r="S48" s="579" t="n"/>
      <c r="T48" s="579" t="n"/>
      <c r="U48" s="579" t="n"/>
      <c r="V48" s="579" t="n"/>
      <c r="W48" s="579" t="n"/>
      <c r="X48" s="579" t="n"/>
      <c r="Y48" s="579" t="n"/>
      <c r="Z48" s="579" t="n"/>
      <c r="AA48" s="579" t="n"/>
      <c r="AB48" s="579" t="n"/>
      <c r="AC48" s="579" t="n"/>
      <c r="AD48" s="579" t="n"/>
      <c r="AE48" s="579" t="n"/>
      <c r="AF48" s="579" t="n"/>
      <c r="AG48" s="579" t="n"/>
      <c r="AI48" s="568" t="n">
        <v>0.16385</v>
      </c>
    </row>
    <row r="49" customFormat="1" s="568">
      <c r="A49" s="86" t="n"/>
      <c r="B49" s="85" t="n"/>
      <c r="C49" s="137">
        <f>IFERROR(IF(AND($E49&gt;0,$D49&lt;&gt;"The Public"),$E49/SUMIFS($E$10:$E$186,$E$10:$E$186,"&gt;0",$D$10:$D$186,"&lt;&gt;The Public")*$D$5,""),"")</f>
        <v/>
      </c>
      <c r="D49" s="51" t="inlineStr">
        <is>
          <t>Kaiser Francis Oil Co.</t>
        </is>
      </c>
      <c r="E49" s="137">
        <f>SUM(G49:HG49)</f>
        <v/>
      </c>
      <c r="F49" s="568">
        <f>IFERROR(IF($E49&gt;0.0000005,$E49/SUMIF($E$11:$E$140,"&gt;0.0000005"),""),"")</f>
        <v/>
      </c>
      <c r="H49" s="579" t="n"/>
      <c r="J49" s="579" t="n"/>
      <c r="L49" s="579" t="n"/>
      <c r="M49" s="579" t="n"/>
      <c r="N49" s="579" t="n"/>
      <c r="O49" s="579" t="n"/>
      <c r="P49" s="579" t="n"/>
      <c r="Q49" s="579" t="n"/>
      <c r="R49" s="579" t="n"/>
      <c r="S49" s="579" t="n"/>
      <c r="T49" s="579" t="n"/>
      <c r="U49" s="579" t="n"/>
      <c r="V49" s="579" t="n"/>
      <c r="W49" s="579" t="n"/>
      <c r="X49" s="579" t="n"/>
      <c r="Y49" s="579" t="n"/>
      <c r="Z49" s="579" t="n"/>
      <c r="AA49" s="579" t="n"/>
      <c r="AB49" s="579" t="n"/>
      <c r="AC49" s="579" t="n"/>
      <c r="AD49" s="579" t="n"/>
      <c r="AE49" s="579" t="n"/>
      <c r="AF49" s="579" t="n"/>
      <c r="AG49" s="579" t="n"/>
      <c r="AJ49" s="568" t="n">
        <v>1</v>
      </c>
    </row>
    <row r="50" customFormat="1" s="568">
      <c r="A50" s="86" t="n"/>
      <c r="B50" s="85" t="n"/>
      <c r="C50" s="485">
        <f>IFERROR(IF(AND($E50&gt;0,$D50&lt;&gt;"The Public"),$E50/SUMIFS($E$10:$E$186,$E$10:$E$186,"&gt;0",$D$10:$D$186,"&lt;&gt;The Public")*$D$5,""),"")</f>
        <v/>
      </c>
      <c r="D50" s="490" t="inlineStr">
        <is>
          <t>Cimarron Mineral Corporation</t>
        </is>
      </c>
      <c r="E50" s="485">
        <f>SUM(G50:HG50)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Z50" s="579" t="n"/>
      <c r="AA50" s="579" t="n"/>
      <c r="AB50" s="579" t="n"/>
      <c r="AC50" s="579" t="n"/>
      <c r="AD50" s="579" t="n"/>
      <c r="AE50" s="579" t="n"/>
      <c r="AF50" s="579" t="n"/>
      <c r="AG50" s="579" t="n"/>
      <c r="AK50" s="568" t="n">
        <v>-1</v>
      </c>
    </row>
    <row r="51" customFormat="1" s="568">
      <c r="A51" s="86" t="n"/>
      <c r="B51" s="85" t="n"/>
      <c r="C51" s="84">
        <f>IFERROR(IF(AND($E51&gt;0,$D51&lt;&gt;"The Public"),$E51/SUMIFS($E$10:$E$186,$E$10:$E$186,"&gt;0",$D$10:$D$186,"&lt;&gt;The Public")*$D$5,""),"")</f>
        <v/>
      </c>
      <c r="D51" s="52" t="inlineStr">
        <is>
          <t>Inter-American Corporation</t>
        </is>
      </c>
      <c r="E51" s="84">
        <f>SUM(G51:HG51)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9" t="n"/>
      <c r="AE51" s="579" t="n"/>
      <c r="AF51" s="579" t="n"/>
      <c r="AG51" s="579" t="n"/>
      <c r="AK51" s="568" t="n">
        <v>1</v>
      </c>
      <c r="AR51" s="568" t="n">
        <v>-0.0192307692307692</v>
      </c>
    </row>
    <row r="52" customFormat="1" s="568">
      <c r="A52" s="86" t="n"/>
      <c r="B52" s="85" t="n"/>
      <c r="C52" s="485">
        <f>IFERROR(IF(AND($E52&gt;0,$D52&lt;&gt;"The Public"),$E52/SUMIFS($E$10:$E$186,$E$10:$E$186,"&gt;0",$D$10:$D$186,"&lt;&gt;The Public")*$D$5,""),"")</f>
        <v/>
      </c>
      <c r="D52" s="490" t="inlineStr">
        <is>
          <t>Bluebonnet Investments, Ltd.</t>
        </is>
      </c>
      <c r="E52" s="485">
        <f>SUM(G52:HG52)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9" t="n"/>
      <c r="AE52" s="579" t="n"/>
      <c r="AF52" s="579" t="n"/>
      <c r="AG52" s="579" t="n"/>
      <c r="AL52" s="568" t="n">
        <v>0.0384615384615385</v>
      </c>
      <c r="BH52" s="568" t="n">
        <v>-1</v>
      </c>
    </row>
    <row r="53" customFormat="1" s="568">
      <c r="A53" s="86" t="n"/>
      <c r="B53" s="85" t="n"/>
      <c r="C53" s="485">
        <f>IFERROR(IF(AND($E53&gt;0,$D53&lt;&gt;"The Public"),$E53/SUMIFS($E$10:$E$186,$E$10:$E$186,"&gt;0",$D$10:$D$186,"&lt;&gt;The Public")*$D$5,""),"")</f>
        <v/>
      </c>
      <c r="D53" s="591" t="inlineStr">
        <is>
          <t>Federal Deposit Insurance Corporation</t>
        </is>
      </c>
      <c r="E53" s="485">
        <f>SUM(G53:HG53)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9" t="n"/>
      <c r="AE53" s="579" t="n"/>
      <c r="AF53" s="579" t="n"/>
      <c r="AG53" s="579" t="n"/>
      <c r="AM53" s="568" t="n">
        <v>-1</v>
      </c>
    </row>
    <row r="54" customFormat="1" s="568">
      <c r="A54" s="86" t="n"/>
      <c r="B54" s="85" t="n"/>
      <c r="C54" s="84">
        <f>IFERROR(IF(AND($E54&gt;0,$D54&lt;&gt;"The Public"),$E54/SUMIFS($E$10:$E$186,$E$10:$E$186,"&gt;0",$D$10:$D$186,"&lt;&gt;The Public")*$D$5,""),"")</f>
        <v/>
      </c>
      <c r="D54" s="114" t="inlineStr">
        <is>
          <t>First State Bank &amp; Trust Company</t>
        </is>
      </c>
      <c r="E54" s="84">
        <f>SUM(G54:HG54)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9" t="n"/>
      <c r="AE54" s="579" t="n"/>
      <c r="AF54" s="579" t="n"/>
      <c r="AG54" s="579" t="n"/>
      <c r="AM54" s="568" t="n">
        <v>1</v>
      </c>
      <c r="AP54" s="568" t="n">
        <v>-1</v>
      </c>
    </row>
    <row r="55" customFormat="1" s="568">
      <c r="A55" s="86" t="n"/>
      <c r="B55" s="85" t="n"/>
      <c r="C55" s="485">
        <f>IFERROR(IF(AND($E55&gt;0,$D55&lt;&gt;"The Public"),$E55/SUMIFS($E$10:$E$186,$E$10:$E$186,"&gt;0",$D$10:$D$186,"&lt;&gt;The Public")*$D$5,""),"")</f>
        <v/>
      </c>
      <c r="D55" s="495" t="inlineStr">
        <is>
          <t>State Bank &amp; Trust Company</t>
        </is>
      </c>
      <c r="E55" s="485">
        <f>SUM(G55:HG55)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9" t="n"/>
      <c r="AE55" s="579" t="n"/>
      <c r="AF55" s="579" t="n"/>
      <c r="AG55" s="579" t="n"/>
      <c r="AN55" s="568" t="n">
        <v>-1</v>
      </c>
    </row>
    <row r="56" customFormat="1" s="568">
      <c r="A56" s="86" t="n"/>
      <c r="B56" s="85" t="n"/>
      <c r="C56" s="137">
        <f>IFERROR(IF(AND($E56&gt;0,$D56&lt;&gt;"The Public"),$E56/SUMIFS($E$10:$E$186,$E$10:$E$186,"&gt;0",$D$10:$D$186,"&lt;&gt;The Public")*$D$5,""),"")</f>
        <v/>
      </c>
      <c r="D56" s="114" t="inlineStr">
        <is>
          <t>Arrowhead Resources, Inc.</t>
        </is>
      </c>
      <c r="E56" s="592">
        <f>SUM(G56:HG56)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9" t="n"/>
      <c r="AE56" s="579" t="n"/>
      <c r="AF56" s="579" t="n"/>
      <c r="AG56" s="579" t="n"/>
      <c r="AN56" s="568" t="n">
        <v>1</v>
      </c>
      <c r="AO56" s="568" t="n">
        <v>-1</v>
      </c>
      <c r="AP56" s="568" t="n">
        <v>1</v>
      </c>
      <c r="AQ56" s="568" t="n">
        <v>-1</v>
      </c>
      <c r="BB56" s="568" t="n">
        <v>1</v>
      </c>
      <c r="BC56" s="568" t="n">
        <v>1</v>
      </c>
      <c r="BD56" s="568" t="n">
        <v>1</v>
      </c>
    </row>
    <row r="57" customFormat="1" s="568">
      <c r="A57" s="86" t="n"/>
      <c r="B57" s="85" t="n"/>
      <c r="C57" s="137">
        <f>IFERROR(IF(AND($E57&gt;0,$D57&lt;&gt;"The Public"),$E57/SUMIFS($E$10:$E$186,$E$10:$E$186,"&gt;0",$D$10:$D$186,"&lt;&gt;The Public")*$D$5,""),"")</f>
        <v/>
      </c>
      <c r="D57" s="114" t="inlineStr">
        <is>
          <t>Daniel D. Ferson</t>
        </is>
      </c>
      <c r="E57" s="137">
        <f>SUM(G57:HG57)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9" t="n"/>
      <c r="AE57" s="579" t="n"/>
      <c r="AF57" s="579" t="n"/>
      <c r="AG57" s="579" t="n"/>
      <c r="AO57" s="568" t="n">
        <v>1</v>
      </c>
    </row>
    <row r="58" customFormat="1" s="568">
      <c r="A58" s="86" t="n"/>
      <c r="B58" s="85" t="n"/>
      <c r="C58" s="84">
        <f>IFERROR(IF(AND($E58&gt;0,$D58&lt;&gt;"The Public"),$E58/SUMIFS($E$10:$E$186,$E$10:$E$186,"&gt;0",$D$10:$D$186,"&lt;&gt;The Public")*$D$5,""),"")</f>
        <v/>
      </c>
      <c r="D58" s="114" t="inlineStr">
        <is>
          <t>The Hefner Corporation</t>
        </is>
      </c>
      <c r="E58" s="84">
        <f>SUM(G58:HG58)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9" t="n"/>
      <c r="AE58" s="579" t="n"/>
      <c r="AF58" s="579" t="n"/>
      <c r="AG58" s="579" t="n"/>
      <c r="AQ58" s="568" t="n">
        <v>1</v>
      </c>
    </row>
    <row r="59" customFormat="1" s="568">
      <c r="A59" s="86" t="n"/>
      <c r="B59" s="85" t="n"/>
      <c r="C59" s="84">
        <f>IFERROR(IF(AND($E59&gt;0,$D59&lt;&gt;"The Public"),$E59/SUMIFS($E$10:$E$186,$E$10:$E$186,"&gt;0",$D$10:$D$186,"&lt;&gt;The Public")*$D$5,""),"")</f>
        <v/>
      </c>
      <c r="D59" s="114" t="inlineStr">
        <is>
          <t>Hayhurst Oil Properties, Inc.</t>
        </is>
      </c>
      <c r="E59" s="593">
        <f>SUM(G59:HG59)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9" t="n"/>
      <c r="AE59" s="579" t="n"/>
      <c r="AF59" s="579" t="n"/>
      <c r="AG59" s="579" t="n"/>
      <c r="AR59" s="568" t="n">
        <v>0.0192307692307692</v>
      </c>
      <c r="AS59" s="568" t="n">
        <v>1</v>
      </c>
      <c r="AV59" s="568" t="n">
        <v>-0.00384615384615385</v>
      </c>
      <c r="AW59" s="568" t="n">
        <v>-0.00769230769230769</v>
      </c>
    </row>
    <row r="60" customFormat="1" s="568">
      <c r="A60" s="86" t="n"/>
      <c r="B60" s="85" t="n"/>
      <c r="C60" s="485">
        <f>IFERROR(IF(AND($E60&gt;0,$D60&lt;&gt;"The Public"),$E60/SUMIFS($E$10:$E$186,$E$10:$E$186,"&gt;0",$D$10:$D$186,"&lt;&gt;The Public")*$D$5,""),"")</f>
        <v/>
      </c>
      <c r="D60" s="496" t="inlineStr">
        <is>
          <t>Termo Company</t>
        </is>
      </c>
      <c r="E60" s="485">
        <f>SUM(G60:HG60)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9" t="n"/>
      <c r="AE60" s="579" t="n"/>
      <c r="AF60" s="579" t="n"/>
      <c r="AG60" s="579" t="n"/>
      <c r="AS60" s="568" t="n">
        <v>-1</v>
      </c>
    </row>
    <row r="61" ht="24" customFormat="1" customHeight="1" s="568">
      <c r="A61" s="86" t="n"/>
      <c r="B61" s="85" t="n"/>
      <c r="C61" s="485">
        <f>IFERROR(IF(AND($E61&gt;0,$D61&lt;&gt;"The Public"),$E61/SUMIFS($E$10:$E$186,$E$10:$E$186,"&gt;0",$D$10:$D$186,"&lt;&gt;The Public")*$D$5,""),"")</f>
        <v/>
      </c>
      <c r="D61" s="495" t="inlineStr">
        <is>
          <t>Beckham County Court, RE: In the Matter of the Estate of Annie E. Mitchel, Deceased</t>
        </is>
      </c>
      <c r="E61" s="485">
        <f>SUM(G61:HG61)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9" t="n"/>
      <c r="AE61" s="579" t="n"/>
      <c r="AF61" s="579" t="n"/>
      <c r="AG61" s="579" t="n"/>
      <c r="AT61" s="568" t="n">
        <v>-1</v>
      </c>
    </row>
    <row r="62" customFormat="1" s="568">
      <c r="A62" s="86" t="n"/>
      <c r="B62" s="85" t="n"/>
      <c r="C62" s="488">
        <f>IFERROR(IF(AND($E62&gt;0,$D62&lt;&gt;"The Public"),$E62/SUMIFS($E$10:$E$186,$E$10:$E$186,"&gt;0",$D$10:$D$186,"&lt;&gt;The Public")*$D$5,""),"")</f>
        <v/>
      </c>
      <c r="D62" s="493" t="inlineStr">
        <is>
          <t>Louise Ormand</t>
        </is>
      </c>
      <c r="E62" s="488">
        <f>SUM(G62:HG62)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9" t="n"/>
      <c r="AE62" s="579" t="n"/>
      <c r="AF62" s="579" t="n"/>
      <c r="AG62" s="579" t="n"/>
      <c r="AT62" s="568" t="n">
        <v>0.333333333333333</v>
      </c>
      <c r="BC62" s="568" t="n">
        <v>-0.5</v>
      </c>
    </row>
    <row r="63" customFormat="1" s="568">
      <c r="A63" s="86" t="n"/>
      <c r="B63" s="85" t="n"/>
      <c r="C63" s="84">
        <f>IFERROR(IF(AND($E63&gt;0,$D63&lt;&gt;"The Public"),$E63/SUMIFS($E$10:$E$186,$E$10:$E$186,"&gt;0",$D$10:$D$186,"&lt;&gt;The Public")*$D$5,""),"")</f>
        <v/>
      </c>
      <c r="D63" s="114" t="inlineStr">
        <is>
          <t>Mattie Britton</t>
        </is>
      </c>
      <c r="E63" s="84">
        <f>SUM(G63:HG63)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9" t="n"/>
      <c r="AE63" s="579" t="n"/>
      <c r="AF63" s="579" t="n"/>
      <c r="AG63" s="579" t="n"/>
      <c r="AT63" s="568" t="n">
        <v>0.333333333333333</v>
      </c>
    </row>
    <row r="64" customFormat="1" s="568">
      <c r="A64" s="86" t="n"/>
      <c r="B64" s="85" t="n"/>
      <c r="C64" s="488">
        <f>IFERROR(IF(AND($E64&gt;0,$D64&lt;&gt;"The Public"),$E64/SUMIFS($E$10:$E$186,$E$10:$E$186,"&gt;0",$D$10:$D$186,"&lt;&gt;The Public")*$D$5,""),"")</f>
        <v/>
      </c>
      <c r="D64" s="493" t="inlineStr">
        <is>
          <t>Mattie C. Britton</t>
        </is>
      </c>
      <c r="E64" s="488">
        <f>SUM(G64:HG64)</f>
        <v/>
      </c>
      <c r="F64" s="568">
        <f>IFERROR(IF($E64&gt;0.0000005,$E64/SUMIF($E$11:$E$140,"&gt;0.0000005"),""),"")</f>
        <v/>
      </c>
      <c r="H64" s="579" t="n"/>
      <c r="I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9" t="n"/>
      <c r="AE64" s="579" t="n"/>
      <c r="AF64" s="579" t="n"/>
      <c r="AG64" s="579" t="n"/>
      <c r="AU64" s="568" t="n">
        <v>-1</v>
      </c>
    </row>
    <row r="65" customFormat="1" s="568">
      <c r="A65" s="86" t="n"/>
      <c r="B65" s="85" t="n"/>
      <c r="C65" s="84">
        <f>IFERROR(IF(AND($E65&gt;0,$D65&lt;&gt;"The Public"),$E65/SUMIFS($E$10:$E$186,$E$10:$E$186,"&gt;0",$D$10:$D$186,"&lt;&gt;The Public")*$D$5,""),"")</f>
        <v/>
      </c>
      <c r="D65" s="114" t="inlineStr">
        <is>
          <t>Joe Britton and Anna R. Britton, HW, JTWROS</t>
        </is>
      </c>
      <c r="E65" s="84">
        <f>SUM(G65:HG65)</f>
        <v/>
      </c>
      <c r="F65" s="568">
        <f>IFERROR(IF($E65&gt;0.0000005,$E65/SUMIF($E$11:$E$140,"&gt;0.0000005"),""),"")</f>
        <v/>
      </c>
      <c r="H65" s="579" t="n"/>
      <c r="I65" s="579" t="n"/>
      <c r="J65" s="579" t="n"/>
      <c r="K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9" t="n"/>
      <c r="AE65" s="579" t="n"/>
      <c r="AF65" s="579" t="n"/>
      <c r="AG65" s="579" t="n"/>
      <c r="AU65" s="568" t="n">
        <v>1</v>
      </c>
    </row>
    <row r="66" customFormat="1" s="568">
      <c r="A66" s="86" t="n"/>
      <c r="B66" s="85" t="n"/>
      <c r="C66" s="137">
        <f>IFERROR(IF(AND($E66&gt;0,$D66&lt;&gt;"The Public"),$E66/SUMIFS($E$10:$E$186,$E$10:$E$186,"&gt;0",$D$10:$D$186,"&lt;&gt;The Public")*$D$5,""),"")</f>
        <v/>
      </c>
      <c r="D66" s="51" t="inlineStr">
        <is>
          <t>Minion Investment Company</t>
        </is>
      </c>
      <c r="E66" s="137">
        <f>SUM(G66:HG66)</f>
        <v/>
      </c>
      <c r="F66" s="568">
        <f>IFERROR(IF($E66&gt;0.0000005,$E66/SUMIF($E$11:$E$140,"&gt;0.0000005"),""),"")</f>
        <v/>
      </c>
      <c r="H66" s="579" t="n"/>
      <c r="I66" s="579" t="n"/>
      <c r="J66" s="579" t="n"/>
      <c r="K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9" t="n"/>
      <c r="AE66" s="579" t="n"/>
      <c r="AF66" s="579" t="n"/>
      <c r="AG66" s="579" t="n"/>
      <c r="AV66" s="568" t="n">
        <v>0.00384615384615385</v>
      </c>
    </row>
    <row r="67" customFormat="1" s="568">
      <c r="A67" s="86" t="n"/>
      <c r="B67" s="85" t="n"/>
      <c r="C67" s="84">
        <f>IFERROR(IF(AND($E67&gt;0,$D67&lt;&gt;"The Public"),$E67/SUMIFS($E$10:$E$186,$E$10:$E$186,"&gt;0",$D$10:$D$186,"&lt;&gt;The Public")*$D$5,""),"")</f>
        <v/>
      </c>
      <c r="D67" s="114" t="inlineStr">
        <is>
          <t>Nam Corporation</t>
        </is>
      </c>
      <c r="E67" s="84">
        <f>SUM(G67:HG67)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9" t="n"/>
      <c r="AE67" s="579" t="n"/>
      <c r="AF67" s="579" t="n"/>
      <c r="AG67" s="579" t="n"/>
      <c r="AW67" s="568" t="n">
        <v>0.003846153846153845</v>
      </c>
    </row>
    <row r="68" customFormat="1" s="568">
      <c r="A68" s="86" t="n"/>
      <c r="B68" s="85" t="n"/>
      <c r="C68" s="485">
        <f>IFERROR(IF(AND($E68&gt;0,$D68&lt;&gt;"The Public"),$E68/SUMIFS($E$10:$E$186,$E$10:$E$186,"&gt;0",$D$10:$D$186,"&lt;&gt;The Public")*$D$5,""),"")</f>
        <v/>
      </c>
      <c r="D68" s="495" t="inlineStr">
        <is>
          <t>Tripco Inc.</t>
        </is>
      </c>
      <c r="E68" s="485">
        <f>SUM(G68:HG68)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9" t="n"/>
      <c r="AE68" s="579" t="n"/>
      <c r="AF68" s="579" t="n"/>
      <c r="AG68" s="579" t="n"/>
      <c r="AW68" s="568" t="n">
        <v>0.003846153846153845</v>
      </c>
      <c r="AX68" s="568" t="n">
        <v>-1</v>
      </c>
      <c r="BP68" s="568" t="n">
        <v>-1</v>
      </c>
    </row>
    <row r="69" customFormat="1" s="568">
      <c r="A69" s="86" t="n"/>
      <c r="B69" s="85" t="n"/>
      <c r="C69" s="84">
        <f>IFERROR(IF(AND($E69&gt;0,$D69&lt;&gt;"The Public"),$E69/SUMIFS($E$10:$E$186,$E$10:$E$186,"&gt;0",$D$10:$D$186,"&lt;&gt;The Public")*$D$5,""),"")</f>
        <v/>
      </c>
      <c r="D69" s="114" t="inlineStr">
        <is>
          <t>Prudential Securities</t>
        </is>
      </c>
      <c r="E69" s="84">
        <f>SUM(G69:HG69)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9" t="n"/>
      <c r="AE69" s="579" t="n"/>
      <c r="AF69" s="579" t="n"/>
      <c r="AG69" s="579" t="n"/>
      <c r="AX69" s="568" t="n">
        <v>0.333333333333333</v>
      </c>
    </row>
    <row r="70" customFormat="1" s="568">
      <c r="A70" s="86" t="n"/>
      <c r="B70" s="85" t="n"/>
      <c r="C70" s="84">
        <f>IFERROR(IF(AND($E70&gt;0,$D70&lt;&gt;"The Public"),$E70/SUMIFS($E$10:$E$186,$E$10:$E$186,"&gt;0",$D$10:$D$186,"&lt;&gt;The Public")*$D$5,""),"")</f>
        <v/>
      </c>
      <c r="D70" s="114" t="inlineStr">
        <is>
          <t>C/F Cynthia L. Pipkin I.R.A. Rollover Dated January 23</t>
        </is>
      </c>
      <c r="E70" s="84">
        <f>SUM(G70:HG70)</f>
        <v/>
      </c>
      <c r="F70" s="568">
        <f>IFERROR(IF($E70&gt;0.0000005,$E70/SUMIF($E$11:$E$140,"&gt;0.0000005"),""),"")</f>
        <v/>
      </c>
      <c r="V70" s="579" t="n"/>
      <c r="AC70" s="579" t="n"/>
      <c r="AD70" s="579" t="n"/>
      <c r="AX70" s="568" t="n">
        <v>0.333333333333333</v>
      </c>
    </row>
    <row r="71" customFormat="1" s="568">
      <c r="A71" s="86" t="n"/>
      <c r="B71" s="85" t="n"/>
      <c r="C71" s="137">
        <f>IFERROR(IF(AND($E71&gt;0,$D71&lt;&gt;"The Public"),$E71/SUMIFS($E$10:$E$186,$E$10:$E$186,"&gt;0",$D$10:$D$186,"&lt;&gt;The Public")*$D$5,""),"")</f>
        <v/>
      </c>
      <c r="D71" s="51" t="n">
        <v>1995</v>
      </c>
      <c r="E71" s="137">
        <f>SUM(G71:HG71)</f>
        <v/>
      </c>
      <c r="F71" s="568">
        <f>IFERROR(IF($E71&gt;0.0000005,$E71/SUMIF($E$11:$E$140,"&gt;0.0000005"),""),"")</f>
        <v/>
      </c>
      <c r="V71" s="579" t="n"/>
      <c r="AC71" s="579" t="n"/>
      <c r="AD71" s="579" t="n"/>
      <c r="AX71" s="568" t="n">
        <v>0.333333333333333</v>
      </c>
    </row>
    <row r="72" customFormat="1" s="568">
      <c r="A72" s="86" t="n"/>
      <c r="B72" s="85" t="n"/>
      <c r="C72" s="485">
        <f>IFERROR(IF(AND($E72&gt;0,$D72&lt;&gt;"The Public"),$E72/SUMIFS($E$10:$E$186,$E$10:$E$186,"&gt;0",$D$10:$D$186,"&lt;&gt;The Public")*$D$5,""),"")</f>
        <v/>
      </c>
      <c r="D72" s="495" t="inlineStr">
        <is>
          <t>Charles R. Atha, a/k/a Charles Atha and Letty Atha, HW</t>
        </is>
      </c>
      <c r="E72" s="485">
        <f>SUM(G72:HG72)</f>
        <v/>
      </c>
      <c r="F72" s="568">
        <f>IFERROR(IF($E72&gt;0.0000005,$E72/SUMIF($E$11:$E$140,"&gt;0.0000005"),""),"")</f>
        <v/>
      </c>
      <c r="V72" s="579" t="n"/>
      <c r="AC72" s="579" t="n"/>
      <c r="AD72" s="579" t="n"/>
      <c r="AY72" s="568" t="n">
        <v>-1</v>
      </c>
    </row>
    <row r="73" ht="24" customFormat="1" customHeight="1" s="568">
      <c r="A73" s="86" t="n"/>
      <c r="B73" s="85" t="n"/>
      <c r="C73" s="84">
        <f>IFERROR(IF(AND($E73&gt;0,$D73&lt;&gt;"The Public"),$E73/SUMIFS($E$10:$E$186,$E$10:$E$186,"&gt;0",$D$10:$D$186,"&lt;&gt;The Public")*$D$5,""),"")</f>
        <v/>
      </c>
      <c r="D73" s="114" t="inlineStr">
        <is>
          <t>Charles R. Atha, a/k/a Charles Atha and Letty Atha, HW, JTWROS</t>
        </is>
      </c>
      <c r="E73" s="137">
        <f>SUM(G73:HG73)</f>
        <v/>
      </c>
      <c r="F73" s="568">
        <f>IFERROR(IF($E73&gt;0.0000005,$E73/SUMIF($E$11:$E$140,"&gt;0.0000005"),""),"")</f>
        <v/>
      </c>
      <c r="AY73" s="568" t="n">
        <v>1</v>
      </c>
    </row>
    <row r="74" ht="24" customFormat="1" customHeight="1" s="568">
      <c r="A74" s="86" t="n"/>
      <c r="B74" s="85" t="n"/>
      <c r="C74" s="488">
        <f>IFERROR(IF(AND($E74&gt;0,$D74&lt;&gt;"The Public"),$E74/SUMIFS($E$10:$E$186,$E$10:$E$186,"&gt;0",$D$10:$D$186,"&lt;&gt;The Public")*$D$5,""),"")</f>
        <v/>
      </c>
      <c r="D74" s="495" t="inlineStr">
        <is>
          <t>Roger Mills County Court RE: In the Matter of the Estate of Letty Jane Atha, Deceased</t>
        </is>
      </c>
      <c r="E74" s="488">
        <f>SUM(G74:HG74)</f>
        <v/>
      </c>
      <c r="F74" s="568">
        <f>IFERROR(IF($E74&gt;0.0000005,$E74/SUMIF($E$11:$E$140,"&gt;0.0000005"),""),"")</f>
        <v/>
      </c>
      <c r="AZ74" s="568" t="n">
        <v>-1</v>
      </c>
    </row>
    <row r="75" customFormat="1" s="568">
      <c r="A75" s="86" t="n"/>
      <c r="B75" s="85" t="n"/>
      <c r="C75" s="84">
        <f>IFERROR(IF(AND($E75&gt;0,$D75&lt;&gt;"The Public"),$E75/SUMIFS($E$10:$E$186,$E$10:$E$186,"&gt;0",$D$10:$D$186,"&lt;&gt;The Public")*$D$5,""),"")</f>
        <v/>
      </c>
      <c r="D75" s="114" t="inlineStr">
        <is>
          <t>Charles Allen Atha</t>
        </is>
      </c>
      <c r="E75" s="137">
        <f>SUM(G75:HG75)</f>
        <v/>
      </c>
      <c r="F75" s="568">
        <f>IFERROR(IF($E75&gt;0.0000005,$E75/SUMIF($E$11:$E$140,"&gt;0.0000005"),""),"")</f>
        <v/>
      </c>
      <c r="AZ75" s="568" t="n">
        <v>1</v>
      </c>
    </row>
    <row r="76" customFormat="1" s="568">
      <c r="A76" s="86" t="n"/>
      <c r="B76" s="85" t="n"/>
      <c r="C76" s="488">
        <f>IFERROR(IF(AND($E76&gt;0,$D76&lt;&gt;"The Public"),$E76/SUMIFS($E$10:$E$186,$E$10:$E$186,"&gt;0",$D$10:$D$186,"&lt;&gt;The Public")*$D$5,""),"")</f>
        <v/>
      </c>
      <c r="D76" s="495" t="inlineStr">
        <is>
          <t>Fer-Scher Exploration, LLC</t>
        </is>
      </c>
      <c r="E76" s="488">
        <f>SUM(G76:HG76)</f>
        <v/>
      </c>
      <c r="F76" s="568">
        <f>IFERROR(IF($E76&gt;0.0000005,$E76/SUMIF($E$11:$E$140,"&gt;0.0000005"),""),"")</f>
        <v/>
      </c>
      <c r="BA76" s="568" t="n">
        <v>-1</v>
      </c>
    </row>
    <row r="77" customFormat="1" s="568">
      <c r="A77" s="86" t="n"/>
      <c r="B77" s="85" t="n"/>
      <c r="C77" s="84">
        <f>IFERROR(IF(AND($E77&gt;0,$D77&lt;&gt;"The Public"),$E77/SUMIFS($E$10:$E$186,$E$10:$E$186,"&gt;0",$D$10:$D$186,"&lt;&gt;The Public")*$D$5,""),"")</f>
        <v/>
      </c>
      <c r="D77" s="114" t="inlineStr">
        <is>
          <t>Aspen Minerals Group</t>
        </is>
      </c>
      <c r="E77" s="137">
        <f>SUM(G77:HG77)</f>
        <v/>
      </c>
      <c r="F77" s="568">
        <f>IFERROR(IF($E77&gt;0.0000005,$E77/SUMIF($E$11:$E$140,"&gt;0.0000005"),""),"")</f>
        <v/>
      </c>
      <c r="BA77" s="568" t="n">
        <v>1</v>
      </c>
    </row>
    <row r="78" customFormat="1" s="568">
      <c r="A78" s="86" t="n"/>
      <c r="B78" s="85" t="n"/>
      <c r="C78" s="137">
        <f>IFERROR(IF(AND($E78&gt;0,$D78&lt;&gt;"The Public"),$E78/SUMIFS($E$10:$E$186,$E$10:$E$186,"&gt;0",$D$10:$D$186,"&lt;&gt;The Public")*$D$5,""),"")</f>
        <v/>
      </c>
      <c r="D78" s="114" t="inlineStr">
        <is>
          <t>Nanalee Faye Barnett</t>
        </is>
      </c>
      <c r="E78" s="137">
        <f>SUM(G78:HG78)</f>
        <v/>
      </c>
      <c r="F78" s="568">
        <f>IFERROR(IF($E78&gt;0.0000005,$E78/SUMIF($E$11:$E$140,"&gt;0.0000005"),""),"")</f>
        <v/>
      </c>
      <c r="BB78" s="568" t="n">
        <v>-1</v>
      </c>
      <c r="BE78" s="568" t="n">
        <v>1</v>
      </c>
    </row>
    <row r="79" customFormat="1" s="568">
      <c r="A79" s="86" t="n"/>
      <c r="B79" s="85" t="n"/>
      <c r="C79" s="485">
        <f>IFERROR(IF(AND($E79&gt;0,$D79&lt;&gt;"The Public"),$E79/SUMIFS($E$10:$E$186,$E$10:$E$186,"&gt;0",$D$10:$D$186,"&lt;&gt;The Public")*$D$5,""),"")</f>
        <v/>
      </c>
      <c r="D79" s="495" t="inlineStr">
        <is>
          <t>now Louise Ormand McLerran</t>
        </is>
      </c>
      <c r="E79" s="485">
        <f>SUM(G79:HG79)</f>
        <v/>
      </c>
      <c r="F79" s="568">
        <f>IFERROR(IF($E79&gt;0.0000005,$E79/SUMIF($E$11:$E$140,"&gt;0.0000005"),""),"")</f>
        <v/>
      </c>
      <c r="BC79" s="568" t="n">
        <v>-0.5</v>
      </c>
    </row>
    <row r="80" customFormat="1" s="568">
      <c r="A80" s="86" t="n"/>
      <c r="B80" s="85" t="n"/>
      <c r="C80" s="485">
        <f>IFERROR(IF(AND($E80&gt;0,$D80&lt;&gt;"The Public"),$E80/SUMIFS($E$10:$E$186,$E$10:$E$186,"&gt;0",$D$10:$D$186,"&lt;&gt;The Public")*$D$5,""),"")</f>
        <v/>
      </c>
      <c r="D80" s="495" t="inlineStr">
        <is>
          <t>Glenn D. Mitchel, a/k/a Glen D. Mitchel</t>
        </is>
      </c>
      <c r="E80" s="485">
        <f>SUM(G80:HG80)</f>
        <v/>
      </c>
      <c r="F80" s="568">
        <f>IFERROR(IF($E80&gt;0.0000005,$E80/SUMIF($E$11:$E$140,"&gt;0.0000005"),""),"")</f>
        <v/>
      </c>
      <c r="BD80" s="568" t="n">
        <v>-1</v>
      </c>
    </row>
    <row r="81" ht="24" customFormat="1" customHeight="1" s="568">
      <c r="A81" s="86" t="n"/>
      <c r="B81" s="85" t="n"/>
      <c r="C81" s="485">
        <f>IFERROR(IF(AND($E81&gt;0,$D81&lt;&gt;"The Public"),$E81/SUMIFS($E$10:$E$186,$E$10:$E$186,"&gt;0",$D$10:$D$186,"&lt;&gt;The Public")*$D$5,""),"")</f>
        <v/>
      </c>
      <c r="D81" s="495" t="inlineStr">
        <is>
          <t>Roger Mills County Court RE: In the Matter of the Estate of Jack E. Barnett, Deceased</t>
        </is>
      </c>
      <c r="E81" s="485">
        <f>SUM(G81:HG81)</f>
        <v/>
      </c>
      <c r="F81" s="568">
        <f>IFERROR(IF($E81&gt;0.0000005,$E81/SUMIF($E$11:$E$140,"&gt;0.0000005"),""),"")</f>
        <v/>
      </c>
      <c r="BE81" s="568" t="n">
        <v>-1</v>
      </c>
    </row>
    <row r="82" ht="24" customFormat="1" customHeight="1" s="568">
      <c r="A82" s="86" t="n"/>
      <c r="B82" s="85" t="n"/>
      <c r="C82" s="84">
        <f>IFERROR(IF(AND($E82&gt;0,$D82&lt;&gt;"The Public"),$E82/SUMIFS($E$10:$E$186,$E$10:$E$186,"&gt;0",$D$10:$D$186,"&lt;&gt;The Public")*$D$5,""),"")</f>
        <v/>
      </c>
      <c r="D82" s="51" t="inlineStr">
        <is>
          <t>Peggy J. HAYHURST, TRUSTEE, of the Peggy J. Hayhurst Revocable Trust datedrNovember 9, 1993</t>
        </is>
      </c>
      <c r="E82" s="84">
        <f>SUM(G82:HG82)</f>
        <v/>
      </c>
      <c r="F82" s="568">
        <f>IFERROR(IF($E82&gt;0.0000005,$E82/SUMIF($E$11:$E$140,"&gt;0.0000005"),""),"")</f>
        <v/>
      </c>
    </row>
    <row r="83" ht="51" customFormat="1" customHeight="1" s="568">
      <c r="A83" s="86" t="inlineStr">
        <is>
          <t>Best guess: grantee per Runsheet 2002-004595 (~1.386 NMA); verify deed</t>
        </is>
      </c>
      <c r="B83" s="85" t="n"/>
      <c r="C83" s="84">
        <f>IFERROR(IF(AND($E83&gt;0,$D83&lt;&gt;"The Public"),$E83/SUMIFS($E$10:$E$186,$E$10:$E$186,"&gt;0",$D$10:$D$186,"&lt;&gt;The Public")*$D$5,""),"")</f>
        <v/>
      </c>
      <c r="D83" s="502" t="inlineStr">
        <is>
          <t>Peggy J. Hayhurst, Trustee</t>
        </is>
      </c>
      <c r="E83" s="84">
        <f>SUM(G83:HG83)</f>
        <v/>
      </c>
      <c r="F83" s="568">
        <f>IFERROR(IF($E83&gt;0.0000005,$E83/SUMIF($E$11:$E$140,"&gt;0.0000005"),""),"")</f>
        <v/>
      </c>
    </row>
    <row r="84" ht="25.5" customFormat="1" customHeight="1" s="568">
      <c r="A84" s="86" t="n"/>
      <c r="B84" s="85" t="n"/>
      <c r="C84" s="485">
        <f>IFERROR(IF(AND($E84&gt;0,$D84&lt;&gt;"The Public"),$E84/SUMIFS($E$10:$E$186,$E$10:$E$186,"&gt;0",$D$10:$D$186,"&lt;&gt;The Public")*$D$5,""),"")</f>
        <v/>
      </c>
      <c r="D84" s="497" t="inlineStr">
        <is>
          <t>Beckham County Court, RE: In the Matter of the Estate of Glenn Douglas Mitchel, Deceased</t>
        </is>
      </c>
      <c r="E84" s="485">
        <f>SUM(G84:HG84)</f>
        <v/>
      </c>
      <c r="F84" s="568">
        <f>IFERROR(IF($E84&gt;0.0000005,$E84/SUMIF($E$11:$E$140,"&gt;0.0000005"),""),"")</f>
        <v/>
      </c>
      <c r="BG84" s="568" t="n">
        <v>-1</v>
      </c>
    </row>
    <row r="85" customFormat="1" s="568">
      <c r="A85" s="86" t="n"/>
      <c r="B85" s="85" t="n"/>
      <c r="C85" s="84">
        <f>IFERROR(IF(AND($E85&gt;0,$D85&lt;&gt;"The Public"),$E85/SUMIFS($E$10:$E$186,$E$10:$E$186,"&gt;0",$D$10:$D$186,"&lt;&gt;The Public")*$D$5,""),"")</f>
        <v/>
      </c>
      <c r="D85" s="68" t="inlineStr">
        <is>
          <t>The Public</t>
        </is>
      </c>
      <c r="E85" s="84">
        <f>SUM(G85:HG85)</f>
        <v/>
      </c>
      <c r="F85" s="568">
        <f>IFERROR(IF($E85&gt;0.0000005,$E85/SUMIF($E$11:$E$140,"&gt;0.0000005"),""),"")</f>
        <v/>
      </c>
      <c r="BG85" s="568" t="n">
        <v>1</v>
      </c>
      <c r="BQ85" s="568" t="n">
        <v>0.916666666666667</v>
      </c>
    </row>
    <row r="86" customFormat="1" s="568">
      <c r="A86" s="86" t="n"/>
      <c r="B86" s="85" t="n"/>
      <c r="C86" s="84">
        <f>IFERROR(IF(AND($E86&gt;0,$D86&lt;&gt;"The Public"),$E86/SUMIFS($E$10:$E$186,$E$10:$E$186,"&gt;0",$D$10:$D$186,"&lt;&gt;The Public")*$D$5,""),"")</f>
        <v/>
      </c>
      <c r="D86" s="68" t="inlineStr">
        <is>
          <t>White Birch</t>
        </is>
      </c>
      <c r="E86" s="84">
        <f>SUM(G86:HG86)</f>
        <v/>
      </c>
      <c r="F86" s="568">
        <f>IFERROR(IF($E86&gt;0.0000005,$E86/SUMIF($E$11:$E$140,"&gt;0.0000005"),""),"")</f>
        <v/>
      </c>
      <c r="BH86" s="568" t="n">
        <v>0.5</v>
      </c>
    </row>
    <row r="87" customFormat="1" s="568">
      <c r="A87" s="86" t="n"/>
      <c r="B87" s="85" t="n"/>
      <c r="C87" s="84">
        <f>IFERROR(IF(AND($E87&gt;0,$D87&lt;&gt;"The Public"),$E87/SUMIFS($E$10:$E$186,$E$10:$E$186,"&gt;0",$D$10:$D$186,"&lt;&gt;The Public")*$D$5,""),"")</f>
        <v/>
      </c>
      <c r="D87" s="68" t="inlineStr">
        <is>
          <t>L.P.</t>
        </is>
      </c>
      <c r="E87" s="84">
        <f>SUM(G87:HG87)</f>
        <v/>
      </c>
      <c r="F87" s="568">
        <f>IFERROR(IF($E87&gt;0.0000005,$E87/SUMIF($E$11:$E$140,"&gt;0.0000005"),""),"")</f>
        <v/>
      </c>
      <c r="BH87" s="568" t="n">
        <v>0.5</v>
      </c>
      <c r="BR87" s="568" t="n">
        <v>0.5</v>
      </c>
    </row>
    <row r="88" ht="25.5" customFormat="1" customHeight="1" s="568">
      <c r="A88" s="86" t="n"/>
      <c r="B88" s="85" t="n"/>
      <c r="C88" s="485">
        <f>IFERROR(IF(AND($E88&gt;0,$D88&lt;&gt;"The Public"),$E88/SUMIFS($E$10:$E$186,$E$10:$E$186,"&gt;0",$D$10:$D$186,"&lt;&gt;The Public")*$D$5,""),"")</f>
        <v/>
      </c>
      <c r="D88" s="497" t="inlineStr">
        <is>
          <t>Beckham County Court, RE: In the Matter of the Estate of Evelyn Louise McLerran, Deceased</t>
        </is>
      </c>
      <c r="E88" s="485">
        <f>SUM(G88:HG88)</f>
        <v/>
      </c>
      <c r="F88" s="568">
        <f>IFERROR(IF($E88&gt;0.0000005,$E88/SUMIF($E$11:$E$140,"&gt;0.0000005"),""),"")</f>
        <v/>
      </c>
      <c r="BI88" s="568" t="n">
        <v>-1</v>
      </c>
    </row>
    <row r="89" customFormat="1" s="568">
      <c r="A89" s="86" t="n"/>
      <c r="B89" s="85" t="n"/>
      <c r="C89" s="84">
        <f>IFERROR(IF(AND($E89&gt;0,$D89&lt;&gt;"The Public"),$E89/SUMIFS($E$10:$E$186,$E$10:$E$186,"&gt;0",$D$10:$D$186,"&lt;&gt;The Public")*$D$5,""),"")</f>
        <v/>
      </c>
      <c r="D89" s="68" t="inlineStr">
        <is>
          <t>Nana Lou Jones</t>
        </is>
      </c>
      <c r="E89" s="84">
        <f>SUM(G89:HG89)</f>
        <v/>
      </c>
      <c r="F89" s="568">
        <f>IFERROR(IF($E89&gt;0.0000005,$E89/SUMIF($E$11:$E$140,"&gt;0.0000005"),""),"")</f>
        <v/>
      </c>
      <c r="BI89" s="568" t="n">
        <v>1</v>
      </c>
    </row>
    <row r="90" customFormat="1" s="568">
      <c r="A90" s="86" t="n"/>
      <c r="B90" s="85" t="n"/>
      <c r="C90" s="84">
        <f>IFERROR(IF(AND($E90&gt;0,$D90&lt;&gt;"The Public"),$E90/SUMIFS($E$10:$E$186,$E$10:$E$186,"&gt;0",$D$10:$D$186,"&lt;&gt;The Public")*$D$5,""),"")</f>
        <v/>
      </c>
      <c r="D90" s="68" t="inlineStr">
        <is>
          <t>Sandra Lorraine York</t>
        </is>
      </c>
      <c r="E90" s="84">
        <f>SUM(G90:HG90)</f>
        <v/>
      </c>
      <c r="F90" s="568">
        <f>IFERROR(IF($E90&gt;0.0000005,$E90/SUMIF($E$11:$E$140,"&gt;0.0000005"),""),"")</f>
        <v/>
      </c>
    </row>
    <row r="91" customFormat="1" s="568">
      <c r="A91" s="86" t="n"/>
      <c r="B91" s="85" t="n"/>
      <c r="C91" s="84">
        <f>IFERROR(IF(AND($E91&gt;0,$D91&lt;&gt;"The Public"),$E91/SUMIFS($E$10:$E$186,$E$10:$E$186,"&gt;0",$D$10:$D$186,"&lt;&gt;The Public")*$D$5,""),"")</f>
        <v/>
      </c>
      <c r="D91" s="68" t="inlineStr">
        <is>
          <t>Koala Production Company</t>
        </is>
      </c>
      <c r="E91" s="84">
        <f>SUM(G91:HG91)</f>
        <v/>
      </c>
      <c r="F91" s="568">
        <f>IFERROR(IF($E91&gt;0.0000005,$E91/SUMIF($E$11:$E$140,"&gt;0.0000005"),""),"")</f>
        <v/>
      </c>
    </row>
    <row r="92" ht="51" customFormat="1" customHeight="1" s="568">
      <c r="A92" s="86" t="inlineStr">
        <is>
          <t>Best guess: grantee per Runsheet 2004-005738 (~10 NMA); verify deed</t>
        </is>
      </c>
      <c r="B92" s="85" t="n"/>
      <c r="C92" s="84">
        <f>IFERROR(IF(AND($E92&gt;0,$D92&lt;&gt;"The Public"),$E92/SUMIFS($E$10:$E$186,$E$10:$E$186,"&gt;0",$D$10:$D$186,"&lt;&gt;The Public")*$D$5,""),"")</f>
        <v/>
      </c>
      <c r="D92" s="503" t="inlineStr">
        <is>
          <t>Koala Production Company</t>
        </is>
      </c>
      <c r="E92" s="84">
        <f>SUM(G92:HG92)</f>
        <v/>
      </c>
      <c r="F92" s="568">
        <f>IFERROR(IF($E92&gt;0.0000005,$E92/SUMIF($E$11:$E$140,"&gt;0.0000005"),""),"")</f>
        <v/>
      </c>
    </row>
    <row r="93" ht="51" customFormat="1" customHeight="1" s="568">
      <c r="A93" s="86" t="inlineStr">
        <is>
          <t>Best guess: grantee per Runsheet 2004-005739 (~5 NMA); verify deed</t>
        </is>
      </c>
      <c r="B93" s="85" t="n"/>
      <c r="C93" s="84">
        <f>IFERROR(IF(AND($E93&gt;0,$D93&lt;&gt;"The Public"),$E93/SUMIFS($E$10:$E$186,$E$10:$E$186,"&gt;0",$D$10:$D$186,"&lt;&gt;The Public")*$D$5,""),"")</f>
        <v/>
      </c>
      <c r="D93" s="503" t="inlineStr">
        <is>
          <t>Koala Production Company</t>
        </is>
      </c>
      <c r="E93" s="84">
        <f>SUM(G93:HG93)</f>
        <v/>
      </c>
      <c r="F93" s="568">
        <f>IFERROR(IF($E93&gt;0.0000005,$E93/SUMIF($E$11:$E$140,"&gt;0.0000005"),""),"")</f>
        <v/>
      </c>
    </row>
    <row r="94" customFormat="1" s="568">
      <c r="A94" s="86" t="n"/>
      <c r="B94" s="85" t="n"/>
      <c r="C94" s="485">
        <f>IFERROR(IF(AND($E94&gt;0,$D94&lt;&gt;"The Public"),$E94/SUMIFS($E$10:$E$186,$E$10:$E$186,"&gt;0",$D$10:$D$186,"&lt;&gt;The Public")*$D$5,""),"")</f>
        <v/>
      </c>
      <c r="D94" s="497" t="inlineStr">
        <is>
          <t>Aspen Energy Group, Inc.</t>
        </is>
      </c>
      <c r="E94" s="485">
        <f>SUM(G94:HG94)</f>
        <v/>
      </c>
      <c r="F94" s="568">
        <f>IFERROR(IF($E94&gt;0.0000005,$E94/SUMIF($E$11:$E$140,"&gt;0.0000005"),""),"")</f>
        <v/>
      </c>
      <c r="BL94" s="568" t="n">
        <v>-1</v>
      </c>
    </row>
    <row r="95" customFormat="1" s="568">
      <c r="A95" s="86" t="n"/>
      <c r="B95" s="85" t="n"/>
      <c r="C95" s="84">
        <f>IFERROR(IF(AND($E95&gt;0,$D95&lt;&gt;"The Public"),$E95/SUMIFS($E$10:$E$186,$E$10:$E$186,"&gt;0",$D$10:$D$186,"&lt;&gt;The Public")*$D$5,""),"")</f>
        <v/>
      </c>
      <c r="D95" s="68" t="inlineStr">
        <is>
          <t>Crusader Energy Corporation</t>
        </is>
      </c>
      <c r="E95" s="84">
        <f>SUM(G95:HG95)</f>
        <v/>
      </c>
      <c r="F95" s="568">
        <f>IFERROR(IF($E95&gt;0.0000005,$E95/SUMIF($E$11:$E$140,"&gt;0.0000005"),""),"")</f>
        <v/>
      </c>
      <c r="BL95" s="568" t="n">
        <v>1</v>
      </c>
    </row>
    <row r="96" customFormat="1" s="568">
      <c r="A96" s="86" t="n"/>
      <c r="B96" s="85" t="n"/>
      <c r="C96" s="84">
        <f>IFERROR(IF(AND($E96&gt;0,$D96&lt;&gt;"The Public"),$E96/SUMIFS($E$10:$E$186,$E$10:$E$186,"&gt;0",$D$10:$D$186,"&lt;&gt;The Public")*$D$5,""),"")</f>
        <v/>
      </c>
      <c r="D96" s="68" t="inlineStr">
        <is>
          <t>Fleshman Agency, Inc.</t>
        </is>
      </c>
      <c r="E96" s="84">
        <f>SUM(G96:HG96)</f>
        <v/>
      </c>
      <c r="F96" s="568">
        <f>IFERROR(IF($E96&gt;0.0000005,$E96/SUMIF($E$11:$E$140,"&gt;0.0000005"),""),"")</f>
        <v/>
      </c>
    </row>
    <row r="97" ht="51" customFormat="1" customHeight="1" s="568">
      <c r="A97" s="86" t="inlineStr">
        <is>
          <t>Best guess: grantee per Runsheet 2008-006536 (~5 NMA); verify deed</t>
        </is>
      </c>
      <c r="B97" s="85" t="n"/>
      <c r="C97" s="84">
        <f>IFERROR(IF(AND($E97&gt;0,$D97&lt;&gt;"The Public"),$E97/SUMIFS($E$10:$E$186,$E$10:$E$186,"&gt;0",$D$10:$D$186,"&lt;&gt;The Public")*$D$5,""),"")</f>
        <v/>
      </c>
      <c r="D97" s="503" t="inlineStr">
        <is>
          <t>Fleshman Agency, Inc.</t>
        </is>
      </c>
      <c r="E97" s="84">
        <f>SUM(G97:HG97)</f>
        <v/>
      </c>
      <c r="F97" s="568">
        <f>IFERROR(IF($E97&gt;0.0000005,$E97/SUMIF($E$11:$E$140,"&gt;0.0000005"),""),"")</f>
        <v/>
      </c>
    </row>
    <row r="98" customFormat="1" s="568">
      <c r="A98" s="86" t="n"/>
      <c r="B98" s="85" t="n"/>
      <c r="C98" s="485">
        <f>IFERROR(IF(AND($E98&gt;0,$D98&lt;&gt;"The Public"),$E98/SUMIFS($E$10:$E$186,$E$10:$E$186,"&gt;0",$D$10:$D$186,"&lt;&gt;The Public")*$D$5,""),"")</f>
        <v/>
      </c>
      <c r="D98" s="497" t="inlineStr">
        <is>
          <t>Minion Investment Co, Brian L. Rice</t>
        </is>
      </c>
      <c r="E98" s="485">
        <f>SUM(G98:HG98)</f>
        <v/>
      </c>
      <c r="F98" s="568">
        <f>IFERROR(IF($E98&gt;0.0000005,$E98/SUMIF($E$11:$E$140,"&gt;0.0000005"),""),"")</f>
        <v/>
      </c>
      <c r="BN98" s="568" t="n">
        <v>-1</v>
      </c>
    </row>
    <row r="99" customFormat="1" s="568">
      <c r="A99" s="86" t="n"/>
      <c r="B99" s="85" t="n"/>
      <c r="C99" s="84">
        <f>IFERROR(IF(AND($E99&gt;0,$D99&lt;&gt;"The Public"),$E99/SUMIFS($E$10:$E$186,$E$10:$E$186,"&gt;0",$D$10:$D$186,"&lt;&gt;The Public")*$D$5,""),"")</f>
        <v/>
      </c>
      <c r="D99" s="68" t="inlineStr">
        <is>
          <t>Prism Energy, Inc.</t>
        </is>
      </c>
      <c r="E99" s="593">
        <f>SUM(G99:HG99)</f>
        <v/>
      </c>
      <c r="F99" s="568">
        <f>IFERROR(IF($E99&gt;0.0000005,$E99/SUMIF($E$11:$E$140,"&gt;0.0000005"),""),"")</f>
        <v/>
      </c>
      <c r="BN99" s="568" t="n">
        <v>1</v>
      </c>
      <c r="BP99" s="568" t="n">
        <v>1</v>
      </c>
    </row>
    <row r="100" customFormat="1" s="568">
      <c r="A100" s="86" t="n"/>
      <c r="B100" s="85" t="n"/>
      <c r="C100" s="485">
        <f>IFERROR(IF(AND($E100&gt;0,$D100&lt;&gt;"The Public"),$E100/SUMIFS($E$10:$E$186,$E$10:$E$186,"&gt;0",$D$10:$D$186,"&lt;&gt;The Public")*$D$5,""),"")</f>
        <v/>
      </c>
      <c r="D100" s="497" t="inlineStr">
        <is>
          <t>Koala Pordution Company</t>
        </is>
      </c>
      <c r="E100" s="485">
        <f>SUM(G100:HG100)</f>
        <v/>
      </c>
      <c r="F100" s="568">
        <f>IFERROR(IF($E100&gt;0.0000005,$E100/SUMIF($E$11:$E$140,"&gt;0.0000005"),""),"")</f>
        <v/>
      </c>
      <c r="BO100" s="568" t="n">
        <v>-1</v>
      </c>
    </row>
    <row r="101" customFormat="1" s="568">
      <c r="A101" s="86" t="n"/>
      <c r="B101" s="85" t="n"/>
      <c r="C101" s="84">
        <f>IFERROR(IF(AND($E101&gt;0,$D101&lt;&gt;"The Public"),$E101/SUMIFS($E$10:$E$186,$E$10:$E$186,"&gt;0",$D$10:$D$186,"&lt;&gt;The Public")*$D$5,""),"")</f>
        <v/>
      </c>
      <c r="D101" s="68" t="inlineStr">
        <is>
          <t>Chisholm Royalty Partners</t>
        </is>
      </c>
      <c r="E101" s="84">
        <f>SUM(G101:HG101)</f>
        <v/>
      </c>
      <c r="F101" s="568">
        <f>IFERROR(IF($E101&gt;0.0000005,$E101/SUMIF($E$11:$E$140,"&gt;0.0000005"),""),"")</f>
        <v/>
      </c>
      <c r="BO101" s="568" t="n">
        <v>1</v>
      </c>
    </row>
    <row r="102" ht="25.5" customFormat="1" customHeight="1" s="568">
      <c r="A102" s="86" t="n"/>
      <c r="B102" s="85" t="n"/>
      <c r="C102" s="485">
        <f>IFERROR(IF(AND($E102&gt;0,$D102&lt;&gt;"The Public"),$E102/SUMIFS($E$10:$E$186,$E$10:$E$186,"&gt;0",$D$10:$D$186,"&lt;&gt;The Public")*$D$5,""),"")</f>
        <v/>
      </c>
      <c r="D102" s="497" t="inlineStr">
        <is>
          <t>Glenda A. Palmer, Trustee of the Glenn Douglas Mitchel and Hazel Pearl Mitchel Trust</t>
        </is>
      </c>
      <c r="E102" s="485">
        <f>SUM(G102:HG102)</f>
        <v/>
      </c>
      <c r="F102" s="568">
        <f>IFERROR(IF($E102&gt;0.0000005,$E102/SUMIF($E$11:$E$140,"&gt;0.0000005"),""),"")</f>
        <v/>
      </c>
      <c r="BQ102" s="568" t="n">
        <v>-0.916666666666667</v>
      </c>
    </row>
    <row r="103" customFormat="1" s="568">
      <c r="A103" s="86" t="n"/>
      <c r="B103" s="85" t="n"/>
      <c r="C103" s="485">
        <f>IFERROR(IF(AND($E103&gt;0,$D103&lt;&gt;"The Public"),$E103/SUMIFS($E$10:$E$186,$E$10:$E$186,"&gt;0",$D$10:$D$186,"&lt;&gt;The Public")*$D$5,""),"")</f>
        <v/>
      </c>
      <c r="D103" s="497" t="inlineStr">
        <is>
          <t>Petrohawk Energy Corporation</t>
        </is>
      </c>
      <c r="E103" s="485">
        <f>SUM(G103:HG103)</f>
        <v/>
      </c>
      <c r="F103" s="568">
        <f>IFERROR(IF($E103&gt;0.0000005,$E103/SUMIF($E$11:$E$140,"&gt;0.0000005"),""),"")</f>
        <v/>
      </c>
      <c r="BR103" s="568" t="n">
        <v>-1</v>
      </c>
    </row>
    <row r="104" customFormat="1" s="568">
      <c r="A104" s="86" t="n"/>
      <c r="B104" s="85" t="n"/>
      <c r="C104" s="84">
        <f>IFERROR(IF(AND($E104&gt;0,$D104&lt;&gt;"The Public"),$E104/SUMIFS($E$10:$E$186,$E$10:$E$186,"&gt;0",$D$10:$D$186,"&lt;&gt;The Public")*$D$5,""),"")</f>
        <v/>
      </c>
      <c r="D104" s="68" t="inlineStr">
        <is>
          <t>Petrohawk Properties</t>
        </is>
      </c>
      <c r="E104" s="84">
        <f>SUM(G104:HG104)</f>
        <v/>
      </c>
      <c r="F104" s="568">
        <f>IFERROR(IF($E104&gt;0.0000005,$E104/SUMIF($E$11:$E$140,"&gt;0.0000005"),""),"")</f>
        <v/>
      </c>
      <c r="BR104" s="568" t="n">
        <v>0.5</v>
      </c>
    </row>
    <row r="105" customFormat="1" s="568">
      <c r="A105" s="86" t="n"/>
      <c r="B105" s="85" t="n"/>
      <c r="C105" s="485">
        <f>IFERROR(IF(AND($E105&gt;0,$D105&lt;&gt;"The Public"),$E105/SUMIFS($E$10:$E$186,$E$10:$E$186,"&gt;0",$D$10:$D$186,"&lt;&gt;The Public")*$D$5,""),"")</f>
        <v/>
      </c>
      <c r="D105" s="497" t="inlineStr">
        <is>
          <t>Richard Palmer and Glenda Palmer, HW</t>
        </is>
      </c>
      <c r="E105" s="485">
        <f>SUM(G105:HG105)</f>
        <v/>
      </c>
      <c r="F105" s="568">
        <f>IFERROR(IF($E105&gt;0.0000005,$E105/SUMIF($E$11:$E$140,"&gt;0.0000005"),""),"")</f>
        <v/>
      </c>
      <c r="BS105" s="568" t="n">
        <v>-1</v>
      </c>
    </row>
    <row r="106" ht="38.25" customFormat="1" customHeight="1" s="568">
      <c r="A106" s="86" t="n"/>
      <c r="B106" s="85" t="n"/>
      <c r="C106" s="84">
        <f>IFERROR(IF(AND($E106&gt;0,$D106&lt;&gt;"The Public"),$E106/SUMIFS($E$10:$E$186,$E$10:$E$186,"&gt;0",$D$10:$D$186,"&lt;&gt;The Public")*$D$5,""),"")</f>
        <v/>
      </c>
      <c r="D106" s="68" t="inlineStr">
        <is>
          <t>Glenda Ann Palmer and Richard Royce Palmer, as Trustees of The Palmer Family Trust, u/t/a dated November 19, 2010</t>
        </is>
      </c>
      <c r="E106" s="84">
        <f>SUM(G106:HG106)</f>
        <v/>
      </c>
      <c r="F106" s="568">
        <f>IFERROR(IF($E106&gt;0.0000005,$E106/SUMIF($E$11:$E$140,"&gt;0.0000005"),""),"")</f>
        <v/>
      </c>
      <c r="BS106" s="568" t="n">
        <v>0.333333333333333</v>
      </c>
      <c r="BT106" s="568" t="n">
        <v>0.333333333333333</v>
      </c>
    </row>
    <row r="107" ht="38.25" customFormat="1" customHeight="1" s="568">
      <c r="A107" s="86" t="n"/>
      <c r="B107" s="85" t="n"/>
      <c r="C107" s="84">
        <f>IFERROR(IF(AND($E107&gt;0,$D107&lt;&gt;"The Public"),$E107/SUMIFS($E$10:$E$186,$E$10:$E$186,"&gt;0",$D$10:$D$186,"&lt;&gt;The Public")*$D$5,""),"")</f>
        <v/>
      </c>
      <c r="D107" s="68" t="inlineStr">
        <is>
          <t>Shonna Arlene Mitchel, as Trustee of the Jack D. Mitchel and Shonna A. Mitchel Family Trust, u/t/a dated September 13, 1990</t>
        </is>
      </c>
      <c r="E107" s="84">
        <f>SUM(G107:HG107)</f>
        <v/>
      </c>
      <c r="F107" s="568">
        <f>IFERROR(IF($E107&gt;0.0000005,$E107/SUMIF($E$11:$E$140,"&gt;0.0000005"),""),"")</f>
        <v/>
      </c>
      <c r="BS107" s="568" t="n">
        <v>0.333333333333333</v>
      </c>
      <c r="BT107" s="568" t="n">
        <v>0.333333333333333</v>
      </c>
    </row>
    <row r="108" customFormat="1" s="568">
      <c r="A108" s="86" t="n"/>
      <c r="B108" s="85" t="n"/>
      <c r="C108" s="84">
        <f>IFERROR(IF(AND($E108&gt;0,$D108&lt;&gt;"The Public"),$E108/SUMIFS($E$10:$E$186,$E$10:$E$186,"&gt;0",$D$10:$D$186,"&lt;&gt;The Public")*$D$5,""),"")</f>
        <v/>
      </c>
      <c r="D108" s="68" t="inlineStr">
        <is>
          <t>Shanti Jonathan Mitchel</t>
        </is>
      </c>
      <c r="E108" s="84">
        <f>SUM(G108:HG108)</f>
        <v/>
      </c>
      <c r="F108" s="568">
        <f>IFERROR(IF($E108&gt;0.0000005,$E108/SUMIF($E$11:$E$140,"&gt;0.0000005"),""),"")</f>
        <v/>
      </c>
      <c r="BS108" s="568" t="n">
        <v>0.333333333333333</v>
      </c>
      <c r="BT108" s="568" t="n">
        <v>0.333333333333333</v>
      </c>
    </row>
    <row r="109" ht="25.5" customFormat="1" customHeight="1" s="568">
      <c r="A109" s="86" t="n"/>
      <c r="B109" s="85" t="n"/>
      <c r="C109" s="485">
        <f>IFERROR(IF(AND($E109&gt;0,$D109&lt;&gt;"The Public"),$E109/SUMIFS($E$10:$E$186,$E$10:$E$186,"&gt;0",$D$10:$D$186,"&lt;&gt;The Public")*$D$5,""),"")</f>
        <v/>
      </c>
      <c r="D109" s="497" t="inlineStr">
        <is>
          <t>Glenda Ann Palmer, as Trustee of the Glenn Douglas Mitchel and Hazel Pearl Mitchel Trust</t>
        </is>
      </c>
      <c r="E109" s="485">
        <f>SUM(G109:HG109)</f>
        <v/>
      </c>
      <c r="F109" s="568">
        <f>IFERROR(IF($E109&gt;0.0000005,$E109/SUMIF($E$11:$E$140,"&gt;0.0000005"),""),"")</f>
        <v/>
      </c>
      <c r="BT109" s="568" t="n">
        <v>-1</v>
      </c>
    </row>
    <row r="110" customFormat="1" s="568">
      <c r="A110" s="86" t="n"/>
      <c r="B110" s="85" t="n"/>
      <c r="C110" s="485">
        <f>IFERROR(IF(AND($E110&gt;0,$D110&lt;&gt;"The Public"),$E110/SUMIFS($E$10:$E$186,$E$10:$E$186,"&gt;0",$D$10:$D$186,"&lt;&gt;The Public")*$D$5,""),"")</f>
        <v/>
      </c>
      <c r="D110" s="497" t="inlineStr">
        <is>
          <t>Shonna Mitchel</t>
        </is>
      </c>
      <c r="E110" s="485">
        <f>SUM(G110:HG110)</f>
        <v/>
      </c>
      <c r="F110" s="568">
        <f>IFERROR(IF($E110&gt;0.0000005,$E110/SUMIF($E$11:$E$140,"&gt;0.0000005"),""),"")</f>
        <v/>
      </c>
      <c r="BU110" s="568" t="n">
        <v>-0.333333333333333</v>
      </c>
    </row>
    <row r="111" ht="25.5" customFormat="1" customHeight="1" s="568">
      <c r="A111" s="86" t="n"/>
      <c r="B111" s="85" t="n"/>
      <c r="C111" s="485">
        <f>IFERROR(IF(AND($E111&gt;0,$D111&lt;&gt;"The Public"),$E111/SUMIFS($E$10:$E$186,$E$10:$E$186,"&gt;0",$D$10:$D$186,"&lt;&gt;The Public")*$D$5,""),"")</f>
        <v/>
      </c>
      <c r="D111" s="497" t="inlineStr">
        <is>
          <t>same person as Shonna A. Mitchel and as Shonna Arlene Mitchel</t>
        </is>
      </c>
      <c r="E111" s="485">
        <f>SUM(G111:HG111)</f>
        <v/>
      </c>
      <c r="F111" s="568">
        <f>IFERROR(IF($E111&gt;0.0000005,$E111/SUMIF($E$11:$E$140,"&gt;0.0000005"),""),"")</f>
        <v/>
      </c>
      <c r="BU111" s="568" t="n">
        <v>-0.333333333333333</v>
      </c>
    </row>
    <row r="112" customFormat="1" s="568">
      <c r="A112" s="86" t="n"/>
      <c r="B112" s="85" t="n"/>
      <c r="C112" s="485">
        <f>IFERROR(IF(AND($E112&gt;0,$D112&lt;&gt;"The Public"),$E112/SUMIFS($E$10:$E$186,$E$10:$E$186,"&gt;0",$D$10:$D$186,"&lt;&gt;The Public")*$D$5,""),"")</f>
        <v/>
      </c>
      <c r="D112" s="497" t="inlineStr">
        <is>
          <t>single person</t>
        </is>
      </c>
      <c r="E112" s="485">
        <f>SUM(G112:HG112)</f>
        <v/>
      </c>
      <c r="F112" s="568">
        <f>IFERROR(IF($E112&gt;0.0000005,$E112/SUMIF($E$11:$E$140,"&gt;0.0000005"),""),"")</f>
        <v/>
      </c>
      <c r="BU112" s="568" t="n">
        <v>-0.333333333333333</v>
      </c>
    </row>
    <row r="113" ht="38.25" customFormat="1" customHeight="1" s="568">
      <c r="A113" s="86" t="n"/>
      <c r="B113" s="85" t="n"/>
      <c r="C113" s="84">
        <f>IFERROR(IF(AND($E113&gt;0,$D113&lt;&gt;"The Public"),$E113/SUMIFS($E$10:$E$186,$E$10:$E$186,"&gt;0",$D$10:$D$186,"&lt;&gt;The Public")*$D$5,""),"")</f>
        <v/>
      </c>
      <c r="D113" s="68" t="inlineStr">
        <is>
          <t>Shonna Arlene Mitchel, same person as Shonna A. Mitchel, as Trustee of The Jack D. Mitchel and Shonna A. Mitchel Family Trust, u/t/a dated September 13, 1990</t>
        </is>
      </c>
      <c r="E113" s="84">
        <f>SUM(G113:HG113)</f>
        <v/>
      </c>
      <c r="F113" s="568">
        <f>IFERROR(IF($E113&gt;0.0000005,$E113/SUMIF($E$11:$E$140,"&gt;0.0000005"),""),"")</f>
        <v/>
      </c>
      <c r="BU113" s="568" t="n">
        <v>1</v>
      </c>
    </row>
    <row r="114" ht="38.25" customFormat="1" customHeight="1" s="568">
      <c r="A114" s="86" t="n"/>
      <c r="B114" s="85" t="n"/>
      <c r="C114" s="485">
        <f>IFERROR(IF(AND($E114&gt;0,$D114&lt;&gt;"The Public"),$E114/SUMIFS($E$10:$E$186,$E$10:$E$186,"&gt;0",$D$10:$D$186,"&lt;&gt;The Public")*$D$5,""),"")</f>
        <v/>
      </c>
      <c r="D114" s="497" t="inlineStr">
        <is>
          <t>Kiowa County Court, RE: In the Matter of the Probate of The Last Will and Testament of Nancy Mitchell WILLIAMS, Deceased</t>
        </is>
      </c>
      <c r="E114" s="485">
        <f>SUM(G114:HG114)</f>
        <v/>
      </c>
      <c r="F114" s="568">
        <f>IFERROR(IF($E114&gt;0.0000005,$E114/SUMIF($E$11:$E$140,"&gt;0.0000005"),""),"")</f>
        <v/>
      </c>
      <c r="BV114" s="568" t="n">
        <v>-1</v>
      </c>
    </row>
    <row r="115" customFormat="1" s="568">
      <c r="A115" s="86" t="n"/>
      <c r="B115" s="85" t="n"/>
      <c r="C115" s="84">
        <f>IFERROR(IF(AND($E115&gt;0,$D115&lt;&gt;"The Public"),$E115/SUMIFS($E$10:$E$186,$E$10:$E$186,"&gt;0",$D$10:$D$186,"&lt;&gt;The Public")*$D$5,""),"")</f>
        <v/>
      </c>
      <c r="D115" s="68" t="inlineStr">
        <is>
          <t>Gene G. Williams</t>
        </is>
      </c>
      <c r="E115" s="84">
        <f>SUM(G115:HG115)</f>
        <v/>
      </c>
      <c r="F115" s="568">
        <f>IFERROR(IF($E115&gt;0.0000005,$E115/SUMIF($E$11:$E$140,"&gt;0.0000005"),""),"")</f>
        <v/>
      </c>
      <c r="BV115" s="568" t="n">
        <v>1</v>
      </c>
    </row>
    <row r="116" customFormat="1" s="568">
      <c r="A116" s="86" t="n"/>
      <c r="B116" s="85" t="n"/>
      <c r="C116" s="485">
        <f>IFERROR(IF(AND($E116&gt;0,$D116&lt;&gt;"The Public"),$E116/SUMIFS($E$10:$E$186,$E$10:$E$186,"&gt;0",$D$10:$D$186,"&lt;&gt;The Public")*$D$5,""),"")</f>
        <v/>
      </c>
      <c r="D116" s="497" t="inlineStr">
        <is>
          <t>Luther Ervin Thurman and Veronica Gentry Thurman, HW</t>
        </is>
      </c>
      <c r="E116" s="485">
        <f>SUM(G116:HG116)</f>
        <v/>
      </c>
      <c r="F116" s="568">
        <f>IFERROR(IF($E116&gt;0.0000005,$E116/SUMIF($E$11:$E$140,"&gt;0.0000005"),""),"")</f>
        <v/>
      </c>
      <c r="BW116" s="568" t="n">
        <v>-0.423076923076923</v>
      </c>
    </row>
    <row r="117" ht="51" customFormat="1" customHeight="1" s="568">
      <c r="A117" s="86" t="n"/>
      <c r="B117" s="85" t="n"/>
      <c r="C117" s="84">
        <f>IFERROR(IF(AND($E117&gt;0,$D117&lt;&gt;"The Public"),$E117/SUMIFS($E$10:$E$186,$E$10:$E$186,"&gt;0",$D$10:$D$186,"&lt;&gt;The Public")*$D$5,""),"")</f>
        <v/>
      </c>
      <c r="D117" s="68" t="inlineStr">
        <is>
          <t>Luther Ervin Thurman and Veronica Gentry Thurman, Trustees or their successors in Trust under the Luther and Veronica Thurman Living Trust, a Revocable Trust, dated April 17, 2014, and any amendments thereto</t>
        </is>
      </c>
      <c r="E117" s="84">
        <f>SUM(G117:HG117)</f>
        <v/>
      </c>
      <c r="F117" s="568">
        <f>IFERROR(IF($E117&gt;0.0000005,$E117/SUMIF($E$11:$E$140,"&gt;0.0000005"),""),"")</f>
        <v/>
      </c>
      <c r="BW117" s="568" t="n">
        <v>0.423076923076923</v>
      </c>
    </row>
    <row r="118" customFormat="1" s="568">
      <c r="A118" s="86" t="n"/>
      <c r="B118" s="85" t="n"/>
      <c r="C118" s="485">
        <f>IFERROR(IF(AND($E118&gt;0,$D118&lt;&gt;"The Public"),$E118/SUMIFS($E$10:$E$186,$E$10:$E$186,"&gt;0",$D$10:$D$186,"&lt;&gt;The Public")*$D$5,""),"")</f>
        <v/>
      </c>
      <c r="D118" s="497" t="inlineStr">
        <is>
          <t>Eddie Tom Lakey and Marinita Lakey, HW</t>
        </is>
      </c>
      <c r="E118" s="485">
        <f>SUM(G118:HG118)</f>
        <v/>
      </c>
      <c r="F118" s="568">
        <f>IFERROR(IF($E118&gt;0.0000005,$E118/SUMIF($E$11:$E$140,"&gt;0.0000005"),""),"")</f>
        <v/>
      </c>
      <c r="BX118" s="568" t="n">
        <v>-1</v>
      </c>
    </row>
    <row r="119" ht="25.5" customFormat="1" customHeight="1" s="568">
      <c r="A119" s="86" t="n"/>
      <c r="B119" s="85" t="n"/>
      <c r="C119" s="84">
        <f>IFERROR(IF(AND($E119&gt;0,$D119&lt;&gt;"The Public"),$E119/SUMIFS($E$10:$E$186,$E$10:$E$186,"&gt;0",$D$10:$D$186,"&lt;&gt;The Public")*$D$5,""),"")</f>
        <v/>
      </c>
      <c r="D119" s="68" t="inlineStr">
        <is>
          <t>The Eddie Tom Lakey and Marinita Ann Lakey Revocable Trust dated June 1, 2014</t>
        </is>
      </c>
      <c r="E119" s="84">
        <f>SUM(G119:HG119)</f>
        <v/>
      </c>
      <c r="F119" s="568">
        <f>IFERROR(IF($E119&gt;0.0000005,$E119/SUMIF($E$11:$E$140,"&gt;0.0000005"),""),"")</f>
        <v/>
      </c>
      <c r="BX119" s="568" t="n">
        <v>1</v>
      </c>
    </row>
    <row r="120" ht="25.5" customFormat="1" customHeight="1" s="568">
      <c r="A120" s="86" t="n"/>
      <c r="B120" s="85" t="n"/>
      <c r="C120" s="485">
        <f>IFERROR(IF(AND($E120&gt;0,$D120&lt;&gt;"The Public"),$E120/SUMIFS($E$10:$E$186,$E$10:$E$186,"&gt;0",$D$10:$D$186,"&lt;&gt;The Public")*$D$5,""),"")</f>
        <v/>
      </c>
      <c r="D120" s="497" t="inlineStr">
        <is>
          <t>Joe Britton, same person as Joe H. Britton and Joe Harold Britton, Grantor, joined by his wife, Etta Britton</t>
        </is>
      </c>
      <c r="E120" s="485">
        <f>SUM(G120:HG120)</f>
        <v/>
      </c>
      <c r="F120" s="568">
        <f>IFERROR(IF($E120&gt;0.0000005,$E120/SUMIF($E$11:$E$140,"&gt;0.0000005"),""),"")</f>
        <v/>
      </c>
      <c r="BY120" s="568" t="n">
        <v>-1</v>
      </c>
    </row>
    <row r="121" customFormat="1" s="568">
      <c r="A121" s="86" t="n"/>
      <c r="B121" s="85" t="n"/>
      <c r="C121" s="84">
        <f>IFERROR(IF(AND($E121&gt;0,$D121&lt;&gt;"The Public"),$E121/SUMIFS($E$10:$E$186,$E$10:$E$186,"&gt;0",$D$10:$D$186,"&lt;&gt;The Public")*$D$5,""),"")</f>
        <v/>
      </c>
      <c r="D121" s="68" t="inlineStr">
        <is>
          <t>Linda C. Browning</t>
        </is>
      </c>
      <c r="E121" s="84">
        <f>SUM(G121:HG121)</f>
        <v/>
      </c>
      <c r="F121" s="568">
        <f>IFERROR(IF($E121&gt;0.0000005,$E121/SUMIF($E$11:$E$140,"&gt;0.0000005"),""),"")</f>
        <v/>
      </c>
      <c r="BY121" s="568" t="n">
        <v>1</v>
      </c>
    </row>
    <row r="122" ht="38.25" customFormat="1" customHeight="1" s="568">
      <c r="A122" s="86" t="n"/>
      <c r="B122" s="85" t="n"/>
      <c r="C122" s="485">
        <f>IFERROR(IF(AND($E122&gt;0,$D122&lt;&gt;"The Public"),$E122/SUMIFS($E$10:$E$186,$E$10:$E$186,"&gt;0",$D$10:$D$186,"&lt;&gt;The Public")*$D$5,""),"")</f>
        <v/>
      </c>
      <c r="D122" s="497" t="inlineStr">
        <is>
          <t>Cindy Lou Vignal, Trustee under the Luther and Veronica Thurman Living Trust, a Revocable Trust, dated April 17, 2014</t>
        </is>
      </c>
      <c r="E122" s="485">
        <f>SUM(G122:HG122)</f>
        <v/>
      </c>
      <c r="F122" s="568">
        <f>IFERROR(IF($E122&gt;0.0000005,$E122/SUMIF($E$11:$E$140,"&gt;0.0000005"),""),"")</f>
        <v/>
      </c>
      <c r="BZ122" s="568" t="n">
        <v>-1</v>
      </c>
    </row>
    <row r="123" ht="63.75" customFormat="1" customHeight="1" s="568">
      <c r="A123" s="86" t="n"/>
      <c r="B123" s="85" t="n"/>
      <c r="C123" s="84">
        <f>IFERROR(IF(AND($E123&gt;0,$D123&lt;&gt;"The Public"),$E123/SUMIFS($E$10:$E$186,$E$10:$E$186,"&gt;0",$D$10:$D$186,"&lt;&gt;The Public")*$D$5,""),"")</f>
        <v/>
      </c>
      <c r="D123" s="68" t="inlineStr">
        <is>
          <t>Gary Wayne Vignal and Cindy Lou Vignal, Co-Trustees or their successors in Trust under the Gary and Cindy Vignal Living Trust, a Revocable Trust, dated September 20, 2018, and any amendments thereto 11598 N. 1800 Road Sayre, OK 73662</t>
        </is>
      </c>
      <c r="E123" s="84">
        <f>SUM(G123:HG123)</f>
        <v/>
      </c>
      <c r="F123" s="568">
        <f>IFERROR(IF($E123&gt;0.0000005,$E123/SUMIF($E$11:$E$140,"&gt;0.0000005"),""),"")</f>
        <v/>
      </c>
      <c r="BZ123" s="568" t="n">
        <v>1</v>
      </c>
    </row>
    <row r="124" customFormat="1" s="568">
      <c r="A124" s="86" t="n"/>
      <c r="B124" s="85" t="n"/>
      <c r="C124" s="485">
        <f>IFERROR(IF(AND($E124&gt;0,$D124&lt;&gt;"The Public"),$E124/SUMIFS($E$10:$E$186,$E$10:$E$186,"&gt;0",$D$10:$D$186,"&lt;&gt;The Public")*$D$5,""),"")</f>
        <v/>
      </c>
      <c r="D124" s="497" t="inlineStr">
        <is>
          <t>Colt Development, LLC, Roca Development, LLC</t>
        </is>
      </c>
      <c r="E124" s="485">
        <f>SUM(G124:HG124)</f>
        <v/>
      </c>
      <c r="F124" s="568">
        <f>IFERROR(IF($E124&gt;0.0000005,$E124/SUMIF($E$11:$E$140,"&gt;0.0000005"),""),"")</f>
        <v/>
      </c>
      <c r="CA124" s="568" t="n">
        <v>-1</v>
      </c>
    </row>
    <row r="125" customFormat="1" s="568">
      <c r="A125" s="86" t="n"/>
      <c r="B125" s="85" t="n"/>
      <c r="C125" s="84">
        <f>IFERROR(IF(AND($E125&gt;0,$D125&lt;&gt;"The Public"),$E125/SUMIFS($E$10:$E$186,$E$10:$E$186,"&gt;0",$D$10:$D$186,"&lt;&gt;The Public")*$D$5,""),"")</f>
        <v/>
      </c>
      <c r="D125" s="68" t="inlineStr">
        <is>
          <t>Dustin Deal, LLC 11182 N. 2030 Rd. Elk City, OK 73644</t>
        </is>
      </c>
      <c r="E125" s="84">
        <f>SUM(G125:HG125)</f>
        <v/>
      </c>
      <c r="F125" s="568">
        <f>IFERROR(IF($E125&gt;0.0000005,$E125/SUMIF($E$11:$E$140,"&gt;0.0000005"),""),"")</f>
        <v/>
      </c>
      <c r="CA125" s="568" t="n">
        <v>1</v>
      </c>
    </row>
    <row r="126" customFormat="1" s="568">
      <c r="A126" s="86" t="n"/>
      <c r="B126" s="85" t="n"/>
      <c r="C126" s="485">
        <f>IFERROR(IF(AND($E126&gt;0,$D126&lt;&gt;"The Public"),$E126/SUMIFS($E$10:$E$186,$E$10:$E$186,"&gt;0",$D$10:$D$186,"&lt;&gt;The Public")*$D$5,""),"")</f>
        <v/>
      </c>
      <c r="D126" s="497" t="inlineStr">
        <is>
          <t>Grizzly Operating, LLC, Vanguard Operating, LLC</t>
        </is>
      </c>
      <c r="E126" s="485">
        <f>SUM(G126:HG126)</f>
        <v/>
      </c>
      <c r="F126" s="568">
        <f>IFERROR(IF($E126&gt;0.0000005,$E126/SUMIF($E$11:$E$140,"&gt;0.0000005"),""),"")</f>
        <v/>
      </c>
      <c r="CB126" s="568" t="n">
        <v>-1</v>
      </c>
    </row>
    <row r="127" customFormat="1" s="568">
      <c r="A127" s="86" t="n"/>
      <c r="B127" s="85" t="n"/>
      <c r="C127" s="84">
        <f>IFERROR(IF(AND($E127&gt;0,$D127&lt;&gt;"The Public"),$E127/SUMIFS($E$10:$E$186,$E$10:$E$186,"&gt;0",$D$10:$D$186,"&lt;&gt;The Public")*$D$5,""),"")</f>
        <v/>
      </c>
      <c r="D127" s="68" t="inlineStr">
        <is>
          <t>Psi Lke, LLC</t>
        </is>
      </c>
      <c r="E127" s="84">
        <f>SUM(G127:HG127)</f>
        <v/>
      </c>
      <c r="F127" s="568">
        <f>IFERROR(IF($E127&gt;0.0000005,$E127/SUMIF($E$11:$E$140,"&gt;0.0000005"),""),"")</f>
        <v/>
      </c>
      <c r="CB127" s="568" t="n">
        <v>1</v>
      </c>
    </row>
    <row r="128" customFormat="1" s="568">
      <c r="A128" s="86" t="n"/>
      <c r="B128" s="85" t="n"/>
      <c r="C128" s="84">
        <f>IFERROR(IF(AND($E128&gt;0,$D128&lt;&gt;"The Public"),$E128/SUMIFS($E$10:$E$186,$E$10:$E$186,"&gt;0",$D$10:$D$186,"&lt;&gt;The Public")*$D$5,""),"")</f>
        <v/>
      </c>
      <c r="D128" s="68" t="inlineStr">
        <is>
          <t>H. M. Carter and Mrs Ethel Carter, HW</t>
        </is>
      </c>
      <c r="E128" s="84">
        <f>SUM(G128:HG128)</f>
        <v/>
      </c>
      <c r="F128" s="568">
        <f>IFERROR(IF($E128&gt;0.0000005,$E128/SUMIF($E$11:$E$140,"&gt;0.0000005"),""),"")</f>
        <v/>
      </c>
    </row>
    <row r="129" customFormat="1" s="568">
      <c r="A129" s="86" t="n"/>
      <c r="B129" s="85" t="n"/>
      <c r="C129" s="84">
        <f>IFERROR(IF(AND($E129&gt;0,$D129&lt;&gt;"The Public"),$E129/SUMIFS($E$10:$E$186,$E$10:$E$186,"&gt;0",$D$10:$D$186,"&lt;&gt;The Public")*$D$5,""),"")</f>
        <v/>
      </c>
      <c r="D129" s="68" t="inlineStr">
        <is>
          <t>United States of America</t>
        </is>
      </c>
      <c r="E129" s="84">
        <f>SUM(G129:HG129)</f>
        <v/>
      </c>
      <c r="F129" s="568">
        <f>IFERROR(IF($E129&gt;0.0000005,$E129/SUMIF($E$11:$E$140,"&gt;0.0000005"),""),"")</f>
        <v/>
      </c>
    </row>
    <row r="130" customFormat="1" s="568">
      <c r="A130" s="86" t="n"/>
      <c r="B130" s="85" t="n"/>
      <c r="C130" s="84">
        <f>IFERROR(IF(AND($E130&gt;0,$D130&lt;&gt;"The Public"),$E130/SUMIFS($E$10:$E$186,$E$10:$E$186,"&gt;0",$D$10:$D$186,"&lt;&gt;The Public")*$D$5,""),"")</f>
        <v/>
      </c>
      <c r="D130" s="68" t="n"/>
      <c r="E130" s="84">
        <f>SUM(G130:HG130)</f>
        <v/>
      </c>
      <c r="F130" s="568">
        <f>IFERROR(IF($E130&gt;0.0000005,$E130/SUMIF($E$11:$E$140,"&gt;0.0000005"),""),"")</f>
        <v/>
      </c>
    </row>
    <row r="131" customFormat="1" s="568">
      <c r="A131" s="86" t="n"/>
      <c r="B131" s="85" t="n"/>
      <c r="C131" s="84">
        <f>IFERROR(IF(AND($E131&gt;0,$D131&lt;&gt;"The Public"),$E131/SUMIFS($E$10:$E$186,$E$10:$E$186,"&gt;0",$D$10:$D$186,"&lt;&gt;The Public")*$D$5,""),"")</f>
        <v/>
      </c>
      <c r="D131" s="68" t="n"/>
      <c r="E131" s="84">
        <f>SUM(G131:HG131)</f>
        <v/>
      </c>
      <c r="F131" s="568">
        <f>IFERROR(IF($E131&gt;0.0000005,$E131/SUMIF($E$11:$E$140,"&gt;0.0000005"),""),"")</f>
        <v/>
      </c>
    </row>
    <row r="132" customFormat="1" s="568">
      <c r="A132" s="86" t="n"/>
      <c r="B132" s="85" t="n"/>
      <c r="C132" s="84">
        <f>IFERROR(IF(AND($E132&gt;0,$D132&lt;&gt;"The Public"),$E132/SUMIFS($E$10:$E$186,$E$10:$E$186,"&gt;0",$D$10:$D$186,"&lt;&gt;The Public")*$D$5,""),"")</f>
        <v/>
      </c>
      <c r="D132" s="68" t="n"/>
      <c r="E132" s="84">
        <f>SUM(G132:HG132)</f>
        <v/>
      </c>
      <c r="F132" s="568">
        <f>IFERROR(IF($E132&gt;0.0000005,$E132/SUMIF($E$11:$E$140,"&gt;0.0000005"),""),"")</f>
        <v/>
      </c>
    </row>
    <row r="133" customFormat="1" s="568">
      <c r="A133" s="86" t="n"/>
      <c r="B133" s="85" t="n"/>
      <c r="C133" s="84">
        <f>IFERROR(IF(AND($E133&gt;0,$D133&lt;&gt;"The Public"),$E133/SUMIFS($E$10:$E$186,$E$10:$E$186,"&gt;0",$D$10:$D$186,"&lt;&gt;The Public")*$D$5,""),"")</f>
        <v/>
      </c>
      <c r="D133" s="68" t="n"/>
      <c r="E133" s="84">
        <f>SUM(G133:HG133)</f>
        <v/>
      </c>
      <c r="F133" s="568">
        <f>IFERROR(IF($E133&gt;0.0000005,$E133/SUMIF($E$11:$E$140,"&gt;0.0000005"),""),"")</f>
        <v/>
      </c>
    </row>
    <row r="134" customFormat="1" s="568">
      <c r="A134" s="86" t="n"/>
      <c r="B134" s="85" t="n"/>
      <c r="C134" s="84">
        <f>IFERROR(IF(AND($E134&gt;0,$D134&lt;&gt;"The Public"),$E134/SUMIFS($E$10:$E$186,$E$10:$E$186,"&gt;0",$D$10:$D$186,"&lt;&gt;The Public")*$D$5,""),"")</f>
        <v/>
      </c>
      <c r="D134" s="68" t="n"/>
      <c r="E134" s="84">
        <f>SUM(G134:HG134)</f>
        <v/>
      </c>
      <c r="F134" s="568">
        <f>IFERROR(IF($E134&gt;0.0000005,$E134/SUMIF($E$11:$E$140,"&gt;0.0000005"),""),"")</f>
        <v/>
      </c>
    </row>
    <row r="135" customFormat="1" s="568">
      <c r="A135" s="86" t="n"/>
      <c r="B135" s="85" t="n"/>
      <c r="C135" s="84">
        <f>IFERROR(IF(AND($E135&gt;0,$D135&lt;&gt;"The Public"),$E135/SUMIFS($E$10:$E$186,$E$10:$E$186,"&gt;0",$D$10:$D$186,"&lt;&gt;The Public")*$D$5,""),"")</f>
        <v/>
      </c>
      <c r="D135" s="68" t="n"/>
      <c r="E135" s="84">
        <f>SUM(G135:HG135)</f>
        <v/>
      </c>
      <c r="F135" s="568">
        <f>IFERROR(IF($E135&gt;0.0000005,$E135/SUMIF($E$11:$E$140,"&gt;0.0000005"),""),"")</f>
        <v/>
      </c>
    </row>
    <row r="136" customFormat="1" s="568">
      <c r="A136" s="86" t="n"/>
      <c r="B136" s="85" t="n"/>
      <c r="C136" s="84">
        <f>IFERROR(IF(AND($E136&gt;0,$D136&lt;&gt;"The Public"),$E136/SUMIFS($E$10:$E$186,$E$10:$E$186,"&gt;0",$D$10:$D$186,"&lt;&gt;The Public")*$D$5,""),"")</f>
        <v/>
      </c>
      <c r="D136" s="68" t="n"/>
      <c r="E136" s="84">
        <f>SUM(G136:HG136)</f>
        <v/>
      </c>
      <c r="F136" s="568">
        <f>IFERROR(IF($E136&gt;0.0000005,$E136/SUMIF($E$11:$E$140,"&gt;0.0000005"),""),"")</f>
        <v/>
      </c>
    </row>
    <row r="137" customFormat="1" s="568">
      <c r="A137" s="86" t="n"/>
      <c r="B137" s="85" t="n"/>
      <c r="C137" s="84">
        <f>IFERROR(IF(AND($E137&gt;0,$D137&lt;&gt;"The Public"),$E137/SUMIFS($E$10:$E$186,$E$10:$E$186,"&gt;0",$D$10:$D$186,"&lt;&gt;The Public")*$D$5,""),"")</f>
        <v/>
      </c>
      <c r="D137" s="68" t="n"/>
      <c r="E137" s="84">
        <f>SUM(G137:HG137)</f>
        <v/>
      </c>
      <c r="F137" s="568">
        <f>IFERROR(IF($E137&gt;0.0000005,$E137/SUMIF($E$11:$E$140,"&gt;0.0000005"),""),"")</f>
        <v/>
      </c>
    </row>
    <row r="138" customFormat="1" s="568">
      <c r="A138" s="86" t="n"/>
      <c r="B138" s="85" t="n"/>
      <c r="C138" s="84">
        <f>IFERROR(IF(AND($E138&gt;0,$D138&lt;&gt;"The Public"),$E138/SUMIFS($E$10:$E$186,$E$10:$E$186,"&gt;0",$D$10:$D$186,"&lt;&gt;The Public")*$D$5,""),"")</f>
        <v/>
      </c>
      <c r="D138" s="68" t="n"/>
      <c r="E138" s="84">
        <f>SUM(G138:HG138)</f>
        <v/>
      </c>
      <c r="F138" s="568">
        <f>IFERROR(IF($E138&gt;0.0000005,$E138/SUMIF($E$11:$E$140,"&gt;0.0000005"),""),"")</f>
        <v/>
      </c>
    </row>
    <row r="139" customFormat="1" s="568">
      <c r="A139" s="86" t="n"/>
      <c r="B139" s="85" t="n"/>
      <c r="C139" s="84">
        <f>IFERROR(IF(AND($E139&gt;0,$D139&lt;&gt;"The Public"),$E139/SUMIFS($E$10:$E$186,$E$10:$E$186,"&gt;0",$D$10:$D$186,"&lt;&gt;The Public")*$D$5,""),"")</f>
        <v/>
      </c>
      <c r="D139" s="68" t="n"/>
      <c r="E139" s="84">
        <f>SUM(G139:HG139)</f>
        <v/>
      </c>
      <c r="F139" s="568">
        <f>IFERROR(IF($E139&gt;0.0000005,$E139/SUMIF($E$11:$E$140,"&gt;0.0000005"),""),"")</f>
        <v/>
      </c>
    </row>
    <row r="140" customFormat="1" s="568">
      <c r="A140" s="86" t="n"/>
      <c r="B140" s="85" t="n"/>
      <c r="C140" s="84">
        <f>IFERROR(IF(AND($E140&gt;0,$D140&lt;&gt;"The Public"),$E140/SUMIFS($E$10:$E$186,$E$10:$E$186,"&gt;0",$D$10:$D$186,"&lt;&gt;The Public")*$D$5,""),"")</f>
        <v/>
      </c>
      <c r="D140" s="68" t="n"/>
      <c r="E140" s="84">
        <f>SUM(G140:HG140)</f>
        <v/>
      </c>
      <c r="F140" s="568">
        <f>IFERROR(IF($E140&gt;0.0000005,$E140/SUMIF($E$11:$E$140,"&gt;0.0000005"),""),"")</f>
        <v/>
      </c>
    </row>
    <row r="141" customFormat="1" s="568">
      <c r="A141" s="86" t="n"/>
      <c r="B141" s="85" t="n"/>
      <c r="C141" s="84">
        <f>IFERROR(IF(AND($E141&gt;0,$D141&lt;&gt;"The Public"),$E141/SUMIFS($E$10:$E$186,$E$10:$E$186,"&gt;0",$D$10:$D$186,"&lt;&gt;The Public")*$D$5,""),"")</f>
        <v/>
      </c>
      <c r="D141" s="68" t="n"/>
      <c r="E141" s="84">
        <f>SUM(G141:HG141)</f>
        <v/>
      </c>
    </row>
    <row r="142" customFormat="1" s="568">
      <c r="A142" s="86" t="n"/>
      <c r="B142" s="85" t="n"/>
      <c r="C142" s="84">
        <f>IFERROR(IF(AND($E142&gt;0,$D142&lt;&gt;"The Public"),$E142/SUMIFS($E$10:$E$186,$E$10:$E$186,"&gt;0",$D$10:$D$186,"&lt;&gt;The Public")*$D$5,""),"")</f>
        <v/>
      </c>
      <c r="D142" s="68" t="n"/>
      <c r="E142" s="84">
        <f>SUM(G142:HG142)</f>
        <v/>
      </c>
    </row>
    <row r="143" customFormat="1" s="568">
      <c r="A143" s="86" t="n"/>
      <c r="B143" s="85" t="n"/>
      <c r="C143" s="84">
        <f>IFERROR(IF(AND($E143&gt;0,$D143&lt;&gt;"The Public"),$E143/SUMIFS($E$10:$E$186,$E$10:$E$186,"&gt;0",$D$10:$D$186,"&lt;&gt;The Public")*$D$5,""),"")</f>
        <v/>
      </c>
      <c r="D143" s="68" t="n"/>
      <c r="E143" s="84">
        <f>SUM(G143:HG143)</f>
        <v/>
      </c>
    </row>
    <row r="144" customFormat="1" s="568">
      <c r="A144" s="86" t="n"/>
      <c r="B144" s="85" t="n"/>
      <c r="C144" s="84">
        <f>IFERROR(IF(AND($E144&gt;0,$D144&lt;&gt;"The Public"),$E144/SUMIFS($E$10:$E$186,$E$10:$E$186,"&gt;0",$D$10:$D$186,"&lt;&gt;The Public")*$D$5,""),"")</f>
        <v/>
      </c>
      <c r="D144" s="68" t="n"/>
      <c r="E144" s="84">
        <f>SUM(G144:HG144)</f>
        <v/>
      </c>
    </row>
    <row r="145" customFormat="1" s="568">
      <c r="A145" s="86" t="n"/>
      <c r="B145" s="85" t="n"/>
      <c r="C145" s="84">
        <f>IFERROR(IF(AND($E145&gt;0,$D145&lt;&gt;"The Public"),$E145/SUMIFS($E$10:$E$186,$E$10:$E$186,"&gt;0",$D$10:$D$186,"&lt;&gt;The Public")*$D$5,""),"")</f>
        <v/>
      </c>
      <c r="D145" s="68" t="n"/>
      <c r="E145" s="84">
        <f>SUM(G145:HG145)</f>
        <v/>
      </c>
    </row>
    <row r="146" customFormat="1" s="568">
      <c r="A146" s="86" t="n"/>
      <c r="B146" s="85" t="n"/>
      <c r="C146" s="84">
        <f>IFERROR(IF(AND($E146&gt;0,$D146&lt;&gt;"The Public"),$E146/SUMIFS($E$10:$E$186,$E$10:$E$186,"&gt;0",$D$10:$D$186,"&lt;&gt;The Public")*$D$5,""),"")</f>
        <v/>
      </c>
      <c r="D146" s="68" t="n"/>
      <c r="E146" s="84">
        <f>SUM(G146:HG146)</f>
        <v/>
      </c>
    </row>
    <row r="147" customFormat="1" s="568">
      <c r="A147" s="86" t="n"/>
      <c r="B147" s="85" t="n"/>
      <c r="C147" s="84">
        <f>IFERROR(IF(AND($E147&gt;0,$D147&lt;&gt;"The Public"),$E147/SUMIFS($E$10:$E$186,$E$10:$E$186,"&gt;0",$D$10:$D$186,"&lt;&gt;The Public")*$D$5,""),"")</f>
        <v/>
      </c>
      <c r="D147" s="68" t="n"/>
      <c r="E147" s="84">
        <f>SUM(G147:HG147)</f>
        <v/>
      </c>
    </row>
    <row r="148" customFormat="1" s="568">
      <c r="A148" s="86" t="n"/>
      <c r="B148" s="85" t="n"/>
      <c r="C148" s="84">
        <f>IFERROR(IF(AND($E148&gt;0,$D148&lt;&gt;"The Public"),$E148/SUMIFS($E$10:$E$186,$E$10:$E$186,"&gt;0",$D$10:$D$186,"&lt;&gt;The Public")*$D$5,""),"")</f>
        <v/>
      </c>
      <c r="D148" s="68" t="n"/>
      <c r="E148" s="84">
        <f>SUM(G148:HG148)</f>
        <v/>
      </c>
    </row>
    <row r="149" customFormat="1" s="568">
      <c r="A149" s="86" t="n"/>
      <c r="B149" s="85" t="n"/>
      <c r="C149" s="84">
        <f>IFERROR(IF(AND($E149&gt;0,$D149&lt;&gt;"The Public"),$E149/SUMIFS($E$10:$E$186,$E$10:$E$186,"&gt;0",$D$10:$D$186,"&lt;&gt;The Public")*$D$5,""),"")</f>
        <v/>
      </c>
      <c r="D149" s="68" t="n"/>
      <c r="E149" s="84">
        <f>SUM(G149:HG149)</f>
        <v/>
      </c>
    </row>
    <row r="150" customFormat="1" s="568">
      <c r="A150" s="86" t="n"/>
      <c r="B150" s="85" t="n"/>
      <c r="C150" s="84">
        <f>IFERROR(IF(AND($E150&gt;0,$D150&lt;&gt;"The Public"),$E150/SUMIFS($E$10:$E$186,$E$10:$E$186,"&gt;0",$D$10:$D$186,"&lt;&gt;The Public")*$D$5,""),"")</f>
        <v/>
      </c>
      <c r="D150" s="68" t="n"/>
      <c r="E150" s="84">
        <f>SUM(G150:HG150)</f>
        <v/>
      </c>
    </row>
    <row r="151" customFormat="1" s="568">
      <c r="A151" s="86" t="n"/>
      <c r="B151" s="85" t="n"/>
      <c r="C151" s="84">
        <f>IFERROR(IF(AND($E151&gt;0,$D151&lt;&gt;"The Public"),$E151/SUMIFS($E$10:$E$186,$E$10:$E$186,"&gt;0",$D$10:$D$186,"&lt;&gt;The Public")*$D$5,""),"")</f>
        <v/>
      </c>
      <c r="D151" s="68" t="n"/>
      <c r="E151" s="84">
        <f>SUM(G151:HG151)</f>
        <v/>
      </c>
    </row>
    <row r="152" customFormat="1" s="568">
      <c r="A152" s="86" t="n"/>
      <c r="B152" s="85" t="n"/>
      <c r="C152" s="84">
        <f>IFERROR(IF(AND($E152&gt;0,$D152&lt;&gt;"The Public"),$E152/SUMIFS($E$10:$E$186,$E$10:$E$186,"&gt;0",$D$10:$D$186,"&lt;&gt;The Public")*$D$5,""),"")</f>
        <v/>
      </c>
      <c r="D152" s="68" t="n"/>
      <c r="E152" s="84">
        <f>SUM(G152:HG152)</f>
        <v/>
      </c>
    </row>
    <row r="153" customFormat="1" s="568">
      <c r="A153" s="86" t="n"/>
      <c r="B153" s="85" t="n"/>
      <c r="C153" s="84">
        <f>IFERROR(IF(AND($E153&gt;0,$D153&lt;&gt;"The Public"),$E153/SUMIFS($E$10:$E$186,$E$10:$E$186,"&gt;0",$D$10:$D$186,"&lt;&gt;The Public")*$D$5,""),"")</f>
        <v/>
      </c>
      <c r="D153" s="68" t="n"/>
      <c r="E153" s="84">
        <f>SUM(G153:HG153)</f>
        <v/>
      </c>
    </row>
    <row r="154" customFormat="1" s="568">
      <c r="A154" s="86" t="n"/>
      <c r="B154" s="85" t="n"/>
      <c r="C154" s="84">
        <f>IFERROR(IF(AND($E154&gt;0,$D154&lt;&gt;"The Public"),$E154/SUMIFS($E$10:$E$186,$E$10:$E$186,"&gt;0",$D$10:$D$186,"&lt;&gt;The Public")*$D$5,""),"")</f>
        <v/>
      </c>
      <c r="D154" s="68" t="n"/>
      <c r="E154" s="84">
        <f>SUM(G154:HG154)</f>
        <v/>
      </c>
    </row>
    <row r="155" customFormat="1" s="568">
      <c r="A155" s="86" t="n"/>
      <c r="B155" s="85" t="n"/>
      <c r="C155" s="84">
        <f>IFERROR(IF(AND($E155&gt;0,$D155&lt;&gt;"The Public"),$E155/SUMIFS($E$10:$E$186,$E$10:$E$186,"&gt;0",$D$10:$D$186,"&lt;&gt;The Public")*$D$5,""),"")</f>
        <v/>
      </c>
      <c r="D155" s="68" t="n"/>
      <c r="E155" s="84">
        <f>SUM(G155:HG155)</f>
        <v/>
      </c>
    </row>
    <row r="156" customFormat="1" s="568">
      <c r="A156" s="86" t="n"/>
      <c r="B156" s="85" t="n"/>
      <c r="C156" s="84">
        <f>IFERROR(IF(AND($E156&gt;0,$D156&lt;&gt;"The Public"),$E156/SUMIFS($E$10:$E$186,$E$10:$E$186,"&gt;0",$D$10:$D$186,"&lt;&gt;The Public")*$D$5,""),"")</f>
        <v/>
      </c>
      <c r="D156" s="68" t="n"/>
      <c r="E156" s="84">
        <f>SUM(G156:HG156)</f>
        <v/>
      </c>
    </row>
    <row r="157" customFormat="1" s="568">
      <c r="A157" s="86" t="n"/>
      <c r="B157" s="85" t="n"/>
      <c r="C157" s="84">
        <f>IFERROR(IF(AND($E157&gt;0,$D157&lt;&gt;"The Public"),$E157/SUMIFS($E$10:$E$186,$E$10:$E$186,"&gt;0",$D$10:$D$186,"&lt;&gt;The Public")*$D$5,""),"")</f>
        <v/>
      </c>
      <c r="D157" s="68" t="n"/>
      <c r="E157" s="84">
        <f>SUM(G157:HG157)</f>
        <v/>
      </c>
    </row>
    <row r="158" customFormat="1" s="568">
      <c r="A158" s="86" t="n"/>
      <c r="B158" s="85" t="n"/>
      <c r="C158" s="84">
        <f>IFERROR(IF(AND($E158&gt;0,$D158&lt;&gt;"The Public"),$E158/SUMIFS($E$10:$E$186,$E$10:$E$186,"&gt;0",$D$10:$D$186,"&lt;&gt;The Public")*$D$5,""),"")</f>
        <v/>
      </c>
      <c r="D158" s="68" t="n"/>
      <c r="E158" s="84">
        <f>SUM(G158:HG158)</f>
        <v/>
      </c>
    </row>
    <row r="159" customFormat="1" s="568">
      <c r="A159" s="86" t="n"/>
      <c r="B159" s="85" t="n"/>
      <c r="C159" s="84">
        <f>IFERROR(IF(AND($E159&gt;0,$D159&lt;&gt;"The Public"),$E159/SUMIFS($E$10:$E$186,$E$10:$E$186,"&gt;0",$D$10:$D$186,"&lt;&gt;The Public")*$D$5,""),"")</f>
        <v/>
      </c>
      <c r="D159" s="68" t="n"/>
      <c r="E159" s="84">
        <f>SUM(G159:HG159)</f>
        <v/>
      </c>
    </row>
    <row r="160" customFormat="1" s="568">
      <c r="A160" s="86" t="n"/>
      <c r="B160" s="85" t="n"/>
      <c r="C160" s="84">
        <f>IFERROR(IF(AND($E160&gt;0,$D160&lt;&gt;"The Public"),$E160/SUMIFS($E$10:$E$186,$E$10:$E$186,"&gt;0",$D$10:$D$186,"&lt;&gt;The Public")*$D$5,""),"")</f>
        <v/>
      </c>
      <c r="D160" s="68" t="n"/>
      <c r="E160" s="84">
        <f>SUM(G160:HG160)</f>
        <v/>
      </c>
    </row>
    <row r="161" customFormat="1" s="568">
      <c r="A161" s="86" t="n"/>
      <c r="B161" s="85" t="n"/>
      <c r="C161" s="84">
        <f>IFERROR(IF(AND($E161&gt;0,$D161&lt;&gt;"The Public"),$E161/SUMIFS($E$10:$E$186,$E$10:$E$186,"&gt;0",$D$10:$D$186,"&lt;&gt;The Public")*$D$5,""),"")</f>
        <v/>
      </c>
      <c r="D161" s="68" t="n"/>
      <c r="E161" s="84">
        <f>SUM(G161:HG161)</f>
        <v/>
      </c>
    </row>
    <row r="162" customFormat="1" s="568">
      <c r="A162" s="86" t="n"/>
      <c r="B162" s="85" t="n"/>
      <c r="C162" s="84">
        <f>IFERROR(IF(AND($E162&gt;0,$D162&lt;&gt;"The Public"),$E162/SUMIFS($E$10:$E$186,$E$10:$E$186,"&gt;0",$D$10:$D$186,"&lt;&gt;The Public")*$D$5,""),"")</f>
        <v/>
      </c>
      <c r="D162" s="68" t="n"/>
      <c r="E162" s="84">
        <f>SUM(G162:HG162)</f>
        <v/>
      </c>
    </row>
    <row r="163" customFormat="1" s="568">
      <c r="A163" s="86" t="n"/>
      <c r="B163" s="85" t="n"/>
      <c r="C163" s="84">
        <f>IFERROR(IF(AND($E163&gt;0,$D163&lt;&gt;"The Public"),$E163/SUMIFS($E$10:$E$186,$E$10:$E$186,"&gt;0",$D$10:$D$186,"&lt;&gt;The Public")*$D$5,""),"")</f>
        <v/>
      </c>
      <c r="D163" s="68" t="n"/>
      <c r="E163" s="84">
        <f>SUM(G163:HG163)</f>
        <v/>
      </c>
    </row>
    <row r="164" customFormat="1" s="568">
      <c r="A164" s="86" t="n"/>
      <c r="B164" s="85" t="n"/>
      <c r="C164" s="84">
        <f>IFERROR(IF(AND($E164&gt;0,$D164&lt;&gt;"The Public"),$E164/SUMIFS($E$10:$E$186,$E$10:$E$186,"&gt;0",$D$10:$D$186,"&lt;&gt;The Public")*$D$5,""),"")</f>
        <v/>
      </c>
      <c r="D164" s="68" t="n"/>
      <c r="E164" s="84">
        <f>SUM(G164:HG164)</f>
        <v/>
      </c>
    </row>
    <row r="165" customFormat="1" s="568">
      <c r="A165" s="86" t="n"/>
      <c r="B165" s="85" t="n"/>
      <c r="C165" s="84">
        <f>IFERROR(IF(AND($E165&gt;0,$D165&lt;&gt;"The Public"),$E165/SUMIFS($E$10:$E$186,$E$10:$E$186,"&gt;0",$D$10:$D$186,"&lt;&gt;The Public")*$D$5,""),"")</f>
        <v/>
      </c>
      <c r="D165" s="68" t="n"/>
      <c r="E165" s="84">
        <f>SUM(G165:HG165)</f>
        <v/>
      </c>
    </row>
    <row r="166" customFormat="1" s="568">
      <c r="A166" s="86" t="n"/>
      <c r="B166" s="85" t="n"/>
      <c r="C166" s="84">
        <f>IFERROR(IF(AND($E166&gt;0,$D166&lt;&gt;"The Public"),$E166/SUMIFS($E$10:$E$186,$E$10:$E$186,"&gt;0",$D$10:$D$186,"&lt;&gt;The Public")*$D$5,""),"")</f>
        <v/>
      </c>
      <c r="D166" s="68" t="n"/>
      <c r="E166" s="84">
        <f>SUM(G166:HG166)</f>
        <v/>
      </c>
    </row>
    <row r="167" customFormat="1" s="568">
      <c r="A167" s="86" t="n"/>
      <c r="B167" s="85" t="n"/>
      <c r="C167" s="84">
        <f>IFERROR(IF(AND($E167&gt;0,$D167&lt;&gt;"The Public"),$E167/SUMIFS($E$10:$E$186,$E$10:$E$186,"&gt;0",$D$10:$D$186,"&lt;&gt;The Public")*$D$5,""),"")</f>
        <v/>
      </c>
      <c r="D167" s="68" t="n"/>
      <c r="E167" s="84">
        <f>SUM(G167:HG167)</f>
        <v/>
      </c>
    </row>
    <row r="168" customFormat="1" s="568">
      <c r="A168" s="86" t="n"/>
      <c r="B168" s="85" t="n"/>
      <c r="C168" s="84">
        <f>IFERROR(IF(AND($E168&gt;0,$D168&lt;&gt;"The Public"),$E168/SUMIFS($E$10:$E$186,$E$10:$E$186,"&gt;0",$D$10:$D$186,"&lt;&gt;The Public")*$D$5,""),"")</f>
        <v/>
      </c>
      <c r="D168" s="68" t="n"/>
      <c r="E168" s="84">
        <f>SUM(G168:HG168)</f>
        <v/>
      </c>
    </row>
    <row r="169" customFormat="1" s="568">
      <c r="A169" s="86" t="n"/>
      <c r="B169" s="85" t="n"/>
      <c r="C169" s="84">
        <f>IFERROR(IF(AND($E169&gt;0,$D169&lt;&gt;"The Public"),$E169/SUMIFS($E$10:$E$186,$E$10:$E$186,"&gt;0",$D$10:$D$186,"&lt;&gt;The Public")*$D$5,""),"")</f>
        <v/>
      </c>
      <c r="D169" s="68" t="n"/>
      <c r="E169" s="84">
        <f>SUM(G169:HG169)</f>
        <v/>
      </c>
    </row>
    <row r="170" customFormat="1" s="568">
      <c r="A170" s="86" t="n"/>
      <c r="B170" s="85" t="n"/>
      <c r="C170" s="84">
        <f>IFERROR(IF(AND($E170&gt;0,$D170&lt;&gt;"The Public"),$E170/SUMIFS($E$10:$E$186,$E$10:$E$186,"&gt;0",$D$10:$D$186,"&lt;&gt;The Public")*$D$5,""),"")</f>
        <v/>
      </c>
      <c r="D170" s="68" t="n"/>
      <c r="E170" s="84">
        <f>SUM(G170:HG170)</f>
        <v/>
      </c>
    </row>
    <row r="171" customFormat="1" s="568">
      <c r="A171" s="86" t="n"/>
      <c r="B171" s="85" t="n"/>
      <c r="C171" s="84">
        <f>IFERROR(IF(AND($E171&gt;0,$D171&lt;&gt;"The Public"),$E171/SUMIFS($E$10:$E$186,$E$10:$E$186,"&gt;0",$D$10:$D$186,"&lt;&gt;The Public")*$D$5,""),"")</f>
        <v/>
      </c>
      <c r="D171" s="68" t="n"/>
      <c r="E171" s="84">
        <f>SUM(G171:HG171)</f>
        <v/>
      </c>
    </row>
    <row r="172" customFormat="1" s="568">
      <c r="A172" s="86" t="n"/>
      <c r="B172" s="85" t="n"/>
      <c r="C172" s="84">
        <f>IFERROR(IF(AND($E172&gt;0,$D172&lt;&gt;"The Public"),$E172/SUMIFS($E$10:$E$186,$E$10:$E$186,"&gt;0",$D$10:$D$186,"&lt;&gt;The Public")*$D$5,""),"")</f>
        <v/>
      </c>
      <c r="D172" s="68" t="n"/>
      <c r="E172" s="84">
        <f>SUM(G172:HG172)</f>
        <v/>
      </c>
    </row>
    <row r="173" customFormat="1" s="568">
      <c r="A173" s="86" t="n"/>
      <c r="B173" s="85" t="n"/>
      <c r="C173" s="84">
        <f>IFERROR(IF(AND($E173&gt;0,$D173&lt;&gt;"The Public"),$E173/SUMIFS($E$10:$E$186,$E$10:$E$186,"&gt;0",$D$10:$D$186,"&lt;&gt;The Public")*$D$5,""),"")</f>
        <v/>
      </c>
      <c r="D173" s="68" t="n"/>
      <c r="E173" s="84">
        <f>SUM(G173:HG173)</f>
        <v/>
      </c>
    </row>
    <row r="174" customFormat="1" s="568">
      <c r="A174" s="86" t="n"/>
      <c r="B174" s="85" t="n"/>
      <c r="C174" s="84">
        <f>IFERROR(IF(AND($E174&gt;0,$D174&lt;&gt;"The Public"),$E174/SUMIFS($E$10:$E$186,$E$10:$E$186,"&gt;0",$D$10:$D$186,"&lt;&gt;The Public")*$D$5,""),"")</f>
        <v/>
      </c>
      <c r="D174" s="68" t="n"/>
      <c r="E174" s="84">
        <f>SUM(G174:HG174)</f>
        <v/>
      </c>
    </row>
    <row r="175" customFormat="1" s="568">
      <c r="A175" s="86" t="n"/>
      <c r="B175" s="85" t="n"/>
      <c r="C175" s="84">
        <f>IFERROR(IF(AND($E175&gt;0,$D175&lt;&gt;"The Public"),$E175/SUMIFS($E$10:$E$186,$E$10:$E$186,"&gt;0",$D$10:$D$186,"&lt;&gt;The Public")*$D$5,""),"")</f>
        <v/>
      </c>
      <c r="D175" s="68" t="n"/>
      <c r="E175" s="84">
        <f>SUM(G175:HG175)</f>
        <v/>
      </c>
    </row>
    <row r="176" customFormat="1" s="568">
      <c r="A176" s="86" t="n"/>
      <c r="B176" s="85" t="n"/>
      <c r="C176" s="84">
        <f>IFERROR(IF(AND($E176&gt;0,$D176&lt;&gt;"The Public"),$E176/SUMIFS($E$10:$E$186,$E$10:$E$186,"&gt;0",$D$10:$D$186,"&lt;&gt;The Public")*$D$5,""),"")</f>
        <v/>
      </c>
      <c r="D176" s="68" t="n"/>
      <c r="E176" s="84">
        <f>SUM(G176:HG176)</f>
        <v/>
      </c>
    </row>
    <row r="177" customFormat="1" s="568">
      <c r="A177" s="86" t="n"/>
      <c r="B177" s="85" t="n"/>
      <c r="C177" s="84">
        <f>IFERROR(IF(AND($E177&gt;0,$D177&lt;&gt;"The Public"),$E177/SUMIFS($E$10:$E$186,$E$10:$E$186,"&gt;0",$D$10:$D$186,"&lt;&gt;The Public")*$D$5,""),"")</f>
        <v/>
      </c>
      <c r="D177" s="68" t="n"/>
      <c r="E177" s="84">
        <f>SUM(G177:HG177)</f>
        <v/>
      </c>
    </row>
    <row r="178" customFormat="1" s="568">
      <c r="A178" s="86" t="n"/>
      <c r="B178" s="85" t="n"/>
      <c r="C178" s="84">
        <f>IFERROR(IF(AND($E178&gt;0,$D178&lt;&gt;"The Public"),$E178/SUMIFS($E$10:$E$186,$E$10:$E$186,"&gt;0",$D$10:$D$186,"&lt;&gt;The Public")*$D$5,""),"")</f>
        <v/>
      </c>
      <c r="D178" s="68" t="n"/>
      <c r="E178" s="84">
        <f>SUM(G178:HG178)</f>
        <v/>
      </c>
    </row>
    <row r="179" customFormat="1" s="568">
      <c r="A179" s="86" t="n"/>
      <c r="B179" s="85" t="n"/>
      <c r="C179" s="84">
        <f>IFERROR(IF(AND($E179&gt;0,$D179&lt;&gt;"The Public"),$E179/SUMIFS($E$10:$E$186,$E$10:$E$186,"&gt;0",$D$10:$D$186,"&lt;&gt;The Public")*$D$5,""),"")</f>
        <v/>
      </c>
      <c r="D179" s="68" t="n"/>
      <c r="E179" s="84">
        <f>SUM(G179:HG179)</f>
        <v/>
      </c>
    </row>
    <row r="180" customFormat="1" s="568">
      <c r="A180" s="86" t="n"/>
      <c r="B180" s="85" t="n"/>
      <c r="C180" s="84">
        <f>IFERROR(IF(AND($E180&gt;0,$D180&lt;&gt;"The Public"),$E180/SUMIFS($E$10:$E$186,$E$10:$E$186,"&gt;0",$D$10:$D$186,"&lt;&gt;The Public")*$D$5,""),"")</f>
        <v/>
      </c>
      <c r="D180" s="68" t="n"/>
      <c r="E180" s="84">
        <f>SUM(G180:HG180)</f>
        <v/>
      </c>
    </row>
    <row r="181" customFormat="1" s="568">
      <c r="A181" s="86" t="n"/>
      <c r="B181" s="85" t="n"/>
      <c r="C181" s="84">
        <f>IFERROR(IF(AND($E181&gt;0,$D181&lt;&gt;"The Public"),$E181/SUMIFS($E$10:$E$186,$E$10:$E$186,"&gt;0",$D$10:$D$186,"&lt;&gt;The Public")*$D$5,""),"")</f>
        <v/>
      </c>
      <c r="D181" s="68" t="n"/>
      <c r="E181" s="84">
        <f>SUM(G181:HG181)</f>
        <v/>
      </c>
    </row>
    <row r="182" customFormat="1" s="568">
      <c r="A182" s="86" t="n"/>
      <c r="B182" s="85" t="n"/>
      <c r="C182" s="84">
        <f>IFERROR(IF(AND($E182&gt;0,$D182&lt;&gt;"The Public"),$E182/SUMIFS($E$10:$E$186,$E$10:$E$186,"&gt;0",$D$10:$D$186,"&lt;&gt;The Public")*$D$5,""),"")</f>
        <v/>
      </c>
      <c r="D182" s="68" t="n"/>
      <c r="E182" s="84">
        <f>SUM(G182:HG182)</f>
        <v/>
      </c>
    </row>
    <row r="183" customFormat="1" s="568">
      <c r="A183" s="86" t="n"/>
      <c r="B183" s="85" t="n"/>
      <c r="C183" s="84">
        <f>IFERROR(IF(AND($E183&gt;0,$D183&lt;&gt;"The Public"),$E183/SUMIFS($E$10:$E$186,$E$10:$E$186,"&gt;0",$D$10:$D$186,"&lt;&gt;The Public")*$D$5,""),"")</f>
        <v/>
      </c>
      <c r="D183" s="68" t="n"/>
      <c r="E183" s="84">
        <f>SUM(G183:HG183)</f>
        <v/>
      </c>
    </row>
    <row r="184" customFormat="1" s="568">
      <c r="A184" s="86" t="n"/>
      <c r="B184" s="85" t="n"/>
      <c r="C184" s="84">
        <f>IFERROR(IF(AND($E184&gt;0,$D184&lt;&gt;"The Public"),$E184/SUMIFS($E$10:$E$186,$E$10:$E$186,"&gt;0",$D$10:$D$186,"&lt;&gt;The Public")*$D$5,""),"")</f>
        <v/>
      </c>
      <c r="D184" s="68" t="n"/>
      <c r="E184" s="84">
        <f>SUM(G184:HG184)</f>
        <v/>
      </c>
    </row>
    <row r="185" customFormat="1" s="568">
      <c r="A185" s="86" t="n"/>
      <c r="B185" s="85" t="n"/>
      <c r="C185" s="84">
        <f>IFERROR(IF(AND($E185&gt;0,$D185&lt;&gt;"The Public"),$E185/SUMIFS($E$10:$E$186,$E$10:$E$186,"&gt;0",$D$10:$D$186,"&lt;&gt;The Public")*$D$5,""),"")</f>
        <v/>
      </c>
      <c r="D185" s="68" t="n"/>
      <c r="E185" s="84">
        <f>SUM(G185:HG185)</f>
        <v/>
      </c>
    </row>
    <row r="186" customFormat="1" s="568">
      <c r="A186" s="86" t="n"/>
      <c r="B186" s="85" t="n"/>
      <c r="C186" s="84">
        <f>IFERROR(IF(AND($E186&gt;0,$D186&lt;&gt;"The Public"),$E186/SUMIFS($E$10:$E$186,$E$10:$E$186,"&gt;0",$D$10:$D$186,"&lt;&gt;The Public")*$D$5,""),"")</f>
        <v/>
      </c>
      <c r="D186" s="68" t="n"/>
      <c r="E186" s="84">
        <f>SUM(G186:HG186)</f>
        <v/>
      </c>
    </row>
    <row r="187" customFormat="1" s="77">
      <c r="A187" s="82" t="n"/>
      <c r="B187" s="81" t="n"/>
      <c r="C187" s="80" t="n"/>
      <c r="D187" s="79" t="n"/>
      <c r="E187" s="78" t="n"/>
      <c r="V187" s="568" t="n"/>
      <c r="AC187" s="568" t="n"/>
      <c r="AD187" s="568" t="n"/>
    </row>
    <row r="188" customFormat="1" s="74">
      <c r="A188" s="73" t="n"/>
      <c r="B188" s="72" t="n"/>
      <c r="C188" s="71" t="n"/>
      <c r="D188" s="70" t="n"/>
      <c r="E188" s="69" t="n"/>
      <c r="V188" s="568" t="n"/>
      <c r="AC188" s="568" t="n"/>
      <c r="AD188" s="568" t="n"/>
    </row>
    <row r="189">
      <c r="A189" s="73" t="n"/>
      <c r="B189" s="72" t="n"/>
      <c r="C189" s="71" t="n"/>
      <c r="D189" s="70" t="n"/>
      <c r="E189" s="69" t="n"/>
      <c r="V189" s="568" t="n"/>
      <c r="AC189" s="568" t="n"/>
      <c r="AD189" s="568" t="n"/>
    </row>
    <row r="190">
      <c r="V190" s="77" t="n"/>
      <c r="AC190" s="77" t="n"/>
      <c r="AD190" s="77" t="n"/>
    </row>
    <row r="191">
      <c r="V191" s="74" t="n"/>
      <c r="AC191" s="74" t="n"/>
      <c r="AD191" s="74" t="n"/>
    </row>
  </sheetData>
  <mergeCells count="179">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PAT</t>
        </is>
      </c>
      <c r="K1" s="218" t="inlineStr">
        <is>
          <t>DEED</t>
        </is>
      </c>
      <c r="L1" s="218" t="inlineStr">
        <is>
          <t>SALE OF O&amp;G ROY</t>
        </is>
      </c>
      <c r="M1" s="218" t="inlineStr">
        <is>
          <t>DEED</t>
        </is>
      </c>
      <c r="N1" s="218" t="inlineStr">
        <is>
          <t>DEED</t>
        </is>
      </c>
      <c r="O1" s="218" t="inlineStr">
        <is>
          <t>PROB</t>
        </is>
      </c>
      <c r="P1" s="218" t="inlineStr">
        <is>
          <t>WD</t>
        </is>
      </c>
      <c r="Q1" s="218" t="inlineStr">
        <is>
          <t>MD</t>
        </is>
      </c>
      <c r="R1" s="218" t="inlineStr">
        <is>
          <t>MD</t>
        </is>
      </c>
      <c r="S1" s="218" t="inlineStr">
        <is>
          <t>MD</t>
        </is>
      </c>
      <c r="T1" s="218" t="inlineStr">
        <is>
          <t>MD</t>
        </is>
      </c>
      <c r="U1" s="218" t="inlineStr">
        <is>
          <t>PROB</t>
        </is>
      </c>
      <c r="V1" s="218" t="inlineStr">
        <is>
          <t>WD</t>
        </is>
      </c>
      <c r="W1" s="218" t="inlineStr">
        <is>
          <t>JTWD</t>
        </is>
      </c>
      <c r="X1" s="218" t="inlineStr">
        <is>
          <t>PROB</t>
        </is>
      </c>
      <c r="Y1" s="218" t="inlineStr">
        <is>
          <t>MD</t>
        </is>
      </c>
      <c r="Z1" s="218" t="inlineStr">
        <is>
          <t>MD</t>
        </is>
      </c>
      <c r="AA1" s="218" t="inlineStr">
        <is>
          <t>DEED</t>
        </is>
      </c>
      <c r="AB1" s="218" t="inlineStr">
        <is>
          <t>QCMD</t>
        </is>
      </c>
      <c r="AC1" s="218" t="inlineStr">
        <is>
          <t>DEED</t>
        </is>
      </c>
      <c r="AD1" s="218" t="inlineStr">
        <is>
          <t>PROB</t>
        </is>
      </c>
      <c r="AE1" s="218" t="inlineStr">
        <is>
          <t>MD</t>
        </is>
      </c>
      <c r="AF1" s="218" t="inlineStr">
        <is>
          <t>PROB</t>
        </is>
      </c>
      <c r="AG1" s="218" t="inlineStr">
        <is>
          <t>PROB</t>
        </is>
      </c>
      <c r="AH1" s="218" t="inlineStr">
        <is>
          <t>MD</t>
        </is>
      </c>
      <c r="AI1" s="218" t="inlineStr">
        <is>
          <t>QCMD</t>
        </is>
      </c>
      <c r="AJ1" s="218" t="inlineStr">
        <is>
          <t>WD</t>
        </is>
      </c>
      <c r="AK1" s="218" t="inlineStr">
        <is>
          <t>MD</t>
        </is>
      </c>
      <c r="AL1" s="218" t="inlineStr">
        <is>
          <t>PROB</t>
        </is>
      </c>
      <c r="AM1" s="218" t="inlineStr">
        <is>
          <t>PROB</t>
        </is>
      </c>
      <c r="AN1" s="218" t="inlineStr">
        <is>
          <t>QCMD</t>
        </is>
      </c>
      <c r="AO1" s="169" t="inlineStr">
        <is>
          <t>QCMD</t>
        </is>
      </c>
      <c r="AP1" s="169" t="inlineStr">
        <is>
          <t>WD</t>
        </is>
      </c>
      <c r="AQ1" s="169" t="inlineStr">
        <is>
          <t>PROB</t>
        </is>
      </c>
      <c r="AR1" s="169" t="inlineStr">
        <is>
          <t>QCMD</t>
        </is>
      </c>
      <c r="AS1" s="169" t="inlineStr">
        <is>
          <t>JTWD</t>
        </is>
      </c>
      <c r="AT1" s="169" t="inlineStr">
        <is>
          <t>MD</t>
        </is>
      </c>
      <c r="AU1" s="169" t="inlineStr">
        <is>
          <t>JTWD</t>
        </is>
      </c>
      <c r="AV1" s="169" t="inlineStr">
        <is>
          <t>QCMD</t>
        </is>
      </c>
      <c r="AW1" s="169" t="inlineStr">
        <is>
          <t>MD</t>
        </is>
      </c>
      <c r="AX1" s="169" t="inlineStr">
        <is>
          <t>MD</t>
        </is>
      </c>
      <c r="AY1" s="169" t="inlineStr">
        <is>
          <t>MD</t>
        </is>
      </c>
      <c r="AZ1" s="169" t="inlineStr">
        <is>
          <t>MD</t>
        </is>
      </c>
      <c r="BA1" s="169" t="inlineStr">
        <is>
          <t>CONV</t>
        </is>
      </c>
      <c r="BB1" s="169" t="inlineStr">
        <is>
          <t>PROB</t>
        </is>
      </c>
      <c r="BC1" s="169" t="inlineStr">
        <is>
          <t>MD</t>
        </is>
      </c>
      <c r="BD1" s="169" t="inlineStr">
        <is>
          <t>MD</t>
        </is>
      </c>
      <c r="BE1" s="169" t="inlineStr">
        <is>
          <t>MD</t>
        </is>
      </c>
      <c r="BF1" s="169" t="inlineStr">
        <is>
          <t>QCMD</t>
        </is>
      </c>
      <c r="BG1" s="169" t="inlineStr">
        <is>
          <t>MD</t>
        </is>
      </c>
      <c r="BH1" s="169" t="inlineStr">
        <is>
          <t>QCMD</t>
        </is>
      </c>
      <c r="BI1" s="169" t="inlineStr">
        <is>
          <t>QCMD</t>
        </is>
      </c>
      <c r="BJ1" s="169" t="inlineStr">
        <is>
          <t>MD</t>
        </is>
      </c>
      <c r="BK1" s="169" t="inlineStr">
        <is>
          <t>PROB</t>
        </is>
      </c>
      <c r="BL1" s="169" t="inlineStr">
        <is>
          <t>PROB</t>
        </is>
      </c>
      <c r="BM1" s="169" t="inlineStr">
        <is>
          <t>QCMD</t>
        </is>
      </c>
      <c r="BN1" s="169" t="inlineStr">
        <is>
          <t>MD</t>
        </is>
      </c>
      <c r="BO1" s="169" t="inlineStr">
        <is>
          <t>QCMD</t>
        </is>
      </c>
      <c r="BP1" s="169" t="inlineStr">
        <is>
          <t>MD</t>
        </is>
      </c>
      <c r="BQ1" s="169" t="inlineStr">
        <is>
          <t>QCMD</t>
        </is>
      </c>
      <c r="BR1" s="169" t="inlineStr">
        <is>
          <t>PROB</t>
        </is>
      </c>
      <c r="BS1" s="169" t="inlineStr">
        <is>
          <t>QCMD</t>
        </is>
      </c>
      <c r="BT1" s="169" t="inlineStr">
        <is>
          <t>QCMD</t>
        </is>
      </c>
      <c r="BU1" s="169" t="inlineStr">
        <is>
          <t>WD</t>
        </is>
      </c>
      <c r="BV1" s="169" t="inlineStr">
        <is>
          <t>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5</t>
        </is>
      </c>
      <c r="B2" s="535" t="inlineStr">
        <is>
          <t>TRACT</t>
        </is>
      </c>
      <c r="C2" s="536" t="n"/>
      <c r="D2" s="537" t="inlineStr">
        <is>
          <t>W/2 NW/4 (Lots 1 &amp; 2) and SE/4 SW/4, containing 120 acres, more or less</t>
        </is>
      </c>
      <c r="E2" s="538" t="inlineStr">
        <is>
          <t>Image Number</t>
        </is>
      </c>
      <c r="F2" s="539" t="n"/>
      <c r="G2" s="111" t="n"/>
      <c r="H2" s="220" t="inlineStr">
        <is>
          <t>1907-005379</t>
        </is>
      </c>
      <c r="I2" s="220" t="inlineStr">
        <is>
          <t>1905-000429</t>
        </is>
      </c>
      <c r="J2" s="220" t="inlineStr">
        <is>
          <t>1931-001789</t>
        </is>
      </c>
      <c r="K2" s="220" t="inlineStr">
        <is>
          <t>1918-000943</t>
        </is>
      </c>
      <c r="L2" s="220" t="inlineStr">
        <is>
          <t>1923-001298</t>
        </is>
      </c>
      <c r="M2" s="220" t="inlineStr">
        <is>
          <t>1925-000406</t>
        </is>
      </c>
      <c r="N2" s="220" t="inlineStr">
        <is>
          <t>1927-000706</t>
        </is>
      </c>
      <c r="O2" s="220" t="inlineStr">
        <is>
          <t>1942-000630</t>
        </is>
      </c>
      <c r="P2" s="220" t="inlineStr">
        <is>
          <t>1949-000809</t>
        </is>
      </c>
      <c r="Q2" s="220" t="inlineStr">
        <is>
          <t>1962-001141</t>
        </is>
      </c>
      <c r="R2" s="220" t="inlineStr">
        <is>
          <t>1962-001145</t>
        </is>
      </c>
      <c r="S2" s="220" t="inlineStr">
        <is>
          <t>1962-001389</t>
        </is>
      </c>
      <c r="T2" s="220" t="inlineStr">
        <is>
          <t>1962-001390</t>
        </is>
      </c>
      <c r="U2" s="220" t="inlineStr">
        <is>
          <t>1967-002816</t>
        </is>
      </c>
      <c r="V2" s="220" t="inlineStr">
        <is>
          <t>1976-003251</t>
        </is>
      </c>
      <c r="W2" s="220" t="inlineStr">
        <is>
          <t>1977-007503</t>
        </is>
      </c>
      <c r="X2" s="220" t="inlineStr">
        <is>
          <t>1979-002206</t>
        </is>
      </c>
      <c r="Y2" s="220" t="inlineStr">
        <is>
          <t>1979-005655</t>
        </is>
      </c>
      <c r="Z2" s="220" t="inlineStr">
        <is>
          <t>1982-007158</t>
        </is>
      </c>
      <c r="AA2" s="220" t="inlineStr">
        <is>
          <t>1985-005895</t>
        </is>
      </c>
      <c r="AB2" s="220" t="inlineStr">
        <is>
          <t>1985-007096</t>
        </is>
      </c>
      <c r="AC2" s="220" t="inlineStr">
        <is>
          <t>1988-004185</t>
        </is>
      </c>
      <c r="AD2" s="220" t="inlineStr">
        <is>
          <t>1988-004635</t>
        </is>
      </c>
      <c r="AE2" s="220" t="inlineStr">
        <is>
          <t>1989-001220</t>
        </is>
      </c>
      <c r="AF2" s="220" t="inlineStr">
        <is>
          <t>1989-001559</t>
        </is>
      </c>
      <c r="AG2" s="220" t="inlineStr">
        <is>
          <t>1990-001996</t>
        </is>
      </c>
      <c r="AH2" s="220" t="inlineStr">
        <is>
          <t>1990-002606</t>
        </is>
      </c>
      <c r="AI2" s="220" t="inlineStr">
        <is>
          <t>1990-004213</t>
        </is>
      </c>
      <c r="AJ2" s="220" t="inlineStr">
        <is>
          <t>1991-003518</t>
        </is>
      </c>
      <c r="AK2" s="220" t="inlineStr">
        <is>
          <t>1992-003373</t>
        </is>
      </c>
      <c r="AL2" s="220" t="inlineStr">
        <is>
          <t>1993-000918</t>
        </is>
      </c>
      <c r="AM2" s="220" t="inlineStr">
        <is>
          <t>1994-004940</t>
        </is>
      </c>
      <c r="AN2" s="220" t="inlineStr">
        <is>
          <t>1995-003767</t>
        </is>
      </c>
      <c r="AO2" s="170" t="inlineStr">
        <is>
          <t>1995-000748</t>
        </is>
      </c>
      <c r="AP2" s="170" t="inlineStr">
        <is>
          <t>1997-003023</t>
        </is>
      </c>
      <c r="AQ2" s="170" t="inlineStr">
        <is>
          <t>1999-005936</t>
        </is>
      </c>
      <c r="AR2" s="170" t="inlineStr">
        <is>
          <t>2001-002190</t>
        </is>
      </c>
      <c r="AS2" s="170" t="inlineStr">
        <is>
          <t>2001-002496</t>
        </is>
      </c>
      <c r="AT2" s="170" t="inlineStr">
        <is>
          <t>2002-003563</t>
        </is>
      </c>
      <c r="AU2" s="170" t="inlineStr">
        <is>
          <t>2003-004685</t>
        </is>
      </c>
      <c r="AV2" s="170" t="inlineStr">
        <is>
          <t>2004-000364</t>
        </is>
      </c>
      <c r="AW2" s="170" t="inlineStr">
        <is>
          <t>2004-005738</t>
        </is>
      </c>
      <c r="AX2" s="170" t="inlineStr">
        <is>
          <t>2004-005739</t>
        </is>
      </c>
      <c r="AY2" s="170" t="inlineStr">
        <is>
          <t>2008-006536</t>
        </is>
      </c>
      <c r="AZ2" s="170" t="inlineStr">
        <is>
          <t>2004-006577</t>
        </is>
      </c>
      <c r="BA2" s="170" t="inlineStr">
        <is>
          <t>2005-000347</t>
        </is>
      </c>
      <c r="BB2" s="170" t="inlineStr">
        <is>
          <t>2005-002196</t>
        </is>
      </c>
      <c r="BC2" s="170" t="inlineStr">
        <is>
          <t>2005-004793</t>
        </is>
      </c>
      <c r="BD2" s="170" t="inlineStr">
        <is>
          <t>2005-005251</t>
        </is>
      </c>
      <c r="BE2" s="170" t="inlineStr">
        <is>
          <t>2005-004044</t>
        </is>
      </c>
      <c r="BF2" s="170" t="inlineStr">
        <is>
          <t>2006-000153</t>
        </is>
      </c>
      <c r="BG2" s="170" t="inlineStr">
        <is>
          <t>2006-000870</t>
        </is>
      </c>
      <c r="BH2" s="170" t="inlineStr">
        <is>
          <t>2007-001848</t>
        </is>
      </c>
      <c r="BI2" s="170" t="inlineStr">
        <is>
          <t>2008-004060</t>
        </is>
      </c>
      <c r="BJ2" s="170" t="inlineStr">
        <is>
          <t>2011-007826</t>
        </is>
      </c>
      <c r="BK2" s="170" t="inlineStr">
        <is>
          <t>2012-002191</t>
        </is>
      </c>
      <c r="BL2" s="170" t="inlineStr">
        <is>
          <t>2013-000518</t>
        </is>
      </c>
      <c r="BM2" s="170" t="inlineStr">
        <is>
          <t>2013-001724</t>
        </is>
      </c>
      <c r="BN2" s="170" t="inlineStr">
        <is>
          <t>2013-006585</t>
        </is>
      </c>
      <c r="BO2" s="170" t="inlineStr">
        <is>
          <t>2013-006129</t>
        </is>
      </c>
      <c r="BP2" s="170" t="inlineStr">
        <is>
          <t>2014-005899</t>
        </is>
      </c>
      <c r="BQ2" s="170" t="inlineStr">
        <is>
          <t>2016-001882</t>
        </is>
      </c>
      <c r="BR2" s="170" t="inlineStr">
        <is>
          <t>2026-002877</t>
        </is>
      </c>
      <c r="BS2" s="170" t="inlineStr">
        <is>
          <t>2020-001374</t>
        </is>
      </c>
      <c r="BT2" s="170" t="inlineStr">
        <is>
          <t>2025-001343</t>
        </is>
      </c>
      <c r="BU2" s="170" t="inlineStr">
        <is>
          <t>2025-003963</t>
        </is>
      </c>
      <c r="BV2" s="170" t="inlineStr">
        <is>
          <t>2026-000691</t>
        </is>
      </c>
      <c r="BW2" s="170" t="inlineStr">
        <is>
          <t>2026-001374</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PAT7/374</t>
        </is>
      </c>
      <c r="K3" s="54" t="inlineStr">
        <is>
          <t>D27/477</t>
        </is>
      </c>
      <c r="L3" s="54" t="inlineStr">
        <is>
          <t>MIS12/107</t>
        </is>
      </c>
      <c r="M3" s="54" t="inlineStr">
        <is>
          <t>D34/104</t>
        </is>
      </c>
      <c r="N3" s="54" t="inlineStr">
        <is>
          <t>D38/162</t>
        </is>
      </c>
      <c r="O3" s="54" t="inlineStr">
        <is>
          <t>MIS21/471</t>
        </is>
      </c>
      <c r="P3" s="54" t="inlineStr">
        <is>
          <t>D59/246</t>
        </is>
      </c>
      <c r="Q3" s="54" t="inlineStr">
        <is>
          <t>MIS47/164</t>
        </is>
      </c>
      <c r="R3" s="54" t="inlineStr">
        <is>
          <t>MIS47/169</t>
        </is>
      </c>
      <c r="S3" s="54" t="inlineStr">
        <is>
          <t>MIS47/558</t>
        </is>
      </c>
      <c r="T3" s="54" t="inlineStr">
        <is>
          <t>MIS47/559</t>
        </is>
      </c>
      <c r="U3" s="54" t="inlineStr">
        <is>
          <t>MIS86/33</t>
        </is>
      </c>
      <c r="V3" s="54" t="inlineStr">
        <is>
          <t>197/116</t>
        </is>
      </c>
      <c r="W3" s="54" t="inlineStr">
        <is>
          <t>227/89</t>
        </is>
      </c>
      <c r="X3" s="54" t="inlineStr">
        <is>
          <t>264/428</t>
        </is>
      </c>
      <c r="Y3" s="54" t="inlineStr">
        <is>
          <t>277/64</t>
        </is>
      </c>
      <c r="Z3" s="54" t="inlineStr">
        <is>
          <t>451/176</t>
        </is>
      </c>
      <c r="AA3" s="220" t="inlineStr">
        <is>
          <t>745/75</t>
        </is>
      </c>
      <c r="AB3" s="220" t="inlineStr">
        <is>
          <t>756/79</t>
        </is>
      </c>
      <c r="AC3" s="54" t="inlineStr">
        <is>
          <t>981/2</t>
        </is>
      </c>
      <c r="AD3" s="54" t="inlineStr">
        <is>
          <t>986/185</t>
        </is>
      </c>
      <c r="AE3" s="54" t="inlineStr">
        <is>
          <t>1038/219</t>
        </is>
      </c>
      <c r="AF3" s="54" t="inlineStr">
        <is>
          <t>1042/126</t>
        </is>
      </c>
      <c r="AG3" s="54" t="inlineStr">
        <is>
          <t>1126/234</t>
        </is>
      </c>
      <c r="AH3" s="54" t="inlineStr">
        <is>
          <t>1132/285</t>
        </is>
      </c>
      <c r="AI3" s="54" t="inlineStr">
        <is>
          <t>1151/107</t>
        </is>
      </c>
      <c r="AJ3" s="54" t="inlineStr">
        <is>
          <t>1229/180</t>
        </is>
      </c>
      <c r="AK3" s="220" t="inlineStr">
        <is>
          <t>1294/169</t>
        </is>
      </c>
      <c r="AL3" s="53" t="inlineStr">
        <is>
          <t>1324/22</t>
        </is>
      </c>
      <c r="AM3" s="220" t="inlineStr">
        <is>
          <t>1405/223</t>
        </is>
      </c>
      <c r="AN3" s="220" t="inlineStr">
        <is>
          <t>1459/583</t>
        </is>
      </c>
      <c r="AO3" s="181" t="inlineStr">
        <is>
          <t>1471/574</t>
        </is>
      </c>
      <c r="AP3" s="181" t="inlineStr">
        <is>
          <t>1514/525</t>
        </is>
      </c>
      <c r="AQ3" s="170" t="inlineStr">
        <is>
          <t>1600/1</t>
        </is>
      </c>
      <c r="AR3" s="170" t="inlineStr">
        <is>
          <t>1642/532</t>
        </is>
      </c>
      <c r="AS3" s="170" t="inlineStr">
        <is>
          <t>1644/460</t>
        </is>
      </c>
      <c r="AT3" s="170" t="inlineStr">
        <is>
          <t>1688/374</t>
        </is>
      </c>
      <c r="AU3" s="170" t="inlineStr">
        <is>
          <t>1722/449</t>
        </is>
      </c>
      <c r="AV3" s="170" t="inlineStr">
        <is>
          <t>1735/133</t>
        </is>
      </c>
      <c r="AW3" s="170" t="inlineStr">
        <is>
          <t>1764/344</t>
        </is>
      </c>
      <c r="AX3" s="170" t="inlineStr">
        <is>
          <t>1764/345</t>
        </is>
      </c>
      <c r="AY3" s="170" t="inlineStr">
        <is>
          <t>1937/418</t>
        </is>
      </c>
      <c r="AZ3" s="170" t="inlineStr">
        <is>
          <t>1768/339</t>
        </is>
      </c>
      <c r="BA3" s="170" t="inlineStr">
        <is>
          <t>1775/296</t>
        </is>
      </c>
      <c r="BB3" s="170" t="inlineStr">
        <is>
          <t>1784/591</t>
        </is>
      </c>
      <c r="BC3" s="170" t="inlineStr">
        <is>
          <t>1797/463</t>
        </is>
      </c>
      <c r="BD3" s="170" t="inlineStr">
        <is>
          <t>1800/453</t>
        </is>
      </c>
      <c r="BE3" s="170" t="inlineStr">
        <is>
          <t>1794/173</t>
        </is>
      </c>
      <c r="BF3" s="170" t="inlineStr">
        <is>
          <t>1819/156</t>
        </is>
      </c>
      <c r="BG3" s="170" t="inlineStr">
        <is>
          <t>1822/291</t>
        </is>
      </c>
      <c r="BH3" s="170" t="inlineStr">
        <is>
          <t>1872/277</t>
        </is>
      </c>
      <c r="BI3" s="170" t="inlineStr">
        <is>
          <t>1919/359</t>
        </is>
      </c>
      <c r="BJ3" s="170" t="inlineStr">
        <is>
          <t>2104/537</t>
        </is>
      </c>
      <c r="BK3" s="170" t="inlineStr">
        <is>
          <t>2124/117</t>
        </is>
      </c>
      <c r="BL3" s="170" t="inlineStr">
        <is>
          <t>2177/33</t>
        </is>
      </c>
      <c r="BM3" s="170" t="inlineStr">
        <is>
          <t>2184/570</t>
        </is>
      </c>
      <c r="BN3" s="170" t="inlineStr">
        <is>
          <t>2224/382</t>
        </is>
      </c>
      <c r="BO3" s="170" t="inlineStr">
        <is>
          <t>2220/118</t>
        </is>
      </c>
      <c r="BP3" s="170" t="inlineStr">
        <is>
          <t>2270/252</t>
        </is>
      </c>
      <c r="BQ3" s="170" t="inlineStr">
        <is>
          <t>2342/219</t>
        </is>
      </c>
      <c r="BR3" s="170" t="inlineStr">
        <is>
          <t>2700/395</t>
        </is>
      </c>
      <c r="BS3" s="170" t="inlineStr">
        <is>
          <t>2450/598</t>
        </is>
      </c>
      <c r="BT3" s="170" t="inlineStr">
        <is>
          <t>2617/228</t>
        </is>
      </c>
      <c r="BU3" s="170" t="inlineStr">
        <is>
          <t>2638/58</t>
        </is>
      </c>
      <c r="BV3" s="170" t="inlineStr">
        <is>
          <t>2682/183</t>
        </is>
      </c>
      <c r="BW3" s="170" t="inlineStr">
        <is>
          <t>2688/409</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2169</v>
      </c>
      <c r="I4" s="53" t="n">
        <v>2062</v>
      </c>
      <c r="J4" s="53" t="n">
        <v>2917</v>
      </c>
      <c r="K4" s="53" t="n">
        <v>6568</v>
      </c>
      <c r="L4" s="53" t="n">
        <v>8507</v>
      </c>
      <c r="M4" s="53" t="n">
        <v>9137</v>
      </c>
      <c r="N4" s="53" t="n">
        <v>10069</v>
      </c>
      <c r="O4" s="53" t="n">
        <v>15490</v>
      </c>
      <c r="P4" s="53" t="n">
        <v>18015</v>
      </c>
      <c r="Q4" s="53" t="n">
        <v>22906</v>
      </c>
      <c r="R4" s="53" t="n">
        <v>22906</v>
      </c>
      <c r="S4" s="53" t="n">
        <v>22938</v>
      </c>
      <c r="T4" s="53" t="n">
        <v>22938</v>
      </c>
      <c r="U4" s="53" t="n">
        <v>24709</v>
      </c>
      <c r="V4" s="53" t="n">
        <v>28005</v>
      </c>
      <c r="W4" s="53" t="n">
        <v>28445</v>
      </c>
      <c r="X4" s="53" t="n">
        <v>28961</v>
      </c>
      <c r="Y4" s="53" t="n">
        <v>29126</v>
      </c>
      <c r="Z4" s="53" t="n">
        <v>30124</v>
      </c>
      <c r="AA4" s="222" t="n">
        <v>31279</v>
      </c>
      <c r="AB4" s="222" t="n">
        <v>31330</v>
      </c>
      <c r="AC4" s="53" t="n">
        <v>32216</v>
      </c>
      <c r="AD4" s="53" t="n">
        <v>32350</v>
      </c>
      <c r="AE4" s="53" t="n">
        <v>32566</v>
      </c>
      <c r="AF4" s="53" t="n">
        <v>32579</v>
      </c>
      <c r="AG4" s="53" t="n">
        <v>32969</v>
      </c>
      <c r="AH4" s="53" t="n">
        <v>33000</v>
      </c>
      <c r="AI4" s="53" t="n">
        <v>33073</v>
      </c>
      <c r="AJ4" s="53" t="n">
        <v>33456</v>
      </c>
      <c r="AK4" s="222" t="n">
        <v>33857</v>
      </c>
      <c r="AL4" s="53" t="n">
        <v>34032</v>
      </c>
      <c r="AM4" s="222" t="n">
        <v>34452</v>
      </c>
      <c r="AN4" s="222" t="n">
        <v>34778</v>
      </c>
      <c r="AO4" s="182" t="n">
        <v>34950</v>
      </c>
      <c r="AP4" s="182" t="n">
        <v>35479</v>
      </c>
      <c r="AQ4" s="171" t="n">
        <v>36511</v>
      </c>
      <c r="AR4" s="171" t="n">
        <v>37022</v>
      </c>
      <c r="AS4" s="171" t="n">
        <v>37034</v>
      </c>
      <c r="AT4" s="171" t="n">
        <v>37482</v>
      </c>
      <c r="AU4" s="171" t="n">
        <v>37866</v>
      </c>
      <c r="AV4" s="171" t="n">
        <v>37959</v>
      </c>
      <c r="AW4" s="171" t="n">
        <v>38260</v>
      </c>
      <c r="AX4" s="171" t="n">
        <v>38267</v>
      </c>
      <c r="AY4" s="171" t="n">
        <v>38286</v>
      </c>
      <c r="AZ4" s="171" t="n">
        <v>38292</v>
      </c>
      <c r="BA4" s="171" t="n">
        <v>38338</v>
      </c>
      <c r="BB4" s="171" t="n">
        <v>38455</v>
      </c>
      <c r="BC4" s="171" t="n">
        <v>38473</v>
      </c>
      <c r="BD4" s="171" t="n">
        <v>38473</v>
      </c>
      <c r="BE4" s="171" t="n">
        <v>38516</v>
      </c>
      <c r="BF4" s="171" t="n">
        <v>38694</v>
      </c>
      <c r="BG4" s="171" t="n">
        <v>38733</v>
      </c>
      <c r="BH4" s="171" t="n">
        <v>39162</v>
      </c>
      <c r="BI4" s="171" t="n">
        <v>39645</v>
      </c>
      <c r="BJ4" s="171" t="n">
        <v>40855</v>
      </c>
      <c r="BK4" s="171" t="n">
        <v>40988</v>
      </c>
      <c r="BL4" s="171" t="n">
        <v>41290</v>
      </c>
      <c r="BM4" s="171" t="n">
        <v>41368</v>
      </c>
      <c r="BN4" s="171" t="n">
        <v>41486</v>
      </c>
      <c r="BO4" s="171" t="n">
        <v>41505</v>
      </c>
      <c r="BP4" s="171" t="n">
        <v>41851</v>
      </c>
      <c r="BQ4" s="171" t="n">
        <v>42370</v>
      </c>
      <c r="BR4" s="171" t="n">
        <v>43500</v>
      </c>
      <c r="BS4" s="171" t="n">
        <v>44071</v>
      </c>
      <c r="BT4" s="171" t="n">
        <v>45726</v>
      </c>
      <c r="BU4" s="171" t="n">
        <v>45726</v>
      </c>
      <c r="BV4" s="171" t="n">
        <v>45971</v>
      </c>
      <c r="BW4" s="171" t="n">
        <v>46084</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120</v>
      </c>
      <c r="E5" s="549" t="inlineStr">
        <is>
          <t xml:space="preserve">Conveyance </t>
        </is>
      </c>
      <c r="F5" s="550" t="n"/>
      <c r="G5" s="108" t="n"/>
      <c r="H5" s="220" t="inlineStr">
        <is>
          <t>ARTI</t>
        </is>
      </c>
      <c r="I5" s="220" t="inlineStr">
        <is>
          <t>ARTI</t>
        </is>
      </c>
      <c r="J5" s="220" t="inlineStr">
        <is>
          <t>ARTI</t>
        </is>
      </c>
      <c r="K5" s="220" t="inlineStr">
        <is>
          <t>ARTI</t>
        </is>
      </c>
      <c r="L5" s="220" t="inlineStr">
        <is>
          <t>UND 1/2 of 80 NMA</t>
        </is>
      </c>
      <c r="M5" s="220" t="inlineStr">
        <is>
          <t>ARTI</t>
        </is>
      </c>
      <c r="N5" s="220" t="inlineStr">
        <is>
          <t>UND 1/2 of 80 NMA</t>
        </is>
      </c>
      <c r="O5" s="220" t="inlineStr">
        <is>
          <t>ARTI</t>
        </is>
      </c>
      <c r="P5" s="220" t="inlineStr">
        <is>
          <t>ARTI</t>
        </is>
      </c>
      <c r="Q5" s="220" t="inlineStr">
        <is>
          <t>286.110629 NMA</t>
        </is>
      </c>
      <c r="R5" s="220" t="inlineStr">
        <is>
          <t>209.814462 NMA</t>
        </is>
      </c>
      <c r="S5" s="220" t="inlineStr">
        <is>
          <t>38.148084 NMA</t>
        </is>
      </c>
      <c r="T5" s="220" t="inlineStr">
        <is>
          <t>38.148084 NMA</t>
        </is>
      </c>
      <c r="U5" s="220" t="inlineStr">
        <is>
          <t>ARTI</t>
        </is>
      </c>
      <c r="V5" s="220" t="inlineStr">
        <is>
          <t>ARTI</t>
        </is>
      </c>
      <c r="W5" s="220" t="inlineStr">
        <is>
          <t>ARTI</t>
        </is>
      </c>
      <c r="X5" s="220" t="inlineStr">
        <is>
          <t>ARTI</t>
        </is>
      </c>
      <c r="Y5" s="220" t="inlineStr">
        <is>
          <t>ARTI</t>
        </is>
      </c>
      <c r="Z5" s="499" t="inlineStr">
        <is>
          <t>2 NMA</t>
        </is>
      </c>
      <c r="AA5" s="220" t="inlineStr">
        <is>
          <t>ARTI</t>
        </is>
      </c>
      <c r="AB5" s="220" t="inlineStr">
        <is>
          <t>ARTI</t>
        </is>
      </c>
      <c r="AC5" s="220" t="inlineStr">
        <is>
          <t>25 NMA</t>
        </is>
      </c>
      <c r="AD5" s="220" t="inlineStr">
        <is>
          <t>ARTI</t>
        </is>
      </c>
      <c r="AE5" s="220" t="inlineStr">
        <is>
          <t>0.9722 NMA</t>
        </is>
      </c>
      <c r="AF5" s="220" t="inlineStr">
        <is>
          <t>ARTI</t>
        </is>
      </c>
      <c r="AG5" s="220" t="inlineStr">
        <is>
          <t>17.5 NMA</t>
        </is>
      </c>
      <c r="AH5" s="220" t="inlineStr">
        <is>
          <t>1/3</t>
        </is>
      </c>
      <c r="AI5" s="220" t="inlineStr">
        <is>
          <t>ARTI</t>
        </is>
      </c>
      <c r="AJ5" s="220" t="inlineStr">
        <is>
          <t>17.5 NMA</t>
        </is>
      </c>
      <c r="AK5" s="499" t="inlineStr">
        <is>
          <t>18.835 NMA</t>
        </is>
      </c>
      <c r="AL5" s="499" t="inlineStr">
        <is>
          <t>10 NMA (decree)</t>
        </is>
      </c>
      <c r="AM5" s="220" t="inlineStr">
        <is>
          <t>ARTI</t>
        </is>
      </c>
      <c r="AN5" s="220" t="inlineStr">
        <is>
          <t>ARTI</t>
        </is>
      </c>
      <c r="AO5" s="170" t="inlineStr">
        <is>
          <t>ARTI</t>
        </is>
      </c>
      <c r="AP5" s="170" t="inlineStr">
        <is>
          <t>ARTI</t>
        </is>
      </c>
      <c r="AQ5" s="170" t="inlineStr">
        <is>
          <t>ARTI</t>
        </is>
      </c>
      <c r="AR5" s="170" t="inlineStr">
        <is>
          <t>ARTI</t>
        </is>
      </c>
      <c r="AS5" s="170" t="inlineStr">
        <is>
          <t>ARTI</t>
        </is>
      </c>
      <c r="AT5" s="170" t="inlineStr">
        <is>
          <t>ARTI</t>
        </is>
      </c>
      <c r="AU5" s="170" t="inlineStr">
        <is>
          <t>ARTI</t>
        </is>
      </c>
      <c r="AV5" s="170" t="inlineStr">
        <is>
          <t>ARTI</t>
        </is>
      </c>
      <c r="AW5" s="500" t="inlineStr">
        <is>
          <t>10 NMA</t>
        </is>
      </c>
      <c r="AX5" s="500" t="inlineStr">
        <is>
          <t>5 NMA</t>
        </is>
      </c>
      <c r="AY5" s="500" t="inlineStr">
        <is>
          <t>5 NMA</t>
        </is>
      </c>
      <c r="AZ5" s="170" t="inlineStr">
        <is>
          <t>ARTI</t>
        </is>
      </c>
      <c r="BA5" s="170" t="inlineStr">
        <is>
          <t>ARTI</t>
        </is>
      </c>
      <c r="BB5" s="170" t="inlineStr">
        <is>
          <t>ARTI</t>
        </is>
      </c>
      <c r="BC5" s="500" t="inlineStr">
        <is>
          <t>10.13 NMA</t>
        </is>
      </c>
      <c r="BD5" s="500" t="inlineStr">
        <is>
          <t>2.5 NMA</t>
        </is>
      </c>
      <c r="BE5" s="170" t="inlineStr">
        <is>
          <t>ARTI</t>
        </is>
      </c>
      <c r="BF5" s="500" t="inlineStr">
        <is>
          <t>Disclaimer — 0 NMA</t>
        </is>
      </c>
      <c r="BG5" s="500" t="inlineStr">
        <is>
          <t>2.5 NMA</t>
        </is>
      </c>
      <c r="BH5" s="170" t="inlineStr">
        <is>
          <t>ARTI</t>
        </is>
      </c>
      <c r="BI5" s="170" t="inlineStr">
        <is>
          <t>ARTI</t>
        </is>
      </c>
      <c r="BJ5" s="170" t="inlineStr">
        <is>
          <t>1758.332 NMA</t>
        </is>
      </c>
      <c r="BK5" s="170" t="inlineStr">
        <is>
          <t>ARTI</t>
        </is>
      </c>
      <c r="BL5" s="170" t="inlineStr">
        <is>
          <t>ARTI</t>
        </is>
      </c>
      <c r="BM5" s="500" t="inlineStr">
        <is>
          <t>2.0 NMA</t>
        </is>
      </c>
      <c r="BN5" s="500" t="inlineStr">
        <is>
          <t>2.0 NMA</t>
        </is>
      </c>
      <c r="BO5" s="170" t="inlineStr">
        <is>
          <t>60 NMA</t>
        </is>
      </c>
      <c r="BP5" s="170" t="inlineStr">
        <is>
          <t>ARTI</t>
        </is>
      </c>
      <c r="BQ5" s="170" t="inlineStr">
        <is>
          <t>ARTI</t>
        </is>
      </c>
      <c r="BR5" s="170" t="inlineStr">
        <is>
          <t>ARTI</t>
        </is>
      </c>
      <c r="BS5" s="170" t="inlineStr">
        <is>
          <t>ARTI</t>
        </is>
      </c>
      <c r="BT5" s="170" t="inlineStr">
        <is>
          <t>ARTI</t>
        </is>
      </c>
      <c r="BU5" s="500" t="inlineStr">
        <is>
          <t>UND 1/2</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289, 292, 294</t>
        </is>
      </c>
      <c r="D6" s="554" t="inlineStr">
        <is>
          <t>Tract 5</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487" t="inlineStr">
        <is>
          <t>SOURCE REVIEW</t>
        </is>
      </c>
      <c r="V6" s="487" t="inlineStr">
        <is>
          <t>SOURCE REVIEW</t>
        </is>
      </c>
      <c r="W6" s="487" t="inlineStr">
        <is>
          <t>SOURCE REVIEW</t>
        </is>
      </c>
      <c r="X6" s="487" t="inlineStr">
        <is>
          <t>SOURCE REVIEW</t>
        </is>
      </c>
      <c r="Y6" s="487" t="inlineStr">
        <is>
          <t>SOURCE REVIEW</t>
        </is>
      </c>
      <c r="Z6" s="487" t="inlineStr">
        <is>
          <t>SOURCE REVIEW</t>
        </is>
      </c>
      <c r="AA6" s="487" t="inlineStr">
        <is>
          <t>SOURCE REVIEW</t>
        </is>
      </c>
      <c r="AB6" s="487" t="inlineStr">
        <is>
          <t>SOURCE REVIEW</t>
        </is>
      </c>
      <c r="AC6" s="487" t="inlineStr">
        <is>
          <t>SOURCE REVIEW</t>
        </is>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-0.6666666666666666</v>
      </c>
      <c r="I10" s="571" t="n"/>
      <c r="J10" s="570" t="n">
        <v>-0.3333333333333333</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Leo Kennett</t>
        </is>
      </c>
      <c r="E11" s="137">
        <f>SUM(G11:HP11)</f>
        <v/>
      </c>
      <c r="F11" s="569">
        <f>IFERROR(IF($E11&gt;0.0000005,$E11/SUMIF($E$11:$E$140,"&gt;0.0000005"),""),"")</f>
        <v/>
      </c>
      <c r="G11" s="570" t="n"/>
      <c r="H11" s="570" t="n">
        <v>0.6666666666666666</v>
      </c>
      <c r="I11" s="570" t="n">
        <v>-0.6666666666666666</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Mark Hambrook</t>
        </is>
      </c>
      <c r="E12" s="137">
        <f>SUM(G12:HP12)</f>
        <v/>
      </c>
      <c r="F12" s="569">
        <f>IFERROR(IF($E12&gt;0.0000005,$E12/SUMIF($E$11:$E$140,"&gt;0.0000005"),""),"")</f>
        <v/>
      </c>
      <c r="G12" s="570" t="n"/>
      <c r="H12" s="570" t="n"/>
      <c r="I12" s="570" t="n">
        <v>0.6666666666666666</v>
      </c>
      <c r="J12" s="570" t="n"/>
      <c r="K12" s="570" t="n"/>
      <c r="L12" s="570" t="n">
        <v>-0.3333333333333333</v>
      </c>
      <c r="M12" s="570" t="n"/>
      <c r="N12" s="570" t="n">
        <v>-0.3333333333333333</v>
      </c>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Herbert E. McGuire</t>
        </is>
      </c>
      <c r="E13" s="84">
        <f>SUM(G13:HP13)</f>
        <v/>
      </c>
      <c r="F13" s="569">
        <f>IFERROR(IF($E13&gt;0.0000005,$E13/SUMIF($E$11:$E$140,"&gt;0.0000005"),""),"")</f>
        <v/>
      </c>
      <c r="G13" s="570" t="n"/>
      <c r="H13" s="571" t="n"/>
      <c r="I13" s="570" t="n"/>
      <c r="J13" s="570" t="n">
        <v>0.3333333333333333</v>
      </c>
      <c r="K13" s="570" t="n">
        <v>-0.3333333333333333</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E. T. Gamble</t>
        </is>
      </c>
      <c r="E14" s="84">
        <f>SUM(G14:HP14)</f>
        <v/>
      </c>
      <c r="F14" s="569">
        <f>IFERROR(IF($E14&gt;0.0000005,$E14/SUMIF($E$11:$E$140,"&gt;0.0000005"),""),"")</f>
        <v/>
      </c>
      <c r="G14" s="570" t="n"/>
      <c r="H14" s="570" t="n"/>
      <c r="I14" s="570" t="n"/>
      <c r="J14" s="570" t="n"/>
      <c r="K14" s="570" t="n">
        <v>0.3333333333333333</v>
      </c>
      <c r="L14" s="570" t="n"/>
      <c r="M14" s="570" t="n">
        <v>-0.3333333333333333</v>
      </c>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Swinburn J. Stewart</t>
        </is>
      </c>
      <c r="E15" s="84">
        <f>SUM(G15:HP15)</f>
        <v/>
      </c>
      <c r="F15" s="569">
        <f>IFERROR(IF($E15&gt;0.0000005,$E15/SUMIF($E$11:$E$140,"&gt;0.0000005"),""),"")</f>
        <v/>
      </c>
      <c r="G15" s="570" t="n"/>
      <c r="H15" s="571" t="n"/>
      <c r="I15" s="570" t="n"/>
      <c r="J15" s="570" t="n"/>
      <c r="K15" s="570" t="n"/>
      <c r="L15" s="570" t="n">
        <v>0.3333333333333333</v>
      </c>
      <c r="M15" s="586" t="n"/>
      <c r="N15" s="570" t="n"/>
      <c r="O15" s="570" t="n">
        <v>-0.3333333333333333</v>
      </c>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Leo Aulbert</t>
        </is>
      </c>
      <c r="E16" s="84">
        <f>SUM(G16:HQ16)</f>
        <v/>
      </c>
      <c r="F16" s="569">
        <f>IFERROR(IF($E16&gt;0.0000005,$E16/SUMIF($E$11:$E$140,"&gt;0.0000005"),""),"")</f>
        <v/>
      </c>
      <c r="G16" s="570" t="n"/>
      <c r="H16" s="570" t="n"/>
      <c r="I16" s="570" t="n"/>
      <c r="J16" s="570" t="n"/>
      <c r="K16" s="570" t="n"/>
      <c r="L16" s="570" t="n"/>
      <c r="M16" s="570" t="n">
        <v>0.3333333333333333</v>
      </c>
      <c r="N16" s="570" t="n"/>
      <c r="O16" s="585" t="n"/>
      <c r="P16" s="573" t="n">
        <v>-0.3333333333333333</v>
      </c>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Panhandle Co-operative Royalty Company</t>
        </is>
      </c>
      <c r="E17" s="84">
        <f>SUM(G17:HQ17)</f>
        <v/>
      </c>
      <c r="F17" s="569">
        <f>IFERROR(IF($E17&gt;0.0000005,$E17/SUMIF($E$11:$E$140,"&gt;0.0000005"),""),"")</f>
        <v/>
      </c>
      <c r="G17" s="570" t="n"/>
      <c r="H17" s="570" t="n"/>
      <c r="I17" s="570" t="n"/>
      <c r="J17" s="570" t="n"/>
      <c r="K17" s="570" t="n"/>
      <c r="L17" s="570" t="n"/>
      <c r="M17" s="570" t="n"/>
      <c r="N17" s="570" t="n">
        <v>0.3333333333333333</v>
      </c>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Gladys Priest</t>
        </is>
      </c>
      <c r="E18" s="137">
        <f>SUM(G18:HQ18)</f>
        <v/>
      </c>
      <c r="F18" s="569">
        <f>IFERROR(IF($E18&gt;0.0000005,$E18/SUMIF($E$11:$E$140,"&gt;0.0000005"),""),"")</f>
        <v/>
      </c>
      <c r="G18" s="570" t="n"/>
      <c r="H18" s="570" t="n"/>
      <c r="I18" s="571" t="n"/>
      <c r="J18" s="570" t="n"/>
      <c r="K18" s="570" t="n"/>
      <c r="L18" s="570" t="n"/>
      <c r="M18" s="570" t="n"/>
      <c r="N18" s="570" t="n"/>
      <c r="O18" s="585" t="n">
        <v>0.08333333333333333</v>
      </c>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Swinburn J. Stewart, Jr.</t>
        </is>
      </c>
      <c r="E19" s="84">
        <f>SUM(G19:HQ19)</f>
        <v/>
      </c>
      <c r="F19" s="569">
        <f>IFERROR(IF($E19&gt;0.0000005,$E19/SUMIF($E$11:$E$140,"&gt;0.0000005"),""),"")</f>
        <v/>
      </c>
      <c r="G19" s="570" t="n"/>
      <c r="H19" s="570" t="n"/>
      <c r="I19" s="570" t="n"/>
      <c r="J19" s="570" t="n"/>
      <c r="K19" s="570" t="n"/>
      <c r="L19" s="570" t="n"/>
      <c r="M19" s="570" t="n"/>
      <c r="N19" s="570" t="n"/>
      <c r="O19" s="585" t="n">
        <v>0.08333333333333333</v>
      </c>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Margaret Standiford</t>
        </is>
      </c>
      <c r="E20" s="137">
        <f>SUM(G20:HQ20)</f>
        <v/>
      </c>
      <c r="F20" s="569">
        <f>IFERROR(IF($E20&gt;0.0000005,$E20/SUMIF($E$11:$E$140,"&gt;0.0000005"),""),"")</f>
        <v/>
      </c>
      <c r="G20" s="570" t="n"/>
      <c r="H20" s="570" t="n"/>
      <c r="I20" s="570" t="n"/>
      <c r="J20" s="570" t="n"/>
      <c r="K20" s="570" t="n"/>
      <c r="L20" s="570" t="n"/>
      <c r="M20" s="570" t="n"/>
      <c r="N20" s="570" t="n"/>
      <c r="O20" s="585" t="n">
        <v>0.08333333333333333</v>
      </c>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Mary Margaret Wilson</t>
        </is>
      </c>
      <c r="E21" s="84">
        <f>SUM(G21:HP21)</f>
        <v/>
      </c>
      <c r="F21" s="569">
        <f>IFERROR(IF($E21&gt;0.0000005,$E21/SUMIF($E$11:$E$140,"&gt;0.0000005"),""),"")</f>
        <v/>
      </c>
      <c r="G21" s="570" t="n"/>
      <c r="H21" s="570" t="n"/>
      <c r="I21" s="570" t="n"/>
      <c r="J21" s="570" t="n"/>
      <c r="K21" s="570" t="n"/>
      <c r="L21" s="570" t="n"/>
      <c r="M21" s="570" t="n"/>
      <c r="N21" s="570" t="n"/>
      <c r="O21" s="570" t="n">
        <v>0.08333333333333333</v>
      </c>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Marvin G. Mitchell and Carrie Lou Mitchell, HW, JTWROS</t>
        </is>
      </c>
      <c r="E22" s="137">
        <f>SUM(G22:HP22)</f>
        <v/>
      </c>
      <c r="F22" s="569">
        <f>IFERROR(IF($E22&gt;0.0000005,$E22/SUMIF($E$11:$E$140,"&gt;0.0000005"),""),"")</f>
        <v/>
      </c>
      <c r="G22" s="570" t="n"/>
      <c r="H22" s="570" t="n"/>
      <c r="I22" s="570" t="n"/>
      <c r="J22" s="570" t="n"/>
      <c r="K22" s="570" t="n"/>
      <c r="L22" s="570" t="n"/>
      <c r="M22" s="570" t="n"/>
      <c r="N22" s="570" t="n"/>
      <c r="O22" s="570" t="n"/>
      <c r="P22" s="570" t="n">
        <v>0.3333333333333333</v>
      </c>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W. L. Ayers and Hazel Ayers, HW</t>
        </is>
      </c>
      <c r="E23" s="137">
        <f>SUM(G23:HP23)</f>
        <v/>
      </c>
      <c r="F23" s="569">
        <f>IFERROR(IF($E23&gt;0.0000005,$E23/SUMIF($E$11:$E$140,"&gt;0.0000005"),""),"")</f>
        <v/>
      </c>
      <c r="G23" s="570" t="n"/>
      <c r="H23" s="570" t="n"/>
      <c r="I23" s="570" t="n"/>
      <c r="J23" s="570" t="n"/>
      <c r="K23" s="570" t="n"/>
      <c r="L23" s="570" t="n"/>
      <c r="M23" s="570" t="n"/>
      <c r="N23" s="570" t="n"/>
      <c r="O23" s="570" t="n"/>
      <c r="P23" s="570" t="n"/>
      <c r="Q23" s="570" t="n">
        <v>0</v>
      </c>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Robert O. Lister, Jr.</t>
        </is>
      </c>
      <c r="E24" s="137">
        <f>SUM(G24:HP24)</f>
        <v/>
      </c>
      <c r="F24" s="569">
        <f>IFERROR(IF($E24&gt;0.0000005,$E24/SUMIF($E$11:$E$140,"&gt;0.0000005"),""),"")</f>
        <v/>
      </c>
      <c r="G24" s="570" t="n"/>
      <c r="H24" s="570" t="n"/>
      <c r="I24" s="570" t="n"/>
      <c r="J24" s="570" t="n"/>
      <c r="K24" s="570" t="n"/>
      <c r="L24" s="570" t="n"/>
      <c r="M24" s="570" t="n"/>
      <c r="N24" s="570" t="n"/>
      <c r="O24" s="570" t="n"/>
      <c r="P24" s="570" t="n"/>
      <c r="Q24" s="570" t="n">
        <v>0</v>
      </c>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Carrie Lou Mitchell</t>
        </is>
      </c>
      <c r="E25" s="137">
        <f>SUM(G25:HP25)</f>
        <v/>
      </c>
      <c r="F25" s="569">
        <f>IFERROR(IF($E25&gt;0.0000005,$E25/SUMIF($E$11:$E$140,"&gt;0.0000005"),""),"")</f>
        <v/>
      </c>
      <c r="G25" s="570" t="n"/>
      <c r="H25" s="570" t="n"/>
      <c r="I25" s="570" t="n"/>
      <c r="J25" s="570" t="n"/>
      <c r="K25" s="570" t="n"/>
      <c r="L25" s="570" t="n"/>
      <c r="M25" s="570" t="n"/>
      <c r="N25" s="570" t="n"/>
      <c r="O25" s="570" t="n"/>
      <c r="P25" s="570" t="n"/>
      <c r="Q25" s="570" t="n">
        <v>0</v>
      </c>
      <c r="R25" s="570" t="n">
        <v>0</v>
      </c>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A. C. Campbell</t>
        </is>
      </c>
      <c r="E26" s="137">
        <f>SUM(G26:HP26)</f>
        <v/>
      </c>
      <c r="F26" s="569">
        <f>IFERROR(IF($E26&gt;0.0000005,$E26/SUMIF($E$11:$E$140,"&gt;0.0000005"),""),"")</f>
        <v/>
      </c>
      <c r="G26" s="570" t="n"/>
      <c r="H26" s="570" t="n"/>
      <c r="I26" s="570" t="n"/>
      <c r="J26" s="570" t="n"/>
      <c r="K26" s="570" t="n"/>
      <c r="L26" s="570" t="n"/>
      <c r="M26" s="570" t="n"/>
      <c r="N26" s="570" t="n"/>
      <c r="O26" s="570" t="n"/>
      <c r="P26" s="570" t="n"/>
      <c r="Q26" s="570" t="n">
        <v>0</v>
      </c>
      <c r="R26" s="570" t="n"/>
      <c r="S26" s="570" t="n">
        <v>0</v>
      </c>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J. W. Klopfenstein</t>
        </is>
      </c>
      <c r="E27" s="84">
        <f>SUM(G27:HT27)</f>
        <v/>
      </c>
      <c r="F27" s="569">
        <f>IFERROR(IF($E27&gt;0.0000005,$E27/SUMIF($E$11:$E$140,"&gt;0.0000005"),""),"")</f>
        <v/>
      </c>
      <c r="G27" s="570" t="n"/>
      <c r="H27" s="570" t="n"/>
      <c r="I27" s="570" t="n"/>
      <c r="J27" s="570" t="n"/>
      <c r="K27" s="570" t="n"/>
      <c r="L27" s="570" t="n"/>
      <c r="M27" s="570" t="n"/>
      <c r="N27" s="54" t="n"/>
      <c r="O27" s="570" t="n"/>
      <c r="P27" s="570" t="n"/>
      <c r="Q27" s="570" t="n">
        <v>0</v>
      </c>
      <c r="R27" s="572" t="n"/>
      <c r="S27" s="572" t="n"/>
      <c r="T27" s="570" t="n">
        <v>0</v>
      </c>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60</v>
      </c>
      <c r="D88" s="51" t="inlineStr">
        <is>
          <t>Calvin Wayne Kirk</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60</v>
      </c>
      <c r="D89" s="114" t="inlineStr">
        <is>
          <t>William Bryant / Kathy Bryant</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483">
        <f>SUM(C88:C89)</f>
        <v/>
      </c>
      <c r="D90" s="476" t="inlineStr">
        <is>
          <t>TOTAL — current mineral ownership (NMA)</t>
        </is>
      </c>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t="n"/>
      <c r="D92" s="114" t="n"/>
      <c r="E92" s="137" t="n"/>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DL7:DL8"/>
    <mergeCell ref="BV7:BV8"/>
    <mergeCell ref="BE7:BE8"/>
    <mergeCell ref="DD7:DD8"/>
    <mergeCell ref="DF7:DF8"/>
    <mergeCell ref="O7:O8"/>
    <mergeCell ref="BG7:BG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U7:FU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Deed</t>
        </is>
      </c>
      <c r="J1" s="218" t="inlineStr">
        <is>
          <t>Patent</t>
        </is>
      </c>
      <c r="K1" s="218" t="inlineStr">
        <is>
          <t>Deed</t>
        </is>
      </c>
      <c r="L1" s="218" t="inlineStr">
        <is>
          <t>Deed</t>
        </is>
      </c>
      <c r="M1" s="218" t="inlineStr">
        <is>
          <t>Warranty Deed</t>
        </is>
      </c>
      <c r="N1" s="218" t="inlineStr">
        <is>
          <t>Warranty Deed</t>
        </is>
      </c>
      <c r="O1" s="218" t="inlineStr">
        <is>
          <t>Quit Claim Deed</t>
        </is>
      </c>
      <c r="P1" s="218" t="inlineStr">
        <is>
          <t>Warranty Deed</t>
        </is>
      </c>
      <c r="Q1" s="218" t="inlineStr">
        <is>
          <t>Warranty Deed</t>
        </is>
      </c>
      <c r="R1" s="218" t="inlineStr">
        <is>
          <t>Mineral Deed</t>
        </is>
      </c>
      <c r="S1" s="218" t="inlineStr">
        <is>
          <t>Warranty Deed</t>
        </is>
      </c>
      <c r="T1" s="218" t="inlineStr">
        <is>
          <t>Joint Tenancy Warranty Deed</t>
        </is>
      </c>
      <c r="U1" s="218" t="inlineStr">
        <is>
          <t>Mineral Deed</t>
        </is>
      </c>
      <c r="V1" s="218" t="inlineStr">
        <is>
          <t>Mineral Deed</t>
        </is>
      </c>
      <c r="W1" s="218" t="inlineStr">
        <is>
          <t>Mineral Deed</t>
        </is>
      </c>
      <c r="X1" s="218" t="inlineStr">
        <is>
          <t>Joint Tenancy Warranty Deed</t>
        </is>
      </c>
      <c r="Y1" s="218" t="inlineStr">
        <is>
          <t>Final Decree and Order for Distribution</t>
        </is>
      </c>
      <c r="Z1" s="218" t="n"/>
      <c r="AA1" s="218" t="n"/>
      <c r="AB1" s="218" t="inlineStr">
        <is>
          <t>Joint Tenancy Warranty Deed</t>
        </is>
      </c>
      <c r="AC1" s="218" t="inlineStr">
        <is>
          <t>Quit Claim Deed</t>
        </is>
      </c>
      <c r="AD1" s="218" t="inlineStr">
        <is>
          <t>Final Decree</t>
        </is>
      </c>
      <c r="AE1" s="218" t="inlineStr">
        <is>
          <t>Release</t>
        </is>
      </c>
      <c r="AF1" s="218" t="inlineStr">
        <is>
          <t>Joint Tenancy Warranty Deed</t>
        </is>
      </c>
      <c r="AG1" s="218" t="inlineStr">
        <is>
          <t>Certificate</t>
        </is>
      </c>
      <c r="AH1" s="218" t="n"/>
      <c r="AI1" s="218" t="n"/>
      <c r="AJ1" s="218" t="n"/>
      <c r="AK1" s="218" t="n"/>
      <c r="AL1" s="218" t="n"/>
      <c r="AM1" s="218" t="n"/>
      <c r="AN1" s="218" t="n"/>
      <c r="AO1" s="169" t="n"/>
      <c r="AP1" s="169" t="inlineStr">
        <is>
          <t>Assignment</t>
        </is>
      </c>
      <c r="AQ1" s="169" t="n"/>
      <c r="AR1" s="169" t="n"/>
      <c r="AS1" s="169" t="n"/>
      <c r="AT1" s="169" t="n"/>
      <c r="AU1" s="169" t="inlineStr">
        <is>
          <t>Assignment</t>
        </is>
      </c>
      <c r="AV1" s="169" t="n"/>
      <c r="AW1" s="169" t="n"/>
      <c r="AX1" s="169" t="n"/>
      <c r="AY1" s="169" t="n"/>
      <c r="AZ1" s="169" t="n"/>
      <c r="BA1" s="169" t="n"/>
      <c r="BB1" s="169" t="inlineStr">
        <is>
          <t>Assignment</t>
        </is>
      </c>
      <c r="BC1" s="169" t="n"/>
      <c r="BD1" s="169" t="inlineStr">
        <is>
          <t>Assignment</t>
        </is>
      </c>
      <c r="BE1" s="169" t="inlineStr">
        <is>
          <t>Assignment</t>
        </is>
      </c>
      <c r="BF1" s="169" t="inlineStr">
        <is>
          <t>Assignment</t>
        </is>
      </c>
      <c r="BG1" s="169" t="inlineStr">
        <is>
          <t>Assignment</t>
        </is>
      </c>
      <c r="BH1" s="169" t="inlineStr">
        <is>
          <t>Mineral Deed</t>
        </is>
      </c>
      <c r="BI1" s="169" t="inlineStr">
        <is>
          <t>Mineral Deed</t>
        </is>
      </c>
      <c r="BJ1" s="169" t="inlineStr">
        <is>
          <t>Mineral Deed</t>
        </is>
      </c>
      <c r="BK1" s="169" t="inlineStr">
        <is>
          <t>Mineral Deed</t>
        </is>
      </c>
      <c r="BL1" s="169" t="n"/>
      <c r="BM1" s="169" t="n"/>
      <c r="BN1" s="169" t="inlineStr">
        <is>
          <t>Decree</t>
        </is>
      </c>
      <c r="BO1" s="169" t="inlineStr">
        <is>
          <t>Mineral Deed</t>
        </is>
      </c>
      <c r="BP1" s="169" t="inlineStr">
        <is>
          <t>Mineral Deed</t>
        </is>
      </c>
      <c r="BQ1" s="169" t="n"/>
      <c r="BR1" s="169" t="inlineStr">
        <is>
          <t>Assignment</t>
        </is>
      </c>
      <c r="BS1" s="169" t="inlineStr">
        <is>
          <t>Assignment</t>
        </is>
      </c>
      <c r="BT1" s="169" t="n"/>
      <c r="BU1" s="169" t="inlineStr">
        <is>
          <t>Assignment</t>
        </is>
      </c>
      <c r="BV1" s="169" t="inlineStr">
        <is>
          <t>Quit Claim Deed</t>
        </is>
      </c>
      <c r="BW1" s="169" t="n"/>
      <c r="BX1" s="169" t="inlineStr">
        <is>
          <t>Warranty Deed</t>
        </is>
      </c>
      <c r="BY1" s="169" t="inlineStr">
        <is>
          <t>Quit Claim Deed</t>
        </is>
      </c>
      <c r="BZ1" s="169" t="inlineStr">
        <is>
          <t>Warranty Deed</t>
        </is>
      </c>
      <c r="CA1" s="169" t="inlineStr">
        <is>
          <t>Mineral Deed</t>
        </is>
      </c>
      <c r="CB1" s="169" t="inlineStr">
        <is>
          <t>Partial Release</t>
        </is>
      </c>
      <c r="CC1" s="169" t="inlineStr">
        <is>
          <t>Assignment of ORRI</t>
        </is>
      </c>
      <c r="CD1" s="169" t="inlineStr">
        <is>
          <t>Order Allowing Final Account and Decree of Distribution and Final Discharge</t>
        </is>
      </c>
      <c r="CE1" s="169" t="inlineStr">
        <is>
          <t>Correction Mineral Deed</t>
        </is>
      </c>
      <c r="CF1" s="169" t="inlineStr">
        <is>
          <t>Quit Claim Mineral Deed</t>
        </is>
      </c>
      <c r="CG1" s="169" t="inlineStr">
        <is>
          <t>Mineral Deed</t>
        </is>
      </c>
      <c r="CH1" s="169" t="inlineStr">
        <is>
          <t>Mineral Deed</t>
        </is>
      </c>
      <c r="CI1" s="169" t="inlineStr">
        <is>
          <t>Purchase and Sale Agreement</t>
        </is>
      </c>
      <c r="CJ1" s="169" t="inlineStr">
        <is>
          <t>Joint Tenancy Warranty Deed</t>
        </is>
      </c>
      <c r="CK1" s="169" t="inlineStr">
        <is>
          <t>Mineral Deed</t>
        </is>
      </c>
      <c r="CL1" s="169" t="inlineStr">
        <is>
          <t>Memorandum of Trust</t>
        </is>
      </c>
      <c r="CM1" s="169" t="inlineStr">
        <is>
          <t>Quit Claim Deed</t>
        </is>
      </c>
      <c r="CN1" s="169" t="inlineStr">
        <is>
          <t>Order Allowing Final Account, Determination of Heirs, Distribution and Discharge</t>
        </is>
      </c>
      <c r="CO1" s="169" t="inlineStr">
        <is>
          <t>Quit Claim Mineral Deed</t>
        </is>
      </c>
      <c r="CP1" s="169" t="inlineStr">
        <is>
          <t>Joint Tenancy Quit Claim Mineral Deed</t>
        </is>
      </c>
      <c r="CQ1" s="169" t="inlineStr">
        <is>
          <t>Warranty Deed</t>
        </is>
      </c>
      <c r="CR1" s="169" t="inlineStr">
        <is>
          <t>Mineral Deed</t>
        </is>
      </c>
      <c r="CS1" s="169" t="n"/>
      <c r="CT1" s="169" t="n"/>
      <c r="CU1" s="169" t="inlineStr">
        <is>
          <t>Mineral Deed</t>
        </is>
      </c>
      <c r="CV1" s="169" t="n"/>
      <c r="CW1" s="169" t="inlineStr">
        <is>
          <t>Affidavit of Identity</t>
        </is>
      </c>
      <c r="CX1" s="169" t="inlineStr">
        <is>
          <t>Affidavit of Identity</t>
        </is>
      </c>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6</t>
        </is>
      </c>
      <c r="B2" s="535" t="inlineStr">
        <is>
          <t>TRACT</t>
        </is>
      </c>
      <c r="C2" s="536" t="n"/>
      <c r="D2" s="537" t="inlineStr">
        <is>
          <t>W/2 SW/4 (Lots 3 &amp; 4), containing 80 acres</t>
        </is>
      </c>
      <c r="E2" s="538" t="inlineStr">
        <is>
          <t>Image Number</t>
        </is>
      </c>
      <c r="F2" s="539" t="n"/>
      <c r="G2" s="111" t="n"/>
      <c r="H2" s="220" t="inlineStr">
        <is>
          <t>I-1907-002222</t>
        </is>
      </c>
      <c r="I2" s="220" t="inlineStr">
        <is>
          <t>1907-001545</t>
        </is>
      </c>
      <c r="J2" s="220" t="inlineStr">
        <is>
          <t>1931-001789</t>
        </is>
      </c>
      <c r="K2" s="220" t="inlineStr">
        <is>
          <t>1918-000943</t>
        </is>
      </c>
      <c r="L2" s="220" t="inlineStr">
        <is>
          <t>1925-000406</t>
        </is>
      </c>
      <c r="M2" s="220" t="inlineStr">
        <is>
          <t>1932-000511</t>
        </is>
      </c>
      <c r="N2" s="220" t="inlineStr">
        <is>
          <t>1949-000809</t>
        </is>
      </c>
      <c r="O2" s="220" t="inlineStr">
        <is>
          <t>1949-003394</t>
        </is>
      </c>
      <c r="P2" s="220" t="inlineStr">
        <is>
          <t>1953-000493</t>
        </is>
      </c>
      <c r="Q2" s="220" t="inlineStr">
        <is>
          <t>1953-000498</t>
        </is>
      </c>
      <c r="R2" s="220" t="inlineStr">
        <is>
          <t>1962-001141</t>
        </is>
      </c>
      <c r="S2" s="220" t="inlineStr">
        <is>
          <t>1962-001142</t>
        </is>
      </c>
      <c r="T2" s="220" t="inlineStr">
        <is>
          <t>1962-001144</t>
        </is>
      </c>
      <c r="U2" s="220" t="inlineStr">
        <is>
          <t>1962-001145</t>
        </is>
      </c>
      <c r="V2" s="220" t="inlineStr">
        <is>
          <t>1962-001389</t>
        </is>
      </c>
      <c r="W2" s="220" t="inlineStr">
        <is>
          <t>1962-001390</t>
        </is>
      </c>
      <c r="X2" s="220" t="inlineStr">
        <is>
          <t>1965-000771</t>
        </is>
      </c>
      <c r="Y2" s="220" t="inlineStr">
        <is>
          <t>1967-002816</t>
        </is>
      </c>
      <c r="Z2" s="220" t="n"/>
      <c r="AA2" s="220" t="n"/>
      <c r="AB2" s="220" t="inlineStr">
        <is>
          <t>1978-002589</t>
        </is>
      </c>
      <c r="AC2" s="220" t="inlineStr">
        <is>
          <t>1990-004213</t>
        </is>
      </c>
      <c r="AD2" s="220" t="inlineStr">
        <is>
          <t>1993-000918</t>
        </is>
      </c>
      <c r="AE2" s="220" t="inlineStr">
        <is>
          <t>1996-004168</t>
        </is>
      </c>
      <c r="AF2" s="220" t="inlineStr">
        <is>
          <t>1996-002352</t>
        </is>
      </c>
      <c r="AG2" s="220" t="inlineStr">
        <is>
          <t>2016-002265</t>
        </is>
      </c>
      <c r="AH2" s="220" t="n"/>
      <c r="AI2" s="220" t="n"/>
      <c r="AJ2" s="220" t="n"/>
      <c r="AK2" s="220" t="n"/>
      <c r="AL2" s="220" t="n"/>
      <c r="AM2" s="220" t="n"/>
      <c r="AN2" s="220" t="n"/>
      <c r="AO2" s="170" t="n"/>
      <c r="AP2" s="170" t="inlineStr">
        <is>
          <t>2000-007065</t>
        </is>
      </c>
      <c r="AQ2" s="170" t="n"/>
      <c r="AR2" s="170" t="n"/>
      <c r="AS2" s="170" t="n"/>
      <c r="AT2" s="170" t="n"/>
      <c r="AU2" s="170" t="inlineStr">
        <is>
          <t>2000-007634</t>
        </is>
      </c>
      <c r="AV2" s="170" t="n"/>
      <c r="AW2" s="170" t="n"/>
      <c r="AX2" s="170" t="n"/>
      <c r="AY2" s="170" t="n"/>
      <c r="AZ2" s="170" t="n"/>
      <c r="BA2" s="170" t="n"/>
      <c r="BB2" s="170" t="inlineStr">
        <is>
          <t>2004-001426</t>
        </is>
      </c>
      <c r="BC2" s="170" t="n"/>
      <c r="BD2" s="170" t="inlineStr">
        <is>
          <t>2004-002305</t>
        </is>
      </c>
      <c r="BE2" s="170" t="inlineStr">
        <is>
          <t>2004-003392</t>
        </is>
      </c>
      <c r="BF2" s="170" t="inlineStr">
        <is>
          <t>2004-002933</t>
        </is>
      </c>
      <c r="BG2" s="170" t="inlineStr">
        <is>
          <t>2004-002934</t>
        </is>
      </c>
      <c r="BH2" s="170" t="inlineStr">
        <is>
          <t>2004-005738</t>
        </is>
      </c>
      <c r="BI2" s="170" t="inlineStr">
        <is>
          <t>2004-005739</t>
        </is>
      </c>
      <c r="BJ2" s="170" t="inlineStr">
        <is>
          <t>2008-006536</t>
        </is>
      </c>
      <c r="BK2" s="170" t="inlineStr">
        <is>
          <t>2004-006577</t>
        </is>
      </c>
      <c r="BL2" s="170" t="n"/>
      <c r="BM2" s="170" t="n"/>
      <c r="BN2" s="170" t="inlineStr">
        <is>
          <t>2005-002196</t>
        </is>
      </c>
      <c r="BO2" s="170" t="inlineStr">
        <is>
          <t>2005-004793</t>
        </is>
      </c>
      <c r="BP2" s="170" t="inlineStr">
        <is>
          <t>2005-004044</t>
        </is>
      </c>
      <c r="BQ2" s="170" t="n"/>
      <c r="BR2" s="170" t="inlineStr">
        <is>
          <t>2006-000770</t>
        </is>
      </c>
      <c r="BS2" s="170" t="inlineStr">
        <is>
          <t>2006-000762</t>
        </is>
      </c>
      <c r="BT2" s="170" t="n"/>
      <c r="BU2" s="170" t="inlineStr">
        <is>
          <t>2009-000273</t>
        </is>
      </c>
      <c r="BV2" s="170" t="inlineStr">
        <is>
          <t>2007-001848</t>
        </is>
      </c>
      <c r="BW2" s="170" t="n"/>
      <c r="BX2" s="170" t="inlineStr">
        <is>
          <t>2009-002005</t>
        </is>
      </c>
      <c r="BY2" s="170" t="inlineStr">
        <is>
          <t>2009-002872</t>
        </is>
      </c>
      <c r="BZ2" s="170" t="inlineStr">
        <is>
          <t>2009-002996</t>
        </is>
      </c>
      <c r="CA2" s="170" t="inlineStr">
        <is>
          <t>2011-007826</t>
        </is>
      </c>
      <c r="CB2" s="170" t="inlineStr">
        <is>
          <t>2012-001856</t>
        </is>
      </c>
      <c r="CC2" s="170" t="inlineStr">
        <is>
          <t>2012-006477</t>
        </is>
      </c>
      <c r="CD2" s="170" t="inlineStr">
        <is>
          <t>2013-000518</t>
        </is>
      </c>
      <c r="CE2" s="170" t="inlineStr">
        <is>
          <t>2013-001272</t>
        </is>
      </c>
      <c r="CF2" s="170" t="inlineStr">
        <is>
          <t>2013-001724</t>
        </is>
      </c>
      <c r="CG2" s="170" t="inlineStr">
        <is>
          <t>2013-004163</t>
        </is>
      </c>
      <c r="CH2" s="170" t="inlineStr">
        <is>
          <t>2013-006585</t>
        </is>
      </c>
      <c r="CI2" s="170" t="inlineStr">
        <is>
          <t>2013-006584</t>
        </is>
      </c>
      <c r="CJ2" s="170" t="inlineStr">
        <is>
          <t>2013-006415</t>
        </is>
      </c>
      <c r="CK2" s="170" t="inlineStr">
        <is>
          <t>2015-002791</t>
        </is>
      </c>
      <c r="CL2" s="170" t="inlineStr">
        <is>
          <t>2016-001244</t>
        </is>
      </c>
      <c r="CM2" s="170" t="inlineStr">
        <is>
          <t>2016-001589</t>
        </is>
      </c>
      <c r="CN2" s="170" t="inlineStr">
        <is>
          <t>2026-002877</t>
        </is>
      </c>
      <c r="CO2" s="170" t="inlineStr">
        <is>
          <t>2020-001374</t>
        </is>
      </c>
      <c r="CP2" s="170" t="inlineStr">
        <is>
          <t>2025-001343</t>
        </is>
      </c>
      <c r="CQ2" s="170" t="inlineStr">
        <is>
          <t>2025-003963</t>
        </is>
      </c>
      <c r="CR2" s="170" t="inlineStr">
        <is>
          <t>2026-000691</t>
        </is>
      </c>
      <c r="CS2" s="170" t="n"/>
      <c r="CT2" s="170" t="n"/>
      <c r="CU2" s="170" t="inlineStr">
        <is>
          <t>2026-001374</t>
        </is>
      </c>
      <c r="CV2" s="170" t="n"/>
      <c r="CW2" s="170" t="inlineStr">
        <is>
          <t>2026-002510</t>
        </is>
      </c>
      <c r="CX2" s="170" t="inlineStr">
        <is>
          <t>2026-003144</t>
        </is>
      </c>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D11/209</t>
        </is>
      </c>
      <c r="J3" s="54" t="inlineStr">
        <is>
          <t>PAT7/374</t>
        </is>
      </c>
      <c r="K3" s="54" t="inlineStr">
        <is>
          <t>D27/477</t>
        </is>
      </c>
      <c r="L3" s="54" t="inlineStr">
        <is>
          <t>D34/104</t>
        </is>
      </c>
      <c r="M3" s="54" t="inlineStr">
        <is>
          <t>D46/89</t>
        </is>
      </c>
      <c r="N3" s="54" t="inlineStr">
        <is>
          <t>D59/246</t>
        </is>
      </c>
      <c r="O3" s="54" t="inlineStr">
        <is>
          <t>QCD5/92</t>
        </is>
      </c>
      <c r="P3" s="54" t="inlineStr">
        <is>
          <t>D67/154</t>
        </is>
      </c>
      <c r="Q3" s="54" t="inlineStr">
        <is>
          <t>D67/159</t>
        </is>
      </c>
      <c r="R3" s="54" t="inlineStr">
        <is>
          <t>MIS47/164</t>
        </is>
      </c>
      <c r="S3" s="54" t="inlineStr">
        <is>
          <t>MIS47/165</t>
        </is>
      </c>
      <c r="T3" s="54" t="inlineStr">
        <is>
          <t>MIS47/168</t>
        </is>
      </c>
      <c r="U3" s="54" t="inlineStr">
        <is>
          <t>MIS47/169</t>
        </is>
      </c>
      <c r="V3" s="54" t="inlineStr">
        <is>
          <t>MIS47/558</t>
        </is>
      </c>
      <c r="W3" s="54" t="inlineStr">
        <is>
          <t>MIS47/559</t>
        </is>
      </c>
      <c r="X3" s="54" t="inlineStr">
        <is>
          <t>MIS62/464</t>
        </is>
      </c>
      <c r="Y3" s="54" t="inlineStr">
        <is>
          <t>MIS86/33</t>
        </is>
      </c>
      <c r="Z3" s="54" t="n"/>
      <c r="AA3" s="220" t="n"/>
      <c r="AB3" s="220" t="inlineStr">
        <is>
          <t>237/381</t>
        </is>
      </c>
      <c r="AC3" s="54" t="inlineStr">
        <is>
          <t>1151/107</t>
        </is>
      </c>
      <c r="AD3" s="54" t="inlineStr">
        <is>
          <t>1324/22</t>
        </is>
      </c>
      <c r="AE3" s="54" t="inlineStr">
        <is>
          <t>1493/40</t>
        </is>
      </c>
      <c r="AF3" s="54" t="inlineStr">
        <is>
          <t>1510/491</t>
        </is>
      </c>
      <c r="AG3" s="54" t="inlineStr">
        <is>
          <t>2348/288</t>
        </is>
      </c>
      <c r="AH3" s="54" t="n"/>
      <c r="AI3" s="54" t="n"/>
      <c r="AJ3" s="54" t="n"/>
      <c r="AK3" s="220" t="n"/>
      <c r="AL3" s="53" t="n"/>
      <c r="AM3" s="220" t="n"/>
      <c r="AN3" s="220" t="n"/>
      <c r="AO3" s="181" t="n"/>
      <c r="AP3" s="181" t="inlineStr">
        <is>
          <t>1608/38</t>
        </is>
      </c>
      <c r="AQ3" s="170" t="n"/>
      <c r="AR3" s="170" t="n"/>
      <c r="AS3" s="170" t="n"/>
      <c r="AT3" s="170" t="n"/>
      <c r="AU3" s="170" t="inlineStr">
        <is>
          <t>1611/352</t>
        </is>
      </c>
      <c r="AV3" s="170" t="n"/>
      <c r="AW3" s="170" t="n"/>
      <c r="AX3" s="170" t="n"/>
      <c r="AY3" s="170" t="n"/>
      <c r="AZ3" s="170" t="n"/>
      <c r="BA3" s="170" t="n"/>
      <c r="BB3" s="170" t="inlineStr">
        <is>
          <t>1740/424</t>
        </is>
      </c>
      <c r="BC3" s="170" t="n"/>
      <c r="BD3" s="170" t="inlineStr">
        <is>
          <t>1745/48</t>
        </is>
      </c>
      <c r="BE3" s="170" t="inlineStr">
        <is>
          <t>1751/168</t>
        </is>
      </c>
      <c r="BF3" s="170" t="inlineStr">
        <is>
          <t>1749/49</t>
        </is>
      </c>
      <c r="BG3" s="170" t="inlineStr">
        <is>
          <t>1749/51</t>
        </is>
      </c>
      <c r="BH3" s="170" t="inlineStr">
        <is>
          <t>1764/344</t>
        </is>
      </c>
      <c r="BI3" s="170" t="inlineStr">
        <is>
          <t>1764/345</t>
        </is>
      </c>
      <c r="BJ3" s="170" t="inlineStr">
        <is>
          <t>1937/418</t>
        </is>
      </c>
      <c r="BK3" s="170" t="inlineStr">
        <is>
          <t>1768/339</t>
        </is>
      </c>
      <c r="BL3" s="170" t="n"/>
      <c r="BM3" s="170" t="n"/>
      <c r="BN3" s="170" t="inlineStr">
        <is>
          <t>1784/591</t>
        </is>
      </c>
      <c r="BO3" s="170" t="inlineStr">
        <is>
          <t>1797/463</t>
        </is>
      </c>
      <c r="BP3" s="170" t="inlineStr">
        <is>
          <t>1794/173</t>
        </is>
      </c>
      <c r="BQ3" s="170" t="n"/>
      <c r="BR3" s="170" t="inlineStr">
        <is>
          <t>1822/21</t>
        </is>
      </c>
      <c r="BS3" s="170" t="inlineStr">
        <is>
          <t>1822/13</t>
        </is>
      </c>
      <c r="BT3" s="170" t="n"/>
      <c r="BU3" s="170" t="inlineStr">
        <is>
          <t>1945/595</t>
        </is>
      </c>
      <c r="BV3" s="170" t="inlineStr">
        <is>
          <t>1872/277</t>
        </is>
      </c>
      <c r="BW3" s="170" t="n"/>
      <c r="BX3" s="170" t="inlineStr">
        <is>
          <t>1956/354</t>
        </is>
      </c>
      <c r="BY3" s="170" t="inlineStr">
        <is>
          <t>1963/222</t>
        </is>
      </c>
      <c r="BZ3" s="170" t="inlineStr">
        <is>
          <t>1964/97</t>
        </is>
      </c>
      <c r="CA3" s="170" t="inlineStr">
        <is>
          <t>2104/537</t>
        </is>
      </c>
      <c r="CB3" s="170" t="inlineStr">
        <is>
          <t>2121/77</t>
        </is>
      </c>
      <c r="CC3" s="170" t="inlineStr">
        <is>
          <t>2159/361</t>
        </is>
      </c>
      <c r="CD3" s="170" t="inlineStr">
        <is>
          <t>2177/33</t>
        </is>
      </c>
      <c r="CE3" s="170" t="inlineStr">
        <is>
          <t>2182/95</t>
        </is>
      </c>
      <c r="CF3" s="170" t="inlineStr">
        <is>
          <t>2184/570</t>
        </is>
      </c>
      <c r="CG3" s="170" t="inlineStr">
        <is>
          <t>2203/395</t>
        </is>
      </c>
      <c r="CH3" s="170" t="inlineStr">
        <is>
          <t>2224/382</t>
        </is>
      </c>
      <c r="CI3" s="170" t="inlineStr">
        <is>
          <t>2224/378</t>
        </is>
      </c>
      <c r="CJ3" s="170" t="inlineStr">
        <is>
          <t>2222/536</t>
        </is>
      </c>
      <c r="CK3" s="170" t="inlineStr">
        <is>
          <t>2309/236</t>
        </is>
      </c>
      <c r="CL3" s="170" t="inlineStr">
        <is>
          <t>2332/223</t>
        </is>
      </c>
      <c r="CM3" s="170" t="inlineStr">
        <is>
          <t>2337/427</t>
        </is>
      </c>
      <c r="CN3" s="170" t="inlineStr">
        <is>
          <t>2700/395</t>
        </is>
      </c>
      <c r="CO3" s="170" t="inlineStr">
        <is>
          <t>2450/598</t>
        </is>
      </c>
      <c r="CP3" s="170" t="inlineStr">
        <is>
          <t>2617/228</t>
        </is>
      </c>
      <c r="CQ3" s="170" t="inlineStr">
        <is>
          <t>2638/58</t>
        </is>
      </c>
      <c r="CR3" s="170" t="inlineStr">
        <is>
          <t>2682/183</t>
        </is>
      </c>
      <c r="CS3" s="170" t="n"/>
      <c r="CT3" s="170" t="n"/>
      <c r="CU3" s="170" t="inlineStr">
        <is>
          <t>2688/409</t>
        </is>
      </c>
      <c r="CV3" s="170" t="n"/>
      <c r="CW3" s="170" t="inlineStr">
        <is>
          <t>2697/519</t>
        </is>
      </c>
      <c r="CX3" s="170" t="inlineStr">
        <is>
          <t>2702/504</t>
        </is>
      </c>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2754</v>
      </c>
      <c r="J4" s="53" t="n">
        <v>2917</v>
      </c>
      <c r="K4" s="53" t="n">
        <v>6568</v>
      </c>
      <c r="L4" s="53" t="n">
        <v>9137</v>
      </c>
      <c r="M4" s="53" t="n">
        <v>12035</v>
      </c>
      <c r="N4" s="53" t="n">
        <v>18015</v>
      </c>
      <c r="O4" s="53" t="n">
        <v>18056</v>
      </c>
      <c r="P4" s="53" t="n">
        <v>19396</v>
      </c>
      <c r="Q4" s="53" t="n">
        <v>19414</v>
      </c>
      <c r="R4" s="53" t="n">
        <v>22906</v>
      </c>
      <c r="S4" s="53" t="n">
        <v>22906</v>
      </c>
      <c r="T4" s="53" t="n">
        <v>22906</v>
      </c>
      <c r="U4" s="53" t="n">
        <v>22906</v>
      </c>
      <c r="V4" s="53" t="n">
        <v>22938</v>
      </c>
      <c r="W4" s="53" t="n">
        <v>22938</v>
      </c>
      <c r="X4" s="53" t="n">
        <v>23890</v>
      </c>
      <c r="Y4" s="53" t="n">
        <v>24709</v>
      </c>
      <c r="Z4" s="53" t="n"/>
      <c r="AA4" s="222" t="n"/>
      <c r="AB4" s="222" t="n">
        <v>28583</v>
      </c>
      <c r="AC4" s="53" t="n">
        <v>33073</v>
      </c>
      <c r="AD4" s="53" t="n">
        <v>34032</v>
      </c>
      <c r="AE4" s="53" t="n">
        <v>35199</v>
      </c>
      <c r="AF4" s="53" t="n">
        <v>35429</v>
      </c>
      <c r="AG4" s="53" t="n">
        <v>36389</v>
      </c>
      <c r="AH4" s="53" t="n"/>
      <c r="AI4" s="53" t="n"/>
      <c r="AJ4" s="53" t="n"/>
      <c r="AK4" s="222" t="n"/>
      <c r="AL4" s="53" t="n"/>
      <c r="AM4" s="222" t="n"/>
      <c r="AN4" s="222" t="n"/>
      <c r="AO4" s="182" t="n"/>
      <c r="AP4" s="182" t="n">
        <v>36600</v>
      </c>
      <c r="AQ4" s="171" t="n"/>
      <c r="AR4" s="171" t="n"/>
      <c r="AS4" s="171" t="n"/>
      <c r="AT4" s="171" t="n"/>
      <c r="AU4" s="171" t="n">
        <v>36643</v>
      </c>
      <c r="AV4" s="171" t="n"/>
      <c r="AW4" s="171" t="n"/>
      <c r="AX4" s="171" t="n"/>
      <c r="AY4" s="171" t="n"/>
      <c r="AZ4" s="171" t="n"/>
      <c r="BA4" s="171" t="n"/>
      <c r="BB4" s="171" t="n">
        <v>38022</v>
      </c>
      <c r="BC4" s="171" t="n"/>
      <c r="BD4" s="171" t="n">
        <v>38029</v>
      </c>
      <c r="BE4" s="171" t="n">
        <v>38041</v>
      </c>
      <c r="BF4" s="171" t="n">
        <v>38127</v>
      </c>
      <c r="BG4" s="171" t="n">
        <v>38139</v>
      </c>
      <c r="BH4" s="171" t="n">
        <v>38260</v>
      </c>
      <c r="BI4" s="171" t="n">
        <v>38267</v>
      </c>
      <c r="BJ4" s="171" t="n">
        <v>38286</v>
      </c>
      <c r="BK4" s="171" t="n">
        <v>38292</v>
      </c>
      <c r="BL4" s="171" t="n"/>
      <c r="BM4" s="171" t="n"/>
      <c r="BN4" s="171" t="n">
        <v>38455</v>
      </c>
      <c r="BO4" s="171" t="n">
        <v>38473</v>
      </c>
      <c r="BP4" s="171" t="n">
        <v>38516</v>
      </c>
      <c r="BQ4" s="171" t="n"/>
      <c r="BR4" s="171" t="n">
        <v>38686</v>
      </c>
      <c r="BS4" s="171" t="n">
        <v>38723</v>
      </c>
      <c r="BT4" s="171" t="n"/>
      <c r="BU4" s="171" t="n">
        <v>38760</v>
      </c>
      <c r="BV4" s="171" t="n">
        <v>39162</v>
      </c>
      <c r="BW4" s="171" t="n"/>
      <c r="BX4" s="171" t="n">
        <v>39939</v>
      </c>
      <c r="BY4" s="171" t="n">
        <v>39981</v>
      </c>
      <c r="BZ4" s="171" t="n">
        <v>40009</v>
      </c>
      <c r="CA4" s="171" t="n">
        <v>40855</v>
      </c>
      <c r="CB4" s="171" t="n">
        <v>40973</v>
      </c>
      <c r="CC4" s="171" t="n">
        <v>41074</v>
      </c>
      <c r="CD4" s="171" t="n">
        <v>41290</v>
      </c>
      <c r="CE4" s="171" t="n">
        <v>41340</v>
      </c>
      <c r="CF4" s="171" t="n">
        <v>41368</v>
      </c>
      <c r="CG4" s="171" t="n">
        <v>41456</v>
      </c>
      <c r="CH4" s="171" t="n">
        <v>41486</v>
      </c>
      <c r="CI4" s="171" t="n">
        <v>41526</v>
      </c>
      <c r="CJ4" s="171" t="n">
        <v>41582</v>
      </c>
      <c r="CK4" s="171" t="n">
        <v>42242</v>
      </c>
      <c r="CL4" s="171" t="n">
        <v>42255</v>
      </c>
      <c r="CM4" s="171" t="n">
        <v>42547</v>
      </c>
      <c r="CN4" s="171" t="n">
        <v>43500</v>
      </c>
      <c r="CO4" s="171" t="n">
        <v>44071</v>
      </c>
      <c r="CP4" s="171" t="n">
        <v>45726</v>
      </c>
      <c r="CQ4" s="171" t="n">
        <v>45726</v>
      </c>
      <c r="CR4" s="171" t="n">
        <v>45971</v>
      </c>
      <c r="CS4" s="171" t="n"/>
      <c r="CT4" s="171" t="n"/>
      <c r="CU4" s="171" t="n">
        <v>46084</v>
      </c>
      <c r="CV4" s="171" t="n"/>
      <c r="CW4" s="171" t="n">
        <v>46125</v>
      </c>
      <c r="CX4" s="171" t="n">
        <v>46170</v>
      </c>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80</v>
      </c>
      <c r="E5" s="549" t="inlineStr">
        <is>
          <t xml:space="preserve">Conveyance </t>
        </is>
      </c>
      <c r="F5" s="550" t="n"/>
      <c r="G5" s="108" t="n"/>
      <c r="H5" s="220" t="inlineStr">
        <is>
          <t>ARTI (all interest)</t>
        </is>
      </c>
      <c r="I5" s="220" t="inlineStr">
        <is>
          <t>ARTI (all interest)</t>
        </is>
      </c>
      <c r="J5" s="220" t="inlineStr">
        <is>
          <t>153.77 ac</t>
        </is>
      </c>
      <c r="K5" s="220" t="inlineStr">
        <is>
          <t>ARTI (all interest)</t>
        </is>
      </c>
      <c r="L5" s="220" t="inlineStr">
        <is>
          <t>ARTI (all interest)</t>
        </is>
      </c>
      <c r="M5" s="220" t="inlineStr">
        <is>
          <t>ARTI (all interest)</t>
        </is>
      </c>
      <c r="N5" s="220" t="inlineStr">
        <is>
          <t>115.34 ac</t>
        </is>
      </c>
      <c r="O5" s="220" t="inlineStr">
        <is>
          <t>ARTI (all interest)</t>
        </is>
      </c>
      <c r="P5" s="220" t="inlineStr">
        <is>
          <t>ARTI (all interest)</t>
        </is>
      </c>
      <c r="Q5" s="220" t="inlineStr">
        <is>
          <t>75 ac</t>
        </is>
      </c>
      <c r="R5" s="220" t="inlineStr">
        <is>
          <t>75/115</t>
        </is>
      </c>
      <c r="S5" s="220" t="inlineStr">
        <is>
          <t>1/24</t>
        </is>
      </c>
      <c r="T5" s="220" t="inlineStr">
        <is>
          <t>Surface only</t>
        </is>
      </c>
      <c r="U5" s="220" t="inlineStr">
        <is>
          <t>55/115</t>
        </is>
      </c>
      <c r="V5" s="220" t="inlineStr">
        <is>
          <t>10/115</t>
        </is>
      </c>
      <c r="W5" s="220" t="inlineStr">
        <is>
          <t>10/115</t>
        </is>
      </c>
      <c r="X5" s="220" t="inlineStr">
        <is>
          <t>Surface only</t>
        </is>
      </c>
      <c r="Y5" s="220" t="inlineStr">
        <is>
          <t>75.34 ac</t>
        </is>
      </c>
      <c r="Z5" s="220" t="n"/>
      <c r="AA5" s="220" t="n"/>
      <c r="AB5" s="220" t="inlineStr">
        <is>
          <t>0 ac</t>
        </is>
      </c>
      <c r="AC5" s="220" t="inlineStr">
        <is>
          <t>ARTI (all interest)</t>
        </is>
      </c>
      <c r="AD5" s="220" t="inlineStr">
        <is>
          <t>10 ac</t>
        </is>
      </c>
      <c r="AE5" s="220" t="inlineStr">
        <is>
          <t>Leasehold</t>
        </is>
      </c>
      <c r="AF5" s="220" t="inlineStr">
        <is>
          <t>Excepting and reserving unto said first party, her successors and assigns forever, all of the oil, gas and other minerals</t>
        </is>
      </c>
      <c r="AG5" s="220" t="inlineStr">
        <is>
          <t>Trust</t>
        </is>
      </c>
      <c r="AH5" s="220" t="n"/>
      <c r="AI5" s="220" t="n"/>
      <c r="AJ5" s="220" t="n"/>
      <c r="AK5" s="220" t="n"/>
      <c r="AL5" s="220" t="n"/>
      <c r="AM5" s="220" t="n"/>
      <c r="AN5" s="220" t="n"/>
      <c r="AO5" s="170" t="n"/>
      <c r="AP5" s="170" t="inlineStr">
        <is>
          <t>ARTI (all interest)</t>
        </is>
      </c>
      <c r="AQ5" s="170" t="n"/>
      <c r="AR5" s="170" t="n"/>
      <c r="AS5" s="170" t="n"/>
      <c r="AT5" s="170" t="n"/>
      <c r="AU5" s="170" t="inlineStr">
        <is>
          <t>Leasehold</t>
        </is>
      </c>
      <c r="AV5" s="170" t="n"/>
      <c r="AW5" s="170" t="n"/>
      <c r="AX5" s="170" t="n"/>
      <c r="AY5" s="170" t="n"/>
      <c r="AZ5" s="170" t="n"/>
      <c r="BA5" s="170" t="n"/>
      <c r="BB5" s="170" t="inlineStr">
        <is>
          <t>ARTI (all interest)</t>
        </is>
      </c>
      <c r="BC5" s="170" t="n"/>
      <c r="BD5" s="170" t="inlineStr">
        <is>
          <t>ARTI (all interest)</t>
        </is>
      </c>
      <c r="BE5" s="170" t="inlineStr">
        <is>
          <t>ARTI (all interest)</t>
        </is>
      </c>
      <c r="BF5" s="170" t="inlineStr">
        <is>
          <t>ARTI (all interest)</t>
        </is>
      </c>
      <c r="BG5" s="170" t="inlineStr">
        <is>
          <t>ARTI (all interest)</t>
        </is>
      </c>
      <c r="BH5" s="170" t="inlineStr">
        <is>
          <t>10 ac</t>
        </is>
      </c>
      <c r="BI5" s="170" t="inlineStr">
        <is>
          <t>5 ac</t>
        </is>
      </c>
      <c r="BJ5" s="170" t="inlineStr">
        <is>
          <t>5 ac</t>
        </is>
      </c>
      <c r="BK5" s="170" t="inlineStr">
        <is>
          <t>ARTI (all interest)</t>
        </is>
      </c>
      <c r="BL5" s="170" t="n"/>
      <c r="BM5" s="170" t="n"/>
      <c r="BN5" s="170" t="inlineStr">
        <is>
          <t>16.38915 ac</t>
        </is>
      </c>
      <c r="BO5" s="170" t="inlineStr">
        <is>
          <t>10.13 ac</t>
        </is>
      </c>
      <c r="BP5" s="170" t="inlineStr">
        <is>
          <t>ARTI (all interest)</t>
        </is>
      </c>
      <c r="BQ5" s="170" t="n"/>
      <c r="BR5" s="170" t="inlineStr">
        <is>
          <t>Leasehold</t>
        </is>
      </c>
      <c r="BS5" s="170" t="inlineStr">
        <is>
          <t>Leasehold</t>
        </is>
      </c>
      <c r="BT5" s="170" t="n"/>
      <c r="BU5" s="170" t="inlineStr">
        <is>
          <t>32.80 ac</t>
        </is>
      </c>
      <c r="BV5" s="170" t="inlineStr">
        <is>
          <t>ARTI (all interest)</t>
        </is>
      </c>
      <c r="BW5" s="170" t="n"/>
      <c r="BX5" s="170" t="inlineStr">
        <is>
          <t>307.42 ac</t>
        </is>
      </c>
      <c r="BY5" s="170" t="inlineStr">
        <is>
          <t>surface rights only</t>
        </is>
      </c>
      <c r="BZ5" s="170" t="inlineStr">
        <is>
          <t>307.42 ac</t>
        </is>
      </c>
      <c r="CA5" s="170" t="inlineStr">
        <is>
          <t>2.00 ac</t>
        </is>
      </c>
      <c r="CB5" s="170" t="inlineStr">
        <is>
          <t>Mortgage partial release</t>
        </is>
      </c>
      <c r="CC5" s="170" t="inlineStr">
        <is>
          <t>ORRI of 1.5625 Per Cent in and to Assignor's interest</t>
        </is>
      </c>
      <c r="CD5" s="170" t="n">
        <v>0.125</v>
      </c>
      <c r="CE5" s="170" t="inlineStr">
        <is>
          <t>An undivided five (5) net acres</t>
        </is>
      </c>
      <c r="CF5" s="170" t="inlineStr">
        <is>
          <t>2.00 ac</t>
        </is>
      </c>
      <c r="CG5" s="170" t="inlineStr">
        <is>
          <t>3.00 ac</t>
        </is>
      </c>
      <c r="CH5" s="170" t="inlineStr">
        <is>
          <t>2.00 ac</t>
        </is>
      </c>
      <c r="CI5" s="170" t="inlineStr">
        <is>
          <t>See instrument</t>
        </is>
      </c>
      <c r="CJ5" s="170" t="inlineStr">
        <is>
          <t>307.42 ac</t>
        </is>
      </c>
      <c r="CK5" s="170" t="inlineStr">
        <is>
          <t>An undivided 22.915741/791.47 interest in all of the oil, gas and other minerals in and under 2 sections</t>
        </is>
      </c>
      <c r="CL5" s="170" t="inlineStr">
        <is>
          <t>Trust</t>
        </is>
      </c>
      <c r="CM5" s="170" t="inlineStr">
        <is>
          <t>surface rights only.</t>
        </is>
      </c>
      <c r="CN5" s="170" t="inlineStr">
        <is>
          <t>ARTI (all interest)</t>
        </is>
      </c>
      <c r="CO5" s="170" t="inlineStr">
        <is>
          <t>ARTI (all interest)</t>
        </is>
      </c>
      <c r="CP5" s="170" t="inlineStr">
        <is>
          <t>ARTI (all interest)</t>
        </is>
      </c>
      <c r="CQ5" s="170" t="inlineStr">
        <is>
          <t>307.42 ac</t>
        </is>
      </c>
      <c r="CR5" s="170" t="inlineStr">
        <is>
          <t>ARTI (all interest)</t>
        </is>
      </c>
      <c r="CS5" s="170" t="n"/>
      <c r="CT5" s="170" t="n"/>
      <c r="CU5" s="170" t="inlineStr">
        <is>
          <t>1.25 ac</t>
        </is>
      </c>
      <c r="CV5" s="170" t="n"/>
      <c r="CW5" s="170" t="inlineStr">
        <is>
          <t>Keri L. Tucker / Keri Lee Daigle / Keri Daigle Tucker identity and trust-name affidavit.</t>
        </is>
      </c>
      <c r="CX5" s="170" t="inlineStr">
        <is>
          <t>Gena W Moore, Gena Mitchell Williams, Gena Williams, Gena Willıams Moore are one and the same person wherever saıd names appear in the record concerning said title</t>
        </is>
      </c>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29 leases — see OGL register / Runsheet</t>
        </is>
      </c>
      <c r="D6" s="554" t="inlineStr">
        <is>
          <t>Tract 6</t>
        </is>
      </c>
      <c r="E6" s="553">
        <f>SUBTOTAL(9,E9:E203)</f>
        <v/>
      </c>
      <c r="F6" s="295" t="inlineStr">
        <is>
          <t>SURFACE</t>
        </is>
      </c>
      <c r="G6" s="112" t="n"/>
      <c r="H6" s="112" t="n"/>
      <c r="I6" s="487" t="inlineStr">
        <is>
          <t>SOURCE REVIEW</t>
        </is>
      </c>
      <c r="J6" s="112" t="n"/>
      <c r="K6" s="112" t="n"/>
      <c r="L6" s="112">
        <f>IF(L7=0,"","RECHECK")</f>
        <v/>
      </c>
      <c r="M6" s="487" t="inlineStr">
        <is>
          <t>SOURCE REVIEW</t>
        </is>
      </c>
      <c r="N6" s="112">
        <f>IF(N7=0,"","RECHECK")</f>
        <v/>
      </c>
      <c r="O6" s="487" t="inlineStr">
        <is>
          <t>SOURCE REVIEW</t>
        </is>
      </c>
      <c r="P6" s="487" t="inlineStr">
        <is>
          <t>SOURCE REVIEW</t>
        </is>
      </c>
      <c r="Q6" s="487" t="inlineStr">
        <is>
          <t>SOURCE REVIEW</t>
        </is>
      </c>
      <c r="R6" s="487" t="inlineStr">
        <is>
          <t>SOURCE REVIEW</t>
        </is>
      </c>
      <c r="S6" s="112">
        <f>IF(S7=0,"","RECHECK")</f>
        <v/>
      </c>
      <c r="T6" s="112">
        <f>IF(T7=0,"","RECHECK")</f>
        <v/>
      </c>
      <c r="U6" s="487" t="inlineStr">
        <is>
          <t>SOURCE REVIEW</t>
        </is>
      </c>
      <c r="V6" s="487" t="inlineStr">
        <is>
          <t>SOURCE REVIEW</t>
        </is>
      </c>
      <c r="W6" s="487" t="inlineStr">
        <is>
          <t>SOURCE REVIEW</t>
        </is>
      </c>
      <c r="X6" s="112">
        <f>IF(X7=0,"","RECHECK")</f>
        <v/>
      </c>
      <c r="Y6" s="487" t="inlineStr">
        <is>
          <t>SOURCE REVIEW</t>
        </is>
      </c>
      <c r="Z6" s="112">
        <f>IF(Z7=0,"","RECHECK")</f>
        <v/>
      </c>
      <c r="AA6" s="112">
        <f>IF(AA7=0,"","RECHECK")</f>
        <v/>
      </c>
      <c r="AB6" s="112">
        <f>IF(AB7=0,"","RECHECK")</f>
        <v/>
      </c>
      <c r="AC6" s="487" t="inlineStr">
        <is>
          <t>SOURCE REVIEW</t>
        </is>
      </c>
      <c r="AD6" s="491" t="inlineStr">
        <is>
          <t>SOURCE REVIEW</t>
        </is>
      </c>
      <c r="AE6" s="172">
        <f>IF(AE7=0,"","RECHECK")</f>
        <v/>
      </c>
      <c r="AF6" s="491" t="inlineStr">
        <is>
          <t>SOURCE REVIEW</t>
        </is>
      </c>
      <c r="AG6" s="172" t="n"/>
      <c r="AH6" s="172">
        <f>IF(AH7=0,"","RECHECK")</f>
        <v/>
      </c>
      <c r="AI6" s="172">
        <f>IF(AI7=0,"","RECHECK")</f>
        <v/>
      </c>
      <c r="AJ6" s="172">
        <f>IF(AJ7=0,"","RECHECK")</f>
        <v/>
      </c>
      <c r="AK6" s="112">
        <f>IF(AK7=0,"","RECHECK")</f>
        <v/>
      </c>
      <c r="AL6" s="172">
        <f>IF(AL7=0,"","RECHECK")</f>
        <v/>
      </c>
      <c r="AM6" s="112">
        <f>IF(AM7=0,"","RECHECK")</f>
        <v/>
      </c>
      <c r="AN6" s="17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112">
        <f>IF(BF7=0,"","RECHECK")</f>
        <v/>
      </c>
      <c r="BG6" s="112">
        <f>IF(BG7=0,"","RECHECK")</f>
        <v/>
      </c>
      <c r="BH6" s="487" t="inlineStr">
        <is>
          <t>SOURCE REVIEW</t>
        </is>
      </c>
      <c r="BI6" s="487" t="inlineStr">
        <is>
          <t>SOURCE REVIEW</t>
        </is>
      </c>
      <c r="BJ6" s="487" t="inlineStr">
        <is>
          <t>SOURCE REVIEW</t>
        </is>
      </c>
      <c r="BK6" s="487" t="inlineStr">
        <is>
          <t>SOURCE REVIEW</t>
        </is>
      </c>
      <c r="BL6" s="112">
        <f>IF(BL7=0,"","RECHECK")</f>
        <v/>
      </c>
      <c r="BM6" s="112">
        <f>IF(BM7=0,"","RECHECK")</f>
        <v/>
      </c>
      <c r="BN6" s="487" t="inlineStr">
        <is>
          <t>SOURCE REVIEW</t>
        </is>
      </c>
      <c r="BO6" s="487" t="inlineStr">
        <is>
          <t>SOURCE REVIEW</t>
        </is>
      </c>
      <c r="BP6" s="487" t="inlineStr">
        <is>
          <t>SOURCE REVIEW</t>
        </is>
      </c>
      <c r="BQ6" s="112">
        <f>IF(BQ7=0,"","RECHECK")</f>
        <v/>
      </c>
      <c r="BR6" s="112">
        <f>IF(BR7=0,"","RECHECK")</f>
        <v/>
      </c>
      <c r="BS6" s="112">
        <f>IF(BS7=0,"","RECHECK")</f>
        <v/>
      </c>
      <c r="BT6" s="112">
        <f>IF(BT7=0,"","RECHECK")</f>
        <v/>
      </c>
      <c r="BU6" s="112">
        <f>IF(BU7=0,"","RECHECK")</f>
        <v/>
      </c>
      <c r="BV6" s="487" t="inlineStr">
        <is>
          <t>SOURCE REVIEW</t>
        </is>
      </c>
      <c r="BW6" s="112">
        <f>IF(BW7=0,"","RECHECK")</f>
        <v/>
      </c>
      <c r="BX6" s="487" t="inlineStr">
        <is>
          <t>SOURCE REVIEW</t>
        </is>
      </c>
      <c r="BY6" s="487" t="inlineStr">
        <is>
          <t>SOURCE REVIEW</t>
        </is>
      </c>
      <c r="BZ6" s="487" t="inlineStr">
        <is>
          <t>SOURCE REVIEW</t>
        </is>
      </c>
      <c r="CA6" s="487" t="inlineStr">
        <is>
          <t>SOURCE REVIEW</t>
        </is>
      </c>
      <c r="CB6" s="487" t="inlineStr">
        <is>
          <t>SOURCE REVIEW</t>
        </is>
      </c>
      <c r="CC6" s="487" t="inlineStr">
        <is>
          <t>SOURCE REVIEW</t>
        </is>
      </c>
      <c r="CD6" s="487" t="inlineStr">
        <is>
          <t>SOURCE REVIEW</t>
        </is>
      </c>
      <c r="CE6" s="487" t="inlineStr">
        <is>
          <t>SOURCE REVIEW</t>
        </is>
      </c>
      <c r="CF6" s="487" t="inlineStr">
        <is>
          <t>SOURCE REVIEW</t>
        </is>
      </c>
      <c r="CG6" s="487" t="inlineStr">
        <is>
          <t>SOURCE REVIEW</t>
        </is>
      </c>
      <c r="CH6" s="487" t="inlineStr">
        <is>
          <t>SOURCE REVIEW</t>
        </is>
      </c>
      <c r="CI6" s="487" t="inlineStr">
        <is>
          <t>SOURCE REVIEW</t>
        </is>
      </c>
      <c r="CJ6" s="112">
        <f>IF(CJ7=0,"","RECHECK")</f>
        <v/>
      </c>
      <c r="CK6" s="487" t="inlineStr">
        <is>
          <t>SOURCE REVIEW</t>
        </is>
      </c>
      <c r="CL6" s="112">
        <f>IF(CL7=0,"","RECHECK")</f>
        <v/>
      </c>
      <c r="CM6" s="487" t="inlineStr">
        <is>
          <t>SOURCE REVIEW</t>
        </is>
      </c>
      <c r="CN6" s="487" t="inlineStr">
        <is>
          <t>SOURCE REVIEW</t>
        </is>
      </c>
      <c r="CO6" s="487" t="inlineStr">
        <is>
          <t>SOURCE REVIEW</t>
        </is>
      </c>
      <c r="CP6" s="487" t="inlineStr">
        <is>
          <t>SOURCE REVIEW</t>
        </is>
      </c>
      <c r="CQ6" s="487" t="inlineStr">
        <is>
          <t>SOURCE REVIEW</t>
        </is>
      </c>
      <c r="CR6" s="487" t="inlineStr">
        <is>
          <t>SOURCE REVIEW</t>
        </is>
      </c>
      <c r="CS6" s="112">
        <f>IF(CS7=0,"","RECHECK")</f>
        <v/>
      </c>
      <c r="CT6" s="112">
        <f>IF(CT7=0,"","RECHECK")</f>
        <v/>
      </c>
      <c r="CU6" s="487" t="inlineStr">
        <is>
          <t>SOURCE REVIEW</t>
        </is>
      </c>
      <c r="CV6" s="112">
        <f>IF(CV7=0,"","RECHECK")</f>
        <v/>
      </c>
      <c r="CW6" s="487" t="inlineStr">
        <is>
          <t>SOURCE REVIEW</t>
        </is>
      </c>
      <c r="CX6" s="487" t="inlineStr">
        <is>
          <t>SOURCE REVIEW</t>
        </is>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c r="J10" s="570" t="n">
        <v>-1</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c r="J11" s="570" t="n">
        <v>1</v>
      </c>
      <c r="K11" s="570" t="n">
        <v>-1</v>
      </c>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c r="K12" s="570" t="n">
        <v>1</v>
      </c>
      <c r="L12" s="570" t="n">
        <v>-1</v>
      </c>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c r="L13" s="570" t="n">
        <v>1</v>
      </c>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80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inlineStr">
        <is>
          <t>Fraction / NMA</t>
        </is>
      </c>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Patent</t>
        </is>
      </c>
      <c r="J1" s="218" t="inlineStr">
        <is>
          <t>Deed</t>
        </is>
      </c>
      <c r="K1" s="218" t="inlineStr">
        <is>
          <t>Deed</t>
        </is>
      </c>
      <c r="L1" s="218" t="inlineStr">
        <is>
          <t>Warranty Deed</t>
        </is>
      </c>
      <c r="M1" s="218" t="inlineStr">
        <is>
          <t>Certificate</t>
        </is>
      </c>
      <c r="N1" s="218" t="inlineStr">
        <is>
          <t>Warranty Deed</t>
        </is>
      </c>
      <c r="O1" s="218" t="inlineStr">
        <is>
          <t>Quit Claim Deed</t>
        </is>
      </c>
      <c r="P1" s="218" t="inlineStr">
        <is>
          <t>Mineral Deed</t>
        </is>
      </c>
      <c r="Q1" s="218" t="inlineStr">
        <is>
          <t>Warranty Deed</t>
        </is>
      </c>
      <c r="R1" s="218" t="inlineStr">
        <is>
          <t>Surface Warranty Deed</t>
        </is>
      </c>
      <c r="S1" s="218" t="inlineStr">
        <is>
          <t>Warranty Deed</t>
        </is>
      </c>
      <c r="T1" s="218" t="inlineStr">
        <is>
          <t>Deed to Surface Rights</t>
        </is>
      </c>
      <c r="U1" s="218" t="inlineStr">
        <is>
          <t>Warranty Deed</t>
        </is>
      </c>
      <c r="V1" s="218" t="inlineStr">
        <is>
          <t>Mineral Deed</t>
        </is>
      </c>
      <c r="W1" s="218" t="inlineStr">
        <is>
          <t>Warranty Deed</t>
        </is>
      </c>
      <c r="X1" s="218" t="inlineStr">
        <is>
          <t>Joint Tenancy Warranty Deed</t>
        </is>
      </c>
      <c r="Y1" s="218" t="inlineStr">
        <is>
          <t>Mineral Deed</t>
        </is>
      </c>
      <c r="Z1" s="218" t="inlineStr">
        <is>
          <t>Mineral Deed</t>
        </is>
      </c>
      <c r="AA1" s="218" t="inlineStr">
        <is>
          <t>Mineral Deed</t>
        </is>
      </c>
      <c r="AB1" s="218" t="inlineStr">
        <is>
          <t>Joint Tenancy Warranty Deed</t>
        </is>
      </c>
      <c r="AC1" s="218" t="inlineStr">
        <is>
          <t>Final Decree and Order for Distribution</t>
        </is>
      </c>
      <c r="AD1" s="218" t="n"/>
      <c r="AE1" s="218" t="n"/>
      <c r="AF1" s="218" t="inlineStr">
        <is>
          <t>Mineral Deed</t>
        </is>
      </c>
      <c r="AG1" s="218" t="inlineStr">
        <is>
          <t>Mineral Deed</t>
        </is>
      </c>
      <c r="AH1" s="218" t="inlineStr">
        <is>
          <t>Mineral Deed</t>
        </is>
      </c>
      <c r="AI1" s="218" t="inlineStr">
        <is>
          <t>Mineral Deed</t>
        </is>
      </c>
      <c r="AJ1" s="218" t="inlineStr">
        <is>
          <t>Mineral Deed</t>
        </is>
      </c>
      <c r="AK1" s="218" t="inlineStr">
        <is>
          <t>Mineral Deed</t>
        </is>
      </c>
      <c r="AL1" s="218" t="inlineStr">
        <is>
          <t>Mineral Deed</t>
        </is>
      </c>
      <c r="AM1" s="218" t="n"/>
      <c r="AN1" s="218" t="inlineStr">
        <is>
          <t>Assignment</t>
        </is>
      </c>
      <c r="AO1" s="169" t="inlineStr">
        <is>
          <t>Quitclaim Mineral Deed</t>
        </is>
      </c>
      <c r="AP1" s="169" t="inlineStr">
        <is>
          <t>Mineral Deed</t>
        </is>
      </c>
      <c r="AQ1" s="169" t="inlineStr">
        <is>
          <t>Mineral Deed</t>
        </is>
      </c>
      <c r="AR1" s="169" t="inlineStr">
        <is>
          <t>Mineral Deed</t>
        </is>
      </c>
      <c r="AS1" s="169" t="inlineStr">
        <is>
          <t>Mineral Quit Claim Deed</t>
        </is>
      </c>
      <c r="AT1" s="169" t="inlineStr">
        <is>
          <t>Quit Claim Mineral Deed, Assignment and Conveyance</t>
        </is>
      </c>
      <c r="AU1" s="169" t="inlineStr">
        <is>
          <t>Quit Claim Mineral Deed, Assignment and Conveyance</t>
        </is>
      </c>
      <c r="AV1" s="169" t="inlineStr">
        <is>
          <t>Quit Claim Mineral Deed, Assignment and Conveyance</t>
        </is>
      </c>
      <c r="AW1" s="169" t="inlineStr">
        <is>
          <t>Quit Claim Mineral Deed, Assignment and Conveyance</t>
        </is>
      </c>
      <c r="AX1" s="169" t="inlineStr">
        <is>
          <t>Quit Claim Deed</t>
        </is>
      </c>
      <c r="AY1" s="169" t="inlineStr">
        <is>
          <t>Mineral Deed</t>
        </is>
      </c>
      <c r="AZ1" s="169" t="inlineStr">
        <is>
          <t>Quit Claim Deed</t>
        </is>
      </c>
      <c r="BA1" s="169" t="inlineStr">
        <is>
          <t>Order and Final Decree</t>
        </is>
      </c>
      <c r="BB1" s="169" t="inlineStr">
        <is>
          <t>Affidavit of Address Change</t>
        </is>
      </c>
      <c r="BC1" s="169" t="inlineStr">
        <is>
          <t>Joint Tenancy Mineral Deed</t>
        </is>
      </c>
      <c r="BD1" s="169" t="inlineStr">
        <is>
          <t>Mineral Deed</t>
        </is>
      </c>
      <c r="BE1" s="169" t="inlineStr">
        <is>
          <t>Final Decree</t>
        </is>
      </c>
      <c r="BF1" s="169" t="inlineStr">
        <is>
          <t>Mineral Deed</t>
        </is>
      </c>
      <c r="BG1" s="169" t="inlineStr">
        <is>
          <t>Mineral Deed</t>
        </is>
      </c>
      <c r="BH1" s="169" t="inlineStr">
        <is>
          <t>Release</t>
        </is>
      </c>
      <c r="BI1" s="169" t="n"/>
      <c r="BJ1" s="169" t="n"/>
      <c r="BK1" s="169" t="n"/>
      <c r="BL1" s="169" t="n"/>
      <c r="BM1" s="169" t="n"/>
      <c r="BN1" s="169" t="n"/>
      <c r="BO1" s="169" t="n"/>
      <c r="BP1" s="169" t="inlineStr">
        <is>
          <t>Proof of Death</t>
        </is>
      </c>
      <c r="BQ1" s="169" t="n"/>
      <c r="BR1" s="169" t="inlineStr">
        <is>
          <t>Assignment</t>
        </is>
      </c>
      <c r="BS1" s="169" t="n"/>
      <c r="BT1" s="169" t="n"/>
      <c r="BU1" s="169" t="n"/>
      <c r="BV1" s="169" t="n"/>
      <c r="BW1" s="169" t="n"/>
      <c r="BX1" s="169" t="inlineStr">
        <is>
          <t>Assignment</t>
        </is>
      </c>
      <c r="BY1" s="169" t="inlineStr">
        <is>
          <t>Mineral Deed</t>
        </is>
      </c>
      <c r="BZ1" s="169" t="n"/>
      <c r="CA1" s="169" t="n"/>
      <c r="CB1" s="169" t="inlineStr">
        <is>
          <t>Mineral Deed</t>
        </is>
      </c>
      <c r="CC1" s="169" t="n"/>
      <c r="CD1" s="169" t="inlineStr">
        <is>
          <t>Assignment</t>
        </is>
      </c>
      <c r="CE1" s="169" t="inlineStr">
        <is>
          <t>Mineral Deed</t>
        </is>
      </c>
      <c r="CF1" s="169" t="inlineStr">
        <is>
          <t>Mineral Deed</t>
        </is>
      </c>
      <c r="CG1" s="169" t="inlineStr">
        <is>
          <t>Decree</t>
        </is>
      </c>
      <c r="CH1" s="169" t="n"/>
      <c r="CI1" s="169" t="inlineStr">
        <is>
          <t>Assignment</t>
        </is>
      </c>
      <c r="CJ1" s="169" t="inlineStr">
        <is>
          <t>Mineral Deed</t>
        </is>
      </c>
      <c r="CK1" s="169" t="inlineStr">
        <is>
          <t>Assignment</t>
        </is>
      </c>
      <c r="CL1" s="169" t="inlineStr">
        <is>
          <t>Assignment</t>
        </is>
      </c>
      <c r="CM1" s="169" t="inlineStr">
        <is>
          <t>Special Warranty Deed, Assignment and Bill of Sale</t>
        </is>
      </c>
      <c r="CN1" s="169" t="inlineStr">
        <is>
          <t>Final Decree</t>
        </is>
      </c>
      <c r="CO1" s="169" t="n"/>
      <c r="CP1" s="169" t="n"/>
      <c r="CQ1" s="169" t="n"/>
      <c r="CR1" s="169" t="n"/>
      <c r="CS1" s="169" t="n"/>
      <c r="CT1" s="169" t="n"/>
      <c r="CU1" s="169" t="inlineStr">
        <is>
          <t>Assignment</t>
        </is>
      </c>
      <c r="CV1" s="169" t="inlineStr">
        <is>
          <t>Assignment</t>
        </is>
      </c>
      <c r="CW1" s="169" t="inlineStr">
        <is>
          <t>Assignment</t>
        </is>
      </c>
      <c r="CX1" s="169" t="inlineStr">
        <is>
          <t>Affidavit of Termination of Join Tenancy</t>
        </is>
      </c>
      <c r="CY1" s="169" t="inlineStr">
        <is>
          <t>Assignment</t>
        </is>
      </c>
      <c r="CZ1" s="169" t="inlineStr">
        <is>
          <t>Assignment</t>
        </is>
      </c>
      <c r="DA1" s="169" t="inlineStr">
        <is>
          <t>Mineral Deed</t>
        </is>
      </c>
      <c r="DB1" s="169" t="inlineStr">
        <is>
          <t>Mineral Deed</t>
        </is>
      </c>
      <c r="DC1" s="169" t="n"/>
      <c r="DD1" s="169" t="n"/>
      <c r="DE1" s="169" t="inlineStr">
        <is>
          <t>Partial Assignment</t>
        </is>
      </c>
      <c r="DF1" s="169" t="inlineStr">
        <is>
          <t>Partial Assignment</t>
        </is>
      </c>
      <c r="DG1" s="169" t="n"/>
      <c r="DH1" s="169" t="inlineStr">
        <is>
          <t>Assignment of Mineral Interests</t>
        </is>
      </c>
      <c r="DI1" s="169" t="n"/>
      <c r="DJ1" s="169" t="inlineStr">
        <is>
          <t>Mineral Deed</t>
        </is>
      </c>
      <c r="DK1" s="169" t="inlineStr">
        <is>
          <t>Assignment, Conveyance, Bill of Sale and Mineral Deed</t>
        </is>
      </c>
      <c r="DL1" s="169" t="n"/>
      <c r="DM1" s="169" t="inlineStr">
        <is>
          <t>Assignment</t>
        </is>
      </c>
      <c r="DN1" s="169" t="inlineStr">
        <is>
          <t>Disclaimer and Quit Clam of Interest</t>
        </is>
      </c>
      <c r="DO1" s="169" t="n"/>
      <c r="DP1" s="169" t="inlineStr">
        <is>
          <t>Amendment Oil Lease</t>
        </is>
      </c>
      <c r="DQ1" s="169" t="n"/>
      <c r="DR1" s="169" t="n"/>
      <c r="DS1" s="169" t="inlineStr">
        <is>
          <t>Assignment of ORRI</t>
        </is>
      </c>
      <c r="DT1" s="169" t="n"/>
      <c r="DU1" s="169" t="inlineStr">
        <is>
          <t>Release</t>
        </is>
      </c>
      <c r="DV1" s="169" t="inlineStr">
        <is>
          <t>Assignment and Bill of Sale</t>
        </is>
      </c>
      <c r="DW1" s="169" t="inlineStr">
        <is>
          <t>Warranty Deed</t>
        </is>
      </c>
      <c r="DX1" s="169" t="inlineStr">
        <is>
          <t>Warranty Deed</t>
        </is>
      </c>
      <c r="DY1" s="169" t="inlineStr">
        <is>
          <t>Partial Release</t>
        </is>
      </c>
      <c r="DZ1" s="169" t="inlineStr">
        <is>
          <t>Order Allowing Final Account and Decree of Distribution and Final Discharge</t>
        </is>
      </c>
      <c r="EA1" s="169" t="inlineStr">
        <is>
          <t>Mineral Deed</t>
        </is>
      </c>
      <c r="EB1" s="169" t="inlineStr">
        <is>
          <t>Purchase and Sale Agreement</t>
        </is>
      </c>
      <c r="EC1" s="169" t="inlineStr">
        <is>
          <t>Joint Tenancy Warranty Deed</t>
        </is>
      </c>
      <c r="ED1" s="169" t="inlineStr">
        <is>
          <t>Mineral Deed</t>
        </is>
      </c>
      <c r="EE1" s="169" t="inlineStr">
        <is>
          <t>Quit Claim Mineral Deed</t>
        </is>
      </c>
      <c r="EF1" s="169" t="inlineStr">
        <is>
          <t>Order Allowing Final Account, Determination of Heirs, Distribution and Discharge</t>
        </is>
      </c>
      <c r="EG1" s="169" t="inlineStr">
        <is>
          <t>Quit Claim Mineral Deed</t>
        </is>
      </c>
      <c r="EH1" s="169" t="inlineStr">
        <is>
          <t>Mineral Deed</t>
        </is>
      </c>
      <c r="EI1" s="169" t="inlineStr">
        <is>
          <t>Joint Tenancy Quit Claim Mineral Deed</t>
        </is>
      </c>
      <c r="EJ1" s="169" t="inlineStr">
        <is>
          <t>Warranty Deed</t>
        </is>
      </c>
      <c r="EK1" s="169" t="inlineStr">
        <is>
          <t>Mineral Deed</t>
        </is>
      </c>
      <c r="EL1" s="169" t="n"/>
      <c r="EM1" s="169" t="n"/>
      <c r="EN1" s="169" t="n"/>
      <c r="EO1" s="169" t="n"/>
      <c r="EP1" s="169" t="n"/>
      <c r="EQ1" s="169" t="inlineStr">
        <is>
          <t>Mineral Deed</t>
        </is>
      </c>
      <c r="ER1" s="169" t="n"/>
      <c r="ES1" s="169" t="inlineStr">
        <is>
          <t>Affidavit of Identity</t>
        </is>
      </c>
      <c r="ET1" s="169" t="inlineStr">
        <is>
          <t>Affidavit of Identity</t>
        </is>
      </c>
      <c r="EU1" s="169" t="inlineStr">
        <is>
          <t>Assignment</t>
        </is>
      </c>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7</t>
        </is>
      </c>
      <c r="B2" s="535" t="inlineStr">
        <is>
          <t>TRACT</t>
        </is>
      </c>
      <c r="C2" s="536" t="n"/>
      <c r="D2" s="537" t="inlineStr">
        <is>
          <t>NE/4 SW/4, containing 40 acres</t>
        </is>
      </c>
      <c r="E2" s="538" t="inlineStr">
        <is>
          <t>Image Number</t>
        </is>
      </c>
      <c r="F2" s="539" t="n"/>
      <c r="G2" s="111" t="n"/>
      <c r="H2" s="220" t="inlineStr">
        <is>
          <t>I-1907-002222</t>
        </is>
      </c>
      <c r="I2" s="220" t="inlineStr">
        <is>
          <t>1931-001789</t>
        </is>
      </c>
      <c r="J2" s="220" t="inlineStr">
        <is>
          <t>1918-000943</t>
        </is>
      </c>
      <c r="K2" s="220" t="inlineStr">
        <is>
          <t>1925-000406</t>
        </is>
      </c>
      <c r="L2" s="220" t="inlineStr">
        <is>
          <t>1949-000814</t>
        </is>
      </c>
      <c r="M2" s="220" t="inlineStr">
        <is>
          <t>1949-002129</t>
        </is>
      </c>
      <c r="N2" s="220" t="inlineStr">
        <is>
          <t>1949-000809</t>
        </is>
      </c>
      <c r="O2" s="220" t="inlineStr">
        <is>
          <t>1949-003394</t>
        </is>
      </c>
      <c r="P2" s="220" t="inlineStr">
        <is>
          <t>1949-001867</t>
        </is>
      </c>
      <c r="Q2" s="220" t="inlineStr">
        <is>
          <t>1950-000383</t>
        </is>
      </c>
      <c r="R2" s="220" t="inlineStr">
        <is>
          <t>1951-001020</t>
        </is>
      </c>
      <c r="S2" s="220" t="inlineStr">
        <is>
          <t>1953-000493</t>
        </is>
      </c>
      <c r="T2" s="220" t="inlineStr">
        <is>
          <t>1953-000389</t>
        </is>
      </c>
      <c r="U2" s="220" t="inlineStr">
        <is>
          <t>1953-000498</t>
        </is>
      </c>
      <c r="V2" s="220" t="inlineStr">
        <is>
          <t>1962-001141</t>
        </is>
      </c>
      <c r="W2" s="220" t="inlineStr">
        <is>
          <t>1962-001142</t>
        </is>
      </c>
      <c r="X2" s="220" t="inlineStr">
        <is>
          <t>1962-001144</t>
        </is>
      </c>
      <c r="Y2" s="220" t="inlineStr">
        <is>
          <t>1962-001145</t>
        </is>
      </c>
      <c r="Z2" s="220" t="inlineStr">
        <is>
          <t>1962-001389</t>
        </is>
      </c>
      <c r="AA2" s="220" t="inlineStr">
        <is>
          <t>1962-001390</t>
        </is>
      </c>
      <c r="AB2" s="220" t="inlineStr">
        <is>
          <t>1965-000771</t>
        </is>
      </c>
      <c r="AC2" s="220" t="inlineStr">
        <is>
          <t>1967-002816</t>
        </is>
      </c>
      <c r="AD2" s="220" t="n"/>
      <c r="AE2" s="220" t="n"/>
      <c r="AF2" s="220" t="inlineStr">
        <is>
          <t>1974-001639</t>
        </is>
      </c>
      <c r="AG2" s="220" t="inlineStr">
        <is>
          <t>1974-001700</t>
        </is>
      </c>
      <c r="AH2" s="220" t="inlineStr">
        <is>
          <t>1974-002044</t>
        </is>
      </c>
      <c r="AI2" s="220" t="inlineStr">
        <is>
          <t>1975-000869</t>
        </is>
      </c>
      <c r="AJ2" s="220" t="inlineStr">
        <is>
          <t>1981-005180</t>
        </is>
      </c>
      <c r="AK2" s="220" t="inlineStr">
        <is>
          <t>1981-005181</t>
        </is>
      </c>
      <c r="AL2" s="220" t="inlineStr">
        <is>
          <t>1982-004342</t>
        </is>
      </c>
      <c r="AM2" s="220" t="n"/>
      <c r="AN2" s="220" t="inlineStr">
        <is>
          <t>1985-001211</t>
        </is>
      </c>
      <c r="AO2" s="170" t="inlineStr">
        <is>
          <t>1985-002650</t>
        </is>
      </c>
      <c r="AP2" s="170" t="inlineStr">
        <is>
          <t>1986-000268</t>
        </is>
      </c>
      <c r="AQ2" s="170" t="inlineStr">
        <is>
          <t>1988-005620</t>
        </is>
      </c>
      <c r="AR2" s="170" t="inlineStr">
        <is>
          <t>1989-006590</t>
        </is>
      </c>
      <c r="AS2" s="170" t="inlineStr">
        <is>
          <t>1990-001925</t>
        </is>
      </c>
      <c r="AT2" s="170" t="inlineStr">
        <is>
          <t>1990-002146</t>
        </is>
      </c>
      <c r="AU2" s="170" t="inlineStr">
        <is>
          <t>1990-002451</t>
        </is>
      </c>
      <c r="AV2" s="170" t="inlineStr">
        <is>
          <t>1990-003160</t>
        </is>
      </c>
      <c r="AW2" s="170" t="inlineStr">
        <is>
          <t>1990-003924</t>
        </is>
      </c>
      <c r="AX2" s="170" t="inlineStr">
        <is>
          <t>1990-004213</t>
        </is>
      </c>
      <c r="AY2" s="170" t="inlineStr">
        <is>
          <t>1990-005042</t>
        </is>
      </c>
      <c r="AZ2" s="170" t="inlineStr">
        <is>
          <t>1990-005043</t>
        </is>
      </c>
      <c r="BA2" s="170" t="inlineStr">
        <is>
          <t>1990-006747</t>
        </is>
      </c>
      <c r="BB2" s="170" t="inlineStr">
        <is>
          <t>1992-000943</t>
        </is>
      </c>
      <c r="BC2" s="170" t="inlineStr">
        <is>
          <t>1992-001067</t>
        </is>
      </c>
      <c r="BD2" s="170" t="inlineStr">
        <is>
          <t>1992-001682</t>
        </is>
      </c>
      <c r="BE2" s="170" t="inlineStr">
        <is>
          <t>1993-000918</t>
        </is>
      </c>
      <c r="BF2" s="170" t="inlineStr">
        <is>
          <t>1994-006415</t>
        </is>
      </c>
      <c r="BG2" s="170" t="inlineStr">
        <is>
          <t>1995-003404</t>
        </is>
      </c>
      <c r="BH2" s="170" t="inlineStr">
        <is>
          <t>1996-004168</t>
        </is>
      </c>
      <c r="BI2" s="170" t="n"/>
      <c r="BJ2" s="170" t="n"/>
      <c r="BK2" s="170" t="n"/>
      <c r="BL2" s="170" t="n"/>
      <c r="BM2" s="170" t="n"/>
      <c r="BN2" s="170" t="n"/>
      <c r="BO2" s="170" t="n"/>
      <c r="BP2" s="170" t="inlineStr">
        <is>
          <t>2000-006764</t>
        </is>
      </c>
      <c r="BQ2" s="170" t="n"/>
      <c r="BR2" s="170" t="inlineStr">
        <is>
          <t>2000-007065</t>
        </is>
      </c>
      <c r="BS2" s="170" t="n"/>
      <c r="BT2" s="170" t="n"/>
      <c r="BU2" s="170" t="n"/>
      <c r="BV2" s="170" t="n"/>
      <c r="BW2" s="170" t="n"/>
      <c r="BX2" s="170" t="inlineStr">
        <is>
          <t>2000-007634</t>
        </is>
      </c>
      <c r="BY2" s="170" t="inlineStr">
        <is>
          <t>2000-007685</t>
        </is>
      </c>
      <c r="BZ2" s="170" t="n"/>
      <c r="CA2" s="170" t="n"/>
      <c r="CB2" s="170" t="inlineStr">
        <is>
          <t>2001-000957</t>
        </is>
      </c>
      <c r="CC2" s="170" t="n"/>
      <c r="CD2" s="170" t="inlineStr">
        <is>
          <t>2001-001732</t>
        </is>
      </c>
      <c r="CE2" s="170" t="inlineStr">
        <is>
          <t>2001-001414</t>
        </is>
      </c>
      <c r="CF2" s="170" t="inlineStr">
        <is>
          <t>2001-001463</t>
        </is>
      </c>
      <c r="CG2" s="170" t="inlineStr">
        <is>
          <t>2001-002342</t>
        </is>
      </c>
      <c r="CH2" s="170" t="n"/>
      <c r="CI2" s="170" t="inlineStr">
        <is>
          <t>2002-001962</t>
        </is>
      </c>
      <c r="CJ2" s="170" t="inlineStr">
        <is>
          <t>2002-004595</t>
        </is>
      </c>
      <c r="CK2" s="170" t="inlineStr">
        <is>
          <t>2003-001558</t>
        </is>
      </c>
      <c r="CL2" s="170" t="inlineStr">
        <is>
          <t>2003-001559</t>
        </is>
      </c>
      <c r="CM2" s="170" t="inlineStr">
        <is>
          <t>2003-004945</t>
        </is>
      </c>
      <c r="CN2" s="170" t="inlineStr">
        <is>
          <t>2004-000099</t>
        </is>
      </c>
      <c r="CO2" s="170" t="n"/>
      <c r="CP2" s="170" t="n"/>
      <c r="CQ2" s="170" t="n"/>
      <c r="CR2" s="170" t="n"/>
      <c r="CS2" s="170" t="n"/>
      <c r="CT2" s="170" t="n"/>
      <c r="CU2" s="170" t="inlineStr">
        <is>
          <t>2004-001426</t>
        </is>
      </c>
      <c r="CV2" s="170" t="inlineStr">
        <is>
          <t>2004-002305</t>
        </is>
      </c>
      <c r="CW2" s="170" t="inlineStr">
        <is>
          <t>2004-001493</t>
        </is>
      </c>
      <c r="CX2" s="170" t="inlineStr">
        <is>
          <t>2004-001735</t>
        </is>
      </c>
      <c r="CY2" s="170" t="inlineStr">
        <is>
          <t>2004-002933</t>
        </is>
      </c>
      <c r="CZ2" s="170" t="inlineStr">
        <is>
          <t>2004-002934</t>
        </is>
      </c>
      <c r="DA2" s="170" t="inlineStr">
        <is>
          <t>2004-005901</t>
        </is>
      </c>
      <c r="DB2" s="170" t="inlineStr">
        <is>
          <t>2005-000158</t>
        </is>
      </c>
      <c r="DC2" s="170" t="n"/>
      <c r="DD2" s="170" t="n"/>
      <c r="DE2" s="170" t="inlineStr">
        <is>
          <t>2005-003691</t>
        </is>
      </c>
      <c r="DF2" s="170" t="inlineStr">
        <is>
          <t>2005-005406</t>
        </is>
      </c>
      <c r="DG2" s="170" t="n"/>
      <c r="DH2" s="170" t="inlineStr">
        <is>
          <t>2005-006992</t>
        </is>
      </c>
      <c r="DI2" s="170" t="n"/>
      <c r="DJ2" s="170" t="inlineStr">
        <is>
          <t>2005-007551</t>
        </is>
      </c>
      <c r="DK2" s="170" t="inlineStr">
        <is>
          <t>2005-008247</t>
        </is>
      </c>
      <c r="DL2" s="170" t="n"/>
      <c r="DM2" s="170" t="inlineStr">
        <is>
          <t>2006-000770</t>
        </is>
      </c>
      <c r="DN2" s="170" t="inlineStr">
        <is>
          <t>2006-000154</t>
        </is>
      </c>
      <c r="DO2" s="170" t="n"/>
      <c r="DP2" s="170" t="inlineStr">
        <is>
          <t>2006-002590</t>
        </is>
      </c>
      <c r="DQ2" s="170" t="n"/>
      <c r="DR2" s="170" t="n"/>
      <c r="DS2" s="170" t="inlineStr">
        <is>
          <t>2007-001310</t>
        </is>
      </c>
      <c r="DT2" s="170" t="n"/>
      <c r="DU2" s="170" t="inlineStr">
        <is>
          <t>2009-000477</t>
        </is>
      </c>
      <c r="DV2" s="170" t="inlineStr">
        <is>
          <t>2009-000222</t>
        </is>
      </c>
      <c r="DW2" s="170" t="inlineStr">
        <is>
          <t>2009-002005</t>
        </is>
      </c>
      <c r="DX2" s="170" t="inlineStr">
        <is>
          <t>2009-002996</t>
        </is>
      </c>
      <c r="DY2" s="170" t="inlineStr">
        <is>
          <t>2012-001856</t>
        </is>
      </c>
      <c r="DZ2" s="170" t="inlineStr">
        <is>
          <t>2013-000518</t>
        </is>
      </c>
      <c r="EA2" s="170" t="inlineStr">
        <is>
          <t>2013-006585</t>
        </is>
      </c>
      <c r="EB2" s="170" t="inlineStr">
        <is>
          <t>2013-006584</t>
        </is>
      </c>
      <c r="EC2" s="170" t="inlineStr">
        <is>
          <t>2013-006415</t>
        </is>
      </c>
      <c r="ED2" s="170" t="inlineStr">
        <is>
          <t>2014-003089</t>
        </is>
      </c>
      <c r="EE2" s="170" t="inlineStr">
        <is>
          <t>2018-002650</t>
        </is>
      </c>
      <c r="EF2" s="170" t="inlineStr">
        <is>
          <t>2026-002877</t>
        </is>
      </c>
      <c r="EG2" s="170" t="inlineStr">
        <is>
          <t>2020-001374</t>
        </is>
      </c>
      <c r="EH2" s="170" t="inlineStr">
        <is>
          <t>2021-001068</t>
        </is>
      </c>
      <c r="EI2" s="170" t="inlineStr">
        <is>
          <t>2025-001343</t>
        </is>
      </c>
      <c r="EJ2" s="170" t="inlineStr">
        <is>
          <t>2025-003963</t>
        </is>
      </c>
      <c r="EK2" s="170" t="inlineStr">
        <is>
          <t>2026-000691</t>
        </is>
      </c>
      <c r="EL2" s="170" t="n"/>
      <c r="EM2" s="170" t="n"/>
      <c r="EN2" s="170" t="n"/>
      <c r="EO2" s="170" t="n"/>
      <c r="EP2" s="170" t="n"/>
      <c r="EQ2" s="170" t="inlineStr">
        <is>
          <t>2026-001374</t>
        </is>
      </c>
      <c r="ER2" s="170" t="n"/>
      <c r="ES2" s="170" t="inlineStr">
        <is>
          <t>2026-002510</t>
        </is>
      </c>
      <c r="ET2" s="170" t="inlineStr">
        <is>
          <t>2026-003144</t>
        </is>
      </c>
      <c r="EU2" s="170" t="inlineStr">
        <is>
          <t>1994-000003</t>
        </is>
      </c>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PAT7/374</t>
        </is>
      </c>
      <c r="J3" s="54" t="inlineStr">
        <is>
          <t>D27/477</t>
        </is>
      </c>
      <c r="K3" s="54" t="inlineStr">
        <is>
          <t>D34/104</t>
        </is>
      </c>
      <c r="L3" s="54" t="inlineStr">
        <is>
          <t>D59/251</t>
        </is>
      </c>
      <c r="M3" s="54" t="inlineStr">
        <is>
          <t>MIS25/30</t>
        </is>
      </c>
      <c r="N3" s="54" t="inlineStr">
        <is>
          <t>D59/246</t>
        </is>
      </c>
      <c r="O3" s="54" t="inlineStr">
        <is>
          <t>QCD5/92</t>
        </is>
      </c>
      <c r="P3" s="54" t="inlineStr">
        <is>
          <t>D63/97</t>
        </is>
      </c>
      <c r="Q3" s="54" t="inlineStr">
        <is>
          <t>D59/410</t>
        </is>
      </c>
      <c r="R3" s="54" t="inlineStr">
        <is>
          <t>D65/63</t>
        </is>
      </c>
      <c r="S3" s="54" t="inlineStr">
        <is>
          <t>D67/154</t>
        </is>
      </c>
      <c r="T3" s="54" t="inlineStr">
        <is>
          <t>D65/208</t>
        </is>
      </c>
      <c r="U3" s="54" t="inlineStr">
        <is>
          <t>D67/159</t>
        </is>
      </c>
      <c r="V3" s="54" t="inlineStr">
        <is>
          <t>MIS47/164</t>
        </is>
      </c>
      <c r="W3" s="54" t="inlineStr">
        <is>
          <t>MIS47/165</t>
        </is>
      </c>
      <c r="X3" s="54" t="inlineStr">
        <is>
          <t>MIS47/168</t>
        </is>
      </c>
      <c r="Y3" s="54" t="inlineStr">
        <is>
          <t>MIS47/169</t>
        </is>
      </c>
      <c r="Z3" s="54" t="inlineStr">
        <is>
          <t>MIS47/558</t>
        </is>
      </c>
      <c r="AA3" s="220" t="inlineStr">
        <is>
          <t>MIS47/559</t>
        </is>
      </c>
      <c r="AB3" s="220" t="inlineStr">
        <is>
          <t>MIS62/464</t>
        </is>
      </c>
      <c r="AC3" s="54" t="inlineStr">
        <is>
          <t>MIS86/33</t>
        </is>
      </c>
      <c r="AD3" s="54" t="n"/>
      <c r="AE3" s="54" t="n"/>
      <c r="AF3" s="54" t="inlineStr">
        <is>
          <t>163/565</t>
        </is>
      </c>
      <c r="AG3" s="54" t="inlineStr">
        <is>
          <t>164/66</t>
        </is>
      </c>
      <c r="AH3" s="54" t="inlineStr">
        <is>
          <t>165/87</t>
        </is>
      </c>
      <c r="AI3" s="54" t="inlineStr">
        <is>
          <t>176/144</t>
        </is>
      </c>
      <c r="AJ3" s="54" t="inlineStr">
        <is>
          <t>341/154</t>
        </is>
      </c>
      <c r="AK3" s="220" t="inlineStr">
        <is>
          <t>341/155</t>
        </is>
      </c>
      <c r="AL3" s="53" t="inlineStr">
        <is>
          <t>432/110</t>
        </is>
      </c>
      <c r="AM3" s="220" t="n"/>
      <c r="AN3" s="220" t="inlineStr">
        <is>
          <t>696/139</t>
        </is>
      </c>
      <c r="AO3" s="181" t="inlineStr">
        <is>
          <t>710/34</t>
        </is>
      </c>
      <c r="AP3" s="181" t="inlineStr">
        <is>
          <t>781/183</t>
        </is>
      </c>
      <c r="AQ3" s="170" t="inlineStr">
        <is>
          <t>998/204</t>
        </is>
      </c>
      <c r="AR3" s="170" t="inlineStr">
        <is>
          <t>1100/48</t>
        </is>
      </c>
      <c r="AS3" s="170" t="inlineStr">
        <is>
          <t>1126/98</t>
        </is>
      </c>
      <c r="AT3" s="170" t="inlineStr">
        <is>
          <t>1128/39</t>
        </is>
      </c>
      <c r="AU3" s="170" t="inlineStr">
        <is>
          <t>1131/89</t>
        </is>
      </c>
      <c r="AV3" s="170" t="inlineStr">
        <is>
          <t>1140/26</t>
        </is>
      </c>
      <c r="AW3" s="170" t="inlineStr">
        <is>
          <t>1147/242</t>
        </is>
      </c>
      <c r="AX3" s="170" t="inlineStr">
        <is>
          <t>1151/107</t>
        </is>
      </c>
      <c r="AY3" s="170" t="inlineStr">
        <is>
          <t>1159/224</t>
        </is>
      </c>
      <c r="AZ3" s="170" t="inlineStr">
        <is>
          <t>1159/225</t>
        </is>
      </c>
      <c r="BA3" s="170" t="inlineStr">
        <is>
          <t>1176/54</t>
        </is>
      </c>
      <c r="BB3" s="170" t="inlineStr">
        <is>
          <t>1266/19</t>
        </is>
      </c>
      <c r="BC3" s="170" t="inlineStr">
        <is>
          <t>1267/168</t>
        </is>
      </c>
      <c r="BD3" s="170" t="inlineStr">
        <is>
          <t>1274/277</t>
        </is>
      </c>
      <c r="BE3" s="170" t="inlineStr">
        <is>
          <t>1324/22</t>
        </is>
      </c>
      <c r="BF3" s="170" t="inlineStr">
        <is>
          <t>1422/9</t>
        </is>
      </c>
      <c r="BG3" s="170" t="inlineStr">
        <is>
          <t>1457/173</t>
        </is>
      </c>
      <c r="BH3" s="170" t="inlineStr">
        <is>
          <t>1493/40</t>
        </is>
      </c>
      <c r="BI3" s="170" t="n"/>
      <c r="BJ3" s="170" t="n"/>
      <c r="BK3" s="170" t="n"/>
      <c r="BL3" s="170" t="n"/>
      <c r="BM3" s="170" t="n"/>
      <c r="BN3" s="170" t="n"/>
      <c r="BO3" s="170" t="n"/>
      <c r="BP3" s="170" t="inlineStr">
        <is>
          <t>1604/455</t>
        </is>
      </c>
      <c r="BQ3" s="170" t="n"/>
      <c r="BR3" s="170" t="inlineStr">
        <is>
          <t>1608/38</t>
        </is>
      </c>
      <c r="BS3" s="170" t="n"/>
      <c r="BT3" s="170" t="n"/>
      <c r="BU3" s="170" t="n"/>
      <c r="BV3" s="170" t="n"/>
      <c r="BW3" s="170" t="n"/>
      <c r="BX3" s="170" t="inlineStr">
        <is>
          <t>1611/352</t>
        </is>
      </c>
      <c r="BY3" s="170" t="inlineStr">
        <is>
          <t>1611/503</t>
        </is>
      </c>
      <c r="BZ3" s="170" t="n"/>
      <c r="CA3" s="170" t="n"/>
      <c r="CB3" s="170" t="inlineStr">
        <is>
          <t>1637/26</t>
        </is>
      </c>
      <c r="CC3" s="170" t="n"/>
      <c r="CD3" s="170" t="inlineStr">
        <is>
          <t>1641/31</t>
        </is>
      </c>
      <c r="CE3" s="170" t="inlineStr">
        <is>
          <t>1639/206</t>
        </is>
      </c>
      <c r="CF3" s="170" t="inlineStr">
        <is>
          <t>1639/426</t>
        </is>
      </c>
      <c r="CG3" s="170" t="inlineStr">
        <is>
          <t>1643/389</t>
        </is>
      </c>
      <c r="CH3" s="170" t="n"/>
      <c r="CI3" s="170" t="inlineStr">
        <is>
          <t>1677/515</t>
        </is>
      </c>
      <c r="CJ3" s="170" t="inlineStr">
        <is>
          <t>1695/238</t>
        </is>
      </c>
      <c r="CK3" s="170" t="inlineStr">
        <is>
          <t>1706/384</t>
        </is>
      </c>
      <c r="CL3" s="170" t="inlineStr">
        <is>
          <t>1706/386</t>
        </is>
      </c>
      <c r="CM3" s="170" t="inlineStr">
        <is>
          <t>1724/582</t>
        </is>
      </c>
      <c r="CN3" s="170" t="inlineStr">
        <is>
          <t>1734/14</t>
        </is>
      </c>
      <c r="CO3" s="170" t="n"/>
      <c r="CP3" s="170" t="n"/>
      <c r="CQ3" s="170" t="n"/>
      <c r="CR3" s="170" t="n"/>
      <c r="CS3" s="170" t="n"/>
      <c r="CT3" s="170" t="n"/>
      <c r="CU3" s="170" t="inlineStr">
        <is>
          <t>1740/424</t>
        </is>
      </c>
      <c r="CV3" s="170" t="inlineStr">
        <is>
          <t>1745/48</t>
        </is>
      </c>
      <c r="CW3" s="170" t="inlineStr">
        <is>
          <t>1741/70</t>
        </is>
      </c>
      <c r="CX3" s="170" t="inlineStr">
        <is>
          <t>1742/271</t>
        </is>
      </c>
      <c r="CY3" s="170" t="inlineStr">
        <is>
          <t>1749/49</t>
        </is>
      </c>
      <c r="CZ3" s="170" t="inlineStr">
        <is>
          <t>1749/51</t>
        </is>
      </c>
      <c r="DA3" s="170" t="inlineStr">
        <is>
          <t>1765/306</t>
        </is>
      </c>
      <c r="DB3" s="170" t="inlineStr">
        <is>
          <t>1774/309</t>
        </is>
      </c>
      <c r="DC3" s="170" t="n"/>
      <c r="DD3" s="170" t="n"/>
      <c r="DE3" s="170" t="inlineStr">
        <is>
          <t>1791/515</t>
        </is>
      </c>
      <c r="DF3" s="170" t="inlineStr">
        <is>
          <t>1802/107</t>
        </is>
      </c>
      <c r="DG3" s="170" t="n"/>
      <c r="DH3" s="170" t="inlineStr">
        <is>
          <t>1809/264</t>
        </is>
      </c>
      <c r="DI3" s="170" t="n"/>
      <c r="DJ3" s="170" t="inlineStr">
        <is>
          <t>1812/138</t>
        </is>
      </c>
      <c r="DK3" s="170" t="inlineStr">
        <is>
          <t>1815/247</t>
        </is>
      </c>
      <c r="DL3" s="170" t="n"/>
      <c r="DM3" s="170" t="inlineStr">
        <is>
          <t>1822/21</t>
        </is>
      </c>
      <c r="DN3" s="170" t="inlineStr">
        <is>
          <t>1819/157</t>
        </is>
      </c>
      <c r="DO3" s="170" t="n"/>
      <c r="DP3" s="170" t="inlineStr">
        <is>
          <t>1831/229</t>
        </is>
      </c>
      <c r="DQ3" s="170" t="n"/>
      <c r="DR3" s="170" t="n"/>
      <c r="DS3" s="170" t="inlineStr">
        <is>
          <t>1869/164</t>
        </is>
      </c>
      <c r="DT3" s="170" t="n"/>
      <c r="DU3" s="170" t="inlineStr">
        <is>
          <t>1946/513</t>
        </is>
      </c>
      <c r="DV3" s="170" t="inlineStr">
        <is>
          <t>1945/410</t>
        </is>
      </c>
      <c r="DW3" s="170" t="inlineStr">
        <is>
          <t>1956/354</t>
        </is>
      </c>
      <c r="DX3" s="170" t="inlineStr">
        <is>
          <t>1964/97</t>
        </is>
      </c>
      <c r="DY3" s="170" t="inlineStr">
        <is>
          <t>2121/77</t>
        </is>
      </c>
      <c r="DZ3" s="170" t="inlineStr">
        <is>
          <t>2177/33</t>
        </is>
      </c>
      <c r="EA3" s="170" t="inlineStr">
        <is>
          <t>2224/382</t>
        </is>
      </c>
      <c r="EB3" s="170" t="inlineStr">
        <is>
          <t>2224/378</t>
        </is>
      </c>
      <c r="EC3" s="170" t="inlineStr">
        <is>
          <t>2222/536</t>
        </is>
      </c>
      <c r="ED3" s="170" t="inlineStr">
        <is>
          <t>2251/529</t>
        </is>
      </c>
      <c r="EE3" s="170" t="inlineStr">
        <is>
          <t>2406/228</t>
        </is>
      </c>
      <c r="EF3" s="170" t="inlineStr">
        <is>
          <t>2700/395</t>
        </is>
      </c>
      <c r="EG3" s="170" t="inlineStr">
        <is>
          <t>2450/598</t>
        </is>
      </c>
      <c r="EH3" s="170" t="inlineStr">
        <is>
          <t>2467/476</t>
        </is>
      </c>
      <c r="EI3" s="170" t="inlineStr">
        <is>
          <t>2617/228</t>
        </is>
      </c>
      <c r="EJ3" s="170" t="inlineStr">
        <is>
          <t>2638/58</t>
        </is>
      </c>
      <c r="EK3" s="170" t="inlineStr">
        <is>
          <t>2682/183</t>
        </is>
      </c>
      <c r="EL3" s="170" t="n"/>
      <c r="EM3" s="170" t="n"/>
      <c r="EN3" s="170" t="n"/>
      <c r="EO3" s="170" t="n"/>
      <c r="EP3" s="170" t="n"/>
      <c r="EQ3" s="170" t="inlineStr">
        <is>
          <t>2688/409</t>
        </is>
      </c>
      <c r="ER3" s="170" t="n"/>
      <c r="ES3" s="170" t="inlineStr">
        <is>
          <t>2697/519</t>
        </is>
      </c>
      <c r="ET3" s="170" t="inlineStr">
        <is>
          <t>2702/504</t>
        </is>
      </c>
      <c r="EU3" s="170" t="inlineStr">
        <is>
          <t>1423/89</t>
        </is>
      </c>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2917</v>
      </c>
      <c r="J4" s="53" t="n">
        <v>6568</v>
      </c>
      <c r="K4" s="53" t="n">
        <v>9137</v>
      </c>
      <c r="L4" s="53" t="n">
        <v>17950</v>
      </c>
      <c r="M4" s="53" t="n">
        <v>17986</v>
      </c>
      <c r="N4" s="53" t="n">
        <v>18015</v>
      </c>
      <c r="O4" s="53" t="n">
        <v>18056</v>
      </c>
      <c r="P4" s="53" t="n">
        <v>18170</v>
      </c>
      <c r="Q4" s="53" t="n">
        <v>18420</v>
      </c>
      <c r="R4" s="53" t="n">
        <v>18680</v>
      </c>
      <c r="S4" s="53" t="n">
        <v>19396</v>
      </c>
      <c r="T4" s="53" t="n">
        <v>19414</v>
      </c>
      <c r="U4" s="53" t="n">
        <v>19414</v>
      </c>
      <c r="V4" s="53" t="n">
        <v>22906</v>
      </c>
      <c r="W4" s="53" t="n">
        <v>22906</v>
      </c>
      <c r="X4" s="53" t="n">
        <v>22906</v>
      </c>
      <c r="Y4" s="53" t="n">
        <v>22906</v>
      </c>
      <c r="Z4" s="53" t="n">
        <v>22938</v>
      </c>
      <c r="AA4" s="222" t="n">
        <v>22938</v>
      </c>
      <c r="AB4" s="222" t="n">
        <v>23890</v>
      </c>
      <c r="AC4" s="53" t="n">
        <v>24709</v>
      </c>
      <c r="AD4" s="53" t="n"/>
      <c r="AE4" s="53" t="n"/>
      <c r="AF4" s="53" t="n">
        <v>27163</v>
      </c>
      <c r="AG4" s="53" t="n">
        <v>27171</v>
      </c>
      <c r="AH4" s="53" t="n">
        <v>27207</v>
      </c>
      <c r="AI4" s="53" t="n">
        <v>27481</v>
      </c>
      <c r="AJ4" s="53" t="n">
        <v>29714</v>
      </c>
      <c r="AK4" s="222" t="n">
        <v>29714</v>
      </c>
      <c r="AL4" s="53" t="n">
        <v>30054</v>
      </c>
      <c r="AM4" s="222" t="n"/>
      <c r="AN4" s="222" t="n">
        <v>31100</v>
      </c>
      <c r="AO4" s="182" t="n">
        <v>31158</v>
      </c>
      <c r="AP4" s="182" t="n">
        <v>31418</v>
      </c>
      <c r="AQ4" s="171" t="n">
        <v>32405</v>
      </c>
      <c r="AR4" s="171" t="n">
        <v>32847</v>
      </c>
      <c r="AS4" s="171" t="n">
        <v>32969</v>
      </c>
      <c r="AT4" s="171" t="n">
        <v>32975</v>
      </c>
      <c r="AU4" s="171" t="n">
        <v>32993</v>
      </c>
      <c r="AV4" s="171" t="n">
        <v>33025</v>
      </c>
      <c r="AW4" s="171" t="n">
        <v>33059</v>
      </c>
      <c r="AX4" s="171" t="n">
        <v>33073</v>
      </c>
      <c r="AY4" s="171" t="n">
        <v>33114</v>
      </c>
      <c r="AZ4" s="171" t="n">
        <v>33114</v>
      </c>
      <c r="BA4" s="171" t="n">
        <v>33205</v>
      </c>
      <c r="BB4" s="171" t="n">
        <v>33682</v>
      </c>
      <c r="BC4" s="171" t="n">
        <v>33693</v>
      </c>
      <c r="BD4" s="171" t="n">
        <v>33737</v>
      </c>
      <c r="BE4" s="171" t="n">
        <v>34032</v>
      </c>
      <c r="BF4" s="171" t="n">
        <v>34542</v>
      </c>
      <c r="BG4" s="171" t="n">
        <v>34754</v>
      </c>
      <c r="BH4" s="171" t="n">
        <v>35199</v>
      </c>
      <c r="BI4" s="171" t="n"/>
      <c r="BJ4" s="171" t="n"/>
      <c r="BK4" s="171" t="n"/>
      <c r="BL4" s="171" t="n"/>
      <c r="BM4" s="171" t="n"/>
      <c r="BN4" s="171" t="n"/>
      <c r="BO4" s="171" t="n"/>
      <c r="BP4" s="171" t="n">
        <v>36572</v>
      </c>
      <c r="BQ4" s="171" t="n"/>
      <c r="BR4" s="171" t="n">
        <v>36600</v>
      </c>
      <c r="BS4" s="171" t="n"/>
      <c r="BT4" s="171" t="n"/>
      <c r="BU4" s="171" t="n"/>
      <c r="BV4" s="171" t="n"/>
      <c r="BW4" s="171" t="n"/>
      <c r="BX4" s="171" t="n">
        <v>36643</v>
      </c>
      <c r="BY4" s="171" t="n">
        <v>36647</v>
      </c>
      <c r="BZ4" s="171" t="n"/>
      <c r="CA4" s="171" t="n"/>
      <c r="CB4" s="171" t="n">
        <v>36922</v>
      </c>
      <c r="CC4" s="171" t="n"/>
      <c r="CD4" s="171" t="n">
        <v>36948</v>
      </c>
      <c r="CE4" s="171" t="n">
        <v>36957</v>
      </c>
      <c r="CF4" s="171" t="n">
        <v>36963</v>
      </c>
      <c r="CG4" s="171" t="n">
        <v>37014</v>
      </c>
      <c r="CH4" s="171" t="n"/>
      <c r="CI4" s="171" t="n">
        <v>37385</v>
      </c>
      <c r="CJ4" s="171" t="n">
        <v>37586</v>
      </c>
      <c r="CK4" s="171" t="n">
        <v>37710</v>
      </c>
      <c r="CL4" s="171" t="n">
        <v>37711</v>
      </c>
      <c r="CM4" s="171" t="n">
        <v>37848</v>
      </c>
      <c r="CN4" s="171" t="n">
        <v>37990</v>
      </c>
      <c r="CO4" s="171" t="n"/>
      <c r="CP4" s="171" t="n"/>
      <c r="CQ4" s="171" t="n"/>
      <c r="CR4" s="171" t="n"/>
      <c r="CS4" s="171" t="n"/>
      <c r="CT4" s="171" t="n"/>
      <c r="CU4" s="171" t="n">
        <v>38022</v>
      </c>
      <c r="CV4" s="171" t="n">
        <v>38029</v>
      </c>
      <c r="CW4" s="171" t="n">
        <v>38041</v>
      </c>
      <c r="CX4" s="171" t="n">
        <v>38078</v>
      </c>
      <c r="CY4" s="171" t="n">
        <v>38127</v>
      </c>
      <c r="CZ4" s="171" t="n">
        <v>38139</v>
      </c>
      <c r="DA4" s="171" t="n">
        <v>38275</v>
      </c>
      <c r="DB4" s="171" t="n">
        <v>38362</v>
      </c>
      <c r="DC4" s="171" t="n"/>
      <c r="DD4" s="171" t="n"/>
      <c r="DE4" s="171" t="n">
        <v>38497</v>
      </c>
      <c r="DF4" s="171" t="n">
        <v>38523</v>
      </c>
      <c r="DG4" s="171" t="n"/>
      <c r="DH4" s="171" t="n">
        <v>38629</v>
      </c>
      <c r="DI4" s="171" t="n"/>
      <c r="DJ4" s="171" t="n">
        <v>38650</v>
      </c>
      <c r="DK4" s="171" t="n">
        <v>38657</v>
      </c>
      <c r="DL4" s="171" t="n"/>
      <c r="DM4" s="171" t="n">
        <v>38686</v>
      </c>
      <c r="DN4" s="171" t="n">
        <v>38699</v>
      </c>
      <c r="DO4" s="171" t="n"/>
      <c r="DP4" s="171" t="n">
        <v>38748</v>
      </c>
      <c r="DQ4" s="171" t="n"/>
      <c r="DR4" s="171" t="n"/>
      <c r="DS4" s="171" t="n">
        <v>38861</v>
      </c>
      <c r="DT4" s="171" t="n"/>
      <c r="DU4" s="171" t="n">
        <v>39811</v>
      </c>
      <c r="DV4" s="171" t="n">
        <v>39815</v>
      </c>
      <c r="DW4" s="171" t="n">
        <v>39939</v>
      </c>
      <c r="DX4" s="171" t="n">
        <v>40009</v>
      </c>
      <c r="DY4" s="171" t="n">
        <v>40973</v>
      </c>
      <c r="DZ4" s="171" t="n">
        <v>41290</v>
      </c>
      <c r="EA4" s="171" t="n">
        <v>41486</v>
      </c>
      <c r="EB4" s="171" t="n">
        <v>41526</v>
      </c>
      <c r="EC4" s="171" t="n">
        <v>41582</v>
      </c>
      <c r="ED4" s="171" t="n">
        <v>41746</v>
      </c>
      <c r="EE4" s="171" t="n">
        <v>43363</v>
      </c>
      <c r="EF4" s="171" t="n">
        <v>43500</v>
      </c>
      <c r="EG4" s="171" t="n">
        <v>44071</v>
      </c>
      <c r="EH4" s="171" t="n">
        <v>44348</v>
      </c>
      <c r="EI4" s="171" t="n">
        <v>45726</v>
      </c>
      <c r="EJ4" s="171" t="n">
        <v>45726</v>
      </c>
      <c r="EK4" s="171" t="n">
        <v>45971</v>
      </c>
      <c r="EL4" s="171" t="n"/>
      <c r="EM4" s="171" t="n"/>
      <c r="EN4" s="171" t="n"/>
      <c r="EO4" s="171" t="n"/>
      <c r="EP4" s="171" t="n"/>
      <c r="EQ4" s="171" t="n">
        <v>46084</v>
      </c>
      <c r="ER4" s="171" t="n"/>
      <c r="ES4" s="171" t="n">
        <v>46125</v>
      </c>
      <c r="ET4" s="171" t="n">
        <v>46170</v>
      </c>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340 ac</t>
        </is>
      </c>
      <c r="M5" s="220" t="inlineStr">
        <is>
          <t>Cert of non development</t>
        </is>
      </c>
      <c r="N5" s="220" t="inlineStr">
        <is>
          <t>115.34 ac</t>
        </is>
      </c>
      <c r="O5" s="220" t="inlineStr">
        <is>
          <t>ARTI (all interest)</t>
        </is>
      </c>
      <c r="P5" s="220" t="inlineStr">
        <is>
          <t>20/260</t>
        </is>
      </c>
      <c r="Q5" s="220" t="inlineStr">
        <is>
          <t>ARTI (all interest)</t>
        </is>
      </c>
      <c r="R5" s="220" t="inlineStr">
        <is>
          <t>Surface only, Grantors reserve all minerals</t>
        </is>
      </c>
      <c r="S5" s="220" t="inlineStr">
        <is>
          <t>ARTI (all interest)</t>
        </is>
      </c>
      <c r="T5" s="220" t="inlineStr">
        <is>
          <t>Surface Rights</t>
        </is>
      </c>
      <c r="U5" s="220" t="inlineStr">
        <is>
          <t>75 ac</t>
        </is>
      </c>
      <c r="V5" s="220" t="inlineStr">
        <is>
          <t>75/115</t>
        </is>
      </c>
      <c r="W5" s="220" t="inlineStr">
        <is>
          <t>1/24</t>
        </is>
      </c>
      <c r="X5" s="220" t="inlineStr">
        <is>
          <t>Surface only</t>
        </is>
      </c>
      <c r="Y5" s="220" t="inlineStr">
        <is>
          <t>55/115</t>
        </is>
      </c>
      <c r="Z5" s="220" t="inlineStr">
        <is>
          <t>10/115</t>
        </is>
      </c>
      <c r="AA5" s="220" t="inlineStr">
        <is>
          <t>10/115</t>
        </is>
      </c>
      <c r="AB5" s="220" t="inlineStr">
        <is>
          <t>Surface only</t>
        </is>
      </c>
      <c r="AC5" s="220" t="inlineStr">
        <is>
          <t>75.34 ac</t>
        </is>
      </c>
      <c r="AD5" s="220" t="n"/>
      <c r="AE5" s="220" t="n"/>
      <c r="AF5" s="220" t="inlineStr">
        <is>
          <t>60/260</t>
        </is>
      </c>
      <c r="AG5" s="220" t="inlineStr">
        <is>
          <t>40/260</t>
        </is>
      </c>
      <c r="AH5" s="220" t="inlineStr">
        <is>
          <t>10/260</t>
        </is>
      </c>
      <c r="AI5" s="220" t="inlineStr">
        <is>
          <t>10/260</t>
        </is>
      </c>
      <c r="AJ5" s="220" t="inlineStr">
        <is>
          <t>10/260</t>
        </is>
      </c>
      <c r="AK5" s="220" t="inlineStr">
        <is>
          <t>5/260</t>
        </is>
      </c>
      <c r="AL5" s="220" t="inlineStr">
        <is>
          <t>40/260</t>
        </is>
      </c>
      <c r="AM5" s="220" t="n"/>
      <c r="AN5" s="220" t="inlineStr">
        <is>
          <t>ARTI (all interest)</t>
        </is>
      </c>
      <c r="AO5" s="170" t="inlineStr">
        <is>
          <t>ARTI (all interest)</t>
        </is>
      </c>
      <c r="AP5" s="170" t="inlineStr">
        <is>
          <t>2/260</t>
        </is>
      </c>
      <c r="AQ5" s="170" t="inlineStr">
        <is>
          <t>ARTI (all interest)</t>
        </is>
      </c>
      <c r="AR5" s="170" t="inlineStr">
        <is>
          <t>10/260</t>
        </is>
      </c>
      <c r="AS5" s="170" t="inlineStr">
        <is>
          <t>ARTI (all interest)</t>
        </is>
      </c>
      <c r="AT5" s="170" t="inlineStr">
        <is>
          <t>ARTI (all interest)</t>
        </is>
      </c>
      <c r="AU5" s="170" t="inlineStr">
        <is>
          <t>ARTI (all interest)</t>
        </is>
      </c>
      <c r="AV5" s="170" t="inlineStr">
        <is>
          <t>ARTI (all interest)</t>
        </is>
      </c>
      <c r="AW5" s="170" t="inlineStr">
        <is>
          <t>ARTI (all interest)</t>
        </is>
      </c>
      <c r="AX5" s="170" t="inlineStr">
        <is>
          <t>ARTI (all interest)</t>
        </is>
      </c>
      <c r="AY5" s="170" t="inlineStr">
        <is>
          <t>5/260</t>
        </is>
      </c>
      <c r="AZ5" s="170" t="inlineStr">
        <is>
          <t>ARTI (all interest)</t>
        </is>
      </c>
      <c r="BA5" s="170" t="inlineStr">
        <is>
          <t>1/26</t>
        </is>
      </c>
      <c r="BB5" s="170" t="inlineStr">
        <is>
          <t>See instrument</t>
        </is>
      </c>
      <c r="BC5" s="170" t="inlineStr">
        <is>
          <t>ARTI (all interest)</t>
        </is>
      </c>
      <c r="BD5" s="170" t="inlineStr">
        <is>
          <t>1/260</t>
        </is>
      </c>
      <c r="BE5" s="170" t="inlineStr">
        <is>
          <t>10 ac</t>
        </is>
      </c>
      <c r="BF5" s="170" t="inlineStr">
        <is>
          <t>2/260</t>
        </is>
      </c>
      <c r="BG5" s="170" t="inlineStr">
        <is>
          <t>ARTI (all interest)</t>
        </is>
      </c>
      <c r="BH5" s="170" t="inlineStr">
        <is>
          <t>Leasehold</t>
        </is>
      </c>
      <c r="BI5" s="170" t="n"/>
      <c r="BJ5" s="170" t="n"/>
      <c r="BK5" s="170" t="n"/>
      <c r="BL5" s="170" t="n"/>
      <c r="BM5" s="170" t="n"/>
      <c r="BN5" s="170" t="n"/>
      <c r="BO5" s="170" t="n"/>
      <c r="BP5" s="170" t="inlineStr">
        <is>
          <t>ARTI (all interest)</t>
        </is>
      </c>
      <c r="BQ5" s="170" t="n"/>
      <c r="BR5" s="170" t="inlineStr">
        <is>
          <t>ARTI (all interest)</t>
        </is>
      </c>
      <c r="BS5" s="170" t="n"/>
      <c r="BT5" s="170" t="n"/>
      <c r="BU5" s="170" t="n"/>
      <c r="BV5" s="170" t="n"/>
      <c r="BW5" s="170" t="n"/>
      <c r="BX5" s="170" t="inlineStr">
        <is>
          <t>Leasehold</t>
        </is>
      </c>
      <c r="BY5" s="170" t="inlineStr">
        <is>
          <t>ARTI (all interest)</t>
        </is>
      </c>
      <c r="BZ5" s="170" t="n"/>
      <c r="CA5" s="170" t="n"/>
      <c r="CB5" s="170" t="inlineStr">
        <is>
          <t>ARTI (all interest)</t>
        </is>
      </c>
      <c r="CC5" s="170" t="n"/>
      <c r="CD5" s="170" t="inlineStr">
        <is>
          <t>Leasehold</t>
        </is>
      </c>
      <c r="CE5" s="170" t="inlineStr">
        <is>
          <t>ARTI (all interest)</t>
        </is>
      </c>
      <c r="CF5" s="170" t="inlineStr">
        <is>
          <t>ARTI (all interest)</t>
        </is>
      </c>
      <c r="CG5" s="170" t="inlineStr">
        <is>
          <t>6.92307 ac</t>
        </is>
      </c>
      <c r="CH5" s="170" t="n"/>
      <c r="CI5" s="170" t="inlineStr">
        <is>
          <t>Leasehold</t>
        </is>
      </c>
      <c r="CJ5" s="170" t="inlineStr">
        <is>
          <t>1.386 ac</t>
        </is>
      </c>
      <c r="CK5" s="170" t="inlineStr">
        <is>
          <t>Leasehold</t>
        </is>
      </c>
      <c r="CL5" s="170" t="inlineStr">
        <is>
          <t>Leasehold</t>
        </is>
      </c>
      <c r="CM5" s="170" t="inlineStr">
        <is>
          <t>ARTI (all interest)</t>
        </is>
      </c>
      <c r="CN5" s="170" t="inlineStr">
        <is>
          <t>ARTI (all interest)</t>
        </is>
      </c>
      <c r="CO5" s="170" t="n"/>
      <c r="CP5" s="170" t="n"/>
      <c r="CQ5" s="170" t="n"/>
      <c r="CR5" s="170" t="n"/>
      <c r="CS5" s="170" t="n"/>
      <c r="CT5" s="170" t="n"/>
      <c r="CU5" s="170" t="inlineStr">
        <is>
          <t>ARTI (all interest)</t>
        </is>
      </c>
      <c r="CV5" s="170" t="inlineStr">
        <is>
          <t>ARTI (all interest)</t>
        </is>
      </c>
      <c r="CW5" s="170" t="inlineStr">
        <is>
          <t>ARTI (all interest)</t>
        </is>
      </c>
      <c r="CX5" s="170" t="inlineStr">
        <is>
          <t>Undivided 2.30769 mineral-acre interest; Anna R. Britton / Anna Leta Britton decedent chain.</t>
        </is>
      </c>
      <c r="CY5" s="170" t="inlineStr">
        <is>
          <t>ARTI (all interest)</t>
        </is>
      </c>
      <c r="CZ5" s="170" t="inlineStr">
        <is>
          <t>ARTI (all interest)</t>
        </is>
      </c>
      <c r="DA5" s="170" t="inlineStr">
        <is>
          <t>ARTI (all interest)</t>
        </is>
      </c>
      <c r="DB5" s="170" t="inlineStr">
        <is>
          <t>69 ac</t>
        </is>
      </c>
      <c r="DC5" s="170" t="n"/>
      <c r="DD5" s="170" t="n"/>
      <c r="DE5" s="170" t="inlineStr">
        <is>
          <t>Leasehold</t>
        </is>
      </c>
      <c r="DF5" s="170" t="inlineStr">
        <is>
          <t>Leasehold</t>
        </is>
      </c>
      <c r="DG5" s="170" t="n"/>
      <c r="DH5" s="170" t="inlineStr">
        <is>
          <t>It is the intention of Assignor to convey, and Assignor does hereby convey, all of Assignor's interest</t>
        </is>
      </c>
      <c r="DI5" s="170" t="n"/>
      <c r="DJ5" s="170" t="inlineStr">
        <is>
          <t>ARTI (all interest)</t>
        </is>
      </c>
      <c r="DK5" s="170" t="inlineStr">
        <is>
          <t>ARTI (all interest)</t>
        </is>
      </c>
      <c r="DL5" s="170" t="n"/>
      <c r="DM5" s="170" t="inlineStr">
        <is>
          <t>Leasehold</t>
        </is>
      </c>
      <c r="DN5" s="170" t="inlineStr">
        <is>
          <t>Disclaiming Party makes no claim to mineral interests</t>
        </is>
      </c>
      <c r="DO5" s="170" t="n"/>
      <c r="DP5" s="170" t="inlineStr">
        <is>
          <t>Leasehold</t>
        </is>
      </c>
      <c r="DQ5" s="170" t="n"/>
      <c r="DR5" s="170" t="n"/>
      <c r="DS5" s="170" t="inlineStr">
        <is>
          <t>ORRI</t>
        </is>
      </c>
      <c r="DT5" s="170" t="n"/>
      <c r="DU5" s="170" t="inlineStr">
        <is>
          <t>Mtg release</t>
        </is>
      </c>
      <c r="DV5" s="170" t="inlineStr">
        <is>
          <t>ARTI (all interest)</t>
        </is>
      </c>
      <c r="DW5" s="170" t="inlineStr">
        <is>
          <t>307.42 ac</t>
        </is>
      </c>
      <c r="DX5" s="170" t="inlineStr">
        <is>
          <t>307.42 ac</t>
        </is>
      </c>
      <c r="DY5" s="170" t="inlineStr">
        <is>
          <t>Mortgage partial release</t>
        </is>
      </c>
      <c r="DZ5" s="170" t="inlineStr">
        <is>
          <t>1/8</t>
        </is>
      </c>
      <c r="EA5" s="170" t="inlineStr">
        <is>
          <t>2.00 ac</t>
        </is>
      </c>
      <c r="EB5" s="170" t="inlineStr">
        <is>
          <t>See instrument</t>
        </is>
      </c>
      <c r="EC5" s="170" t="inlineStr">
        <is>
          <t>307.42 ac</t>
        </is>
      </c>
      <c r="ED5" s="170" t="inlineStr">
        <is>
          <t>110/260</t>
        </is>
      </c>
      <c r="EE5" s="170" t="inlineStr">
        <is>
          <t>110/260</t>
        </is>
      </c>
      <c r="EF5" s="170" t="inlineStr">
        <is>
          <t>ARTI (all interest)</t>
        </is>
      </c>
      <c r="EG5" s="170" t="inlineStr">
        <is>
          <t>ARTI (all interest)</t>
        </is>
      </c>
      <c r="EH5" s="170" t="inlineStr">
        <is>
          <t>ARTI (all interest)</t>
        </is>
      </c>
      <c r="EI5" s="170" t="inlineStr">
        <is>
          <t>ARTI (all interest)</t>
        </is>
      </c>
      <c r="EJ5" s="170" t="inlineStr">
        <is>
          <t>307.42 ac</t>
        </is>
      </c>
      <c r="EK5" s="170" t="inlineStr">
        <is>
          <t>ARTI (all interest)</t>
        </is>
      </c>
      <c r="EL5" s="170" t="n"/>
      <c r="EM5" s="170" t="n"/>
      <c r="EN5" s="170" t="n"/>
      <c r="EO5" s="170" t="n"/>
      <c r="EP5" s="170" t="n"/>
      <c r="EQ5" s="170" t="inlineStr">
        <is>
          <t>1.25 ac</t>
        </is>
      </c>
      <c r="ER5" s="170" t="n"/>
      <c r="ES5" s="170" t="inlineStr">
        <is>
          <t>Keri L. Tucker identity affidavit.</t>
        </is>
      </c>
      <c r="ET5" s="170" t="inlineStr">
        <is>
          <t>Gena W Moore identity affidavit.</t>
        </is>
      </c>
      <c r="EU5" s="170" t="inlineStr">
        <is>
          <t>Leasehold</t>
        </is>
      </c>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41 leases — see OGL register / Runsheet</t>
        </is>
      </c>
      <c r="D6" s="554" t="inlineStr">
        <is>
          <t>Tract 7</t>
        </is>
      </c>
      <c r="E6" s="553">
        <f>SUBTOTAL(9,E9:E203)</f>
        <v/>
      </c>
      <c r="F6" s="295" t="inlineStr">
        <is>
          <t>SURFACE</t>
        </is>
      </c>
      <c r="G6" s="112" t="n"/>
      <c r="H6" s="112" t="n"/>
      <c r="I6" s="112">
        <f>IF(I7=0,"","RECHECK")</f>
        <v/>
      </c>
      <c r="J6" s="112" t="n"/>
      <c r="K6" s="112" t="n"/>
      <c r="L6" s="487" t="inlineStr">
        <is>
          <t>SOURCE REVIEW</t>
        </is>
      </c>
      <c r="M6" s="112">
        <f>IF(M7=0,"","RECHECK")</f>
        <v/>
      </c>
      <c r="N6" s="112">
        <f>IF(N7=0,"","RECHECK")</f>
        <v/>
      </c>
      <c r="O6" s="487" t="inlineStr">
        <is>
          <t>SOURCE REVIEW</t>
        </is>
      </c>
      <c r="P6" s="487" t="inlineStr">
        <is>
          <t>SOURCE REVIEW</t>
        </is>
      </c>
      <c r="Q6" s="487" t="inlineStr">
        <is>
          <t>SOURCE REVIEW</t>
        </is>
      </c>
      <c r="R6" s="112">
        <f>IF(R7=0,"","RECHECK")</f>
        <v/>
      </c>
      <c r="S6" s="487" t="inlineStr">
        <is>
          <t>SOURCE REVIEW</t>
        </is>
      </c>
      <c r="T6" s="112">
        <f>IF(T7=0,"","RECHECK")</f>
        <v/>
      </c>
      <c r="U6" s="487" t="inlineStr">
        <is>
          <t>SOURCE REVIEW</t>
        </is>
      </c>
      <c r="V6" s="487" t="inlineStr">
        <is>
          <t>SOURCE REVIEW</t>
        </is>
      </c>
      <c r="W6" s="112">
        <f>IF(W7=0,"","RECHECK")</f>
        <v/>
      </c>
      <c r="X6" s="112">
        <f>IF(X7=0,"","RECHECK")</f>
        <v/>
      </c>
      <c r="Y6" s="487" t="inlineStr">
        <is>
          <t>SOURCE REVIEW</t>
        </is>
      </c>
      <c r="Z6" s="487" t="inlineStr">
        <is>
          <t>SOURCE REVIEW</t>
        </is>
      </c>
      <c r="AA6" s="487" t="inlineStr">
        <is>
          <t>SOURCE REVIEW</t>
        </is>
      </c>
      <c r="AB6" s="112">
        <f>IF(AB7=0,"","RECHECK")</f>
        <v/>
      </c>
      <c r="AC6" s="487" t="inlineStr">
        <is>
          <t>SOURCE REVIEW</t>
        </is>
      </c>
      <c r="AD6" s="172">
        <f>IF(AD7=0,"","RECHECK")</f>
        <v/>
      </c>
      <c r="AE6" s="172">
        <f>IF(AE7=0,"","RECHECK")</f>
        <v/>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112">
        <f>IF(AM7=0,"","RECHECK")</f>
        <v/>
      </c>
      <c r="AN6" s="172">
        <f>IF(AN7=0,"","RECHECK")</f>
        <v/>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487" t="inlineStr">
        <is>
          <t>SOURCE REVIEW</t>
        </is>
      </c>
      <c r="BZ6" s="112">
        <f>IF(BZ7=0,"","RECHECK")</f>
        <v/>
      </c>
      <c r="CA6" s="112">
        <f>IF(CA7=0,"","RECHECK")</f>
        <v/>
      </c>
      <c r="CB6" s="487" t="inlineStr">
        <is>
          <t>SOURCE REVIEW</t>
        </is>
      </c>
      <c r="CC6" s="112">
        <f>IF(CC7=0,"","RECHECK")</f>
        <v/>
      </c>
      <c r="CD6" s="112">
        <f>IF(CD7=0,"","RECHECK")</f>
        <v/>
      </c>
      <c r="CE6" s="487" t="inlineStr">
        <is>
          <t>SOURCE REVIEW</t>
        </is>
      </c>
      <c r="CF6" s="487" t="inlineStr">
        <is>
          <t>SOURCE REVIEW</t>
        </is>
      </c>
      <c r="CG6" s="487" t="inlineStr">
        <is>
          <t>SOURCE REVIEW</t>
        </is>
      </c>
      <c r="CH6" s="112">
        <f>IF(CH7=0,"","RECHECK")</f>
        <v/>
      </c>
      <c r="CI6" s="112">
        <f>IF(CI7=0,"","RECHECK")</f>
        <v/>
      </c>
      <c r="CJ6" s="487" t="inlineStr">
        <is>
          <t>SOURCE REVIEW</t>
        </is>
      </c>
      <c r="CK6" s="112">
        <f>IF(CK7=0,"","RECHECK")</f>
        <v/>
      </c>
      <c r="CL6" s="112">
        <f>IF(CL7=0,"","RECHECK")</f>
        <v/>
      </c>
      <c r="CM6" s="487" t="inlineStr">
        <is>
          <t>SOURCE REVIEW</t>
        </is>
      </c>
      <c r="CN6" s="487" t="inlineStr">
        <is>
          <t>SOURCE REVIEW</t>
        </is>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487" t="inlineStr">
        <is>
          <t>SOURCE REVIEW</t>
        </is>
      </c>
      <c r="CY6" s="112">
        <f>IF(CY7=0,"","RECHECK")</f>
        <v/>
      </c>
      <c r="CZ6" s="112">
        <f>IF(CZ7=0,"","RECHECK")</f>
        <v/>
      </c>
      <c r="DA6" s="487" t="inlineStr">
        <is>
          <t>SOURCE REVIEW</t>
        </is>
      </c>
      <c r="DB6" s="487" t="inlineStr">
        <is>
          <t>SOURCE REVIEW</t>
        </is>
      </c>
      <c r="DC6" s="112">
        <f>IF(DC7=0,"","RECHECK")</f>
        <v/>
      </c>
      <c r="DD6" s="112">
        <f>IF(DD7=0,"","RECHECK")</f>
        <v/>
      </c>
      <c r="DE6" s="487" t="inlineStr">
        <is>
          <t>SOURCE REVIEW</t>
        </is>
      </c>
      <c r="DF6" s="487" t="inlineStr">
        <is>
          <t>SOURCE REVIEW</t>
        </is>
      </c>
      <c r="DG6" s="112">
        <f>IF(DG7=0,"","RECHECK")</f>
        <v/>
      </c>
      <c r="DH6" s="487" t="inlineStr">
        <is>
          <t>SOURCE REVIEW</t>
        </is>
      </c>
      <c r="DI6" s="112">
        <f>IF(DI7=0,"","RECHECK")</f>
        <v/>
      </c>
      <c r="DJ6" s="487" t="inlineStr">
        <is>
          <t>SOURCE REVIEW</t>
        </is>
      </c>
      <c r="DK6" s="487" t="inlineStr">
        <is>
          <t>SOURCE REVIEW</t>
        </is>
      </c>
      <c r="DL6" s="112">
        <f>IF(DL7=0,"","RECHECK")</f>
        <v/>
      </c>
      <c r="DM6" s="112">
        <f>IF(DM7=0,"","RECHECK")</f>
        <v/>
      </c>
      <c r="DN6" s="487" t="inlineStr">
        <is>
          <t>SOURCE REVIEW</t>
        </is>
      </c>
      <c r="DO6" s="112">
        <f>IF(DO7=0,"","RECHECK")</f>
        <v/>
      </c>
      <c r="DP6" s="487" t="inlineStr">
        <is>
          <t>SOURCE REVIEW</t>
        </is>
      </c>
      <c r="DQ6" s="112">
        <f>IF(DQ7=0,"","RECHECK")</f>
        <v/>
      </c>
      <c r="DR6" s="112">
        <f>IF(DR7=0,"","RECHECK")</f>
        <v/>
      </c>
      <c r="DS6" s="487" t="inlineStr">
        <is>
          <t>SOURCE REVIEW</t>
        </is>
      </c>
      <c r="DT6" s="112">
        <f>IF(DT7=0,"","RECHECK")</f>
        <v/>
      </c>
      <c r="DU6" s="112">
        <f>IF(DU7=0,"","RECHECK")</f>
        <v/>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112">
        <f>IF(EC7=0,"","RECHECK")</f>
        <v/>
      </c>
      <c r="ED6" s="487" t="inlineStr">
        <is>
          <t>SOURCE REVIEW</t>
        </is>
      </c>
      <c r="EE6" s="487" t="inlineStr">
        <is>
          <t>SOURCE REVIEW</t>
        </is>
      </c>
      <c r="EF6" s="487" t="inlineStr">
        <is>
          <t>SOURCE REVIEW</t>
        </is>
      </c>
      <c r="EG6" s="487" t="inlineStr">
        <is>
          <t>SOURCE REVIEW</t>
        </is>
      </c>
      <c r="EH6" s="487" t="inlineStr">
        <is>
          <t>SOURCE REVIEW</t>
        </is>
      </c>
      <c r="EI6" s="487" t="inlineStr">
        <is>
          <t>SOURCE REVIEW</t>
        </is>
      </c>
      <c r="EJ6" s="487" t="inlineStr">
        <is>
          <t>SOURCE REVIEW</t>
        </is>
      </c>
      <c r="EK6" s="487" t="inlineStr">
        <is>
          <t>SOURCE REVIEW</t>
        </is>
      </c>
      <c r="EL6" s="112">
        <f>IF(EL7=0,"","RECHECK")</f>
        <v/>
      </c>
      <c r="EM6" s="112">
        <f>IF(EM7=0,"","RECHECK")</f>
        <v/>
      </c>
      <c r="EN6" s="112">
        <f>IF(EN7=0,"","RECHECK")</f>
        <v/>
      </c>
      <c r="EO6" s="112">
        <f>IF(EO7=0,"","RECHECK")</f>
        <v/>
      </c>
      <c r="EP6" s="112">
        <f>IF(EP7=0,"","RECHECK")</f>
        <v/>
      </c>
      <c r="EQ6" s="487" t="inlineStr">
        <is>
          <t>SOURCE REVIEW</t>
        </is>
      </c>
      <c r="ER6" s="112">
        <f>IF(ER7=0,"","RECHECK")</f>
        <v/>
      </c>
      <c r="ES6" s="487" t="inlineStr">
        <is>
          <t>SOURCE REVIEW</t>
        </is>
      </c>
      <c r="ET6" s="487" t="inlineStr">
        <is>
          <t>SOURCE REVIEW</t>
        </is>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v>-1</v>
      </c>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v>1</v>
      </c>
      <c r="J11" s="570" t="n">
        <v>-1</v>
      </c>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v>1</v>
      </c>
      <c r="K12" s="570" t="n">
        <v>-1</v>
      </c>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v>1</v>
      </c>
      <c r="L13" s="570" t="n"/>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40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inlineStr">
        <is>
          <t>Doc Type</t>
        </is>
      </c>
      <c r="E160" s="84">
        <f>SUM(G160:HP160)</f>
        <v/>
      </c>
      <c r="H160" s="568" t="inlineStr">
        <is>
          <t>Grantor Flow</t>
        </is>
      </c>
      <c r="I160" s="568" t="inlineStr">
        <is>
          <t>Grantee Flow</t>
        </is>
      </c>
      <c r="J160" s="568" t="inlineStr">
        <is>
          <t>Tract Tag</t>
        </is>
      </c>
      <c r="K160" s="568" t="inlineStr">
        <is>
          <t>Legal (excerpt)</t>
        </is>
      </c>
      <c r="AD160" s="574" t="n"/>
      <c r="AE160" s="574" t="n"/>
      <c r="AF160" s="574" t="n"/>
      <c r="AG160" s="574" t="n"/>
      <c r="AH160" s="574" t="n"/>
      <c r="AI160" s="574" t="n"/>
      <c r="AJ160" s="574" t="n"/>
      <c r="AL160" s="574" t="n"/>
      <c r="AN160" s="574" t="n"/>
    </row>
    <row r="161" customFormat="1" s="568">
      <c r="A161" s="86" t="n"/>
      <c r="B161" s="85" t="n"/>
      <c r="C161" s="84">
        <f>E161*D$5</f>
        <v/>
      </c>
      <c r="D161" s="68" t="inlineStr">
        <is>
          <t>Agreement</t>
        </is>
      </c>
      <c r="E161" s="84">
        <f>SUM(G161:HP161)</f>
        <v/>
      </c>
      <c r="H161" s="568" t="n">
        <v>-0.25</v>
      </c>
      <c r="I161" s="568" t="n">
        <v>0.25</v>
      </c>
      <c r="J161" s="568" t="inlineStr">
        <is>
          <t>All</t>
        </is>
      </c>
      <c r="K161" s="568" t="inlineStr">
        <is>
          <t>31-12N-24W</t>
        </is>
      </c>
      <c r="AD161" s="574" t="n"/>
      <c r="AE161" s="574" t="n"/>
      <c r="AF161" s="574" t="n"/>
      <c r="AG161" s="574" t="n"/>
      <c r="AH161" s="574" t="n"/>
      <c r="AI161" s="574" t="n"/>
      <c r="AJ161" s="574" t="n"/>
      <c r="AL161" s="574" t="n"/>
      <c r="AN161" s="574" t="n"/>
    </row>
    <row r="162" customFormat="1" s="568">
      <c r="A162" s="86" t="n"/>
      <c r="B162" s="85" t="n"/>
      <c r="C162" s="84">
        <f>E162*D$5</f>
        <v/>
      </c>
      <c r="D162" s="68" t="inlineStr">
        <is>
          <t>Agreement</t>
        </is>
      </c>
      <c r="E162" s="84">
        <f>SUM(G162:HP162)</f>
        <v/>
      </c>
      <c r="H162" s="568" t="n">
        <v>-0.25</v>
      </c>
      <c r="I162" s="568" t="n">
        <v>0.25</v>
      </c>
      <c r="J162" s="568" t="inlineStr">
        <is>
          <t>All</t>
        </is>
      </c>
      <c r="K162" s="568" t="inlineStr">
        <is>
          <t>31-12N-24W, aol</t>
        </is>
      </c>
      <c r="AD162" s="574" t="n"/>
      <c r="AE162" s="574" t="n"/>
      <c r="AF162" s="574" t="n"/>
      <c r="AG162" s="574" t="n"/>
      <c r="AH162" s="574" t="n"/>
      <c r="AI162" s="574" t="n"/>
      <c r="AJ162" s="574" t="n"/>
      <c r="AL162" s="574" t="n"/>
      <c r="AN162" s="574" t="n"/>
    </row>
    <row r="163" customFormat="1" s="568">
      <c r="A163" s="86" t="n"/>
      <c r="B163" s="85" t="n"/>
      <c r="C163" s="84">
        <f>E163*D$5</f>
        <v/>
      </c>
      <c r="D163" s="68" t="inlineStr">
        <is>
          <t>Assignment of Oil and Gas Royalty</t>
        </is>
      </c>
      <c r="E163" s="84">
        <f>SUM(G163:HP163)</f>
        <v/>
      </c>
      <c r="H163" s="568" t="n">
        <v>-0.125</v>
      </c>
      <c r="I163" s="568" t="n">
        <v>0.125</v>
      </c>
      <c r="J163" s="568" t="inlineStr">
        <is>
          <t>All</t>
        </is>
      </c>
      <c r="K163" s="568" t="inlineStr">
        <is>
          <t>31-12N-24W</t>
        </is>
      </c>
      <c r="AD163" s="574" t="n"/>
      <c r="AE163" s="574" t="n"/>
      <c r="AF163" s="574" t="n"/>
      <c r="AG163" s="574" t="n"/>
      <c r="AH163" s="574" t="n"/>
      <c r="AI163" s="574" t="n"/>
      <c r="AJ163" s="574" t="n"/>
      <c r="AL163" s="574" t="n"/>
      <c r="AN163" s="574" t="n"/>
    </row>
    <row r="164" customFormat="1" s="568">
      <c r="A164" s="86" t="n"/>
      <c r="B164" s="85" t="n"/>
      <c r="C164" s="84">
        <f>E164*D$5</f>
        <v/>
      </c>
      <c r="D164" s="68" t="inlineStr">
        <is>
          <t>Assignment of Oil and Gas Royalty</t>
        </is>
      </c>
      <c r="E164" s="84">
        <f>SUM(G164:HP164)</f>
        <v/>
      </c>
      <c r="H164" s="568" t="n">
        <v>-0.125</v>
      </c>
      <c r="I164" s="568" t="n">
        <v>0.125</v>
      </c>
      <c r="J164" s="568" t="inlineStr">
        <is>
          <t>All</t>
        </is>
      </c>
      <c r="K164" s="568" t="inlineStr">
        <is>
          <t>31-12N-24W</t>
        </is>
      </c>
      <c r="AD164" s="574" t="n"/>
      <c r="AE164" s="574" t="n"/>
      <c r="AF164" s="574" t="n"/>
      <c r="AG164" s="574" t="n"/>
      <c r="AH164" s="574" t="n"/>
      <c r="AI164" s="574" t="n"/>
      <c r="AJ164" s="574" t="n"/>
      <c r="AL164" s="574" t="n"/>
      <c r="AN164" s="574" t="n"/>
    </row>
    <row r="165" customFormat="1" s="568">
      <c r="A165" s="86" t="n"/>
      <c r="B165" s="85" t="n"/>
      <c r="C165" s="84">
        <f>E165*D$5</f>
        <v/>
      </c>
      <c r="D165" s="68" t="inlineStr">
        <is>
          <t>Contract</t>
        </is>
      </c>
      <c r="E165" s="84">
        <f>SUM(G165:HP165)</f>
        <v/>
      </c>
      <c r="H165" s="568" t="n">
        <v>-0.5</v>
      </c>
      <c r="I165" s="568" t="n">
        <v>0.5</v>
      </c>
      <c r="J165" s="568" t="inlineStr">
        <is>
          <t>All</t>
        </is>
      </c>
      <c r="K165" s="568" t="inlineStr">
        <is>
          <t>31-12N-24W, aol</t>
        </is>
      </c>
      <c r="AD165" s="574" t="n"/>
      <c r="AE165" s="574" t="n"/>
      <c r="AF165" s="574" t="n"/>
      <c r="AG165" s="574" t="n"/>
      <c r="AH165" s="574" t="n"/>
      <c r="AI165" s="574" t="n"/>
      <c r="AJ165" s="574" t="n"/>
      <c r="AL165" s="574" t="n"/>
      <c r="AN165" s="574" t="n"/>
    </row>
    <row r="166" customFormat="1" s="568">
      <c r="A166" s="86" t="n"/>
      <c r="B166" s="85" t="n"/>
      <c r="C166" s="84">
        <f>E166*D$5</f>
        <v/>
      </c>
      <c r="D166" s="68" t="inlineStr">
        <is>
          <t>Mineral Deed</t>
        </is>
      </c>
      <c r="E166" s="84">
        <f>SUM(G166:HP166)</f>
        <v/>
      </c>
      <c r="H166" s="568" t="n">
        <v>-0.07692300000000001</v>
      </c>
      <c r="I166" s="568" t="n">
        <v>0.07692300000000001</v>
      </c>
      <c r="J166" s="568" t="inlineStr">
        <is>
          <t>3, 4, 7, 8</t>
        </is>
      </c>
      <c r="K166" s="568" t="inlineStr">
        <is>
          <t>E/2 NW/4 etc</t>
        </is>
      </c>
      <c r="AD166" s="574" t="n"/>
      <c r="AE166" s="574" t="n"/>
      <c r="AF166" s="574" t="n"/>
      <c r="AG166" s="574" t="n"/>
      <c r="AH166" s="574" t="n"/>
      <c r="AI166" s="574" t="n"/>
      <c r="AJ166" s="574" t="n"/>
      <c r="AL166" s="574" t="n"/>
      <c r="AN166" s="574" t="n"/>
    </row>
    <row r="167" ht="25.5" customFormat="1" customHeight="1" s="568">
      <c r="A167" s="86" t="n"/>
      <c r="B167" s="85" t="n"/>
      <c r="C167" s="84">
        <f>E167*D$5</f>
        <v/>
      </c>
      <c r="D167" s="68" t="inlineStr">
        <is>
          <t>Designation of Properties Transferred by Merger Magnolia Petroleum Company to Socony Mobil Oil Company, INC.</t>
        </is>
      </c>
      <c r="E167" s="84">
        <f>SUM(G167:HP167)</f>
        <v/>
      </c>
      <c r="H167" s="568" t="n">
        <v>-0.3</v>
      </c>
      <c r="I167" s="568" t="n">
        <v>0.3</v>
      </c>
      <c r="J167" s="568" t="inlineStr">
        <is>
          <t>All</t>
        </is>
      </c>
      <c r="K167" s="568" t="inlineStr">
        <is>
          <t>31-12N-24W, aol</t>
        </is>
      </c>
      <c r="AD167" s="574" t="n"/>
      <c r="AE167" s="574" t="n"/>
      <c r="AF167" s="574" t="n"/>
      <c r="AG167" s="574" t="n"/>
      <c r="AH167" s="574" t="n"/>
      <c r="AI167" s="574" t="n"/>
      <c r="AJ167" s="574" t="n"/>
      <c r="AL167" s="574" t="n"/>
      <c r="AN167" s="574" t="n"/>
    </row>
    <row r="168" customFormat="1" s="568">
      <c r="A168" s="86" t="n"/>
      <c r="B168" s="85" t="n"/>
      <c r="C168" s="84">
        <f>E168*D$5</f>
        <v/>
      </c>
      <c r="D168" s="68" t="inlineStr">
        <is>
          <t>Mineral Deed</t>
        </is>
      </c>
      <c r="E168" s="84">
        <f>SUM(G168:HP168)</f>
        <v/>
      </c>
      <c r="H168" s="568" t="n">
        <v>-0.652174</v>
      </c>
      <c r="I168" s="568" t="n">
        <v>0.652174</v>
      </c>
      <c r="J168" s="568" t="inlineStr">
        <is>
          <t>5, 6, 7</t>
        </is>
      </c>
      <c r="K168" s="568" t="inlineStr">
        <is>
          <t>Lot 4 etc</t>
        </is>
      </c>
      <c r="AD168" s="574" t="n"/>
      <c r="AE168" s="574" t="n"/>
      <c r="AF168" s="574" t="n"/>
      <c r="AG168" s="574" t="n"/>
      <c r="AH168" s="574" t="n"/>
      <c r="AI168" s="574" t="n"/>
      <c r="AJ168" s="574" t="n"/>
      <c r="AL168" s="574" t="n"/>
      <c r="AN168" s="574" t="n"/>
    </row>
    <row r="169" customFormat="1" s="568">
      <c r="A169" s="86" t="n"/>
      <c r="B169" s="85" t="n"/>
      <c r="C169" s="84">
        <f>E169*D$5</f>
        <v/>
      </c>
      <c r="D169" s="68" t="inlineStr">
        <is>
          <t>Warranty Deed</t>
        </is>
      </c>
      <c r="E169" s="84">
        <f>SUM(G169:HP169)</f>
        <v/>
      </c>
      <c r="H169" s="568" t="n">
        <v>-0.041667</v>
      </c>
      <c r="I169" s="568" t="n">
        <v>0.041667</v>
      </c>
      <c r="J169" s="568" t="inlineStr">
        <is>
          <t>3, 4, 5, 6, 7, 8</t>
        </is>
      </c>
      <c r="K169" s="568" t="inlineStr">
        <is>
          <t>E/2 NW/4 etc</t>
        </is>
      </c>
      <c r="AD169" s="574" t="n"/>
      <c r="AE169" s="574" t="n"/>
      <c r="AF169" s="574" t="n"/>
      <c r="AG169" s="574" t="n"/>
      <c r="AH169" s="574" t="n"/>
      <c r="AI169" s="574" t="n"/>
      <c r="AJ169" s="574" t="n"/>
      <c r="AL169" s="574" t="n"/>
      <c r="AN169" s="574" t="n"/>
    </row>
    <row r="170" customFormat="1" s="568">
      <c r="A170" s="86" t="n"/>
      <c r="B170" s="85" t="n"/>
      <c r="C170" s="84">
        <f>E170*D$5</f>
        <v/>
      </c>
      <c r="D170" s="68" t="inlineStr">
        <is>
          <t>Mineral Deed</t>
        </is>
      </c>
      <c r="E170" s="84">
        <f>SUM(G170:HP170)</f>
        <v/>
      </c>
      <c r="H170" s="568" t="n">
        <v>-0.478261</v>
      </c>
      <c r="I170" s="568" t="n">
        <v>0.478261</v>
      </c>
      <c r="J170" s="568" t="inlineStr">
        <is>
          <t>5, 6, 7</t>
        </is>
      </c>
      <c r="K170" s="568" t="inlineStr">
        <is>
          <t>Lot 4 etc</t>
        </is>
      </c>
      <c r="AD170" s="574" t="n"/>
      <c r="AE170" s="574" t="n"/>
      <c r="AF170" s="574" t="n"/>
      <c r="AG170" s="574" t="n"/>
      <c r="AH170" s="574" t="n"/>
      <c r="AI170" s="574" t="n"/>
      <c r="AJ170" s="574" t="n"/>
      <c r="AL170" s="574" t="n"/>
      <c r="AN170" s="574" t="n"/>
    </row>
    <row r="171" customFormat="1" s="568">
      <c r="A171" s="86" t="n"/>
      <c r="B171" s="85" t="n"/>
      <c r="C171" s="84">
        <f>E171*D$5</f>
        <v/>
      </c>
      <c r="D171" s="68" t="inlineStr">
        <is>
          <t>Mineral Deed</t>
        </is>
      </c>
      <c r="E171" s="84">
        <f>SUM(G171:HP171)</f>
        <v/>
      </c>
      <c r="H171" s="568" t="n">
        <v>-0.08695700000000001</v>
      </c>
      <c r="I171" s="568" t="n">
        <v>0.08695700000000001</v>
      </c>
      <c r="J171" s="568" t="inlineStr">
        <is>
          <t>5, 6, 7</t>
        </is>
      </c>
      <c r="K171" s="568" t="inlineStr">
        <is>
          <t>Lot 4 etc</t>
        </is>
      </c>
      <c r="AD171" s="574" t="n"/>
      <c r="AE171" s="574" t="n"/>
      <c r="AF171" s="574" t="n"/>
      <c r="AG171" s="574" t="n"/>
      <c r="AH171" s="574" t="n"/>
      <c r="AI171" s="574" t="n"/>
      <c r="AJ171" s="574" t="n"/>
      <c r="AL171" s="574" t="n"/>
      <c r="AN171" s="574" t="n"/>
    </row>
    <row r="172" customFormat="1" s="568">
      <c r="A172" s="86" t="n"/>
      <c r="B172" s="85" t="n"/>
      <c r="C172" s="84">
        <f>E172*D$5</f>
        <v/>
      </c>
      <c r="D172" s="68" t="inlineStr">
        <is>
          <t>Mineral Deed</t>
        </is>
      </c>
      <c r="E172" s="84">
        <f>SUM(G172:HP172)</f>
        <v/>
      </c>
      <c r="H172" s="568" t="n">
        <v>-0.08695700000000001</v>
      </c>
      <c r="I172" s="568" t="n">
        <v>0.08695700000000001</v>
      </c>
      <c r="J172" s="568" t="inlineStr">
        <is>
          <t>5, 6, 7</t>
        </is>
      </c>
      <c r="K172" s="568" t="inlineStr">
        <is>
          <t>Lot 4 etc</t>
        </is>
      </c>
      <c r="AD172" s="574" t="n"/>
      <c r="AE172" s="574" t="n"/>
      <c r="AF172" s="574" t="n"/>
      <c r="AG172" s="574" t="n"/>
      <c r="AH172" s="574" t="n"/>
      <c r="AI172" s="574" t="n"/>
      <c r="AJ172" s="574" t="n"/>
      <c r="AL172" s="574" t="n"/>
      <c r="AN172" s="574" t="n"/>
    </row>
    <row r="173" customFormat="1" s="568">
      <c r="A173" s="86" t="n"/>
      <c r="B173" s="85" t="n"/>
      <c r="C173" s="84">
        <f>E173*D$5</f>
        <v/>
      </c>
      <c r="D173" s="68" t="inlineStr">
        <is>
          <t>Order</t>
        </is>
      </c>
      <c r="E173" s="84">
        <f>SUM(G173:HP173)</f>
        <v/>
      </c>
      <c r="H173" s="568" t="n">
        <v>-0.03125</v>
      </c>
      <c r="I173" s="568" t="n">
        <v>0.03125</v>
      </c>
      <c r="J173" s="568" t="inlineStr">
        <is>
          <t>All</t>
        </is>
      </c>
      <c r="K173" s="568" t="inlineStr">
        <is>
          <t>31-12N-24W, aol</t>
        </is>
      </c>
      <c r="AD173" s="574" t="n"/>
      <c r="AE173" s="574" t="n"/>
      <c r="AF173" s="574" t="n"/>
      <c r="AG173" s="574" t="n"/>
      <c r="AH173" s="574" t="n"/>
      <c r="AI173" s="574" t="n"/>
      <c r="AJ173" s="574" t="n"/>
      <c r="AL173" s="574" t="n"/>
      <c r="AN173" s="574" t="n"/>
    </row>
    <row r="174" customFormat="1" s="568">
      <c r="A174" s="86" t="n"/>
      <c r="B174" s="85" t="n"/>
      <c r="C174" s="84">
        <f>E174*D$5</f>
        <v/>
      </c>
      <c r="D174" s="68" t="inlineStr">
        <is>
          <t>Mineral Deed</t>
        </is>
      </c>
      <c r="E174" s="84">
        <f>SUM(G174:HP174)</f>
        <v/>
      </c>
      <c r="H174" s="568" t="n">
        <v>-0.230769</v>
      </c>
      <c r="I174" s="568" t="n">
        <v>0.230769</v>
      </c>
      <c r="J174" s="568" t="inlineStr">
        <is>
          <t>3, 4, 7, 8</t>
        </is>
      </c>
      <c r="K174" s="568" t="inlineStr">
        <is>
          <t>E/2 NW/4 etc</t>
        </is>
      </c>
      <c r="AD174" s="574" t="n"/>
      <c r="AE174" s="574" t="n"/>
      <c r="AF174" s="574" t="n"/>
      <c r="AG174" s="574" t="n"/>
      <c r="AH174" s="574" t="n"/>
      <c r="AI174" s="574" t="n"/>
      <c r="AJ174" s="574" t="n"/>
      <c r="AL174" s="574" t="n"/>
      <c r="AN174" s="574" t="n"/>
    </row>
    <row r="175" customFormat="1" s="568">
      <c r="A175" s="86" t="n"/>
      <c r="B175" s="85" t="n"/>
      <c r="C175" s="84">
        <f>E175*D$5</f>
        <v/>
      </c>
      <c r="D175" s="68" t="inlineStr">
        <is>
          <t>Mineral Deed</t>
        </is>
      </c>
      <c r="E175" s="84">
        <f>SUM(G175:HP175)</f>
        <v/>
      </c>
      <c r="H175" s="568" t="n">
        <v>-0.153846</v>
      </c>
      <c r="I175" s="568" t="n">
        <v>0.153846</v>
      </c>
      <c r="J175" s="568" t="inlineStr">
        <is>
          <t>3, 4, 7, 8</t>
        </is>
      </c>
      <c r="K175" s="568" t="inlineStr">
        <is>
          <t>E/2 NW/4 etc</t>
        </is>
      </c>
      <c r="AD175" s="574" t="n"/>
      <c r="AE175" s="574" t="n"/>
      <c r="AF175" s="574" t="n"/>
      <c r="AG175" s="574" t="n"/>
      <c r="AH175" s="574" t="n"/>
      <c r="AI175" s="574" t="n"/>
      <c r="AJ175" s="574" t="n"/>
      <c r="AL175" s="574" t="n"/>
      <c r="AN175" s="574" t="n"/>
    </row>
    <row r="176" customFormat="1" s="568">
      <c r="A176" s="86" t="n"/>
      <c r="B176" s="85" t="n"/>
      <c r="C176" s="84">
        <f>E176*D$5</f>
        <v/>
      </c>
      <c r="D176" s="68" t="inlineStr">
        <is>
          <t>Mineral Deed</t>
        </is>
      </c>
      <c r="E176" s="84">
        <f>SUM(G176:HP176)</f>
        <v/>
      </c>
      <c r="H176" s="568" t="n">
        <v>-0.038462</v>
      </c>
      <c r="I176" s="568" t="n">
        <v>0.038462</v>
      </c>
      <c r="J176" s="568" t="inlineStr">
        <is>
          <t>3, 4, 7, 8</t>
        </is>
      </c>
      <c r="K176" s="568" t="inlineStr">
        <is>
          <t>E/2 NW/4 etc</t>
        </is>
      </c>
      <c r="AD176" s="574" t="n"/>
      <c r="AE176" s="574" t="n"/>
      <c r="AF176" s="574" t="n"/>
      <c r="AG176" s="574" t="n"/>
      <c r="AH176" s="574" t="n"/>
      <c r="AI176" s="574" t="n"/>
      <c r="AJ176" s="574" t="n"/>
      <c r="AL176" s="574" t="n"/>
      <c r="AN176" s="574" t="n"/>
    </row>
    <row r="177" customFormat="1" s="568">
      <c r="A177" s="86" t="n"/>
      <c r="B177" s="85" t="n"/>
      <c r="C177" s="84">
        <f>E177*D$5</f>
        <v/>
      </c>
      <c r="D177" s="68" t="inlineStr">
        <is>
          <t>Mineral Deed</t>
        </is>
      </c>
      <c r="E177" s="84">
        <f>SUM(G177:HP177)</f>
        <v/>
      </c>
      <c r="H177" s="568" t="n">
        <v>-0.038462</v>
      </c>
      <c r="I177" s="568" t="n">
        <v>0.038462</v>
      </c>
      <c r="J177" s="568" t="inlineStr">
        <is>
          <t>3, 4, 7, 8</t>
        </is>
      </c>
      <c r="K177" s="568" t="inlineStr">
        <is>
          <t>E/2 NW/4 etc</t>
        </is>
      </c>
      <c r="AD177" s="574" t="n"/>
      <c r="AE177" s="574" t="n"/>
      <c r="AF177" s="574" t="n"/>
      <c r="AG177" s="574" t="n"/>
      <c r="AH177" s="574" t="n"/>
      <c r="AI177" s="574" t="n"/>
      <c r="AJ177" s="574" t="n"/>
      <c r="AL177" s="574" t="n"/>
      <c r="AN177" s="574" t="n"/>
    </row>
    <row r="178" customFormat="1" s="568">
      <c r="A178" s="86" t="n"/>
      <c r="B178" s="85" t="n"/>
      <c r="C178" s="84">
        <f>E178*D$5</f>
        <v/>
      </c>
      <c r="D178" s="68" t="inlineStr">
        <is>
          <t>Mineral Deed</t>
        </is>
      </c>
      <c r="E178" s="84">
        <f>SUM(G178:HP178)</f>
        <v/>
      </c>
      <c r="H178" s="568" t="n">
        <v>-0.038462</v>
      </c>
      <c r="I178" s="568" t="n">
        <v>0.038462</v>
      </c>
      <c r="J178" s="568" t="inlineStr">
        <is>
          <t>3, 4, 7, 8</t>
        </is>
      </c>
      <c r="K178" s="568" t="inlineStr">
        <is>
          <t>E/2 NW/4 etc</t>
        </is>
      </c>
      <c r="AD178" s="574" t="n"/>
      <c r="AE178" s="574" t="n"/>
      <c r="AF178" s="574" t="n"/>
      <c r="AG178" s="574" t="n"/>
      <c r="AH178" s="574" t="n"/>
      <c r="AI178" s="574" t="n"/>
      <c r="AJ178" s="574" t="n"/>
      <c r="AL178" s="574" t="n"/>
      <c r="AN178" s="574" t="n"/>
    </row>
    <row r="179" customFormat="1" s="568">
      <c r="A179" s="86" t="n"/>
      <c r="B179" s="85" t="n"/>
      <c r="C179" s="84">
        <f>E179*D$5</f>
        <v/>
      </c>
      <c r="D179" s="68" t="inlineStr">
        <is>
          <t>Mineral Deed</t>
        </is>
      </c>
      <c r="E179" s="84">
        <f>SUM(G179:HP179)</f>
        <v/>
      </c>
      <c r="H179" s="568" t="n">
        <v>-0.019231</v>
      </c>
      <c r="I179" s="568" t="n">
        <v>0.019231</v>
      </c>
      <c r="J179" s="568" t="inlineStr">
        <is>
          <t>3, 4, 7, 8</t>
        </is>
      </c>
      <c r="K179" s="568" t="inlineStr">
        <is>
          <t>E/2 NW/4 etc</t>
        </is>
      </c>
      <c r="AD179" s="574" t="n"/>
      <c r="AE179" s="574" t="n"/>
      <c r="AF179" s="574" t="n"/>
      <c r="AG179" s="574" t="n"/>
      <c r="AH179" s="574" t="n"/>
      <c r="AI179" s="574" t="n"/>
      <c r="AJ179" s="574" t="n"/>
      <c r="AL179" s="574" t="n"/>
      <c r="AN179" s="574" t="n"/>
    </row>
    <row r="180" customFormat="1" s="568">
      <c r="A180" s="86" t="n"/>
      <c r="B180" s="85" t="n"/>
      <c r="C180" s="84">
        <f>E180*D$5</f>
        <v/>
      </c>
      <c r="D180" s="68" t="inlineStr">
        <is>
          <t>Mineral Deed</t>
        </is>
      </c>
      <c r="E180" s="84">
        <f>SUM(G180:HP180)</f>
        <v/>
      </c>
      <c r="H180" s="568" t="n">
        <v>-0.153846</v>
      </c>
      <c r="I180" s="568" t="n">
        <v>0.153846</v>
      </c>
      <c r="J180" s="568" t="inlineStr">
        <is>
          <t>3, 4, 7, 8</t>
        </is>
      </c>
      <c r="K180" s="568" t="inlineStr">
        <is>
          <t>E/2 NW/4 etc</t>
        </is>
      </c>
      <c r="AD180" s="574" t="n"/>
      <c r="AE180" s="574" t="n"/>
      <c r="AF180" s="574" t="n"/>
      <c r="AG180" s="574" t="n"/>
      <c r="AH180" s="574" t="n"/>
      <c r="AI180" s="574" t="n"/>
      <c r="AJ180" s="574" t="n"/>
      <c r="AL180" s="574" t="n"/>
      <c r="AN180" s="574" t="n"/>
    </row>
    <row r="181" customFormat="1" s="568">
      <c r="A181" s="86" t="n"/>
      <c r="B181" s="85" t="n"/>
      <c r="C181" s="84">
        <f>E181*D$5</f>
        <v/>
      </c>
      <c r="D181" s="68" t="inlineStr">
        <is>
          <t>Mineral Deed</t>
        </is>
      </c>
      <c r="E181" s="84">
        <f>SUM(G181:HP181)</f>
        <v/>
      </c>
      <c r="H181" s="568" t="n">
        <v>-0.007692</v>
      </c>
      <c r="I181" s="568" t="n">
        <v>0.007692</v>
      </c>
      <c r="J181" s="568" t="inlineStr">
        <is>
          <t>3, 4, 7, 8</t>
        </is>
      </c>
      <c r="K181" s="568" t="inlineStr">
        <is>
          <t>E/2 NW/4 etc</t>
        </is>
      </c>
      <c r="AD181" s="574" t="n"/>
      <c r="AE181" s="574" t="n"/>
      <c r="AF181" s="574" t="n"/>
      <c r="AG181" s="574" t="n"/>
      <c r="AH181" s="574" t="n"/>
      <c r="AI181" s="574" t="n"/>
      <c r="AJ181" s="574" t="n"/>
      <c r="AL181" s="574" t="n"/>
      <c r="AN181" s="574" t="n"/>
    </row>
    <row r="182" customFormat="1" s="568">
      <c r="A182" s="86" t="n"/>
      <c r="B182" s="85" t="n"/>
      <c r="C182" s="84">
        <f>E182*D$5</f>
        <v/>
      </c>
      <c r="D182" s="68" t="inlineStr">
        <is>
          <t>Mineral Deed</t>
        </is>
      </c>
      <c r="E182" s="84">
        <f>SUM(G182:HP182)</f>
        <v/>
      </c>
      <c r="H182" s="568" t="n">
        <v>-0.038462</v>
      </c>
      <c r="I182" s="568" t="n">
        <v>0.038462</v>
      </c>
      <c r="J182" s="568" t="inlineStr">
        <is>
          <t>3, 4, 7, 8</t>
        </is>
      </c>
      <c r="K182" s="568" t="inlineStr">
        <is>
          <t>E/2 NW/4 etc</t>
        </is>
      </c>
      <c r="AD182" s="574" t="n"/>
      <c r="AE182" s="574" t="n"/>
      <c r="AF182" s="574" t="n"/>
      <c r="AG182" s="574" t="n"/>
      <c r="AH182" s="574" t="n"/>
      <c r="AI182" s="574" t="n"/>
      <c r="AJ182" s="574" t="n"/>
      <c r="AL182" s="574" t="n"/>
      <c r="AN182" s="574" t="n"/>
    </row>
    <row r="183" customFormat="1" s="568">
      <c r="A183" s="86" t="n"/>
      <c r="B183" s="85" t="n"/>
      <c r="C183" s="84">
        <f>E183*D$5</f>
        <v/>
      </c>
      <c r="D183" s="68" t="inlineStr">
        <is>
          <t>Mineral Deed</t>
        </is>
      </c>
      <c r="E183" s="84">
        <f>SUM(G183:HP183)</f>
        <v/>
      </c>
      <c r="H183" s="568" t="n">
        <v>-0.019231</v>
      </c>
      <c r="I183" s="568" t="n">
        <v>0.019231</v>
      </c>
      <c r="J183" s="568" t="inlineStr">
        <is>
          <t>3, 4, 7, 8</t>
        </is>
      </c>
      <c r="K183" s="568" t="inlineStr">
        <is>
          <t>NE/4 SE/4 etc</t>
        </is>
      </c>
      <c r="AD183" s="574" t="n"/>
      <c r="AE183" s="574" t="n"/>
      <c r="AF183" s="574" t="n"/>
      <c r="AG183" s="574" t="n"/>
      <c r="AH183" s="574" t="n"/>
      <c r="AI183" s="574" t="n"/>
      <c r="AJ183" s="574" t="n"/>
      <c r="AL183" s="574" t="n"/>
      <c r="AN183" s="574" t="n"/>
    </row>
    <row r="184" customFormat="1" s="568">
      <c r="A184" s="86" t="n"/>
      <c r="B184" s="85" t="n"/>
      <c r="C184" s="84">
        <f>E184*D$5</f>
        <v/>
      </c>
      <c r="D184" s="68" t="inlineStr">
        <is>
          <t>Order and Final Decree</t>
        </is>
      </c>
      <c r="E184" s="84">
        <f>SUM(G184:HP184)</f>
        <v/>
      </c>
      <c r="H184" s="568" t="n">
        <v>-0.038462</v>
      </c>
      <c r="I184" s="568" t="n">
        <v>0.038462</v>
      </c>
      <c r="J184" s="568" t="inlineStr">
        <is>
          <t>3, 4, 7, 8</t>
        </is>
      </c>
      <c r="K184" s="568" t="inlineStr">
        <is>
          <t>E/2 NW/4 etc</t>
        </is>
      </c>
      <c r="AD184" s="574" t="n"/>
      <c r="AE184" s="574" t="n"/>
      <c r="AF184" s="574" t="n"/>
      <c r="AG184" s="574" t="n"/>
      <c r="AH184" s="574" t="n"/>
      <c r="AI184" s="574" t="n"/>
      <c r="AJ184" s="574" t="n"/>
      <c r="AL184" s="574" t="n"/>
      <c r="AN184" s="574" t="n"/>
    </row>
    <row r="185" customFormat="1" s="568">
      <c r="A185" s="86" t="n"/>
      <c r="B185" s="85" t="n"/>
      <c r="C185" s="84">
        <f>E185*D$5</f>
        <v/>
      </c>
      <c r="D185" s="68" t="inlineStr">
        <is>
          <t>Mineral Deed</t>
        </is>
      </c>
      <c r="E185" s="84">
        <f>SUM(G185:HP185)</f>
        <v/>
      </c>
      <c r="H185" s="568" t="n">
        <v>-0.003846</v>
      </c>
      <c r="I185" s="568" t="n">
        <v>0.003846</v>
      </c>
      <c r="J185" s="568" t="inlineStr">
        <is>
          <t>3, 4, 7, 8</t>
        </is>
      </c>
      <c r="K185" s="568" t="inlineStr">
        <is>
          <t>NE/4 SE/4 etc</t>
        </is>
      </c>
      <c r="AD185" s="574" t="n"/>
      <c r="AE185" s="574" t="n"/>
      <c r="AF185" s="574" t="n"/>
      <c r="AG185" s="574" t="n"/>
      <c r="AH185" s="574" t="n"/>
      <c r="AI185" s="574" t="n"/>
      <c r="AJ185" s="574" t="n"/>
      <c r="AL185" s="574" t="n"/>
      <c r="AN185" s="574" t="n"/>
    </row>
    <row r="186" customFormat="1" s="568">
      <c r="A186" s="86" t="n"/>
      <c r="B186" s="85" t="n"/>
      <c r="C186" s="84">
        <f>E186*D$5</f>
        <v/>
      </c>
      <c r="D186" s="68" t="inlineStr">
        <is>
          <t>Mineral Deed</t>
        </is>
      </c>
      <c r="E186" s="84">
        <f>SUM(G186:HP186)</f>
        <v/>
      </c>
      <c r="H186" s="568" t="n">
        <v>-0.007692</v>
      </c>
      <c r="I186" s="568" t="n">
        <v>0.007692</v>
      </c>
      <c r="J186" s="568" t="inlineStr">
        <is>
          <t>3, 4, 7, 8</t>
        </is>
      </c>
      <c r="K186" s="568" t="inlineStr">
        <is>
          <t>E/2 NW/4 etc</t>
        </is>
      </c>
      <c r="AD186" s="574" t="n"/>
      <c r="AE186" s="574" t="n"/>
      <c r="AF186" s="574" t="n"/>
      <c r="AG186" s="574" t="n"/>
      <c r="AH186" s="574" t="n"/>
      <c r="AI186" s="574" t="n"/>
      <c r="AJ186" s="574" t="n"/>
      <c r="AL186" s="574" t="n"/>
      <c r="AN186" s="574" t="n"/>
    </row>
    <row r="187" customFormat="1" s="568">
      <c r="A187" s="86" t="n"/>
      <c r="B187" s="85" t="n"/>
      <c r="C187" s="84">
        <f>E187*D$5</f>
        <v/>
      </c>
      <c r="D187" s="68" t="inlineStr">
        <is>
          <t>Oil and Gas Lease</t>
        </is>
      </c>
      <c r="E187" s="84">
        <f>SUM(G187:HP187)</f>
        <v/>
      </c>
      <c r="H187" s="568" t="n">
        <v>-0.428571</v>
      </c>
      <c r="I187" s="568" t="n">
        <v>0.428571</v>
      </c>
      <c r="J187" s="568" t="inlineStr">
        <is>
          <t>3, 4, 7, 8</t>
        </is>
      </c>
      <c r="K187" s="568" t="inlineStr">
        <is>
          <t>E/2 NW/4 etc</t>
        </is>
      </c>
      <c r="AD187" s="574" t="n"/>
      <c r="AE187" s="574" t="n"/>
      <c r="AF187" s="574" t="n"/>
      <c r="AG187" s="574" t="n"/>
      <c r="AH187" s="574" t="n"/>
      <c r="AI187" s="574" t="n"/>
      <c r="AJ187" s="574" t="n"/>
      <c r="AL187" s="574" t="n"/>
      <c r="AN187" s="574" t="n"/>
    </row>
    <row r="188" customFormat="1" s="568">
      <c r="A188" s="86" t="n"/>
      <c r="B188" s="85" t="n"/>
      <c r="C188" s="84">
        <f>E188*D$5</f>
        <v/>
      </c>
      <c r="D188" s="68" t="inlineStr">
        <is>
          <t>Oil and Gas Lease</t>
        </is>
      </c>
      <c r="E188" s="84">
        <f>SUM(G188:HP188)</f>
        <v/>
      </c>
      <c r="H188" s="568" t="n">
        <v>-0.833333</v>
      </c>
      <c r="I188" s="568" t="n">
        <v>0.833333</v>
      </c>
      <c r="J188" s="568" t="inlineStr">
        <is>
          <t>1, 3, 4, 5, 6, 7, 8</t>
        </is>
      </c>
      <c r="K188" s="568" t="inlineStr">
        <is>
          <t>E/2 NW/4 etc</t>
        </is>
      </c>
      <c r="AD188" s="574" t="n"/>
      <c r="AE188" s="574" t="n"/>
      <c r="AF188" s="574" t="n"/>
      <c r="AG188" s="574" t="n"/>
      <c r="AH188" s="574" t="n"/>
      <c r="AI188" s="574" t="n"/>
      <c r="AJ188" s="574" t="n"/>
      <c r="AL188" s="574" t="n"/>
      <c r="AN188" s="574" t="n"/>
    </row>
    <row r="189" customFormat="1" s="568">
      <c r="A189" s="86" t="n"/>
      <c r="B189" s="85" t="n"/>
      <c r="C189" s="84">
        <f>E189*D$5</f>
        <v/>
      </c>
      <c r="D189" s="68" t="inlineStr">
        <is>
          <t>Oil and Gas Lease</t>
        </is>
      </c>
      <c r="E189" s="84">
        <f>SUM(G189:HP189)</f>
        <v/>
      </c>
      <c r="H189" s="568" t="n">
        <v>-0.7727270000000001</v>
      </c>
      <c r="I189" s="568" t="n">
        <v>0.7727270000000001</v>
      </c>
      <c r="J189" s="568" t="inlineStr">
        <is>
          <t>3, 4, 7, 8</t>
        </is>
      </c>
      <c r="K189" s="568" t="inlineStr">
        <is>
          <t>E/2 NW/4 etc</t>
        </is>
      </c>
      <c r="AD189" s="574" t="n"/>
      <c r="AE189" s="574" t="n"/>
      <c r="AF189" s="574" t="n"/>
      <c r="AG189" s="574" t="n"/>
      <c r="AH189" s="574" t="n"/>
      <c r="AI189" s="574" t="n"/>
      <c r="AJ189" s="574" t="n"/>
      <c r="AL189" s="574" t="n"/>
      <c r="AN189" s="574" t="n"/>
    </row>
    <row r="190" customFormat="1" s="568">
      <c r="A190" s="86" t="n"/>
      <c r="B190" s="85" t="n"/>
      <c r="C190" s="84">
        <f>E190*D$5</f>
        <v/>
      </c>
      <c r="D190" s="68" t="inlineStr">
        <is>
          <t>Oil and Gas Lease</t>
        </is>
      </c>
      <c r="E190" s="84">
        <f>SUM(G190:HP190)</f>
        <v/>
      </c>
      <c r="H190" s="568" t="n">
        <v>-1.157895</v>
      </c>
      <c r="I190" s="568" t="n">
        <v>1.157895</v>
      </c>
      <c r="J190" s="568" t="inlineStr">
        <is>
          <t>5, 6, 7</t>
        </is>
      </c>
      <c r="K190" s="568" t="inlineStr">
        <is>
          <t>Lot 4 etc</t>
        </is>
      </c>
      <c r="AD190" s="574" t="n"/>
      <c r="AE190" s="574" t="n"/>
      <c r="AF190" s="574" t="n"/>
      <c r="AG190" s="574" t="n"/>
      <c r="AH190" s="574" t="n"/>
      <c r="AI190" s="574" t="n"/>
      <c r="AJ190" s="574" t="n"/>
      <c r="AL190" s="574" t="n"/>
      <c r="AN190" s="574" t="n"/>
    </row>
    <row r="191" customFormat="1" s="568">
      <c r="A191" s="86" t="n"/>
      <c r="B191" s="85" t="n"/>
      <c r="C191" s="84">
        <f>E191*D$5</f>
        <v/>
      </c>
      <c r="D191" s="68" t="inlineStr">
        <is>
          <t>Mineral Deed</t>
        </is>
      </c>
      <c r="E191" s="84">
        <f>SUM(G191:HP191)</f>
        <v/>
      </c>
      <c r="H191" s="568" t="n">
        <v>-0.153846</v>
      </c>
      <c r="I191" s="568" t="n">
        <v>0.153846</v>
      </c>
      <c r="J191" s="568" t="inlineStr">
        <is>
          <t>All</t>
        </is>
      </c>
      <c r="K191" s="595" t="inlineStr">
        <is>
          <t>ALEXANDER 1-31</t>
        </is>
      </c>
      <c r="AD191" s="574" t="n"/>
      <c r="AE191" s="574" t="n"/>
      <c r="AF191" s="574" t="n"/>
      <c r="AG191" s="574" t="n"/>
      <c r="AH191" s="574" t="n"/>
      <c r="AI191" s="574" t="n"/>
      <c r="AJ191" s="574" t="n"/>
      <c r="AL191" s="574" t="n"/>
      <c r="AN191" s="574" t="n"/>
    </row>
    <row r="192" ht="25.5" customFormat="1" customHeight="1" s="568">
      <c r="A192" s="86" t="n"/>
      <c r="B192" s="85" t="n"/>
      <c r="C192" s="84">
        <f>E192*D$5</f>
        <v/>
      </c>
      <c r="D192" s="68" t="inlineStr">
        <is>
          <t>Order Allowing Final Account and Decree of Distribution and Final Discharge</t>
        </is>
      </c>
      <c r="E192" s="84">
        <f>SUM(G192:HP192)</f>
        <v/>
      </c>
      <c r="H192" s="568" t="n">
        <v>-0.125</v>
      </c>
      <c r="I192" s="568" t="n">
        <v>0.125</v>
      </c>
      <c r="J192" s="568" t="inlineStr">
        <is>
          <t>1, 3, 4, 5, 6, 7, 8</t>
        </is>
      </c>
      <c r="K192" s="568" t="inlineStr">
        <is>
          <t>E/2 NW/4 etc</t>
        </is>
      </c>
      <c r="AD192" s="574" t="n"/>
      <c r="AE192" s="574" t="n"/>
      <c r="AF192" s="574" t="n"/>
      <c r="AG192" s="574" t="n"/>
      <c r="AH192" s="574" t="n"/>
      <c r="AI192" s="574" t="n"/>
      <c r="AJ192" s="574" t="n"/>
      <c r="AL192" s="574" t="n"/>
      <c r="AN192" s="574" t="n"/>
    </row>
    <row r="193" customFormat="1" s="568">
      <c r="A193" s="86" t="n"/>
      <c r="B193" s="85" t="n"/>
      <c r="C193" s="84">
        <f>E193*D$5</f>
        <v/>
      </c>
      <c r="D193" s="68" t="inlineStr">
        <is>
          <t>Mineral Deed</t>
        </is>
      </c>
      <c r="E193" s="84">
        <f>SUM(G193:HP193)</f>
        <v/>
      </c>
      <c r="H193" s="568" t="n">
        <v>-0.423077</v>
      </c>
      <c r="I193" s="568" t="n">
        <v>0.423077</v>
      </c>
      <c r="J193" s="568" t="inlineStr">
        <is>
          <t>3, 4, 7, 8</t>
        </is>
      </c>
      <c r="K193" s="568" t="inlineStr">
        <is>
          <t>E/2 NW/4 etc</t>
        </is>
      </c>
      <c r="AD193" s="574" t="n"/>
      <c r="AE193" s="574" t="n"/>
      <c r="AF193" s="574" t="n"/>
      <c r="AG193" s="574" t="n"/>
      <c r="AH193" s="574" t="n"/>
      <c r="AI193" s="574" t="n"/>
      <c r="AJ193" s="574" t="n"/>
      <c r="AL193" s="574" t="n"/>
      <c r="AN193" s="574" t="n"/>
    </row>
    <row r="194" customFormat="1" s="568">
      <c r="A194" s="86" t="n"/>
      <c r="B194" s="85" t="n"/>
      <c r="C194" s="84">
        <f>E194*D$5</f>
        <v/>
      </c>
      <c r="D194" s="68" t="inlineStr">
        <is>
          <t>Quit Claim Mineral Deed</t>
        </is>
      </c>
      <c r="E194" s="84">
        <f>SUM(G194:HP194)</f>
        <v/>
      </c>
      <c r="H194" s="568" t="n">
        <v>-0.423077</v>
      </c>
      <c r="I194" s="568" t="n">
        <v>0.423077</v>
      </c>
      <c r="J194" s="568" t="inlineStr">
        <is>
          <t>3, 4, 7, 8</t>
        </is>
      </c>
      <c r="K194" s="568" t="inlineStr">
        <is>
          <t>E/2 NW/4 etc</t>
        </is>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inlineStr">
        <is>
          <t>Fraction / NMA</t>
        </is>
      </c>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F212"/>
  <sheetViews>
    <sheetView zoomScaleNormal="120" workbookViewId="0">
      <pane xSplit="6" topLeftCell="Z1" activePane="topRight" state="frozen"/>
      <selection pane="topRight" activeCell="D13" sqref="D13"/>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169" t="inlineStr">
        <is>
          <t>PROB</t>
        </is>
      </c>
      <c r="AP1" s="169" t="inlineStr">
        <is>
          <t>MD</t>
        </is>
      </c>
      <c r="AQ1" s="169" t="inlineStr">
        <is>
          <t>MD</t>
        </is>
      </c>
      <c r="AR1" s="169" t="inlineStr">
        <is>
          <t>MD</t>
        </is>
      </c>
      <c r="AS1" s="169" t="inlineStr">
        <is>
          <t>MD</t>
        </is>
      </c>
      <c r="AT1" s="169" t="inlineStr">
        <is>
          <t>MD</t>
        </is>
      </c>
      <c r="AU1" s="169" t="inlineStr">
        <is>
          <t>MD</t>
        </is>
      </c>
      <c r="AV1" s="169" t="inlineStr">
        <is>
          <t>PROB</t>
        </is>
      </c>
      <c r="AW1" s="169" t="inlineStr">
        <is>
          <t>MD</t>
        </is>
      </c>
      <c r="AX1" s="169" t="inlineStr">
        <is>
          <t>PROB</t>
        </is>
      </c>
      <c r="AY1" s="169" t="inlineStr">
        <is>
          <t>WD</t>
        </is>
      </c>
      <c r="AZ1" s="169" t="inlineStr">
        <is>
          <t>PROB</t>
        </is>
      </c>
      <c r="BA1" s="169" t="inlineStr">
        <is>
          <t>MD</t>
        </is>
      </c>
      <c r="BB1" s="169" t="inlineStr">
        <is>
          <t>MD</t>
        </is>
      </c>
      <c r="BC1" s="169" t="inlineStr">
        <is>
          <t>MD</t>
        </is>
      </c>
      <c r="BD1" s="169" t="inlineStr">
        <is>
          <t>QCMD</t>
        </is>
      </c>
      <c r="BE1" s="169" t="inlineStr">
        <is>
          <t>QCMD</t>
        </is>
      </c>
      <c r="BF1" s="169" t="inlineStr">
        <is>
          <t>MD</t>
        </is>
      </c>
      <c r="BG1" s="169" t="inlineStr">
        <is>
          <t>MD</t>
        </is>
      </c>
      <c r="BH1" s="169" t="inlineStr">
        <is>
          <t>MD</t>
        </is>
      </c>
      <c r="BI1" s="169" t="inlineStr">
        <is>
          <t>PROB</t>
        </is>
      </c>
      <c r="BJ1" s="169" t="inlineStr">
        <is>
          <t>MD</t>
        </is>
      </c>
      <c r="BK1" s="169" t="inlineStr">
        <is>
          <t>MD</t>
        </is>
      </c>
      <c r="BL1" s="169" t="inlineStr">
        <is>
          <t>QCMD</t>
        </is>
      </c>
      <c r="BM1" s="169" t="inlineStr">
        <is>
          <t>PROB</t>
        </is>
      </c>
      <c r="BN1" s="169" t="inlineStr">
        <is>
          <t>QCMD</t>
        </is>
      </c>
      <c r="BO1" s="169" t="inlineStr">
        <is>
          <t>MD</t>
        </is>
      </c>
      <c r="BP1" s="169" t="inlineStr">
        <is>
          <t>QCMD</t>
        </is>
      </c>
      <c r="BQ1" s="169" t="inlineStr">
        <is>
          <t>MD</t>
        </is>
      </c>
      <c r="BR1" s="169" t="n"/>
      <c r="BS1" s="169" t="n"/>
      <c r="BT1" s="169" t="n"/>
      <c r="BU1" s="169" t="n"/>
      <c r="BV1" s="169" t="n"/>
      <c r="BW1" s="169" t="n"/>
      <c r="BX1" s="169" t="inlineStr">
        <is>
          <t>Deed</t>
        </is>
      </c>
      <c r="BY1" s="169" t="n"/>
      <c r="BZ1" s="169" t="n"/>
      <c r="CA1" s="169" t="inlineStr">
        <is>
          <t>Assignment and Bill of Sale</t>
        </is>
      </c>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8</t>
        </is>
      </c>
      <c r="B2" s="535" t="inlineStr">
        <is>
          <t>TRACT</t>
        </is>
      </c>
      <c r="C2" s="536" t="n"/>
      <c r="D2" s="537" t="inlineStr">
        <is>
          <t>NE/4 SE/4,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170" t="inlineStr">
        <is>
          <t>1993-000918</t>
        </is>
      </c>
      <c r="AP2" s="170" t="inlineStr">
        <is>
          <t>1994-006415</t>
        </is>
      </c>
      <c r="AQ2" s="170" t="inlineStr">
        <is>
          <t>1995-003404</t>
        </is>
      </c>
      <c r="AR2" s="170" t="inlineStr">
        <is>
          <t>2000-007685</t>
        </is>
      </c>
      <c r="AS2" s="170" t="inlineStr">
        <is>
          <t>2001-000957</t>
        </is>
      </c>
      <c r="AT2" s="170" t="inlineStr">
        <is>
          <t>2001-001414</t>
        </is>
      </c>
      <c r="AU2" s="170" t="inlineStr">
        <is>
          <t>2001-001463</t>
        </is>
      </c>
      <c r="AV2" s="170" t="inlineStr">
        <is>
          <t>2001-002342</t>
        </is>
      </c>
      <c r="AW2" s="170" t="inlineStr">
        <is>
          <t>2002-004595</t>
        </is>
      </c>
      <c r="AX2" s="170" t="inlineStr">
        <is>
          <t>2003-005699</t>
        </is>
      </c>
      <c r="AY2" s="170" t="inlineStr">
        <is>
          <t>2003-004945</t>
        </is>
      </c>
      <c r="AZ2" s="170" t="inlineStr">
        <is>
          <t>2004-000099</t>
        </is>
      </c>
      <c r="BA2" s="170" t="inlineStr">
        <is>
          <t>2004-005901</t>
        </is>
      </c>
      <c r="BB2" s="170" t="inlineStr">
        <is>
          <t>2005-000158</t>
        </is>
      </c>
      <c r="BC2" s="170" t="inlineStr">
        <is>
          <t>2005-007551</t>
        </is>
      </c>
      <c r="BD2" s="170" t="inlineStr">
        <is>
          <t>2006-000154</t>
        </is>
      </c>
      <c r="BE2" s="170" t="inlineStr">
        <is>
          <t>2007-001848</t>
        </is>
      </c>
      <c r="BF2" s="170" t="inlineStr">
        <is>
          <t>2011-001007</t>
        </is>
      </c>
      <c r="BG2" s="170" t="inlineStr">
        <is>
          <t>2011-001008</t>
        </is>
      </c>
      <c r="BH2" s="170" t="inlineStr">
        <is>
          <t>2011-001009</t>
        </is>
      </c>
      <c r="BI2" s="170" t="inlineStr">
        <is>
          <t>2013-000518</t>
        </is>
      </c>
      <c r="BJ2" s="170" t="inlineStr">
        <is>
          <t>2014-003089</t>
        </is>
      </c>
      <c r="BK2" s="170" t="inlineStr">
        <is>
          <t>2014-006293</t>
        </is>
      </c>
      <c r="BL2" s="170" t="inlineStr">
        <is>
          <t>2018-002650</t>
        </is>
      </c>
      <c r="BM2" s="170" t="inlineStr">
        <is>
          <t>2026-002877</t>
        </is>
      </c>
      <c r="BN2" s="170" t="inlineStr">
        <is>
          <t>2020-001374</t>
        </is>
      </c>
      <c r="BO2" s="170" t="inlineStr">
        <is>
          <t>2021-001068</t>
        </is>
      </c>
      <c r="BP2" s="170" t="inlineStr">
        <is>
          <t>2025-001343</t>
        </is>
      </c>
      <c r="BQ2" s="170" t="inlineStr">
        <is>
          <t>2026-000691</t>
        </is>
      </c>
      <c r="BR2" s="170" t="n"/>
      <c r="BS2" s="170" t="n"/>
      <c r="BT2" s="170" t="n"/>
      <c r="BU2" s="170" t="n"/>
      <c r="BV2" s="170" t="n"/>
      <c r="BW2" s="170" t="n"/>
      <c r="BX2" s="170" t="inlineStr">
        <is>
          <t>1907-001545</t>
        </is>
      </c>
      <c r="BY2" s="170" t="n"/>
      <c r="BZ2" s="170" t="n"/>
      <c r="CA2" s="170" t="inlineStr">
        <is>
          <t>2021-001561</t>
        </is>
      </c>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220" t="inlineStr">
        <is>
          <t>897/244</t>
        </is>
      </c>
      <c r="AB3" s="220" t="inlineStr">
        <is>
          <t>998/204</t>
        </is>
      </c>
      <c r="AC3" s="54"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220" t="inlineStr">
        <is>
          <t>1159/225</t>
        </is>
      </c>
      <c r="AL3" s="53" t="inlineStr">
        <is>
          <t>1176/54</t>
        </is>
      </c>
      <c r="AM3" s="220" t="inlineStr">
        <is>
          <t>1267/168</t>
        </is>
      </c>
      <c r="AN3" s="220" t="inlineStr">
        <is>
          <t>1274/277</t>
        </is>
      </c>
      <c r="AO3" s="181" t="inlineStr">
        <is>
          <t>1324/22</t>
        </is>
      </c>
      <c r="AP3" s="181" t="inlineStr">
        <is>
          <t>1422/9</t>
        </is>
      </c>
      <c r="AQ3" s="170" t="inlineStr">
        <is>
          <t>1457/173</t>
        </is>
      </c>
      <c r="AR3" s="170" t="inlineStr">
        <is>
          <t>1611/503</t>
        </is>
      </c>
      <c r="AS3" s="170" t="inlineStr">
        <is>
          <t>1637/26</t>
        </is>
      </c>
      <c r="AT3" s="170" t="inlineStr">
        <is>
          <t>1639/206</t>
        </is>
      </c>
      <c r="AU3" s="170" t="inlineStr">
        <is>
          <t>1639/426</t>
        </is>
      </c>
      <c r="AV3" s="170" t="inlineStr">
        <is>
          <t>1643/389</t>
        </is>
      </c>
      <c r="AW3" s="170" t="inlineStr">
        <is>
          <t>1695/238</t>
        </is>
      </c>
      <c r="AX3" s="170" t="inlineStr">
        <is>
          <t>1728/457</t>
        </is>
      </c>
      <c r="AY3" s="170" t="inlineStr">
        <is>
          <t>1724/582</t>
        </is>
      </c>
      <c r="AZ3" s="170" t="inlineStr">
        <is>
          <t>1734/14</t>
        </is>
      </c>
      <c r="BA3" s="170" t="inlineStr">
        <is>
          <t>1765/306</t>
        </is>
      </c>
      <c r="BB3" s="170" t="inlineStr">
        <is>
          <t>1774/309</t>
        </is>
      </c>
      <c r="BC3" s="170" t="inlineStr">
        <is>
          <t>1812/138</t>
        </is>
      </c>
      <c r="BD3" s="170" t="inlineStr">
        <is>
          <t>1819/157</t>
        </is>
      </c>
      <c r="BE3" s="170" t="inlineStr">
        <is>
          <t>1872/277</t>
        </is>
      </c>
      <c r="BF3" s="170" t="inlineStr">
        <is>
          <t>2063/491</t>
        </is>
      </c>
      <c r="BG3" s="170" t="inlineStr">
        <is>
          <t>2063/494</t>
        </is>
      </c>
      <c r="BH3" s="170" t="inlineStr">
        <is>
          <t>2063/497</t>
        </is>
      </c>
      <c r="BI3" s="170" t="inlineStr">
        <is>
          <t>2177/33</t>
        </is>
      </c>
      <c r="BJ3" s="170" t="inlineStr">
        <is>
          <t>2251/529</t>
        </is>
      </c>
      <c r="BK3" s="170" t="inlineStr">
        <is>
          <t>2273/223</t>
        </is>
      </c>
      <c r="BL3" s="170" t="inlineStr">
        <is>
          <t>2406/228</t>
        </is>
      </c>
      <c r="BM3" s="170" t="inlineStr">
        <is>
          <t>2700/395</t>
        </is>
      </c>
      <c r="BN3" s="170" t="inlineStr">
        <is>
          <t>2450/598</t>
        </is>
      </c>
      <c r="BO3" s="170" t="inlineStr">
        <is>
          <t>2467/476</t>
        </is>
      </c>
      <c r="BP3" s="170" t="inlineStr">
        <is>
          <t>2617/228</t>
        </is>
      </c>
      <c r="BQ3" s="170" t="inlineStr">
        <is>
          <t>2682/183</t>
        </is>
      </c>
      <c r="BR3" s="170" t="n"/>
      <c r="BS3" s="170" t="n"/>
      <c r="BT3" s="170" t="n"/>
      <c r="BU3" s="170" t="n"/>
      <c r="BV3" s="170" t="n"/>
      <c r="BW3" s="170" t="n"/>
      <c r="BX3" s="170" t="inlineStr">
        <is>
          <t>D11/209</t>
        </is>
      </c>
      <c r="BY3" s="170" t="n"/>
      <c r="BZ3" s="170" t="n"/>
      <c r="CA3" s="170" t="inlineStr">
        <is>
          <t>2479/1</t>
        </is>
      </c>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222" t="n">
        <v>31964</v>
      </c>
      <c r="AB4" s="222" t="n">
        <v>32405</v>
      </c>
      <c r="AC4" s="53" t="n">
        <v>32847</v>
      </c>
      <c r="AD4" s="53" t="n">
        <v>32969</v>
      </c>
      <c r="AE4" s="53" t="n">
        <v>32975</v>
      </c>
      <c r="AF4" s="53" t="n">
        <v>32993</v>
      </c>
      <c r="AG4" s="53" t="n">
        <v>33025</v>
      </c>
      <c r="AH4" s="53" t="n">
        <v>33059</v>
      </c>
      <c r="AI4" s="53" t="n">
        <v>33073</v>
      </c>
      <c r="AJ4" s="53" t="n">
        <v>33114</v>
      </c>
      <c r="AK4" s="222" t="n">
        <v>33114</v>
      </c>
      <c r="AL4" s="53" t="n">
        <v>33205</v>
      </c>
      <c r="AM4" s="222" t="n">
        <v>33693</v>
      </c>
      <c r="AN4" s="222" t="n">
        <v>33737</v>
      </c>
      <c r="AO4" s="182" t="n">
        <v>34032</v>
      </c>
      <c r="AP4" s="182" t="n">
        <v>34542</v>
      </c>
      <c r="AQ4" s="171" t="n">
        <v>34754</v>
      </c>
      <c r="AR4" s="171" t="n">
        <v>36647</v>
      </c>
      <c r="AS4" s="171" t="n">
        <v>36922</v>
      </c>
      <c r="AT4" s="171" t="n">
        <v>36957</v>
      </c>
      <c r="AU4" s="171" t="n">
        <v>36963</v>
      </c>
      <c r="AV4" s="171" t="n">
        <v>37014</v>
      </c>
      <c r="AW4" s="171" t="n">
        <v>37586</v>
      </c>
      <c r="AX4" s="171" t="n">
        <v>37802</v>
      </c>
      <c r="AY4" s="171" t="n">
        <v>37848</v>
      </c>
      <c r="AZ4" s="171" t="n">
        <v>37990</v>
      </c>
      <c r="BA4" s="171" t="n">
        <v>38275</v>
      </c>
      <c r="BB4" s="171" t="n">
        <v>38362</v>
      </c>
      <c r="BC4" s="171" t="n">
        <v>38650</v>
      </c>
      <c r="BD4" s="171" t="n">
        <v>38699</v>
      </c>
      <c r="BE4" s="171" t="n">
        <v>39162</v>
      </c>
      <c r="BF4" s="171" t="n">
        <v>40577</v>
      </c>
      <c r="BG4" s="171" t="n">
        <v>40577</v>
      </c>
      <c r="BH4" s="171" t="n">
        <v>40583</v>
      </c>
      <c r="BI4" s="171" t="n">
        <v>41290</v>
      </c>
      <c r="BJ4" s="171" t="n">
        <v>41746</v>
      </c>
      <c r="BK4" s="171" t="n">
        <v>41926</v>
      </c>
      <c r="BL4" s="171" t="n">
        <v>43363</v>
      </c>
      <c r="BM4" s="171" t="n">
        <v>43500</v>
      </c>
      <c r="BN4" s="171" t="n">
        <v>44071</v>
      </c>
      <c r="BO4" s="171" t="n">
        <v>44348</v>
      </c>
      <c r="BP4" s="171" t="n">
        <v>45726</v>
      </c>
      <c r="BQ4" s="171" t="n">
        <v>45971</v>
      </c>
      <c r="BR4" s="171" t="n"/>
      <c r="BS4" s="171" t="n"/>
      <c r="BT4" s="171" t="n"/>
      <c r="BU4" s="171" t="n"/>
      <c r="BV4" s="171" t="n"/>
      <c r="BW4" s="171" t="n"/>
      <c r="BX4" s="171" t="n">
        <v>2754</v>
      </c>
      <c r="BY4" s="171" t="n"/>
      <c r="BZ4" s="171" t="n"/>
      <c r="CA4" s="171" t="n">
        <v>44348</v>
      </c>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500"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500" t="inlineStr">
        <is>
          <t>1.386 NMA</t>
        </is>
      </c>
      <c r="AX5" s="170" t="inlineStr">
        <is>
          <t>ARTI</t>
        </is>
      </c>
      <c r="AY5" s="170" t="inlineStr">
        <is>
          <t>ARTI</t>
        </is>
      </c>
      <c r="AZ5" s="170" t="inlineStr">
        <is>
          <t>ARTI</t>
        </is>
      </c>
      <c r="BA5" s="170" t="inlineStr">
        <is>
          <t>ARTI</t>
        </is>
      </c>
      <c r="BB5" s="170" t="inlineStr">
        <is>
          <t>ARTI</t>
        </is>
      </c>
      <c r="BC5" s="170" t="inlineStr">
        <is>
          <t>ARTI</t>
        </is>
      </c>
      <c r="BD5" s="170" t="inlineStr">
        <is>
          <t>256.666667 NMA</t>
        </is>
      </c>
      <c r="BE5" s="170" t="inlineStr">
        <is>
          <t>ARTI</t>
        </is>
      </c>
      <c r="BF5" s="170" t="inlineStr">
        <is>
          <t>ARTI</t>
        </is>
      </c>
      <c r="BG5" s="170" t="inlineStr">
        <is>
          <t>ARTI</t>
        </is>
      </c>
      <c r="BH5" s="170" t="inlineStr">
        <is>
          <t>ARTI</t>
        </is>
      </c>
      <c r="BI5" s="170" t="inlineStr">
        <is>
          <t>ARTI</t>
        </is>
      </c>
      <c r="BJ5" s="170" t="inlineStr">
        <is>
          <t>118.461538 NMA</t>
        </is>
      </c>
      <c r="BK5" s="170" t="inlineStr">
        <is>
          <t>ARTI</t>
        </is>
      </c>
      <c r="BL5" s="170" t="inlineStr">
        <is>
          <t>ARTI</t>
        </is>
      </c>
      <c r="BM5" s="170" t="inlineStr">
        <is>
          <t>ARTI</t>
        </is>
      </c>
      <c r="BN5" s="170" t="inlineStr">
        <is>
          <t>ARTI</t>
        </is>
      </c>
      <c r="BO5" s="170" t="inlineStr">
        <is>
          <t>ARTI</t>
        </is>
      </c>
      <c r="BP5" s="170" t="inlineStr">
        <is>
          <t>ARTI</t>
        </is>
      </c>
      <c r="BQ5" s="170" t="inlineStr">
        <is>
          <t>ARTI</t>
        </is>
      </c>
      <c r="BR5" s="170" t="n"/>
      <c r="BS5" s="170" t="n"/>
      <c r="BT5" s="170" t="n"/>
      <c r="BU5" s="170" t="n"/>
      <c r="BV5" s="170" t="n"/>
      <c r="BW5" s="170" t="n"/>
      <c r="BX5" s="170" t="inlineStr">
        <is>
          <t>ARTI — REVIEW: over-conveyance</t>
        </is>
      </c>
      <c r="BY5" s="170" t="n"/>
      <c r="BZ5" s="170" t="n"/>
      <c r="CA5" s="170" t="inlineStr">
        <is>
          <t>ARTI</t>
        </is>
      </c>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289, 290, 291, 292, 293, 294</t>
        </is>
      </c>
      <c r="D6" s="554" t="inlineStr">
        <is>
          <t>Tract 8</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112">
        <f>IF(BR7=0,"","RECHECK")</f>
        <v/>
      </c>
      <c r="BS6" s="112">
        <f>IF(BS7=0,"","RECHECK")</f>
        <v/>
      </c>
      <c r="BT6" s="112">
        <f>IF(BT7=0,"","RECHECK")</f>
        <v/>
      </c>
      <c r="BU6" s="112">
        <f>IF(BU7=0,"","RECHECK")</f>
        <v/>
      </c>
      <c r="BV6" s="112">
        <f>IF(BV7=0,"","RECHECK")</f>
        <v/>
      </c>
      <c r="BW6" s="112">
        <f>IF(BW7=0,"","RECHECK")</f>
        <v/>
      </c>
      <c r="BX6" s="487" t="inlineStr">
        <is>
          <t>SOURCE REVIEW</t>
        </is>
      </c>
      <c r="BY6" s="112">
        <f>IF(BY7=0,"","RECHECK")</f>
        <v/>
      </c>
      <c r="BZ6" s="112">
        <f>IF(BZ7=0,"","RECHECK")</f>
        <v/>
      </c>
      <c r="CA6" s="487" t="inlineStr">
        <is>
          <t>SOURCE REVIEW</t>
        </is>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inlineStr">
        <is>
          <t>t9</t>
        </is>
      </c>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-1</v>
      </c>
      <c r="I10" s="571" t="n"/>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Ernest Brooks</t>
        </is>
      </c>
      <c r="E11" s="137">
        <f>SUM(G11:HP11)</f>
        <v/>
      </c>
      <c r="F11" s="569">
        <f>IFERROR(IF($E11&gt;0.0000005,$E11/SUMIF($E$11:$E$140,"&gt;0.0000005"),""),"")</f>
        <v/>
      </c>
      <c r="G11" s="570" t="n"/>
      <c r="H11" s="570" t="n">
        <v>1</v>
      </c>
      <c r="I11" s="570" t="n">
        <v>-1</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W. C. Danforth and Susie Danforth, HW</t>
        </is>
      </c>
      <c r="E12" s="137">
        <f>SUM(G12:HP12)</f>
        <v/>
      </c>
      <c r="F12" s="569">
        <f>IFERROR(IF($E12&gt;0.0000005,$E12/SUMIF($E$11:$E$140,"&gt;0.0000005"),""),"")</f>
        <v/>
      </c>
      <c r="G12" s="570" t="n"/>
      <c r="H12" s="570" t="n"/>
      <c r="I12" s="570" t="n">
        <v>1</v>
      </c>
      <c r="J12" s="570" t="n">
        <v>-1</v>
      </c>
      <c r="K12" s="570" t="n"/>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Benjamin H. Shotwell</t>
        </is>
      </c>
      <c r="E13" s="84">
        <f>SUM(G13:HP13)</f>
        <v/>
      </c>
      <c r="F13" s="569">
        <f>IFERROR(IF($E13&gt;0.0000005,$E13/SUMIF($E$11:$E$140,"&gt;0.0000005"),""),"")</f>
        <v/>
      </c>
      <c r="G13" s="570" t="n"/>
      <c r="H13" s="571" t="n"/>
      <c r="I13" s="570" t="n"/>
      <c r="J13" s="570" t="n">
        <v>1</v>
      </c>
      <c r="K13" s="570" t="n">
        <v>-1</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Maggie Bennett</t>
        </is>
      </c>
      <c r="E14" s="84">
        <f>SUM(G14:HP14)</f>
        <v/>
      </c>
      <c r="F14" s="569">
        <f>IFERROR(IF($E14&gt;0.0000005,$E14/SUMIF($E$11:$E$140,"&gt;0.0000005"),""),"")</f>
        <v/>
      </c>
      <c r="G14" s="570" t="n"/>
      <c r="H14" s="570" t="n"/>
      <c r="I14" s="570" t="n"/>
      <c r="J14" s="570" t="n"/>
      <c r="K14" s="570" t="n">
        <v>0.2</v>
      </c>
      <c r="L14" s="570" t="n">
        <v>-0.2</v>
      </c>
      <c r="M14" s="570" t="n"/>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Eli L. Shotwell</t>
        </is>
      </c>
      <c r="E15" s="84">
        <f>SUM(G15:HP15)</f>
        <v/>
      </c>
      <c r="F15" s="569">
        <f>IFERROR(IF($E15&gt;0.0000005,$E15/SUMIF($E$11:$E$140,"&gt;0.0000005"),""),"")</f>
        <v/>
      </c>
      <c r="G15" s="570" t="n"/>
      <c r="H15" s="571" t="n"/>
      <c r="I15" s="570" t="n"/>
      <c r="J15" s="570" t="n"/>
      <c r="K15" s="570" t="n">
        <v>0.2</v>
      </c>
      <c r="L15" s="570" t="n">
        <v>-0.2</v>
      </c>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Pearl L. Davis</t>
        </is>
      </c>
      <c r="E16" s="84">
        <f>SUM(G16:HQ16)</f>
        <v/>
      </c>
      <c r="F16" s="569">
        <f>IFERROR(IF($E16&gt;0.0000005,$E16/SUMIF($E$11:$E$140,"&gt;0.0000005"),""),"")</f>
        <v/>
      </c>
      <c r="G16" s="570" t="n"/>
      <c r="H16" s="570" t="n"/>
      <c r="I16" s="570" t="n"/>
      <c r="J16" s="570" t="n"/>
      <c r="K16" s="570" t="n">
        <v>0.2</v>
      </c>
      <c r="L16" s="570" t="n">
        <v>-0.2</v>
      </c>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Roy T. Shotwell</t>
        </is>
      </c>
      <c r="E17" s="84">
        <f>SUM(G17:HQ17)</f>
        <v/>
      </c>
      <c r="F17" s="569">
        <f>IFERROR(IF($E17&gt;0.0000005,$E17/SUMIF($E$11:$E$140,"&gt;0.0000005"),""),"")</f>
        <v/>
      </c>
      <c r="G17" s="570" t="n"/>
      <c r="H17" s="570" t="n"/>
      <c r="I17" s="570" t="n"/>
      <c r="J17" s="570" t="n"/>
      <c r="K17" s="570" t="n">
        <v>0.2</v>
      </c>
      <c r="L17" s="570" t="n">
        <v>-0.2</v>
      </c>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Ida M. Cuff</t>
        </is>
      </c>
      <c r="E18" s="137">
        <f>SUM(G18:HQ18)</f>
        <v/>
      </c>
      <c r="F18" s="569">
        <f>IFERROR(IF($E18&gt;0.0000005,$E18/SUMIF($E$11:$E$140,"&gt;0.0000005"),""),"")</f>
        <v/>
      </c>
      <c r="G18" s="570" t="n"/>
      <c r="H18" s="570" t="n"/>
      <c r="I18" s="571" t="n"/>
      <c r="J18" s="570" t="n"/>
      <c r="K18" s="570" t="n">
        <v>0.2</v>
      </c>
      <c r="L18" s="570" t="n">
        <v>-0.2</v>
      </c>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H. M. Carter</t>
        </is>
      </c>
      <c r="E19" s="84">
        <f>SUM(G19:HQ19)</f>
        <v/>
      </c>
      <c r="F19" s="569">
        <f>IFERROR(IF($E19&gt;0.0000005,$E19/SUMIF($E$11:$E$140,"&gt;0.0000005"),""),"")</f>
        <v/>
      </c>
      <c r="G19" s="570" t="n"/>
      <c r="H19" s="570" t="n"/>
      <c r="I19" s="570" t="n"/>
      <c r="J19" s="570" t="n"/>
      <c r="K19" s="570" t="n"/>
      <c r="L19" s="570" t="n">
        <v>1</v>
      </c>
      <c r="M19" s="570" t="n">
        <v>-0.5</v>
      </c>
      <c r="N19" s="570" t="n">
        <v>-0.07692307692307693</v>
      </c>
      <c r="O19" s="585" t="n">
        <v>0</v>
      </c>
      <c r="P19" s="585" t="n"/>
      <c r="Q19" s="572" t="n">
        <v>-0.4230769230769231</v>
      </c>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Marvin G. Mitchell and Carrie Lou Mitchell, HW, JTWROS</t>
        </is>
      </c>
      <c r="E20" s="137">
        <f>SUM(G20:HQ20)</f>
        <v/>
      </c>
      <c r="F20" s="569">
        <f>IFERROR(IF($E20&gt;0.0000005,$E20/SUMIF($E$11:$E$140,"&gt;0.0000005"),""),"")</f>
        <v/>
      </c>
      <c r="G20" s="570" t="n"/>
      <c r="H20" s="570" t="n"/>
      <c r="I20" s="570" t="n"/>
      <c r="J20" s="570" t="n"/>
      <c r="K20" s="570" t="n"/>
      <c r="L20" s="570" t="n"/>
      <c r="M20" s="570" t="n">
        <v>0.5</v>
      </c>
      <c r="N20" s="570" t="n"/>
      <c r="O20" s="585" t="n">
        <v>0</v>
      </c>
      <c r="P20" s="585" t="n">
        <v>0</v>
      </c>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G. C. Mitchel and Glenn D. Mitchel</t>
        </is>
      </c>
      <c r="E21" s="84">
        <f>SUM(G21:HP21)</f>
        <v/>
      </c>
      <c r="F21" s="569">
        <f>IFERROR(IF($E21&gt;0.0000005,$E21/SUMIF($E$11:$E$140,"&gt;0.0000005"),""),"")</f>
        <v/>
      </c>
      <c r="G21" s="570" t="n"/>
      <c r="H21" s="570" t="n"/>
      <c r="I21" s="570" t="n"/>
      <c r="J21" s="570" t="n"/>
      <c r="K21" s="570" t="n"/>
      <c r="L21" s="570" t="n"/>
      <c r="M21" s="570" t="n"/>
      <c r="N21" s="570" t="n">
        <v>0.07692307692307693</v>
      </c>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L. E. Thurnman</t>
        </is>
      </c>
      <c r="E22" s="137">
        <f>SUM(G22:HP22)</f>
        <v/>
      </c>
      <c r="F22" s="569">
        <f>IFERROR(IF($E22&gt;0.0000005,$E22/SUMIF($E$11:$E$140,"&gt;0.0000005"),""),"")</f>
        <v/>
      </c>
      <c r="G22" s="570" t="n"/>
      <c r="H22" s="570" t="n"/>
      <c r="I22" s="570" t="n"/>
      <c r="J22" s="570" t="n"/>
      <c r="K22" s="570" t="n"/>
      <c r="L22" s="570" t="n"/>
      <c r="M22" s="570" t="n"/>
      <c r="N22" s="570" t="n"/>
      <c r="O22" s="570" t="n"/>
      <c r="P22" s="570" t="n"/>
      <c r="Q22" s="570" t="n">
        <v>0.4230769230769231</v>
      </c>
      <c r="R22" s="570" t="n">
        <v>-0.2307692307692308</v>
      </c>
      <c r="S22" s="586" t="n"/>
      <c r="T22" s="570" t="n"/>
      <c r="U22" s="570" t="n"/>
      <c r="V22" s="570" t="n">
        <v>-0.153846153846154</v>
      </c>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Marie Lister</t>
        </is>
      </c>
      <c r="E23" s="137">
        <f>SUM(G23:HP23)</f>
        <v/>
      </c>
      <c r="F23" s="569">
        <f>IFERROR(IF($E23&gt;0.0000005,$E23/SUMIF($E$11:$E$140,"&gt;0.0000005"),""),"")</f>
        <v/>
      </c>
      <c r="G23" s="570" t="n"/>
      <c r="H23" s="570" t="n"/>
      <c r="I23" s="570" t="n"/>
      <c r="J23" s="570" t="n"/>
      <c r="K23" s="570" t="n"/>
      <c r="L23" s="570" t="n"/>
      <c r="M23" s="570" t="n"/>
      <c r="N23" s="570" t="n"/>
      <c r="O23" s="570" t="n"/>
      <c r="P23" s="570" t="n"/>
      <c r="Q23" s="570" t="n"/>
      <c r="R23" s="570" t="n">
        <v>0.2307692307692308</v>
      </c>
      <c r="S23" s="570" t="n">
        <v>-0.153846153846154</v>
      </c>
      <c r="T23" s="586" t="n">
        <v>-0.03846153846153846</v>
      </c>
      <c r="U23" s="586" t="n">
        <v>-0.03846153846153846</v>
      </c>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W. H. Sorenson</t>
        </is>
      </c>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v>0.1538461538461539</v>
      </c>
      <c r="T24" s="586" t="n"/>
      <c r="U24" s="586" t="n"/>
      <c r="V24" s="570" t="n"/>
      <c r="W24" s="570" t="n"/>
      <c r="X24" s="570" t="n">
        <v>-0.1538461538461539</v>
      </c>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Mann Childrens Trust</t>
        </is>
      </c>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v>0.03846153846153846</v>
      </c>
      <c r="U25" s="586" t="n"/>
      <c r="V25" s="570" t="n"/>
      <c r="W25" s="570" t="n"/>
      <c r="X25" s="570" t="n"/>
      <c r="Y25" s="570" t="n"/>
      <c r="Z25" s="570" t="n">
        <v>-0.00769230769230769</v>
      </c>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J. E. Barnett</t>
        </is>
      </c>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v>0.03846153846153846</v>
      </c>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v>0.1538461538461539</v>
      </c>
      <c r="W27" s="571" t="n">
        <v>-0.0192307692307692</v>
      </c>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v>0.01923076923076923</v>
      </c>
      <c r="X28" s="570" t="n"/>
      <c r="Y28" s="570" t="n">
        <v>-0.0192307692307692</v>
      </c>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v>0.1538461538461539</v>
      </c>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inlineStr">
        <is>
          <t>Continental Illinois Energy Development Corp</t>
        </is>
      </c>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v>0.01923076923076923</v>
      </c>
      <c r="Z30" s="586" t="n"/>
      <c r="AA30" s="586" t="n">
        <v>-0.0192307692307692</v>
      </c>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488">
        <f>E31*D$5</f>
        <v/>
      </c>
      <c r="D31" s="489" t="inlineStr">
        <is>
          <t>Mann Group Investment Company</t>
        </is>
      </c>
      <c r="E31" s="488">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v>0.007692307692307693</v>
      </c>
      <c r="AA31" s="570" t="n"/>
      <c r="AB31" s="570" t="n"/>
      <c r="AC31" s="570" t="n">
        <v>-0.0384615384615385</v>
      </c>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inlineStr">
        <is>
          <t>Cimarron Mineral Corporation</t>
        </is>
      </c>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v>0.01923076923076923</v>
      </c>
      <c r="AB32" s="570" t="n">
        <v>-0.0192307692307692</v>
      </c>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inlineStr">
        <is>
          <t>Inter-American Corporation</t>
        </is>
      </c>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v>0.01923076923076923</v>
      </c>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inlineStr">
        <is>
          <t>Bluebonnet Investments, Ltd.</t>
        </is>
      </c>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v>0.03846153846153846</v>
      </c>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20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3.08</v>
      </c>
      <c r="D89" s="114" t="inlineStr">
        <is>
          <t>G. C. Mitchel and Glenn D. Mitchel</t>
        </is>
      </c>
      <c r="E89" s="84" t="n"/>
      <c r="V89" s="579" t="n"/>
      <c r="AC89" s="579" t="n"/>
      <c r="AD89" s="574" t="n"/>
      <c r="AE89" s="574" t="n"/>
      <c r="AF89" s="574" t="n"/>
      <c r="AG89" s="574" t="n"/>
      <c r="AH89" s="574" t="n"/>
      <c r="AI89" s="574" t="n"/>
      <c r="AJ89" s="574" t="n"/>
      <c r="AK89" s="579" t="n"/>
      <c r="AL89" s="574" t="n"/>
      <c r="AM89" s="579" t="n"/>
      <c r="AN89" s="574" t="n"/>
    </row>
    <row r="90" ht="25.5" customFormat="1" customHeight="1" s="568">
      <c r="A90" s="86" t="inlineStr">
        <is>
          <t>per Title summary (6/25/2026)</t>
        </is>
      </c>
      <c r="B90" s="85" t="n"/>
      <c r="C90" s="481" t="n">
        <v>1.54</v>
      </c>
      <c r="D90" s="114" t="inlineStr">
        <is>
          <t>L. E. Thurnman</t>
        </is>
      </c>
      <c r="E90" s="137" t="n"/>
      <c r="AD90" s="574" t="n"/>
      <c r="AE90" s="574" t="n"/>
      <c r="AF90" s="574" t="n"/>
      <c r="AG90" s="574" t="n"/>
      <c r="AH90" s="574" t="n"/>
      <c r="AI90" s="574" t="n"/>
      <c r="AJ90" s="574" t="n"/>
      <c r="AL90" s="574" t="n"/>
      <c r="AN90" s="574" t="n"/>
    </row>
    <row r="91" ht="25.5" customFormat="1" customHeight="1" s="568">
      <c r="A91" s="86" t="inlineStr">
        <is>
          <t>per Title summary (6/25/2026)</t>
        </is>
      </c>
      <c r="B91" s="85" t="n"/>
      <c r="C91" s="482" t="n">
        <v>1.23</v>
      </c>
      <c r="D91" s="114" t="inlineStr">
        <is>
          <t>Mann Childrens Trust</t>
        </is>
      </c>
      <c r="E91" s="137" t="n"/>
      <c r="AD91" s="574" t="n"/>
      <c r="AE91" s="574" t="n"/>
      <c r="AF91" s="574" t="n"/>
      <c r="AG91" s="574" t="n"/>
      <c r="AH91" s="574" t="n"/>
      <c r="AI91" s="574" t="n"/>
      <c r="AJ91" s="574" t="n"/>
      <c r="AL91" s="574" t="n"/>
      <c r="AN91" s="574" t="n"/>
    </row>
    <row r="92" ht="25.5" customFormat="1" customHeight="1" s="568">
      <c r="A92" s="86" t="inlineStr">
        <is>
          <t>per Title summary (6/25/2026)</t>
        </is>
      </c>
      <c r="B92" s="85" t="n"/>
      <c r="C92" s="481" t="n">
        <v>1.54</v>
      </c>
      <c r="D92" s="114" t="inlineStr">
        <is>
          <t>J. E. Barnett</t>
        </is>
      </c>
      <c r="E92" s="137" t="n"/>
      <c r="AD92" s="574" t="n"/>
      <c r="AE92" s="574" t="n"/>
      <c r="AF92" s="574" t="n"/>
      <c r="AG92" s="574" t="n"/>
      <c r="AH92" s="574" t="n"/>
      <c r="AI92" s="574" t="n"/>
      <c r="AJ92" s="574" t="n"/>
      <c r="AL92" s="574" t="n"/>
      <c r="AN92" s="574" t="n"/>
    </row>
    <row r="93" ht="25.5" customFormat="1" customHeight="1" s="568">
      <c r="A93" s="86" t="inlineStr">
        <is>
          <t>per Title summary (6/25/2026)</t>
        </is>
      </c>
      <c r="B93" s="85" t="n"/>
      <c r="C93" s="482" t="n">
        <v>5.38</v>
      </c>
      <c r="D93" s="114" t="inlineStr">
        <is>
          <t>Nolan E. Britton, Inc.</t>
        </is>
      </c>
      <c r="E93" s="137" t="n"/>
      <c r="AD93" s="574" t="n"/>
      <c r="AE93" s="574" t="n"/>
      <c r="AF93" s="574" t="n"/>
      <c r="AG93" s="574" t="n"/>
      <c r="AH93" s="574" t="n"/>
      <c r="AI93" s="574" t="n"/>
      <c r="AJ93" s="574" t="n"/>
      <c r="AL93" s="574" t="n"/>
      <c r="AN93" s="574" t="n"/>
    </row>
    <row r="94" ht="25.5" customFormat="1" customHeight="1" s="568">
      <c r="A94" s="86" t="inlineStr">
        <is>
          <t>per Title summary (6/25/2026)</t>
        </is>
      </c>
      <c r="B94" s="85" t="n"/>
      <c r="C94" s="481" t="n">
        <v>6.15</v>
      </c>
      <c r="D94" s="114" t="inlineStr">
        <is>
          <t>Sorenson Oil &amp; Gas Trust, Michelle Sorenson Johnson/Marchelle Sorenson Uaigle, Trustees</t>
        </is>
      </c>
      <c r="E94" s="137" t="n"/>
      <c r="AD94" s="574" t="n"/>
      <c r="AE94" s="574" t="n"/>
      <c r="AF94" s="574" t="n"/>
      <c r="AG94" s="574" t="n"/>
      <c r="AH94" s="574" t="n"/>
      <c r="AI94" s="574" t="n"/>
      <c r="AJ94" s="574" t="n"/>
      <c r="AL94" s="574" t="n"/>
      <c r="AN94" s="574" t="n"/>
    </row>
    <row r="95" ht="25.5" customFormat="1" customHeight="1" s="568">
      <c r="A95" s="86" t="inlineStr">
        <is>
          <t>per Title summary (6/25/2026)</t>
        </is>
      </c>
      <c r="B95" s="85" t="n"/>
      <c r="C95" s="482" t="n">
        <v>0.77</v>
      </c>
      <c r="D95" s="114" t="inlineStr">
        <is>
          <t>Inter-American Corporation</t>
        </is>
      </c>
      <c r="E95" s="137" t="n"/>
      <c r="AD95" s="574" t="n"/>
      <c r="AE95" s="574" t="n"/>
      <c r="AF95" s="574" t="n"/>
      <c r="AG95" s="574" t="n"/>
      <c r="AH95" s="574" t="n"/>
      <c r="AI95" s="574" t="n"/>
      <c r="AJ95" s="574" t="n"/>
      <c r="AL95" s="574" t="n"/>
      <c r="AN95" s="574" t="n"/>
    </row>
    <row r="96" ht="25.5" customFormat="1" customHeight="1" s="568">
      <c r="A96" s="86" t="inlineStr">
        <is>
          <t>per Title summary (6/25/2026)</t>
        </is>
      </c>
      <c r="B96" s="85" t="n"/>
      <c r="C96" s="481" t="n">
        <v>1.54</v>
      </c>
      <c r="D96" s="114" t="inlineStr">
        <is>
          <t>Bluebonnet Investments, Ltd.</t>
        </is>
      </c>
      <c r="E96" s="84" t="n"/>
      <c r="AD96" s="574" t="n"/>
      <c r="AE96" s="574" t="n"/>
      <c r="AF96" s="574" t="n"/>
      <c r="AG96" s="574" t="n"/>
      <c r="AH96" s="574" t="n"/>
      <c r="AI96" s="574" t="n"/>
      <c r="AJ96" s="574" t="n"/>
      <c r="AL96" s="574" t="n"/>
      <c r="AN96" s="574" t="n"/>
    </row>
    <row r="97" ht="51" customFormat="1" customHeight="1" s="568">
      <c r="A97" s="86" t="inlineStr">
        <is>
          <t>NOTE: candidate total 41.23 &gt; 40 gross — over-conveyance; examiner review</t>
        </is>
      </c>
      <c r="B97" s="85" t="n"/>
      <c r="C97" s="596">
        <f>SUM(C88:C96)</f>
        <v/>
      </c>
      <c r="D97" s="476" t="inlineStr">
        <is>
          <t>TOTAL — current mineral ownership (NMA)</t>
        </is>
      </c>
      <c r="E97" s="84" t="n"/>
      <c r="AD97" s="574" t="n"/>
      <c r="AE97" s="574" t="n"/>
      <c r="AF97" s="574" t="n"/>
      <c r="AG97" s="574" t="n"/>
      <c r="AH97" s="574" t="n"/>
      <c r="AI97" s="574" t="n"/>
      <c r="AJ97" s="574" t="n"/>
      <c r="AL97" s="574" t="n"/>
      <c r="AN97" s="574" t="n"/>
    </row>
    <row r="98" customFormat="1" s="568">
      <c r="A98" s="86" t="n"/>
      <c r="B98" s="85" t="n"/>
      <c r="C98" s="84" t="n"/>
      <c r="D98" s="114" t="n"/>
      <c r="E98" s="84" t="n"/>
      <c r="AD98" s="574" t="n"/>
      <c r="AE98" s="574" t="n"/>
      <c r="AF98" s="574" t="n"/>
      <c r="AG98" s="574" t="n"/>
      <c r="AH98" s="574" t="n"/>
      <c r="AI98" s="574" t="n"/>
      <c r="AJ98" s="574" t="n"/>
      <c r="AL98" s="574" t="n"/>
      <c r="AN98" s="574" t="n"/>
    </row>
    <row r="99" customFormat="1" s="568">
      <c r="A99" s="86" t="n"/>
      <c r="B99" s="85" t="n"/>
      <c r="C99" s="84" t="n"/>
      <c r="D99" s="51" t="n"/>
      <c r="E99" s="84" t="n"/>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inlineStr">
        <is>
          <t>Fraction / NMA</t>
        </is>
      </c>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Q145"/>
  <sheetViews>
    <sheetView zoomScaleNormal="120" workbookViewId="0">
      <pane xSplit="6" topLeftCell="G1" activePane="topRight" state="frozen"/>
      <selection pane="topRight" activeCell="D7" sqref="D7"/>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3.42578125" bestFit="1" customWidth="1" style="61" min="8" max="8"/>
    <col width="11.7109375" bestFit="1" customWidth="1" style="61" min="9" max="9"/>
    <col width="15.140625" bestFit="1" customWidth="1" style="61" min="10" max="10"/>
    <col width="14.42578125" customWidth="1" style="61" min="11" max="173"/>
    <col width="3" customWidth="1" style="62" min="174" max="174"/>
    <col width="14.42578125" customWidth="1" style="61" min="175" max="16384"/>
  </cols>
  <sheetData>
    <row r="1" ht="12.75" customFormat="1" customHeight="1" s="110" thickTop="1">
      <c r="A1" s="534" t="inlineStr">
        <is>
          <t>8</t>
        </is>
      </c>
      <c r="B1" s="535" t="inlineStr">
        <is>
          <t>TRACT</t>
        </is>
      </c>
      <c r="C1" s="536" t="n"/>
      <c r="D1" s="597" t="inlineStr">
        <is>
          <t>All rights to the Springer Formation</t>
        </is>
      </c>
      <c r="E1" s="538" t="inlineStr">
        <is>
          <t>Image Number</t>
        </is>
      </c>
      <c r="F1" s="539" t="n"/>
      <c r="G1" s="111" t="n"/>
      <c r="H1" s="107" t="inlineStr">
        <is>
          <t>Assignment</t>
        </is>
      </c>
      <c r="I1" s="107" t="inlineStr">
        <is>
          <t>Assignment</t>
        </is>
      </c>
      <c r="J1" s="107" t="inlineStr">
        <is>
          <t>Assignment</t>
        </is>
      </c>
      <c r="K1" s="107" t="inlineStr">
        <is>
          <t>Assignment</t>
        </is>
      </c>
      <c r="L1" s="107" t="inlineStr">
        <is>
          <t>Assignment</t>
        </is>
      </c>
      <c r="M1" s="107" t="inlineStr">
        <is>
          <t>Assignment</t>
        </is>
      </c>
      <c r="N1" s="107" t="inlineStr">
        <is>
          <t>Assignment</t>
        </is>
      </c>
      <c r="O1" s="107" t="inlineStr">
        <is>
          <t>Assignment</t>
        </is>
      </c>
      <c r="P1" s="107" t="inlineStr">
        <is>
          <t>Assignment</t>
        </is>
      </c>
      <c r="Q1" s="107" t="inlineStr">
        <is>
          <t>Assignment</t>
        </is>
      </c>
      <c r="R1" s="107" t="inlineStr">
        <is>
          <t>Assignment</t>
        </is>
      </c>
      <c r="S1" s="107" t="inlineStr">
        <is>
          <t>Assignment</t>
        </is>
      </c>
      <c r="T1" s="107" t="inlineStr">
        <is>
          <t>Wellbore Assignment</t>
        </is>
      </c>
      <c r="U1" s="107" t="inlineStr">
        <is>
          <t>Assignment</t>
        </is>
      </c>
      <c r="V1" s="107" t="inlineStr">
        <is>
          <t>Assignment</t>
        </is>
      </c>
      <c r="W1" s="107" t="inlineStr">
        <is>
          <t>Assignment</t>
        </is>
      </c>
      <c r="X1" s="107" t="inlineStr">
        <is>
          <t>Assignment</t>
        </is>
      </c>
      <c r="Y1" s="107" t="inlineStr">
        <is>
          <t>Wellbore Assignment</t>
        </is>
      </c>
      <c r="Z1" s="107" t="n"/>
      <c r="AA1" s="107" t="inlineStr">
        <is>
          <t>OGL</t>
        </is>
      </c>
      <c r="AB1" s="107" t="inlineStr">
        <is>
          <t>OGL</t>
        </is>
      </c>
      <c r="AC1" s="107" t="inlineStr">
        <is>
          <t>OGL</t>
        </is>
      </c>
      <c r="AD1" s="107" t="inlineStr">
        <is>
          <t>OGL</t>
        </is>
      </c>
      <c r="AE1" s="107" t="inlineStr">
        <is>
          <t>OGL</t>
        </is>
      </c>
      <c r="AF1" s="107" t="inlineStr">
        <is>
          <t>OGL</t>
        </is>
      </c>
      <c r="AG1" s="107" t="n"/>
      <c r="AH1" s="107" t="n"/>
      <c r="AI1" s="107" t="n"/>
      <c r="AJ1" s="107" t="n"/>
      <c r="AK1" s="107" t="n"/>
      <c r="AL1" s="107" t="n"/>
      <c r="AM1" s="107" t="n"/>
      <c r="AN1" s="107" t="n"/>
      <c r="AO1" s="107" t="n"/>
      <c r="AP1" s="107" t="n"/>
      <c r="AQ1" s="107" t="n"/>
      <c r="AR1" s="107" t="n"/>
      <c r="AS1" s="107" t="n"/>
      <c r="AT1" s="107" t="n"/>
      <c r="AU1" s="107" t="n"/>
      <c r="AV1" s="107" t="n"/>
      <c r="AW1" s="107" t="n"/>
      <c r="AX1" s="107" t="n"/>
      <c r="AY1" s="107" t="n"/>
      <c r="AZ1" s="107" t="n"/>
      <c r="BA1" s="107" t="n"/>
      <c r="BB1" s="107" t="n"/>
      <c r="BC1" s="107" t="n"/>
      <c r="BD1" s="107" t="n"/>
      <c r="BE1" s="107" t="n"/>
      <c r="BF1" s="107" t="n"/>
      <c r="BG1" s="107" t="n"/>
      <c r="BH1" s="107" t="n"/>
      <c r="BI1" s="107" t="n"/>
      <c r="BJ1" s="107" t="n"/>
      <c r="BK1" s="107" t="n"/>
      <c r="BL1" s="107" t="n"/>
      <c r="BM1" s="107" t="n"/>
      <c r="BN1" s="107" t="n"/>
      <c r="BO1" s="107" t="n"/>
      <c r="BP1" s="107" t="n"/>
      <c r="BQ1" s="107" t="n"/>
      <c r="BR1" s="107" t="n"/>
      <c r="BS1" s="107" t="n"/>
      <c r="BT1" s="107" t="n"/>
      <c r="BU1" s="107" t="n"/>
      <c r="BV1" s="107" t="n"/>
      <c r="BW1" s="107" t="n"/>
      <c r="BX1" s="107" t="n"/>
      <c r="BY1" s="107" t="n"/>
      <c r="BZ1" s="107" t="n"/>
      <c r="CA1" s="107" t="n"/>
      <c r="CB1" s="107" t="n"/>
      <c r="CC1" s="107" t="n"/>
      <c r="CD1" s="107" t="n"/>
      <c r="CE1" s="107" t="n"/>
      <c r="CF1" s="107" t="n"/>
      <c r="CG1" s="107" t="n"/>
      <c r="CH1" s="107" t="n"/>
      <c r="CI1" s="107" t="n"/>
      <c r="CJ1" s="107" t="n"/>
      <c r="CK1" s="107" t="n"/>
      <c r="CL1" s="107" t="n"/>
      <c r="CM1" s="107" t="n"/>
      <c r="CN1" s="107" t="n"/>
      <c r="CO1" s="107" t="n"/>
      <c r="CP1" s="107" t="n"/>
      <c r="CQ1" s="107" t="n"/>
      <c r="CR1" s="107" t="n"/>
      <c r="CS1" s="107" t="n"/>
      <c r="CT1" s="107" t="n"/>
      <c r="CU1" s="107" t="n"/>
      <c r="CV1" s="107" t="n"/>
      <c r="CW1" s="107" t="n"/>
      <c r="CX1" s="107" t="n"/>
      <c r="CY1" s="107" t="n"/>
      <c r="CZ1" s="107" t="n"/>
      <c r="DA1" s="107" t="n"/>
      <c r="DB1" s="107" t="n"/>
      <c r="DC1" s="107" t="n"/>
      <c r="DD1" s="107" t="n"/>
      <c r="DE1" s="107" t="n"/>
      <c r="DF1" s="107" t="n"/>
      <c r="DG1" s="107" t="n"/>
      <c r="DH1" s="107" t="n"/>
      <c r="DI1" s="107" t="n"/>
      <c r="DJ1" s="107" t="n"/>
      <c r="DK1" s="107" t="n"/>
      <c r="DL1" s="107" t="n"/>
      <c r="DM1" s="107" t="n"/>
      <c r="DN1" s="107" t="n"/>
      <c r="DO1" s="107" t="n"/>
      <c r="DP1" s="107" t="n"/>
      <c r="DQ1" s="107" t="n"/>
      <c r="DR1" s="107" t="n"/>
      <c r="DS1" s="107" t="n"/>
      <c r="DT1" s="107" t="n"/>
      <c r="DU1" s="107" t="n"/>
      <c r="DV1" s="107" t="n"/>
      <c r="DW1" s="107" t="n"/>
      <c r="DX1" s="107" t="n"/>
      <c r="DY1" s="107" t="n"/>
      <c r="DZ1" s="107" t="n"/>
      <c r="EA1" s="107" t="n"/>
      <c r="EB1" s="107" t="n"/>
      <c r="EC1" s="107" t="n"/>
      <c r="ED1" s="107" t="n"/>
      <c r="EE1" s="107" t="n"/>
      <c r="EF1" s="107" t="n"/>
      <c r="EG1" s="107" t="n"/>
      <c r="EH1" s="107" t="n"/>
      <c r="EI1" s="107" t="n"/>
      <c r="EJ1" s="107" t="n"/>
      <c r="EK1" s="107" t="n"/>
      <c r="EL1" s="107" t="n"/>
      <c r="EM1" s="107" t="n"/>
      <c r="EN1" s="107" t="n"/>
      <c r="EO1" s="107" t="n"/>
      <c r="EP1" s="107" t="n"/>
      <c r="EQ1" s="107" t="n"/>
      <c r="ER1" s="107" t="n"/>
      <c r="ES1" s="107" t="n"/>
      <c r="ET1" s="107" t="n"/>
      <c r="EU1" s="107" t="n"/>
      <c r="EV1" s="107" t="n"/>
      <c r="EW1" s="107" t="n"/>
      <c r="EX1" s="107" t="n"/>
      <c r="EY1" s="107" t="n"/>
      <c r="EZ1" s="107" t="n"/>
      <c r="FA1" s="107" t="n"/>
      <c r="FB1" s="107" t="n"/>
      <c r="FC1" s="107" t="n"/>
      <c r="FD1" s="107" t="n"/>
      <c r="FE1" s="107" t="n"/>
      <c r="FF1" s="107" t="n"/>
      <c r="FG1" s="107" t="n"/>
      <c r="FH1" s="107" t="n"/>
      <c r="FI1" s="107" t="n"/>
      <c r="FJ1" s="107" t="n"/>
      <c r="FK1" s="107" t="n"/>
      <c r="FL1" s="107" t="n"/>
      <c r="FM1" s="107" t="n"/>
      <c r="FN1" s="107" t="n"/>
      <c r="FO1" s="107" t="n"/>
      <c r="FP1" s="107" t="n"/>
      <c r="FQ1" s="107" t="n"/>
    </row>
    <row r="2" ht="12.75" customFormat="1" customHeight="1" s="110">
      <c r="A2" s="540" t="n"/>
      <c r="B2" s="541" t="inlineStr">
        <is>
          <t>DESCRIPTION</t>
        </is>
      </c>
      <c r="C2" s="536" t="n"/>
      <c r="D2" s="598" t="n"/>
      <c r="E2" s="543" t="inlineStr">
        <is>
          <t xml:space="preserve">Book / Page </t>
        </is>
      </c>
      <c r="F2" s="539" t="n"/>
      <c r="G2" s="111" t="n"/>
      <c r="H2" s="56" t="inlineStr">
        <is>
          <t>1994-007065</t>
        </is>
      </c>
      <c r="I2" s="56" t="inlineStr">
        <is>
          <t>2007-008043</t>
        </is>
      </c>
      <c r="J2" s="59" t="inlineStr">
        <is>
          <t>2016-001883</t>
        </is>
      </c>
      <c r="K2" s="59" t="inlineStr">
        <is>
          <t>2016-002793</t>
        </is>
      </c>
      <c r="L2" s="59" t="inlineStr">
        <is>
          <t>2017-000083</t>
        </is>
      </c>
      <c r="M2" s="59" t="n"/>
      <c r="N2" s="59" t="inlineStr">
        <is>
          <t>2019-001779</t>
        </is>
      </c>
      <c r="O2" s="56" t="inlineStr">
        <is>
          <t>2020-001283</t>
        </is>
      </c>
      <c r="P2" s="54" t="inlineStr">
        <is>
          <t>2020-001577</t>
        </is>
      </c>
      <c r="Q2" s="56" t="n"/>
      <c r="R2" s="54" t="inlineStr">
        <is>
          <t>2021-001561</t>
        </is>
      </c>
      <c r="S2" s="54" t="inlineStr">
        <is>
          <t>2021-001605</t>
        </is>
      </c>
      <c r="T2" s="54" t="inlineStr">
        <is>
          <t>2023-003590</t>
        </is>
      </c>
      <c r="U2" s="54" t="inlineStr">
        <is>
          <t>2024-002310</t>
        </is>
      </c>
      <c r="V2" s="54" t="inlineStr">
        <is>
          <t>2024-003107</t>
        </is>
      </c>
      <c r="W2" s="54" t="inlineStr">
        <is>
          <t>2024-004916</t>
        </is>
      </c>
      <c r="X2" s="54" t="n"/>
      <c r="Y2" s="54" t="inlineStr">
        <is>
          <t>2025-006987</t>
        </is>
      </c>
      <c r="Z2" s="54" t="n"/>
      <c r="AA2" s="54" t="n">
        <v>289</v>
      </c>
      <c r="AB2" s="54" t="n">
        <v>290</v>
      </c>
      <c r="AC2" s="54" t="n">
        <v>291</v>
      </c>
      <c r="AD2" s="54" t="n">
        <v>292</v>
      </c>
      <c r="AE2" s="54" t="n">
        <v>293</v>
      </c>
      <c r="AF2" s="54" t="n">
        <v>294</v>
      </c>
      <c r="AG2" s="54"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4" t="n"/>
      <c r="C3" s="536" t="n"/>
      <c r="D3" s="599" t="n"/>
      <c r="E3" s="312" t="inlineStr">
        <is>
          <t xml:space="preserve">Date </t>
        </is>
      </c>
      <c r="F3" s="539" t="n"/>
      <c r="G3" s="111" t="n"/>
      <c r="H3" s="55" t="inlineStr">
        <is>
          <t>1608/0038</t>
        </is>
      </c>
      <c r="I3" s="55" t="inlineStr">
        <is>
          <t>1567/0006</t>
        </is>
      </c>
      <c r="J3" s="60" t="inlineStr">
        <is>
          <t>2343/0001</t>
        </is>
      </c>
      <c r="K3" s="60" t="inlineStr">
        <is>
          <t>2354/0229</t>
        </is>
      </c>
      <c r="L3" s="60" t="inlineStr">
        <is>
          <t>2356/0399</t>
        </is>
      </c>
      <c r="M3" s="60" t="inlineStr">
        <is>
          <t>2385/0072</t>
        </is>
      </c>
      <c r="N3" s="60" t="inlineStr">
        <is>
          <t>2425/0380</t>
        </is>
      </c>
      <c r="O3" s="60" t="inlineStr">
        <is>
          <t>2449/0333</t>
        </is>
      </c>
      <c r="P3" s="60" t="inlineStr">
        <is>
          <t>2452/0235</t>
        </is>
      </c>
      <c r="Q3" s="60" t="inlineStr">
        <is>
          <t>2455/0446</t>
        </is>
      </c>
      <c r="R3" s="53" t="inlineStr">
        <is>
          <t>2479/0001</t>
        </is>
      </c>
      <c r="S3" s="106" t="inlineStr">
        <is>
          <t>2480/0297</t>
        </is>
      </c>
      <c r="T3" s="106" t="inlineStr">
        <is>
          <t>2542/0413</t>
        </is>
      </c>
      <c r="U3" s="53" t="inlineStr">
        <is>
          <t>2567/0102</t>
        </is>
      </c>
      <c r="V3" s="53" t="inlineStr">
        <is>
          <t>2571/0579</t>
        </is>
      </c>
      <c r="W3" s="53" t="inlineStr">
        <is>
          <t>2584/0149</t>
        </is>
      </c>
      <c r="X3" s="53" t="inlineStr">
        <is>
          <t>2604/0111</t>
        </is>
      </c>
      <c r="Y3" s="53" t="inlineStr">
        <is>
          <t>2664/0169</t>
        </is>
      </c>
      <c r="Z3" s="53" t="n"/>
      <c r="AA3" s="53" t="inlineStr">
        <is>
          <t>2702/505</t>
        </is>
      </c>
      <c r="AB3" s="53" t="inlineStr">
        <is>
          <t>2697/520</t>
        </is>
      </c>
      <c r="AC3" s="53" t="inlineStr">
        <is>
          <t>2693/349</t>
        </is>
      </c>
      <c r="AD3" s="53" t="inlineStr">
        <is>
          <t>2693/337</t>
        </is>
      </c>
      <c r="AE3" s="53" t="inlineStr">
        <is>
          <t>2693/345</t>
        </is>
      </c>
      <c r="AF3" s="53" t="inlineStr">
        <is>
          <t>2697/524</t>
        </is>
      </c>
      <c r="AG3" s="53" t="n"/>
      <c r="AI3" s="106" t="n"/>
      <c r="AJ3" s="106" t="n"/>
      <c r="AK3" s="106" t="n"/>
      <c r="AL3" s="106" t="n"/>
      <c r="AM3" s="106" t="n"/>
      <c r="AN3" s="106" t="n"/>
      <c r="AO3" s="106" t="n"/>
      <c r="AP3" s="106" t="n"/>
      <c r="AQ3" s="106" t="n"/>
      <c r="AR3" s="106" t="n"/>
      <c r="AS3" s="106" t="n"/>
      <c r="AT3" s="106" t="n"/>
      <c r="AU3" s="106" t="n"/>
      <c r="AV3" s="106" t="n"/>
      <c r="AW3" s="106" t="n"/>
      <c r="AX3" s="106" t="n"/>
      <c r="AY3" s="106" t="n"/>
      <c r="AZ3" s="106" t="n"/>
      <c r="BA3" s="106" t="n"/>
      <c r="BB3" s="106" t="n"/>
      <c r="BC3" s="106" t="n"/>
      <c r="BD3" s="106" t="n"/>
      <c r="BE3" s="106" t="n"/>
      <c r="BF3" s="106" t="n"/>
      <c r="BG3" s="106" t="n"/>
      <c r="BH3" s="106" t="n"/>
      <c r="BI3" s="106" t="n"/>
      <c r="BJ3" s="106" t="n"/>
      <c r="BK3" s="106" t="n"/>
      <c r="BL3" s="106" t="n"/>
      <c r="BM3" s="106" t="n"/>
      <c r="BN3" s="106" t="n"/>
      <c r="BO3" s="106" t="n"/>
      <c r="BP3" s="106" t="n"/>
      <c r="BQ3" s="106" t="n"/>
      <c r="BR3" s="106" t="n"/>
      <c r="BS3" s="106" t="n"/>
      <c r="BT3" s="106" t="n"/>
      <c r="BU3" s="106" t="n"/>
      <c r="BV3" s="106" t="n"/>
      <c r="BW3" s="106" t="n"/>
      <c r="BX3" s="106" t="n"/>
      <c r="BY3" s="106" t="n"/>
      <c r="BZ3" s="106" t="n"/>
      <c r="CA3" s="106" t="n"/>
      <c r="CB3" s="106" t="n"/>
      <c r="CC3" s="106" t="n"/>
      <c r="CD3" s="106" t="n"/>
      <c r="CE3" s="106" t="n"/>
      <c r="CF3" s="106" t="n"/>
      <c r="CG3" s="106" t="n"/>
      <c r="CH3" s="106" t="n"/>
      <c r="CI3" s="106" t="n"/>
      <c r="CJ3" s="106" t="n"/>
      <c r="CK3" s="106" t="n"/>
      <c r="CL3" s="106" t="n"/>
      <c r="CM3" s="106" t="n"/>
      <c r="CN3" s="106" t="n"/>
      <c r="CO3" s="106" t="n"/>
      <c r="CP3" s="106" t="n"/>
      <c r="CQ3" s="106" t="n"/>
      <c r="CR3" s="106" t="n"/>
      <c r="CS3" s="106" t="n"/>
      <c r="CT3" s="106" t="n"/>
      <c r="CU3" s="106" t="n"/>
      <c r="CV3" s="106" t="n"/>
      <c r="CW3" s="106" t="n"/>
      <c r="CX3" s="106" t="n"/>
      <c r="CY3" s="106" t="n"/>
      <c r="CZ3" s="106" t="n"/>
      <c r="DA3" s="106" t="n"/>
      <c r="DB3" s="106" t="n"/>
      <c r="DC3" s="106" t="n"/>
      <c r="DD3" s="106" t="n"/>
      <c r="DE3" s="106" t="n"/>
      <c r="DF3" s="106" t="n"/>
      <c r="DG3" s="106" t="n"/>
      <c r="DH3" s="106" t="n"/>
      <c r="DI3" s="106" t="n"/>
      <c r="DJ3" s="106" t="n"/>
      <c r="DK3" s="106" t="n"/>
      <c r="DL3" s="106" t="n"/>
      <c r="DM3" s="106" t="n"/>
      <c r="DN3" s="106" t="n"/>
      <c r="DO3" s="106" t="n"/>
      <c r="DP3" s="106" t="n"/>
      <c r="DQ3" s="106" t="n"/>
      <c r="DR3" s="106" t="n"/>
      <c r="DS3" s="106" t="n"/>
      <c r="DT3" s="106" t="n"/>
      <c r="DU3" s="106" t="n"/>
      <c r="DV3" s="106" t="n"/>
      <c r="DW3" s="106" t="n"/>
      <c r="DX3" s="106" t="n"/>
      <c r="DY3" s="106" t="n"/>
      <c r="DZ3" s="106" t="n"/>
      <c r="EA3" s="106" t="n"/>
      <c r="EB3" s="106" t="n"/>
      <c r="EC3" s="106" t="n"/>
      <c r="ED3" s="106" t="n"/>
      <c r="EE3" s="106" t="n"/>
      <c r="EF3" s="106" t="n"/>
      <c r="EG3" s="106" t="n"/>
      <c r="EH3" s="106" t="n"/>
      <c r="EI3" s="106" t="n"/>
      <c r="EJ3" s="106" t="n"/>
      <c r="EK3" s="106" t="n"/>
      <c r="EL3" s="106" t="n"/>
      <c r="EM3" s="106" t="n"/>
      <c r="EN3" s="106" t="n"/>
      <c r="EO3" s="106" t="n"/>
      <c r="EP3" s="106" t="n"/>
      <c r="EQ3" s="106" t="n"/>
      <c r="ER3" s="106" t="n"/>
      <c r="ES3" s="106" t="n"/>
      <c r="ET3" s="106" t="n"/>
      <c r="EU3" s="106" t="n"/>
      <c r="EV3" s="106" t="n"/>
      <c r="EW3" s="106" t="n"/>
      <c r="EX3" s="106" t="n"/>
      <c r="EY3" s="106" t="n"/>
      <c r="EZ3" s="106" t="n"/>
      <c r="FA3" s="106" t="n"/>
      <c r="FB3" s="106" t="n"/>
      <c r="FC3" s="106" t="n"/>
      <c r="FD3" s="106" t="n"/>
      <c r="FE3" s="106" t="n"/>
      <c r="FF3" s="106" t="n"/>
      <c r="FG3" s="106" t="n"/>
      <c r="FH3" s="106" t="n"/>
      <c r="FI3" s="106" t="n"/>
      <c r="FJ3" s="106" t="n"/>
      <c r="FK3" s="106" t="n"/>
      <c r="FL3" s="106" t="n"/>
      <c r="FM3" s="106" t="n"/>
      <c r="FN3" s="106" t="n"/>
      <c r="FO3" s="106" t="n"/>
      <c r="FP3" s="106" t="n"/>
      <c r="FQ3" s="106" t="n"/>
    </row>
    <row r="4" ht="27.75" customFormat="1" customHeight="1" s="105">
      <c r="A4" s="540" t="n"/>
      <c r="B4" s="546" t="inlineStr">
        <is>
          <t>TRACT ACRES</t>
        </is>
      </c>
      <c r="C4" s="547" t="n"/>
      <c r="D4" s="600" t="n">
        <v>377.53845154</v>
      </c>
      <c r="E4" s="549" t="inlineStr">
        <is>
          <t xml:space="preserve">Conveyance </t>
        </is>
      </c>
      <c r="F4" s="550" t="n"/>
      <c r="G4" s="108" t="n"/>
      <c r="H4" s="106" t="n">
        <v>36600</v>
      </c>
      <c r="I4" s="106" t="n">
        <v>39336</v>
      </c>
      <c r="J4" s="106" t="n">
        <v>42593</v>
      </c>
      <c r="K4" s="106" t="n">
        <v>42719</v>
      </c>
      <c r="L4" s="106" t="n">
        <v>42752</v>
      </c>
      <c r="M4" s="106" t="n">
        <v>43119</v>
      </c>
      <c r="N4" s="106" t="n">
        <v>43698</v>
      </c>
      <c r="O4" s="106" t="n">
        <v>44060</v>
      </c>
      <c r="P4" s="106" t="n">
        <v>44118</v>
      </c>
      <c r="Q4" s="106" t="n">
        <v>44175</v>
      </c>
      <c r="R4" s="106" t="n">
        <v>44463</v>
      </c>
      <c r="S4" s="106" t="n">
        <v>44476</v>
      </c>
      <c r="T4" s="106" t="n">
        <v>45247</v>
      </c>
      <c r="U4" s="106" t="n">
        <v>45401</v>
      </c>
      <c r="V4" s="106" t="n">
        <v>45432</v>
      </c>
      <c r="W4" s="106" t="n">
        <v>45509</v>
      </c>
      <c r="X4" s="106" t="n">
        <v>45642</v>
      </c>
      <c r="Y4" s="106" t="n">
        <v>45975</v>
      </c>
      <c r="Z4" s="107" t="n"/>
      <c r="AA4" s="106" t="n">
        <v>46170</v>
      </c>
      <c r="AB4" s="106" t="n">
        <v>46143</v>
      </c>
      <c r="AC4" s="106" t="n">
        <v>46122</v>
      </c>
      <c r="AD4" s="106" t="n">
        <v>46122</v>
      </c>
      <c r="AE4" s="106" t="n">
        <v>46122</v>
      </c>
      <c r="AF4" s="106" t="n">
        <v>46143</v>
      </c>
      <c r="AG4" s="107" t="n"/>
      <c r="AI4" s="107" t="n"/>
      <c r="AJ4" s="107" t="n"/>
      <c r="AK4" s="107" t="n"/>
      <c r="AL4" s="107" t="n"/>
      <c r="AM4" s="107" t="n"/>
      <c r="AN4" s="107" t="n"/>
      <c r="AO4" s="107" t="n"/>
      <c r="AP4" s="107" t="n"/>
      <c r="AQ4" s="107" t="n"/>
      <c r="AR4" s="107" t="n"/>
      <c r="AS4" s="107" t="n"/>
      <c r="AT4" s="107" t="n"/>
      <c r="AU4" s="107" t="n"/>
      <c r="AV4" s="107" t="n"/>
      <c r="AW4" s="107" t="n"/>
      <c r="AX4" s="107" t="n"/>
      <c r="AY4" s="107" t="n"/>
      <c r="AZ4" s="107" t="n"/>
      <c r="BA4" s="107" t="n"/>
      <c r="BB4" s="107" t="n"/>
      <c r="BC4" s="107" t="n"/>
      <c r="BD4" s="107" t="n"/>
      <c r="BE4" s="107" t="n"/>
      <c r="BF4" s="107" t="n"/>
      <c r="BG4" s="107" t="n"/>
      <c r="BH4" s="107" t="n"/>
      <c r="BI4" s="107" t="n"/>
      <c r="BJ4" s="107" t="n"/>
      <c r="BK4" s="107" t="n"/>
      <c r="BL4" s="107" t="n"/>
      <c r="BM4" s="107" t="n"/>
      <c r="BN4" s="107" t="n"/>
      <c r="BO4" s="107" t="n"/>
      <c r="BP4" s="107" t="n"/>
      <c r="BQ4" s="107" t="n"/>
      <c r="BR4" s="107" t="n"/>
      <c r="BS4" s="107" t="n"/>
      <c r="BT4" s="107" t="n"/>
      <c r="BU4" s="107" t="n"/>
      <c r="BV4" s="107" t="n"/>
      <c r="BW4" s="107" t="n"/>
      <c r="BX4" s="107" t="n"/>
      <c r="BY4" s="107" t="n"/>
      <c r="BZ4" s="107" t="n"/>
      <c r="CA4" s="107" t="n"/>
      <c r="CB4" s="107" t="n"/>
      <c r="CC4" s="107" t="n"/>
      <c r="CD4" s="107" t="n"/>
      <c r="CE4" s="107" t="n"/>
      <c r="CF4" s="107" t="n"/>
      <c r="CG4" s="107" t="n"/>
      <c r="CH4" s="107" t="n"/>
      <c r="CI4" s="107" t="n"/>
      <c r="CJ4" s="107" t="n"/>
      <c r="CK4" s="107" t="n"/>
      <c r="CL4" s="107" t="n"/>
      <c r="CM4" s="107" t="n"/>
      <c r="CN4" s="107" t="n"/>
      <c r="CO4" s="107" t="n"/>
      <c r="CP4" s="107" t="n"/>
      <c r="CQ4" s="107" t="n"/>
      <c r="CR4" s="107" t="n"/>
      <c r="CS4" s="107" t="n"/>
      <c r="CT4" s="107" t="n"/>
      <c r="CU4" s="107" t="n"/>
      <c r="CV4" s="107" t="n"/>
      <c r="CW4" s="107" t="n"/>
      <c r="CX4" s="107" t="n"/>
      <c r="CY4" s="107" t="n"/>
      <c r="CZ4" s="107" t="n"/>
      <c r="DA4" s="107" t="n"/>
      <c r="DB4" s="107" t="n"/>
      <c r="DC4" s="107" t="n"/>
      <c r="DD4" s="107" t="n"/>
      <c r="DE4" s="107" t="n"/>
      <c r="DF4" s="107" t="n"/>
      <c r="DG4" s="107" t="n"/>
      <c r="DH4" s="107" t="n"/>
      <c r="DI4" s="107" t="n"/>
      <c r="DJ4" s="107" t="n"/>
      <c r="DK4" s="107" t="n"/>
      <c r="DL4" s="107" t="n"/>
      <c r="DM4" s="107" t="n"/>
      <c r="DN4" s="107" t="n"/>
      <c r="DO4" s="107" t="n"/>
      <c r="DP4" s="107" t="n"/>
      <c r="DQ4" s="107" t="n"/>
      <c r="DR4" s="107" t="n"/>
      <c r="DS4" s="107" t="n"/>
      <c r="DT4" s="107" t="n"/>
      <c r="DU4" s="107" t="n"/>
      <c r="DV4" s="107" t="n"/>
      <c r="DW4" s="107" t="n"/>
      <c r="DX4" s="107" t="n"/>
      <c r="DY4" s="107" t="n"/>
      <c r="DZ4" s="107" t="n"/>
      <c r="EA4" s="107" t="n"/>
      <c r="EB4" s="107" t="n"/>
      <c r="EC4" s="107" t="n"/>
      <c r="ED4" s="107" t="n"/>
      <c r="EE4" s="107" t="n"/>
      <c r="EF4" s="107" t="n"/>
      <c r="EG4" s="107" t="n"/>
      <c r="EH4" s="107" t="n"/>
      <c r="EI4" s="107" t="n"/>
      <c r="EJ4" s="107" t="n"/>
      <c r="EK4" s="107" t="n"/>
      <c r="EL4" s="107" t="n"/>
      <c r="EM4" s="107" t="n"/>
      <c r="EN4" s="107" t="n"/>
      <c r="EO4" s="107" t="n"/>
      <c r="EP4" s="107" t="n"/>
      <c r="EQ4" s="107" t="n"/>
      <c r="ER4" s="107" t="n"/>
      <c r="ES4" s="107" t="n"/>
      <c r="ET4" s="107" t="n"/>
      <c r="EU4" s="107" t="n"/>
      <c r="EV4" s="107" t="n"/>
      <c r="EW4" s="107" t="n"/>
      <c r="EX4" s="107" t="n"/>
      <c r="EY4" s="107" t="n"/>
      <c r="EZ4" s="107" t="n"/>
      <c r="FA4" s="107" t="n"/>
      <c r="FB4" s="107" t="n"/>
      <c r="FC4" s="107" t="n"/>
      <c r="FD4" s="107" t="n"/>
      <c r="FE4" s="107" t="n"/>
      <c r="FF4" s="107" t="n"/>
      <c r="FG4" s="107" t="n"/>
      <c r="FH4" s="107" t="n"/>
      <c r="FI4" s="107" t="n"/>
      <c r="FJ4" s="107" t="n"/>
      <c r="FK4" s="107" t="n"/>
      <c r="FL4" s="107" t="n"/>
      <c r="FM4" s="107" t="n"/>
      <c r="FN4" s="107" t="n"/>
      <c r="FO4" s="107" t="n"/>
      <c r="FP4" s="107" t="n"/>
      <c r="FQ4" s="107" t="n"/>
    </row>
    <row r="5" ht="14.25" customFormat="1" customHeight="1" s="103" thickBot="1">
      <c r="A5" s="551" t="n"/>
      <c r="B5" s="552" t="inlineStr">
        <is>
          <t>BASE OGL</t>
        </is>
      </c>
      <c r="C5" s="553" t="n">
        <v>640</v>
      </c>
      <c r="D5" s="554" t="inlineStr">
        <is>
          <t>TBD</t>
        </is>
      </c>
      <c r="E5" s="553">
        <f>SUBTOTAL(9,E8:E142)</f>
        <v/>
      </c>
      <c r="F5" s="601" t="inlineStr">
        <is>
          <t>SURFACE</t>
        </is>
      </c>
      <c r="G5" s="104" t="n"/>
      <c r="H5" s="104" t="inlineStr">
        <is>
          <t>ARTI</t>
        </is>
      </c>
      <c r="I5" s="104" t="inlineStr">
        <is>
          <t>ARTI</t>
        </is>
      </c>
      <c r="J5" s="104" t="inlineStr">
        <is>
          <t>ARTI</t>
        </is>
      </c>
      <c r="K5" s="104" t="inlineStr">
        <is>
          <t>ARTI</t>
        </is>
      </c>
      <c r="L5" s="104" t="inlineStr">
        <is>
          <t>ARTI</t>
        </is>
      </c>
      <c r="M5" s="104" t="inlineStr">
        <is>
          <t>ARTI</t>
        </is>
      </c>
      <c r="N5" s="104" t="inlineStr">
        <is>
          <t>ARTI</t>
        </is>
      </c>
      <c r="O5" s="104" t="inlineStr">
        <is>
          <t>ARTI</t>
        </is>
      </c>
      <c r="P5" s="104" t="inlineStr">
        <is>
          <t>ARTI</t>
        </is>
      </c>
      <c r="Q5" s="104" t="inlineStr">
        <is>
          <t>ARTI</t>
        </is>
      </c>
      <c r="R5" s="104" t="inlineStr">
        <is>
          <t>ARTI</t>
        </is>
      </c>
      <c r="S5" s="104" t="inlineStr">
        <is>
          <t>ARTI</t>
        </is>
      </c>
      <c r="T5" s="104" t="inlineStr">
        <is>
          <t>Wellbore</t>
        </is>
      </c>
      <c r="U5" s="104" t="inlineStr">
        <is>
          <t>ARTI</t>
        </is>
      </c>
      <c r="V5" s="104" t="inlineStr">
        <is>
          <t>ARTI</t>
        </is>
      </c>
      <c r="W5" s="104" t="inlineStr">
        <is>
          <t>ARTI</t>
        </is>
      </c>
      <c r="X5" s="104" t="inlineStr">
        <is>
          <t>ARTI</t>
        </is>
      </c>
      <c r="Y5" s="104" t="inlineStr">
        <is>
          <t>Wellbore</t>
        </is>
      </c>
      <c r="Z5" s="104" t="n"/>
      <c r="AA5" s="104" t="n">
        <v>0.1875</v>
      </c>
      <c r="AB5" s="104" t="n">
        <v>0.1875</v>
      </c>
      <c r="AC5" s="104" t="n">
        <v>0.1875</v>
      </c>
      <c r="AD5" s="104" t="n">
        <v>0.1875</v>
      </c>
      <c r="AE5" s="104" t="n">
        <v>0.1875</v>
      </c>
      <c r="AF5" s="104" t="n">
        <v>0.1875</v>
      </c>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row>
    <row r="6" ht="14.25" customFormat="1" customHeight="1" s="101" thickBot="1" thickTop="1">
      <c r="A6" s="102" t="n"/>
      <c r="B6" s="536" t="n"/>
      <c r="C6" s="555" t="n"/>
      <c r="D6" s="555" t="n"/>
      <c r="E6" s="555" t="n"/>
      <c r="F6" s="602" t="n"/>
      <c r="G6" s="556">
        <f>SUBTOTAL(9,G9:G143)</f>
        <v/>
      </c>
      <c r="H6" s="557">
        <f>SUBTOTAL(9,H9:H143)</f>
        <v/>
      </c>
      <c r="I6" s="557">
        <f>SUBTOTAL(9,I9:I143)</f>
        <v/>
      </c>
      <c r="J6" s="557">
        <f>SUBTOTAL(9,J9:J143)</f>
        <v/>
      </c>
      <c r="K6" s="557">
        <f>SUBTOTAL(9,K9:K143)</f>
        <v/>
      </c>
      <c r="L6" s="557">
        <f>SUBTOTAL(9,L9:L143)</f>
        <v/>
      </c>
      <c r="M6" s="557">
        <f>SUBTOTAL(9,M9:M143)</f>
        <v/>
      </c>
      <c r="N6" s="557">
        <f>SUBTOTAL(9,N9:N143)</f>
        <v/>
      </c>
      <c r="O6" s="557">
        <f>SUBTOTAL(9,O9:O143)</f>
        <v/>
      </c>
      <c r="P6" s="557">
        <f>SUBTOTAL(9,P9:P143)</f>
        <v/>
      </c>
      <c r="Q6" s="557">
        <f>SUBTOTAL(9,Q9:Q143)</f>
        <v/>
      </c>
      <c r="R6" s="557">
        <f>SUBTOTAL(9,R9:R143)</f>
        <v/>
      </c>
      <c r="S6" s="557">
        <f>SUBTOTAL(9,S9:S143)</f>
        <v/>
      </c>
      <c r="T6" s="557">
        <f>SUBTOTAL(9,T9:T143)</f>
        <v/>
      </c>
      <c r="U6" s="557">
        <f>SUBTOTAL(9,U9:U143)</f>
        <v/>
      </c>
      <c r="V6" s="557">
        <f>SUBTOTAL(9,V9:V143)</f>
        <v/>
      </c>
      <c r="W6" s="557">
        <f>SUBTOTAL(9,W9:W143)</f>
        <v/>
      </c>
      <c r="X6" s="557">
        <f>SUBTOTAL(9,X9:X143)</f>
        <v/>
      </c>
      <c r="Y6" s="557">
        <f>SUBTOTAL(9,Y9:Y143)</f>
        <v/>
      </c>
      <c r="Z6" s="557">
        <f>SUBTOTAL(9,Z9:Z143)</f>
        <v/>
      </c>
      <c r="AA6" s="557">
        <f>SUBTOTAL(9,AA9:AA143)</f>
        <v/>
      </c>
      <c r="AB6" s="557">
        <f>SUBTOTAL(9,AB9:AB143)</f>
        <v/>
      </c>
      <c r="AC6" s="557">
        <f>SUBTOTAL(9,AC9:AC143)</f>
        <v/>
      </c>
      <c r="AD6" s="557">
        <f>SUBTOTAL(9,AD9:AD143)</f>
        <v/>
      </c>
      <c r="AE6" s="557">
        <f>SUBTOTAL(9,AE9:AE143)</f>
        <v/>
      </c>
      <c r="AF6" s="557">
        <f>SUBTOTAL(9,AF9:AF143)</f>
        <v/>
      </c>
      <c r="AG6" s="557">
        <f>SUBTOTAL(9,AG9:AG143)</f>
        <v/>
      </c>
      <c r="AH6" s="557">
        <f>SUBTOTAL(9,AH9:AH143)</f>
        <v/>
      </c>
      <c r="AI6" s="557">
        <f>SUBTOTAL(9,AI9:AI143)</f>
        <v/>
      </c>
      <c r="AJ6" s="557">
        <f>SUBTOTAL(9,AJ9:AJ143)</f>
        <v/>
      </c>
      <c r="AK6" s="557">
        <f>SUBTOTAL(9,AK9:AK143)</f>
        <v/>
      </c>
      <c r="AL6" s="557">
        <f>SUBTOTAL(9,AL9:AL143)</f>
        <v/>
      </c>
      <c r="AM6" s="557">
        <f>SUBTOTAL(9,AM9:AM143)</f>
        <v/>
      </c>
      <c r="AN6" s="557">
        <f>SUBTOTAL(9,AN9:AN143)</f>
        <v/>
      </c>
      <c r="AO6" s="557">
        <f>SUBTOTAL(9,AO9:AO143)</f>
        <v/>
      </c>
      <c r="AP6" s="557">
        <f>SUBTOTAL(9,AP9:AP143)</f>
        <v/>
      </c>
      <c r="AQ6" s="557">
        <f>SUBTOTAL(9,AQ9:AQ143)</f>
        <v/>
      </c>
      <c r="AR6" s="557">
        <f>SUBTOTAL(9,AR9:AR143)</f>
        <v/>
      </c>
      <c r="AS6" s="557">
        <f>SUBTOTAL(9,AS9:AS143)</f>
        <v/>
      </c>
      <c r="AT6" s="557">
        <f>SUBTOTAL(9,AT9:AT143)</f>
        <v/>
      </c>
      <c r="AU6" s="557">
        <f>SUBTOTAL(9,AU9:AU143)</f>
        <v/>
      </c>
      <c r="AV6" s="557">
        <f>SUBTOTAL(9,AV9:AV143)</f>
        <v/>
      </c>
      <c r="AW6" s="557">
        <f>SUBTOTAL(9,AW9:AW143)</f>
        <v/>
      </c>
      <c r="AX6" s="557">
        <f>SUBTOTAL(9,AX9:AX143)</f>
        <v/>
      </c>
      <c r="AY6" s="557">
        <f>SUBTOTAL(9,AY9:AY143)</f>
        <v/>
      </c>
      <c r="AZ6" s="557">
        <f>SUBTOTAL(9,AZ9:AZ143)</f>
        <v/>
      </c>
      <c r="BA6" s="557">
        <f>SUBTOTAL(9,BA9:BA143)</f>
        <v/>
      </c>
      <c r="BB6" s="557">
        <f>SUBTOTAL(9,BB9:BB143)</f>
        <v/>
      </c>
      <c r="BC6" s="557">
        <f>SUBTOTAL(9,BC9:BC143)</f>
        <v/>
      </c>
      <c r="BD6" s="557">
        <f>SUBTOTAL(9,BD9:BD143)</f>
        <v/>
      </c>
      <c r="BE6" s="557">
        <f>SUBTOTAL(9,BE9:BE143)</f>
        <v/>
      </c>
      <c r="BF6" s="557">
        <f>SUBTOTAL(9,BF9:BF143)</f>
        <v/>
      </c>
      <c r="BG6" s="557">
        <f>SUBTOTAL(9,BG9:BG143)</f>
        <v/>
      </c>
      <c r="BH6" s="557">
        <f>SUBTOTAL(9,BH9:BH143)</f>
        <v/>
      </c>
      <c r="BI6" s="557">
        <f>SUBTOTAL(9,BI9:BI143)</f>
        <v/>
      </c>
      <c r="BJ6" s="557">
        <f>SUBTOTAL(9,BJ9:BJ143)</f>
        <v/>
      </c>
      <c r="BK6" s="557">
        <f>SUBTOTAL(9,BK9:BK143)</f>
        <v/>
      </c>
      <c r="BL6" s="557">
        <f>SUBTOTAL(9,BL9:BL143)</f>
        <v/>
      </c>
      <c r="BM6" s="557">
        <f>SUBTOTAL(9,BM9:BM143)</f>
        <v/>
      </c>
      <c r="BN6" s="557">
        <f>SUBTOTAL(9,BN9:BN143)</f>
        <v/>
      </c>
      <c r="BO6" s="557">
        <f>SUBTOTAL(9,BO9:BO143)</f>
        <v/>
      </c>
      <c r="BP6" s="557">
        <f>SUBTOTAL(9,BP9:BP143)</f>
        <v/>
      </c>
      <c r="BQ6" s="557">
        <f>SUBTOTAL(9,BQ9:BQ143)</f>
        <v/>
      </c>
      <c r="BR6" s="557">
        <f>SUBTOTAL(9,BR9:BR143)</f>
        <v/>
      </c>
      <c r="BS6" s="557">
        <f>SUBTOTAL(9,BS9:BS143)</f>
        <v/>
      </c>
      <c r="BT6" s="557">
        <f>SUBTOTAL(9,BT9:BT143)</f>
        <v/>
      </c>
      <c r="BU6" s="557">
        <f>SUBTOTAL(9,BU9:BU143)</f>
        <v/>
      </c>
      <c r="BV6" s="557">
        <f>SUBTOTAL(9,BV9:BV143)</f>
        <v/>
      </c>
      <c r="BW6" s="557">
        <f>SUBTOTAL(9,BW9:BW143)</f>
        <v/>
      </c>
      <c r="BX6" s="557">
        <f>SUBTOTAL(9,BX9:BX143)</f>
        <v/>
      </c>
      <c r="BY6" s="557">
        <f>SUBTOTAL(9,BY9:BY143)</f>
        <v/>
      </c>
      <c r="BZ6" s="557">
        <f>SUBTOTAL(9,BZ9:BZ143)</f>
        <v/>
      </c>
      <c r="CA6" s="557">
        <f>SUBTOTAL(9,CA9:CA143)</f>
        <v/>
      </c>
      <c r="CB6" s="557">
        <f>SUBTOTAL(9,CB9:CB143)</f>
        <v/>
      </c>
      <c r="CC6" s="557">
        <f>SUBTOTAL(9,CC9:CC143)</f>
        <v/>
      </c>
      <c r="CD6" s="557">
        <f>SUBTOTAL(9,CD9:CD143)</f>
        <v/>
      </c>
      <c r="CE6" s="557">
        <f>SUBTOTAL(9,CE9:CE143)</f>
        <v/>
      </c>
      <c r="CF6" s="557">
        <f>SUBTOTAL(9,CF9:CF143)</f>
        <v/>
      </c>
      <c r="CG6" s="557">
        <f>SUBTOTAL(9,CG9:CG143)</f>
        <v/>
      </c>
      <c r="CH6" s="557">
        <f>SUBTOTAL(9,CH9:CH143)</f>
        <v/>
      </c>
      <c r="CI6" s="557">
        <f>SUBTOTAL(9,CI9:CI143)</f>
        <v/>
      </c>
      <c r="CJ6" s="557">
        <f>SUBTOTAL(9,CJ9:CJ143)</f>
        <v/>
      </c>
      <c r="CK6" s="557">
        <f>SUBTOTAL(9,CK9:CK143)</f>
        <v/>
      </c>
      <c r="CL6" s="557">
        <f>SUBTOTAL(9,CL9:CL143)</f>
        <v/>
      </c>
      <c r="CM6" s="557">
        <f>SUBTOTAL(9,CM9:CM143)</f>
        <v/>
      </c>
      <c r="CN6" s="557">
        <f>SUBTOTAL(9,CN9:CN143)</f>
        <v/>
      </c>
      <c r="CO6" s="557">
        <f>SUBTOTAL(9,CO9:CO143)</f>
        <v/>
      </c>
      <c r="CP6" s="557">
        <f>SUBTOTAL(9,CP9:CP143)</f>
        <v/>
      </c>
      <c r="CQ6" s="557">
        <f>SUBTOTAL(9,CQ9:CQ143)</f>
        <v/>
      </c>
      <c r="CR6" s="557">
        <f>SUBTOTAL(9,CR9:CR143)</f>
        <v/>
      </c>
      <c r="CS6" s="557">
        <f>SUBTOTAL(9,CS9:CS143)</f>
        <v/>
      </c>
      <c r="CT6" s="557">
        <f>SUBTOTAL(9,CT9:CT143)</f>
        <v/>
      </c>
      <c r="CU6" s="557">
        <f>SUBTOTAL(9,CU9:CU143)</f>
        <v/>
      </c>
      <c r="CV6" s="557">
        <f>SUBTOTAL(9,CV9:CV143)</f>
        <v/>
      </c>
      <c r="CW6" s="557">
        <f>SUBTOTAL(9,CW9:CW143)</f>
        <v/>
      </c>
      <c r="CX6" s="557">
        <f>SUBTOTAL(9,CX9:CX143)</f>
        <v/>
      </c>
      <c r="CY6" s="557">
        <f>SUBTOTAL(9,CY9:CY143)</f>
        <v/>
      </c>
      <c r="CZ6" s="557">
        <f>SUBTOTAL(9,CZ9:CZ143)</f>
        <v/>
      </c>
      <c r="DA6" s="557">
        <f>SUBTOTAL(9,DA9:DA143)</f>
        <v/>
      </c>
      <c r="DB6" s="557">
        <f>SUBTOTAL(9,DB9:DB143)</f>
        <v/>
      </c>
      <c r="DC6" s="557">
        <f>SUBTOTAL(9,DC9:DC143)</f>
        <v/>
      </c>
      <c r="DD6" s="557">
        <f>SUBTOTAL(9,DD9:DD143)</f>
        <v/>
      </c>
      <c r="DE6" s="557">
        <f>SUBTOTAL(9,DE9:DE143)</f>
        <v/>
      </c>
      <c r="DF6" s="557">
        <f>SUBTOTAL(9,DF9:DF143)</f>
        <v/>
      </c>
      <c r="DG6" s="557">
        <f>SUBTOTAL(9,DG9:DG143)</f>
        <v/>
      </c>
      <c r="DH6" s="557">
        <f>SUBTOTAL(9,DH9:DH143)</f>
        <v/>
      </c>
      <c r="DI6" s="557">
        <f>SUBTOTAL(9,DI9:DI143)</f>
        <v/>
      </c>
      <c r="DJ6" s="557">
        <f>SUBTOTAL(9,DJ9:DJ143)</f>
        <v/>
      </c>
      <c r="DK6" s="557">
        <f>SUBTOTAL(9,DK9:DK143)</f>
        <v/>
      </c>
      <c r="DL6" s="557">
        <f>SUBTOTAL(9,DL9:DL143)</f>
        <v/>
      </c>
      <c r="DM6" s="557">
        <f>SUBTOTAL(9,DM9:DM143)</f>
        <v/>
      </c>
      <c r="DN6" s="557">
        <f>SUBTOTAL(9,DN9:DN143)</f>
        <v/>
      </c>
      <c r="DO6" s="557">
        <f>SUBTOTAL(9,DO9:DO143)</f>
        <v/>
      </c>
      <c r="DP6" s="557">
        <f>SUBTOTAL(9,DP9:DP143)</f>
        <v/>
      </c>
      <c r="DQ6" s="557">
        <f>SUBTOTAL(9,DQ9:DQ143)</f>
        <v/>
      </c>
      <c r="DR6" s="557">
        <f>SUBTOTAL(9,DR9:DR143)</f>
        <v/>
      </c>
      <c r="DS6" s="557">
        <f>SUBTOTAL(9,DS9:DS143)</f>
        <v/>
      </c>
      <c r="DT6" s="557">
        <f>SUBTOTAL(9,DT9:DT143)</f>
        <v/>
      </c>
      <c r="DU6" s="557">
        <f>SUBTOTAL(9,DU9:DU143)</f>
        <v/>
      </c>
      <c r="DV6" s="557">
        <f>SUBTOTAL(9,DV9:DV143)</f>
        <v/>
      </c>
      <c r="DW6" s="557">
        <f>SUBTOTAL(9,DW9:DW143)</f>
        <v/>
      </c>
      <c r="DX6" s="557">
        <f>SUBTOTAL(9,DX9:DX143)</f>
        <v/>
      </c>
      <c r="DY6" s="557">
        <f>SUBTOTAL(9,DY9:DY143)</f>
        <v/>
      </c>
      <c r="DZ6" s="557">
        <f>SUBTOTAL(9,DZ9:DZ143)</f>
        <v/>
      </c>
      <c r="EA6" s="557">
        <f>SUBTOTAL(9,EA9:EA143)</f>
        <v/>
      </c>
      <c r="EB6" s="557">
        <f>SUBTOTAL(9,EB9:EB143)</f>
        <v/>
      </c>
      <c r="EC6" s="557">
        <f>SUBTOTAL(9,EC9:EC143)</f>
        <v/>
      </c>
      <c r="ED6" s="557">
        <f>SUBTOTAL(9,ED9:ED143)</f>
        <v/>
      </c>
      <c r="EE6" s="557">
        <f>SUBTOTAL(9,EE9:EE143)</f>
        <v/>
      </c>
      <c r="EF6" s="557">
        <f>SUBTOTAL(9,EF9:EF143)</f>
        <v/>
      </c>
      <c r="EG6" s="557">
        <f>SUBTOTAL(9,EG9:EG143)</f>
        <v/>
      </c>
      <c r="EH6" s="557">
        <f>SUBTOTAL(9,EH9:EH143)</f>
        <v/>
      </c>
      <c r="EI6" s="557">
        <f>SUBTOTAL(9,EI9:EI143)</f>
        <v/>
      </c>
      <c r="EJ6" s="557">
        <f>SUBTOTAL(9,EJ9:EJ143)</f>
        <v/>
      </c>
      <c r="EK6" s="557">
        <f>SUBTOTAL(9,EK9:EK143)</f>
        <v/>
      </c>
      <c r="EL6" s="557">
        <f>SUBTOTAL(9,EL9:EL143)</f>
        <v/>
      </c>
      <c r="EM6" s="557">
        <f>SUBTOTAL(9,EM9:EM143)</f>
        <v/>
      </c>
      <c r="EN6" s="557">
        <f>SUBTOTAL(9,EN9:EN143)</f>
        <v/>
      </c>
      <c r="EO6" s="557">
        <f>SUBTOTAL(9,EO9:EO143)</f>
        <v/>
      </c>
      <c r="EP6" s="557">
        <f>SUBTOTAL(9,EP9:EP143)</f>
        <v/>
      </c>
      <c r="EQ6" s="557">
        <f>SUBTOTAL(9,EQ9:EQ143)</f>
        <v/>
      </c>
      <c r="ER6" s="557">
        <f>SUBTOTAL(9,ER9:ER143)</f>
        <v/>
      </c>
      <c r="ES6" s="557">
        <f>SUBTOTAL(9,ES9:ES143)</f>
        <v/>
      </c>
      <c r="ET6" s="557">
        <f>SUBTOTAL(9,ET9:ET143)</f>
        <v/>
      </c>
      <c r="EU6" s="557">
        <f>SUBTOTAL(9,EU9:EU143)</f>
        <v/>
      </c>
      <c r="EV6" s="557">
        <f>SUBTOTAL(9,EV9:EV143)</f>
        <v/>
      </c>
      <c r="EW6" s="557">
        <f>SUBTOTAL(9,EW9:EW143)</f>
        <v/>
      </c>
      <c r="EX6" s="557">
        <f>SUBTOTAL(9,EX9:EX143)</f>
        <v/>
      </c>
      <c r="EY6" s="557">
        <f>SUBTOTAL(9,EY9:EY143)</f>
        <v/>
      </c>
      <c r="EZ6" s="557">
        <f>SUBTOTAL(9,EZ9:EZ143)</f>
        <v/>
      </c>
      <c r="FA6" s="557">
        <f>SUBTOTAL(9,FA9:FA143)</f>
        <v/>
      </c>
      <c r="FB6" s="557">
        <f>SUBTOTAL(9,FB9:FB143)</f>
        <v/>
      </c>
      <c r="FC6" s="557">
        <f>SUBTOTAL(9,FC9:FC143)</f>
        <v/>
      </c>
      <c r="FD6" s="557">
        <f>SUBTOTAL(9,FD9:FD143)</f>
        <v/>
      </c>
      <c r="FE6" s="557">
        <f>SUBTOTAL(9,FE9:FE143)</f>
        <v/>
      </c>
      <c r="FF6" s="557">
        <f>SUBTOTAL(9,FF9:FF143)</f>
        <v/>
      </c>
      <c r="FG6" s="557">
        <f>SUBTOTAL(9,FG9:FG143)</f>
        <v/>
      </c>
      <c r="FH6" s="557">
        <f>SUBTOTAL(9,FH9:FH143)</f>
        <v/>
      </c>
      <c r="FI6" s="557">
        <f>SUBTOTAL(9,FI9:FI143)</f>
        <v/>
      </c>
      <c r="FJ6" s="557">
        <f>SUBTOTAL(9,FJ9:FJ143)</f>
        <v/>
      </c>
      <c r="FK6" s="557">
        <f>SUBTOTAL(9,FK9:FK143)</f>
        <v/>
      </c>
      <c r="FL6" s="557">
        <f>SUBTOTAL(9,FL9:FL143)</f>
        <v/>
      </c>
      <c r="FM6" s="557">
        <f>SUBTOTAL(9,FM9:FM143)</f>
        <v/>
      </c>
      <c r="FN6" s="557">
        <f>SUBTOTAL(9,FN9:FN143)</f>
        <v/>
      </c>
      <c r="FO6" s="557">
        <f>SUBTOTAL(9,FO9:FO143)</f>
        <v/>
      </c>
      <c r="FP6" s="557">
        <f>SUBTOTAL(9,FP9:FP143)</f>
        <v/>
      </c>
      <c r="FQ6" s="557">
        <f>SUBTOTAL(9,FQ9:FQ143)</f>
        <v/>
      </c>
    </row>
    <row r="7" ht="14.25" customFormat="1" customHeight="1" s="74" thickBot="1" thickTop="1">
      <c r="A7" s="100" t="inlineStr">
        <is>
          <t>NOTES</t>
        </is>
      </c>
      <c r="B7" s="559" t="n"/>
      <c r="C7" s="99" t="inlineStr">
        <is>
          <t>NET ACRES</t>
        </is>
      </c>
      <c r="D7" s="98" t="inlineStr">
        <is>
          <t>OWNERS</t>
        </is>
      </c>
      <c r="E7" s="97" t="inlineStr">
        <is>
          <t xml:space="preserve">TOTAL     </t>
        </is>
      </c>
      <c r="F7" s="603" t="n"/>
      <c r="G7" s="560" t="n"/>
      <c r="H7" s="561" t="n"/>
      <c r="I7" s="561" t="n"/>
      <c r="J7" s="561" t="n"/>
      <c r="K7" s="561" t="n"/>
      <c r="L7" s="561" t="n"/>
      <c r="M7" s="561" t="n"/>
      <c r="N7" s="561" t="n"/>
      <c r="O7" s="561" t="n"/>
      <c r="P7" s="561" t="n"/>
      <c r="Q7" s="561" t="n"/>
      <c r="R7" s="561" t="n"/>
      <c r="S7" s="561" t="n"/>
      <c r="T7" s="561" t="n"/>
      <c r="U7" s="561" t="n"/>
      <c r="V7" s="561" t="n"/>
      <c r="W7" s="561" t="n"/>
      <c r="X7" s="561" t="n"/>
      <c r="Y7" s="561" t="n"/>
      <c r="Z7" s="561" t="n"/>
      <c r="AA7" s="561" t="n"/>
      <c r="AB7" s="561" t="n"/>
      <c r="AC7" s="561" t="n"/>
      <c r="AD7" s="561" t="n"/>
      <c r="AE7" s="561" t="n"/>
      <c r="AF7" s="561" t="n"/>
      <c r="AG7" s="561" t="n"/>
      <c r="AH7" s="561" t="n"/>
      <c r="AI7" s="561" t="n"/>
      <c r="AJ7" s="561" t="n"/>
      <c r="AK7" s="561" t="n"/>
      <c r="AL7" s="561" t="n"/>
      <c r="AM7" s="561" t="n"/>
      <c r="AN7" s="561" t="n"/>
      <c r="AO7" s="561" t="n"/>
      <c r="AP7" s="561" t="n"/>
      <c r="AQ7" s="561" t="n"/>
      <c r="AR7" s="561" t="n"/>
      <c r="AS7" s="561" t="n"/>
      <c r="AT7" s="561" t="n"/>
      <c r="AU7" s="561" t="n"/>
      <c r="AV7" s="561" t="n"/>
      <c r="AW7" s="561" t="n"/>
      <c r="AX7" s="561" t="n"/>
      <c r="AY7" s="561" t="n"/>
      <c r="AZ7" s="561" t="n"/>
      <c r="BA7" s="561" t="n"/>
      <c r="BB7" s="561" t="n"/>
      <c r="BC7" s="561" t="n"/>
      <c r="BD7" s="561" t="n"/>
      <c r="BE7" s="561" t="n"/>
      <c r="BF7" s="561" t="n"/>
      <c r="BG7" s="561" t="n"/>
      <c r="BH7" s="561" t="n"/>
      <c r="BI7" s="561" t="n"/>
      <c r="BJ7" s="561" t="n"/>
      <c r="BK7" s="561" t="n"/>
      <c r="BL7" s="561" t="n"/>
      <c r="BM7" s="561" t="n"/>
      <c r="BN7" s="561" t="n"/>
      <c r="BO7" s="561" t="n"/>
      <c r="BP7" s="561" t="n"/>
      <c r="BQ7" s="561" t="n"/>
      <c r="BR7" s="561" t="n"/>
      <c r="BS7" s="561" t="n"/>
      <c r="BT7" s="561" t="n"/>
      <c r="BU7" s="561" t="n"/>
      <c r="BV7" s="561" t="n"/>
      <c r="BW7" s="561" t="n"/>
      <c r="BX7" s="561" t="n"/>
      <c r="BY7" s="561" t="n"/>
      <c r="BZ7" s="561" t="n"/>
      <c r="CA7" s="561" t="n"/>
      <c r="CB7" s="561" t="n"/>
      <c r="CC7" s="561" t="n"/>
      <c r="CD7" s="561" t="n"/>
      <c r="CE7" s="561" t="n"/>
      <c r="CF7" s="561" t="n"/>
      <c r="CG7" s="561" t="n"/>
      <c r="CH7" s="561" t="n"/>
      <c r="CI7" s="561" t="n"/>
      <c r="CJ7" s="561" t="n"/>
      <c r="CK7" s="561" t="n"/>
      <c r="CL7" s="561" t="n"/>
      <c r="CM7" s="561" t="n"/>
      <c r="CN7" s="561" t="n"/>
      <c r="CO7" s="561" t="n"/>
      <c r="CP7" s="561" t="n"/>
      <c r="CQ7" s="561" t="n"/>
      <c r="CR7" s="561" t="n"/>
      <c r="CS7" s="561" t="n"/>
      <c r="CT7" s="561" t="n"/>
      <c r="CU7" s="561" t="n"/>
      <c r="CV7" s="561" t="n"/>
      <c r="CW7" s="561" t="n"/>
      <c r="CX7" s="561" t="n"/>
      <c r="CY7" s="561" t="n"/>
      <c r="CZ7" s="561" t="n"/>
      <c r="DA7" s="561" t="n"/>
      <c r="DB7" s="561" t="n"/>
      <c r="DC7" s="561" t="n"/>
      <c r="DD7" s="561" t="n"/>
      <c r="DE7" s="561" t="n"/>
      <c r="DF7" s="561" t="n"/>
      <c r="DG7" s="561" t="n"/>
      <c r="DH7" s="561" t="n"/>
      <c r="DI7" s="561" t="n"/>
      <c r="DJ7" s="561" t="n"/>
      <c r="DK7" s="561" t="n"/>
      <c r="DL7" s="561" t="n"/>
      <c r="DM7" s="561" t="n"/>
      <c r="DN7" s="561" t="n"/>
      <c r="DO7" s="561" t="n"/>
      <c r="DP7" s="561" t="n"/>
      <c r="DQ7" s="561" t="n"/>
      <c r="DR7" s="561" t="n"/>
      <c r="DS7" s="561" t="n"/>
      <c r="DT7" s="561" t="n"/>
      <c r="DU7" s="561" t="n"/>
      <c r="DV7" s="561" t="n"/>
      <c r="DW7" s="561" t="n"/>
      <c r="DX7" s="561" t="n"/>
      <c r="DY7" s="561" t="n"/>
      <c r="DZ7" s="561" t="n"/>
      <c r="EA7" s="561" t="n"/>
      <c r="EB7" s="561" t="n"/>
      <c r="EC7" s="561" t="n"/>
      <c r="ED7" s="561" t="n"/>
      <c r="EE7" s="561" t="n"/>
      <c r="EF7" s="561" t="n"/>
      <c r="EG7" s="561" t="n"/>
      <c r="EH7" s="561" t="n"/>
      <c r="EI7" s="561" t="n"/>
      <c r="EJ7" s="561" t="n"/>
      <c r="EK7" s="561" t="n"/>
      <c r="EL7" s="561" t="n"/>
      <c r="EM7" s="561" t="n"/>
      <c r="EN7" s="561" t="n"/>
      <c r="EO7" s="561" t="n"/>
      <c r="EP7" s="561" t="n"/>
      <c r="EQ7" s="561" t="n"/>
      <c r="ER7" s="561" t="n"/>
      <c r="ES7" s="561" t="n"/>
      <c r="ET7" s="561" t="n"/>
      <c r="EU7" s="561" t="n"/>
      <c r="EV7" s="561" t="n"/>
      <c r="EW7" s="561" t="n"/>
      <c r="EX7" s="561" t="n"/>
      <c r="EY7" s="561" t="n"/>
      <c r="EZ7" s="561" t="n"/>
      <c r="FA7" s="561" t="n"/>
      <c r="FB7" s="561" t="n"/>
      <c r="FC7" s="561" t="n"/>
      <c r="FD7" s="561" t="n"/>
      <c r="FE7" s="561" t="n"/>
      <c r="FF7" s="561" t="n"/>
      <c r="FG7" s="561" t="n"/>
      <c r="FH7" s="561" t="n"/>
      <c r="FI7" s="561" t="n"/>
      <c r="FJ7" s="561" t="n"/>
      <c r="FK7" s="561" t="n"/>
      <c r="FL7" s="561" t="n"/>
      <c r="FM7" s="561" t="n"/>
      <c r="FN7" s="561" t="n"/>
      <c r="FO7" s="561" t="n"/>
      <c r="FP7" s="561" t="n"/>
      <c r="FQ7" s="561" t="n"/>
    </row>
    <row r="8" ht="12.75" customFormat="1" customHeight="1" s="88" thickTop="1">
      <c r="A8" s="96" t="n"/>
      <c r="B8" s="95" t="n"/>
      <c r="C8" s="93" t="n"/>
      <c r="D8" s="94" t="n"/>
      <c r="E8" s="93" t="n"/>
      <c r="F8" s="562" t="n"/>
      <c r="G8" s="563" t="n"/>
      <c r="H8" s="564"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5" t="n"/>
      <c r="AO8" s="565" t="n"/>
      <c r="AP8" s="565" t="n"/>
      <c r="AQ8" s="565" t="n"/>
      <c r="AR8" s="565" t="n"/>
      <c r="AS8" s="565" t="n"/>
      <c r="AT8" s="565" t="n"/>
      <c r="AU8" s="565" t="n"/>
      <c r="AV8" s="565" t="n"/>
      <c r="AW8" s="565" t="n"/>
      <c r="AX8" s="565" t="n"/>
      <c r="AY8" s="565" t="n"/>
      <c r="AZ8" s="565" t="n"/>
      <c r="BA8" s="565" t="n"/>
      <c r="BB8" s="565" t="n"/>
      <c r="BC8" s="565" t="n"/>
      <c r="BD8" s="565" t="n"/>
      <c r="BE8" s="565" t="n"/>
      <c r="BF8" s="565" t="n"/>
      <c r="BG8" s="565" t="n"/>
      <c r="BH8" s="565" t="n"/>
      <c r="BI8" s="565" t="n"/>
      <c r="BJ8" s="565" t="n"/>
      <c r="BK8" s="565" t="n"/>
      <c r="BL8" s="565" t="n"/>
      <c r="BM8" s="565" t="n"/>
      <c r="BN8" s="565" t="n"/>
      <c r="BO8" s="565" t="n"/>
      <c r="BP8" s="565" t="n"/>
      <c r="BQ8" s="565" t="n"/>
      <c r="BR8" s="565" t="n"/>
      <c r="BS8" s="565" t="n"/>
      <c r="BT8" s="565" t="n"/>
      <c r="BU8" s="565" t="n"/>
      <c r="BV8" s="565" t="n"/>
      <c r="BW8" s="565" t="n"/>
      <c r="BX8" s="565" t="n"/>
      <c r="BY8" s="565" t="n"/>
      <c r="BZ8" s="565" t="n"/>
      <c r="CA8" s="565" t="n"/>
      <c r="CB8" s="565" t="n"/>
      <c r="CC8" s="565" t="n"/>
      <c r="CD8" s="565" t="n"/>
      <c r="CE8" s="565" t="n"/>
      <c r="CF8" s="565" t="n"/>
      <c r="CG8" s="565" t="n"/>
      <c r="CH8" s="565" t="n"/>
      <c r="CI8" s="565" t="n"/>
      <c r="CJ8" s="565" t="n"/>
      <c r="CK8" s="565" t="n"/>
      <c r="CL8" s="565" t="n"/>
      <c r="CM8" s="565" t="n"/>
      <c r="CN8" s="565" t="n"/>
      <c r="CO8" s="565" t="n"/>
      <c r="CP8" s="565" t="n"/>
      <c r="CQ8" s="565" t="n"/>
      <c r="CR8" s="565" t="n"/>
      <c r="CS8" s="565" t="n"/>
      <c r="CT8" s="565" t="n"/>
      <c r="CU8" s="565" t="n"/>
      <c r="CV8" s="565" t="n"/>
      <c r="CW8" s="565" t="n"/>
      <c r="CX8" s="565" t="n"/>
      <c r="CY8" s="565" t="n"/>
      <c r="CZ8" s="565" t="n"/>
      <c r="DA8" s="565" t="n"/>
      <c r="DB8" s="565" t="n"/>
      <c r="DC8" s="565" t="n"/>
      <c r="DD8" s="565" t="n"/>
      <c r="DE8" s="565" t="n"/>
      <c r="DF8" s="565" t="n"/>
      <c r="DG8" s="565" t="n"/>
      <c r="DH8" s="565" t="n"/>
      <c r="DI8" s="565" t="n"/>
      <c r="DJ8" s="565" t="n"/>
      <c r="DK8" s="565" t="n"/>
      <c r="DL8" s="565" t="n"/>
      <c r="DM8" s="565" t="n"/>
      <c r="DN8" s="565" t="n"/>
      <c r="DO8" s="565" t="n"/>
      <c r="DP8" s="565" t="n"/>
      <c r="DQ8" s="565" t="n"/>
      <c r="DR8" s="565" t="n"/>
      <c r="DS8" s="565" t="n"/>
      <c r="DT8" s="565" t="n"/>
      <c r="DU8" s="565" t="n"/>
      <c r="DV8" s="565" t="n"/>
      <c r="DW8" s="565" t="n"/>
      <c r="DX8" s="565" t="n"/>
      <c r="DY8" s="565" t="n"/>
      <c r="DZ8" s="565" t="n"/>
      <c r="EA8" s="565" t="n"/>
      <c r="EB8" s="565" t="n"/>
      <c r="EC8" s="565" t="n"/>
      <c r="ED8" s="565" t="n"/>
      <c r="EE8" s="565" t="n"/>
      <c r="EF8" s="565" t="n"/>
      <c r="EG8" s="565" t="n"/>
      <c r="EH8" s="565" t="n"/>
      <c r="EI8" s="565" t="n"/>
      <c r="EJ8" s="565" t="n"/>
      <c r="EK8" s="565" t="n"/>
      <c r="EL8" s="565" t="n"/>
      <c r="EM8" s="565" t="n"/>
      <c r="EN8" s="565" t="n"/>
      <c r="EO8" s="565" t="n"/>
      <c r="EP8" s="565" t="n"/>
      <c r="EQ8" s="565" t="n"/>
      <c r="ER8" s="565" t="n"/>
      <c r="ES8" s="565" t="n"/>
      <c r="ET8" s="565" t="n"/>
      <c r="EU8" s="565" t="n"/>
      <c r="EV8" s="565" t="n"/>
      <c r="EW8" s="565" t="n"/>
      <c r="EX8" s="565" t="n"/>
      <c r="EY8" s="565" t="n"/>
      <c r="EZ8" s="565" t="n"/>
      <c r="FA8" s="565" t="n"/>
      <c r="FB8" s="565" t="n"/>
      <c r="FC8" s="565" t="n"/>
      <c r="FD8" s="565" t="n"/>
      <c r="FE8" s="565" t="n"/>
      <c r="FF8" s="565" t="n"/>
      <c r="FG8" s="565" t="n"/>
      <c r="FH8" s="565" t="n"/>
      <c r="FI8" s="565" t="n"/>
      <c r="FJ8" s="565" t="n"/>
      <c r="FK8" s="565" t="n"/>
      <c r="FL8" s="565" t="n"/>
      <c r="FM8" s="565" t="n"/>
      <c r="FN8" s="565" t="n"/>
      <c r="FO8" s="565" t="n"/>
      <c r="FP8" s="565" t="n"/>
      <c r="FQ8" s="565" t="n"/>
    </row>
    <row r="9" ht="36" customFormat="1" customHeight="1" s="568">
      <c r="A9" s="86" t="n"/>
      <c r="B9" s="87" t="inlineStr">
        <is>
          <t>4,5,6,7,8,9,10, 14, 15</t>
        </is>
      </c>
      <c r="C9" s="84">
        <f>IFERROR(IF(AND($E9&gt;0,$D9&lt;&gt;"The Public"),$E9/SUMIFS($E$9:$E$142,$E$9:$E$142,"&gt;0",$D$9:$D$142,"&lt;&gt;The Public")*$D$4,""),"")</f>
        <v/>
      </c>
      <c r="D9" s="52" t="inlineStr">
        <is>
          <t>Phillips Petroleum Company</t>
        </is>
      </c>
      <c r="E9" s="84">
        <f>SUM(G9:HJ9)</f>
        <v/>
      </c>
      <c r="F9" s="569" t="n"/>
      <c r="G9" s="579" t="n">
        <v>1</v>
      </c>
      <c r="H9" s="579" t="n">
        <v>-1</v>
      </c>
      <c r="I9" s="579" t="n"/>
      <c r="J9" s="579" t="n"/>
      <c r="K9" s="579" t="n"/>
      <c r="L9" s="579" t="n"/>
      <c r="M9" s="579" t="n"/>
      <c r="N9" s="579" t="n"/>
      <c r="O9" s="579" t="n"/>
      <c r="P9" s="579" t="n"/>
      <c r="Q9" s="579" t="n"/>
      <c r="R9" s="579" t="n"/>
      <c r="S9" s="579" t="n"/>
      <c r="T9" s="579" t="n"/>
      <c r="U9" s="579" t="n"/>
      <c r="V9" s="579" t="n"/>
      <c r="W9" s="579" t="n"/>
      <c r="X9" s="579" t="n"/>
      <c r="Y9" s="579" t="n"/>
      <c r="Z9" s="579" t="n"/>
      <c r="AA9" s="579" t="n"/>
      <c r="AB9" s="579" t="n"/>
      <c r="AC9" s="579" t="n"/>
      <c r="AD9" s="579" t="n"/>
      <c r="AE9" s="579" t="n"/>
      <c r="AF9" s="579" t="n"/>
      <c r="AG9" s="579" t="n"/>
      <c r="AH9" s="579" t="n"/>
      <c r="AI9" s="579" t="n"/>
      <c r="AJ9" s="579" t="n"/>
      <c r="AK9" s="579" t="n"/>
      <c r="AL9" s="579" t="n"/>
      <c r="AM9" s="579" t="n"/>
      <c r="AN9" s="579" t="n"/>
      <c r="AO9" s="579" t="n"/>
      <c r="AP9" s="579" t="n"/>
      <c r="AQ9" s="579" t="n"/>
      <c r="AR9" s="579" t="n"/>
      <c r="AS9" s="579" t="n"/>
      <c r="AT9" s="579" t="n"/>
      <c r="AU9" s="579" t="n"/>
      <c r="AV9" s="579" t="n"/>
      <c r="AW9" s="579" t="n"/>
      <c r="AX9" s="579" t="n"/>
      <c r="AY9" s="579" t="n"/>
      <c r="AZ9" s="579" t="n"/>
      <c r="BA9" s="579" t="n"/>
      <c r="BB9" s="579" t="n"/>
      <c r="BC9" s="579" t="n"/>
      <c r="BD9" s="579" t="n"/>
      <c r="BE9" s="579" t="n"/>
      <c r="BF9" s="579" t="n"/>
      <c r="BG9" s="579" t="n"/>
      <c r="BH9" s="579" t="n"/>
      <c r="BI9" s="579" t="n"/>
      <c r="BJ9" s="579" t="n"/>
      <c r="BK9" s="579" t="n"/>
      <c r="BL9" s="579" t="n"/>
      <c r="BM9" s="579" t="n"/>
      <c r="BN9" s="579" t="n"/>
      <c r="BO9" s="579" t="n"/>
      <c r="BP9" s="579" t="n"/>
      <c r="BQ9" s="579" t="n"/>
      <c r="BR9" s="579" t="n"/>
      <c r="BS9" s="579" t="n"/>
      <c r="BT9" s="579" t="n"/>
      <c r="BU9" s="579" t="n"/>
      <c r="BV9" s="579" t="n"/>
      <c r="BW9" s="579" t="n"/>
      <c r="BX9" s="579" t="n"/>
      <c r="BY9" s="579" t="n"/>
      <c r="BZ9" s="579" t="n"/>
      <c r="CA9" s="579" t="n"/>
      <c r="CB9" s="579" t="n"/>
      <c r="CC9" s="579" t="n"/>
      <c r="CD9" s="579" t="n"/>
      <c r="CE9" s="579" t="n"/>
      <c r="CF9" s="579" t="n"/>
      <c r="CG9" s="579" t="n"/>
      <c r="CH9" s="579" t="n"/>
      <c r="CI9" s="579" t="n"/>
      <c r="CJ9" s="579" t="n"/>
      <c r="CK9" s="579" t="n"/>
      <c r="CL9" s="579" t="n"/>
      <c r="CM9" s="579" t="n"/>
      <c r="CN9" s="579" t="n"/>
      <c r="CO9" s="579" t="n"/>
      <c r="CP9" s="579" t="n"/>
      <c r="CQ9" s="579" t="n"/>
      <c r="CR9" s="579" t="n"/>
      <c r="CS9" s="579" t="n"/>
      <c r="CT9" s="579" t="n"/>
      <c r="CU9" s="579" t="n"/>
      <c r="CV9" s="579" t="n"/>
      <c r="CW9" s="579" t="n"/>
      <c r="CX9" s="579" t="n"/>
      <c r="CY9" s="579" t="n"/>
      <c r="CZ9" s="579" t="n"/>
      <c r="DA9" s="579" t="n"/>
      <c r="DB9" s="579" t="n"/>
      <c r="DC9" s="579" t="n"/>
      <c r="DD9" s="579" t="n"/>
      <c r="DE9" s="579" t="n"/>
      <c r="DF9" s="579" t="n"/>
      <c r="DG9" s="579" t="n"/>
      <c r="DH9" s="579" t="n"/>
      <c r="DI9" s="579" t="n"/>
      <c r="DJ9" s="579" t="n"/>
      <c r="DK9" s="579" t="n"/>
      <c r="DL9" s="579" t="n"/>
      <c r="DM9" s="579" t="n"/>
      <c r="DN9" s="579" t="n"/>
      <c r="DO9" s="579" t="n"/>
      <c r="DP9" s="579" t="n"/>
      <c r="DQ9" s="579" t="n"/>
      <c r="DR9" s="579" t="n"/>
      <c r="DS9" s="579" t="n"/>
      <c r="DT9" s="579" t="n"/>
      <c r="DU9" s="579" t="n"/>
      <c r="DV9" s="579" t="n"/>
      <c r="DW9" s="579" t="n"/>
      <c r="DX9" s="579" t="n"/>
      <c r="DY9" s="579" t="n"/>
      <c r="DZ9" s="579" t="n"/>
      <c r="EA9" s="579" t="n"/>
      <c r="EB9" s="579" t="n"/>
      <c r="EC9" s="579" t="n"/>
      <c r="ED9" s="579" t="n"/>
      <c r="EE9" s="579" t="n"/>
      <c r="EF9" s="579" t="n"/>
      <c r="EG9" s="579" t="n"/>
      <c r="EH9" s="579" t="n"/>
      <c r="EI9" s="579" t="n"/>
      <c r="EJ9" s="579" t="n"/>
      <c r="EK9" s="579" t="n"/>
      <c r="EL9" s="579" t="n"/>
      <c r="EM9" s="579" t="n"/>
      <c r="EN9" s="579" t="n"/>
      <c r="EO9" s="579" t="n"/>
      <c r="EP9" s="579" t="n"/>
      <c r="EQ9" s="579" t="n"/>
      <c r="ER9" s="579" t="n"/>
      <c r="ES9" s="579" t="n"/>
      <c r="ET9" s="579" t="n"/>
      <c r="EU9" s="579" t="n"/>
      <c r="EV9" s="579" t="n"/>
      <c r="EW9" s="579" t="n"/>
      <c r="EX9" s="579" t="n"/>
      <c r="EY9" s="579" t="n"/>
      <c r="EZ9" s="579" t="n"/>
      <c r="FA9" s="579" t="n"/>
      <c r="FB9" s="579" t="n"/>
      <c r="FC9" s="579" t="n"/>
      <c r="FD9" s="579" t="n"/>
      <c r="FE9" s="579" t="n"/>
      <c r="FF9" s="579" t="n"/>
      <c r="FG9" s="579" t="n"/>
      <c r="FH9" s="579" t="n"/>
      <c r="FI9" s="579" t="n"/>
      <c r="FJ9" s="579" t="n"/>
      <c r="FK9" s="579" t="n"/>
      <c r="FL9" s="579" t="n"/>
      <c r="FM9" s="579" t="n"/>
      <c r="FN9" s="579" t="n"/>
      <c r="FO9" s="579" t="n"/>
      <c r="FP9" s="579" t="n"/>
      <c r="FQ9" s="579" t="n"/>
    </row>
    <row r="10" customFormat="1" s="568">
      <c r="A10" s="86" t="n"/>
      <c r="B10" s="87" t="n"/>
      <c r="C10" s="84">
        <f>IFERROR(IF(AND($E10&gt;0,$D10&lt;&gt;"The Public"),$E10/SUMIFS($E$9:$E$142,$E$9:$E$142,"&gt;0",$D$9:$D$142,"&lt;&gt;The Public")*$D$4,""),"")</f>
        <v/>
      </c>
      <c r="D10" s="51" t="inlineStr">
        <is>
          <t>Phillips Oil Company</t>
        </is>
      </c>
      <c r="E10" s="593">
        <f>SUM(G10:HJ10)</f>
        <v/>
      </c>
      <c r="F10" s="569" t="n"/>
      <c r="G10" s="579" t="n"/>
      <c r="H10" s="568" t="n">
        <v>1</v>
      </c>
      <c r="I10" s="579" t="n">
        <v>0.8125</v>
      </c>
      <c r="J10" s="579" t="n"/>
      <c r="K10" s="579" t="inlineStr">
        <is>
          <t>TOP LEASE — springing/subordinate; NOT currently effective unless prior lease termination/HBP confirmed (per OGL notes).</t>
        </is>
      </c>
      <c r="L10" s="579" t="n"/>
      <c r="M10" s="579" t="n"/>
      <c r="N10" s="579"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customFormat="1" s="568">
      <c r="A11" s="86" t="n"/>
      <c r="B11" s="87" t="n"/>
      <c r="C11" s="84">
        <f>IFERROR(IF(AND($E11&gt;0,$D11&lt;&gt;"The Public"),$E11/SUMIFS($E$9:$E$142,$E$9:$E$142,"&gt;0",$D$9:$D$142,"&lt;&gt;The Public")*$D$4,""),"")</f>
        <v/>
      </c>
      <c r="D11" s="51" t="inlineStr">
        <is>
          <t>Lariat Petroleum, Inc.</t>
        </is>
      </c>
      <c r="E11" s="593">
        <f>SUM(G11:HJ11)</f>
        <v/>
      </c>
      <c r="F11" s="569" t="n"/>
      <c r="G11" s="579" t="n"/>
      <c r="H11" s="568" t="n">
        <v>1</v>
      </c>
      <c r="I11" s="579" t="n">
        <v>0.8125</v>
      </c>
      <c r="J11" s="579" t="n"/>
      <c r="K11" s="579" t="inlineStr">
        <is>
          <t>TOP LEASE — springing/subordinate; NOT currently effective unless prior lease termination/HBP confirmed (per OGL notes).</t>
        </is>
      </c>
      <c r="M11" s="579" t="n"/>
      <c r="N11" s="579"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ht="13.5" customFormat="1" customHeight="1" s="568">
      <c r="A12" s="86" t="n"/>
      <c r="B12" s="87" t="n"/>
      <c r="C12" s="84">
        <f>IFERROR(IF(AND($E12&gt;0,$D12&lt;&gt;"The Public"),$E12/SUMIFS($E$9:$E$142,$E$9:$E$142,"&gt;0",$D$9:$D$142,"&lt;&gt;The Public")*$D$4,""),"")</f>
        <v/>
      </c>
      <c r="E12" s="84">
        <f>SUM(G12:HJ12)</f>
        <v/>
      </c>
      <c r="F12" s="569" t="n"/>
      <c r="G12" s="579" t="n"/>
      <c r="H12" s="579" t="n">
        <v>1</v>
      </c>
      <c r="I12" s="579" t="n">
        <v>0.8125</v>
      </c>
      <c r="J12" s="579" t="n"/>
      <c r="K12" s="579" t="inlineStr">
        <is>
          <t>TOP LEASE — springing/subordinate; NOT currently effective unless prior lease termination/HBP confirmed (per OGL notes).</t>
        </is>
      </c>
      <c r="L12" s="579" t="n"/>
      <c r="M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n"/>
      <c r="C13" s="84">
        <f>IFERROR(IF(AND($E13&gt;0,$D13&lt;&gt;"The Public"),$E13/SUMIFS($E$9:$E$142,$E$9:$E$142,"&gt;0",$D$9:$D$142,"&lt;&gt;The Public")*$D$4,""),"")</f>
        <v/>
      </c>
      <c r="D13" s="58" t="n"/>
      <c r="E13" s="84">
        <f>SUM(G13:HJ13)</f>
        <v/>
      </c>
      <c r="F13" s="569" t="n"/>
      <c r="G13" s="579" t="n"/>
      <c r="H13" s="579" t="n">
        <v>1</v>
      </c>
      <c r="I13" s="579" t="n">
        <v>0.8125</v>
      </c>
      <c r="J13" s="579" t="n"/>
      <c r="K13" s="579" t="inlineStr">
        <is>
          <t>TOP LEASE — springing/subordinate; NOT currently effective unless prior lease termination/HBP confirmed (per OGL notes).</t>
        </is>
      </c>
      <c r="L13" s="579" t="n"/>
      <c r="M13" s="579" t="n"/>
      <c r="N13" s="579" t="n"/>
      <c r="O13" s="579" t="n"/>
      <c r="P13" s="579" t="n"/>
      <c r="Q13" s="579" t="n"/>
      <c r="R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ht="15.6" customFormat="1" customHeight="1" s="568">
      <c r="A14" s="86" t="n"/>
      <c r="B14" s="87" t="n"/>
      <c r="C14" s="84">
        <f>IFERROR(IF(AND($E14&gt;0,$D14&lt;&gt;"The Public"),$E14/SUMIFS($E$9:$E$142,$E$9:$E$142,"&gt;0",$D$9:$D$142,"&lt;&gt;The Public")*$D$4,""),"")</f>
        <v/>
      </c>
      <c r="D14" s="58" t="n"/>
      <c r="E14" s="84">
        <f>SUM(G14:HJ14)</f>
        <v/>
      </c>
      <c r="F14" s="569" t="n"/>
      <c r="G14" s="579" t="n"/>
      <c r="H14" s="579" t="n">
        <v>1</v>
      </c>
      <c r="I14" s="579" t="n">
        <v>0.8125</v>
      </c>
      <c r="J14" s="579" t="n"/>
      <c r="K14" s="579" t="inlineStr">
        <is>
          <t>TOP LEASE — springing/subordinate; NOT currently effective unless prior lease termination/HBP confirmed (per OGL notes).</t>
        </is>
      </c>
      <c r="L14" s="579" t="n"/>
      <c r="M14" s="579" t="n"/>
      <c r="N14" s="579"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c r="C15" s="84">
        <f>IFERROR(IF(AND($E15&gt;0,$D15&lt;&gt;"The Public"),$E15/SUMIFS($E$9:$E$142,$E$9:$E$142,"&gt;0",$D$9:$D$142,"&lt;&gt;The Public")*$D$4,""),"")</f>
        <v/>
      </c>
      <c r="D15" s="58" t="n"/>
      <c r="E15" s="84">
        <f>SUM(G15:HJ15)</f>
        <v/>
      </c>
      <c r="F15" s="569" t="n"/>
      <c r="G15" s="579" t="n"/>
      <c r="H15" s="579" t="n">
        <v>1</v>
      </c>
      <c r="I15" s="579" t="n">
        <v>0.8125</v>
      </c>
      <c r="J15" s="579" t="n"/>
      <c r="K15" s="579" t="inlineStr">
        <is>
          <t>TOP LEASE — springing/subordinate; NOT currently effective unless prior lease termination/HBP confirmed (per OGL notes).</t>
        </is>
      </c>
      <c r="L15" s="579" t="n"/>
      <c r="M15" s="579" t="n"/>
      <c r="N15" s="579"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c r="C16" s="84">
        <f>IFERROR(IF(AND($E16&gt;0,$D16&lt;&gt;"The Public"),$E16/SUMIFS($E$9:$E$142,$E$9:$E$142,"&gt;0",$D$9:$D$142,"&lt;&gt;The Public")*$D$4,""),"")</f>
        <v/>
      </c>
      <c r="D16" s="58" t="n"/>
      <c r="E16" s="84">
        <f>SUM(G16:HJ16)</f>
        <v/>
      </c>
      <c r="F16" s="569" t="n"/>
      <c r="G16" s="579" t="n"/>
      <c r="H16" s="579" t="n"/>
      <c r="I16" s="579" t="n"/>
      <c r="J16" s="579" t="n"/>
      <c r="K16" s="579" t="n"/>
      <c r="L16" s="579" t="n"/>
      <c r="M16" s="579" t="n"/>
      <c r="N16" s="579"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B17" s="87" t="n"/>
      <c r="C17" s="84">
        <f>IFERROR(IF(AND($E17&gt;0,$D17&lt;&gt;"The Public"),$E17/SUMIFS($E$9:$E$142,$E$9:$E$142,"&gt;0",$D$9:$D$142,"&lt;&gt;The Public")*$D$4,""),"")</f>
        <v/>
      </c>
      <c r="D17" s="58" t="n"/>
      <c r="E17" s="84">
        <f>SUM(G17:HJ17)</f>
        <v/>
      </c>
      <c r="F17" s="569" t="n"/>
      <c r="G17" s="579" t="n"/>
      <c r="H17" s="579" t="n"/>
    </row>
    <row r="18" customFormat="1" s="568">
      <c r="B18" s="87" t="n"/>
      <c r="C18" s="84">
        <f>IFERROR(IF(AND($E18&gt;0,$D18&lt;&gt;"The Public"),$E18/SUMIFS($E$9:$E$142,$E$9:$E$142,"&gt;0",$D$9:$D$142,"&lt;&gt;The Public")*$D$4,""),"")</f>
        <v/>
      </c>
      <c r="D18" s="58" t="n"/>
      <c r="E18" s="84">
        <f>SUM(G18:HJ18)</f>
        <v/>
      </c>
      <c r="F18" s="569" t="n"/>
      <c r="G18" s="579" t="n"/>
      <c r="H18" s="579" t="n"/>
    </row>
    <row r="19" customFormat="1" s="568">
      <c r="B19" s="87" t="n"/>
      <c r="C19" s="84">
        <f>IFERROR(IF(AND($E19&gt;0,$D19&lt;&gt;"The Public"),$E19/SUMIFS($E$9:$E$142,$E$9:$E$142,"&gt;0",$D$9:$D$142,"&lt;&gt;The Public")*$D$4,""),"")</f>
        <v/>
      </c>
      <c r="D19" s="58" t="n"/>
      <c r="E19" s="84">
        <f>SUM(G19:HJ19)</f>
        <v/>
      </c>
      <c r="F19" s="569" t="n"/>
      <c r="G19" s="579" t="n"/>
      <c r="H19" s="579" t="n"/>
    </row>
    <row r="20" customFormat="1" s="568">
      <c r="B20" s="87" t="n"/>
      <c r="C20" s="84">
        <f>IFERROR(IF(AND($E20&gt;0,$D20&lt;&gt;"The Public"),$E20/SUMIFS($E$9:$E$142,$E$9:$E$142,"&gt;0",$D$9:$D$142,"&lt;&gt;The Public")*$D$4,""),"")</f>
        <v/>
      </c>
      <c r="D20" s="114" t="n"/>
      <c r="E20" s="84">
        <f>SUM(G20:HJ20)</f>
        <v/>
      </c>
      <c r="F20" s="569" t="n"/>
      <c r="G20" s="579" t="n"/>
      <c r="H20" s="579" t="n"/>
    </row>
    <row r="21" customFormat="1" s="568">
      <c r="B21" s="87" t="n"/>
      <c r="C21" s="84">
        <f>IFERROR(IF(AND($E21&gt;0,$D21&lt;&gt;"The Public"),$E21/SUMIFS($E$9:$E$142,$E$9:$E$142,"&gt;0",$D$9:$D$142,"&lt;&gt;The Public")*$D$4,""),"")</f>
        <v/>
      </c>
      <c r="D21" s="68" t="n"/>
      <c r="E21" s="84">
        <f>SUM(G21:HJ21)</f>
        <v/>
      </c>
      <c r="F21" s="569" t="n"/>
      <c r="G21" s="579" t="n"/>
      <c r="H21" s="579" t="n"/>
    </row>
    <row r="22" customFormat="1" s="568">
      <c r="B22" s="85" t="n"/>
      <c r="C22" s="84">
        <f>IFERROR(IF(AND($E22&gt;0,$D22&lt;&gt;"The Public"),$E22/SUMIFS($E$9:$E$142,$E$9:$E$142,"&gt;0",$D$9:$D$142,"&lt;&gt;The Public")*$D$4,""),"")</f>
        <v/>
      </c>
      <c r="D22" s="68" t="n"/>
      <c r="E22" s="84">
        <f>SUM(G22:HJ22)</f>
        <v/>
      </c>
      <c r="F22" s="569" t="n"/>
      <c r="G22" s="579" t="n"/>
      <c r="H22" s="579" t="n"/>
    </row>
    <row r="23" customFormat="1" s="568">
      <c r="B23" s="85" t="n"/>
      <c r="C23" s="84">
        <f>IFERROR(IF(AND($E23&gt;0,$D23&lt;&gt;"The Public"),$E23/SUMIFS($E$9:$E$142,$E$9:$E$142,"&gt;0",$D$9:$D$142,"&lt;&gt;The Public")*$D$4,""),"")</f>
        <v/>
      </c>
      <c r="D23" s="68" t="n"/>
      <c r="E23" s="84">
        <f>SUM(G23:HJ23)</f>
        <v/>
      </c>
      <c r="F23" s="569" t="n"/>
      <c r="G23" s="579" t="n"/>
      <c r="H23" s="579" t="n"/>
    </row>
    <row r="24" customFormat="1" s="568">
      <c r="B24" s="85" t="n"/>
      <c r="C24" s="84">
        <f>IFERROR(IF(AND($E24&gt;0,$D24&lt;&gt;"The Public"),$E24/SUMIFS($E$9:$E$142,$E$9:$E$142,"&gt;0",$D$9:$D$142,"&lt;&gt;The Public")*$D$4,""),"")</f>
        <v/>
      </c>
      <c r="D24" s="68" t="n"/>
      <c r="E24" s="84">
        <f>SUM(G24:HJ24)</f>
        <v/>
      </c>
      <c r="F24" s="569" t="n"/>
      <c r="G24" s="579" t="n"/>
      <c r="H24" s="579" t="n"/>
    </row>
    <row r="25" customFormat="1" s="568">
      <c r="B25" s="85" t="n"/>
      <c r="C25" s="84">
        <f>IFERROR(IF(AND($E25&gt;0,$D25&lt;&gt;"The Public"),$E25/SUMIFS($E$9:$E$142,$E$9:$E$142,"&gt;0",$D$9:$D$142,"&lt;&gt;The Public")*$D$4,""),"")</f>
        <v/>
      </c>
      <c r="D25" s="68" t="n"/>
      <c r="E25" s="84">
        <f>SUM(G25:HJ25)</f>
        <v/>
      </c>
      <c r="F25" s="569" t="n"/>
      <c r="G25" s="579" t="n"/>
      <c r="H25" s="579" t="n"/>
    </row>
    <row r="26" customFormat="1" s="568">
      <c r="B26" s="85" t="n"/>
      <c r="C26" s="84">
        <f>IFERROR(IF(AND($E26&gt;0,$D26&lt;&gt;"The Public"),$E26/SUMIFS($E$9:$E$142,$E$9:$E$142,"&gt;0",$D$9:$D$142,"&lt;&gt;The Public")*$D$4,""),"")</f>
        <v/>
      </c>
      <c r="D26" s="68" t="n"/>
      <c r="E26" s="84">
        <f>SUM(G26:HJ26)</f>
        <v/>
      </c>
      <c r="F26" s="569" t="n"/>
      <c r="G26" s="579" t="n"/>
      <c r="H26" s="579" t="n"/>
    </row>
    <row r="27" customFormat="1" s="568">
      <c r="B27" s="85" t="n"/>
      <c r="C27" s="84">
        <f>IFERROR(IF(AND($E27&gt;0,$D27&lt;&gt;"The Public"),$E27/SUMIFS($E$9:$E$142,$E$9:$E$142,"&gt;0",$D$9:$D$142,"&lt;&gt;The Public")*$D$4,""),"")</f>
        <v/>
      </c>
      <c r="D27" s="68" t="n"/>
      <c r="E27" s="84">
        <f>SUM(G27:HJ27)</f>
        <v/>
      </c>
      <c r="F27" s="569" t="n"/>
      <c r="G27" s="579" t="n"/>
      <c r="H27" s="579" t="n"/>
    </row>
    <row r="28" customFormat="1" s="568">
      <c r="B28" s="85" t="n"/>
      <c r="C28" s="84">
        <f>IFERROR(IF(AND($E28&gt;0,$D28&lt;&gt;"The Public"),$E28/SUMIFS($E$9:$E$142,$E$9:$E$142,"&gt;0",$D$9:$D$142,"&lt;&gt;The Public")*$D$4,""),"")</f>
        <v/>
      </c>
      <c r="D28" s="68" t="n"/>
      <c r="E28" s="84">
        <f>SUM(G28:HJ28)</f>
        <v/>
      </c>
      <c r="F28" s="569" t="n"/>
      <c r="G28" s="579" t="n"/>
      <c r="H28" s="579" t="n"/>
    </row>
    <row r="29" customFormat="1" s="568">
      <c r="B29" s="85" t="n"/>
      <c r="C29" s="84">
        <f>IFERROR(IF(AND($E29&gt;0,$D29&lt;&gt;"The Public"),$E29/SUMIFS($E$9:$E$142,$E$9:$E$142,"&gt;0",$D$9:$D$142,"&lt;&gt;The Public")*$D$4,""),"")</f>
        <v/>
      </c>
      <c r="D29" s="68" t="n"/>
      <c r="E29" s="84">
        <f>SUM(G29:HJ29)</f>
        <v/>
      </c>
      <c r="F29" s="569" t="n"/>
      <c r="G29" s="579" t="n"/>
      <c r="H29" s="579" t="n"/>
    </row>
    <row r="30" customFormat="1" s="568">
      <c r="B30" s="85" t="n"/>
      <c r="C30" s="84">
        <f>IFERROR(IF(AND($E30&gt;0,$D30&lt;&gt;"The Public"),$E30/SUMIFS($E$9:$E$142,$E$9:$E$142,"&gt;0",$D$9:$D$142,"&lt;&gt;The Public")*$D$4,""),"")</f>
        <v/>
      </c>
      <c r="D30" s="68" t="n"/>
      <c r="E30" s="84">
        <f>SUM(G30:HJ30)</f>
        <v/>
      </c>
      <c r="F30" s="569" t="n"/>
      <c r="G30" s="579" t="n"/>
      <c r="H30" s="579" t="n"/>
    </row>
    <row r="31" customFormat="1" s="568">
      <c r="B31" s="85" t="n"/>
      <c r="C31" s="84">
        <f>IFERROR(IF(AND($E31&gt;0,$D31&lt;&gt;"The Public"),$E31/SUMIFS($E$9:$E$142,$E$9:$E$142,"&gt;0",$D$9:$D$142,"&lt;&gt;The Public")*$D$4,""),"")</f>
        <v/>
      </c>
      <c r="D31" s="68" t="n"/>
      <c r="E31" s="84">
        <f>SUM(G31:HJ31)</f>
        <v/>
      </c>
      <c r="F31" s="569" t="n"/>
      <c r="G31" s="579" t="n"/>
      <c r="H31" s="579" t="n"/>
    </row>
    <row r="32" customFormat="1" s="568">
      <c r="B32" s="85" t="n"/>
      <c r="C32" s="84">
        <f>IFERROR(IF(AND($E32&gt;0,$D32&lt;&gt;"The Public"),$E32/SUMIFS($E$9:$E$142,$E$9:$E$142,"&gt;0",$D$9:$D$142,"&lt;&gt;The Public")*$D$4,""),"")</f>
        <v/>
      </c>
      <c r="D32" s="68" t="n"/>
      <c r="E32" s="84">
        <f>SUM(G32:HJ32)</f>
        <v/>
      </c>
      <c r="F32" s="569" t="n"/>
      <c r="G32" s="579" t="n"/>
      <c r="H32" s="579" t="n"/>
    </row>
    <row r="33" customFormat="1" s="568">
      <c r="B33" s="85" t="n"/>
      <c r="C33" s="84">
        <f>IFERROR(IF(AND($E33&gt;0,$D33&lt;&gt;"The Public"),$E33/SUMIFS($E$9:$E$142,$E$9:$E$142,"&gt;0",$D$9:$D$142,"&lt;&gt;The Public")*$D$4,""),"")</f>
        <v/>
      </c>
      <c r="D33" s="68" t="n"/>
      <c r="E33" s="84">
        <f>SUM(G33:HJ33)</f>
        <v/>
      </c>
    </row>
    <row r="34" customFormat="1" s="568">
      <c r="B34" s="85" t="n"/>
      <c r="C34" s="84">
        <f>IFERROR(IF(AND($E34&gt;0,$D34&lt;&gt;"The Public"),$E34/SUMIFS($E$9:$E$142,$E$9:$E$142,"&gt;0",$D$9:$D$142,"&lt;&gt;The Public")*$D$4,""),"")</f>
        <v/>
      </c>
      <c r="D34" s="68" t="n"/>
      <c r="E34" s="84">
        <f>SUM(G34:HJ34)</f>
        <v/>
      </c>
    </row>
    <row r="35" customFormat="1" s="568">
      <c r="B35" s="85" t="n"/>
      <c r="C35" s="84">
        <f>IFERROR(IF(AND($E35&gt;0,$D35&lt;&gt;"The Public"),$E35/SUMIFS($E$9:$E$142,$E$9:$E$142,"&gt;0",$D$9:$D$142,"&lt;&gt;The Public")*$D$4,""),"")</f>
        <v/>
      </c>
      <c r="D35" s="68" t="n"/>
      <c r="E35" s="84">
        <f>SUM(G35:HJ35)</f>
        <v/>
      </c>
    </row>
    <row r="36" customFormat="1" s="568">
      <c r="B36" s="85" t="n"/>
      <c r="C36" s="84">
        <f>IFERROR(IF(AND($E36&gt;0,$D36&lt;&gt;"The Public"),$E36/SUMIFS($E$9:$E$142,$E$9:$E$142,"&gt;0",$D$9:$D$142,"&lt;&gt;The Public")*$D$4,""),"")</f>
        <v/>
      </c>
      <c r="D36" s="68" t="n"/>
      <c r="E36" s="84">
        <f>SUM(G36:HJ36)</f>
        <v/>
      </c>
    </row>
    <row r="37" customFormat="1" s="568">
      <c r="B37" s="85" t="n"/>
      <c r="C37" s="84">
        <f>IFERROR(IF(AND($E37&gt;0,$D37&lt;&gt;"The Public"),$E37/SUMIFS($E$9:$E$142,$E$9:$E$142,"&gt;0",$D$9:$D$142,"&lt;&gt;The Public")*$D$4,""),"")</f>
        <v/>
      </c>
      <c r="D37" s="68" t="n"/>
      <c r="E37" s="84">
        <f>SUM(G37:HJ37)</f>
        <v/>
      </c>
    </row>
    <row r="38" customFormat="1" s="568">
      <c r="B38" s="85" t="n"/>
      <c r="C38" s="84">
        <f>IFERROR(IF(AND($E38&gt;0,$D38&lt;&gt;"The Public"),$E38/SUMIFS($E$9:$E$142,$E$9:$E$142,"&gt;0",$D$9:$D$142,"&lt;&gt;The Public")*$D$4,""),"")</f>
        <v/>
      </c>
      <c r="D38" s="68" t="n"/>
      <c r="E38" s="84">
        <f>SUM(G38:HJ38)</f>
        <v/>
      </c>
    </row>
    <row r="39" customFormat="1" s="568">
      <c r="B39" s="85" t="n"/>
      <c r="C39" s="84">
        <f>IFERROR(IF(AND($E39&gt;0,$D39&lt;&gt;"The Public"),$E39/SUMIFS($E$9:$E$142,$E$9:$E$142,"&gt;0",$D$9:$D$142,"&lt;&gt;The Public")*$D$4,""),"")</f>
        <v/>
      </c>
      <c r="D39" s="68" t="n"/>
      <c r="E39" s="84">
        <f>SUM(G39:HJ39)</f>
        <v/>
      </c>
    </row>
    <row r="40" customFormat="1" s="568">
      <c r="B40" s="85" t="n"/>
      <c r="C40" s="84">
        <f>IFERROR(IF(AND($E40&gt;0,$D40&lt;&gt;"The Public"),$E40/SUMIFS($E$9:$E$142,$E$9:$E$142,"&gt;0",$D$9:$D$142,"&lt;&gt;The Public")*$D$4,""),"")</f>
        <v/>
      </c>
      <c r="D40" s="68" t="n"/>
      <c r="E40" s="84">
        <f>SUM(G40:HJ40)</f>
        <v/>
      </c>
    </row>
    <row r="41" customFormat="1" s="568">
      <c r="B41" s="85" t="n"/>
      <c r="C41" s="84">
        <f>IFERROR(IF(AND($E41&gt;0,$D41&lt;&gt;"The Public"),$E41/SUMIFS($E$9:$E$142,$E$9:$E$142,"&gt;0",$D$9:$D$142,"&lt;&gt;The Public")*$D$4,""),"")</f>
        <v/>
      </c>
      <c r="D41" s="68" t="n"/>
      <c r="E41" s="84">
        <f>SUM(G41:HJ41)</f>
        <v/>
      </c>
    </row>
    <row r="42" customFormat="1" s="568">
      <c r="B42" s="85" t="n"/>
      <c r="C42" s="84">
        <f>IFERROR(IF(AND($E42&gt;0,$D42&lt;&gt;"The Public"),$E42/SUMIFS($E$9:$E$142,$E$9:$E$142,"&gt;0",$D$9:$D$142,"&lt;&gt;The Public")*$D$4,""),"")</f>
        <v/>
      </c>
      <c r="D42" s="68" t="n"/>
      <c r="E42" s="84">
        <f>SUM(G42:HJ42)</f>
        <v/>
      </c>
    </row>
    <row r="43" customFormat="1" s="568">
      <c r="B43" s="85" t="n"/>
      <c r="C43" s="84">
        <f>IFERROR(IF(AND($E43&gt;0,$D43&lt;&gt;"The Public"),$E43/SUMIFS($E$9:$E$142,$E$9:$E$142,"&gt;0",$D$9:$D$142,"&lt;&gt;The Public")*$D$4,""),"")</f>
        <v/>
      </c>
      <c r="D43" s="68" t="n"/>
      <c r="E43" s="84">
        <f>SUM(G43:HJ43)</f>
        <v/>
      </c>
    </row>
    <row r="44" customFormat="1" s="568">
      <c r="B44" s="85" t="n"/>
      <c r="C44" s="84">
        <f>IFERROR(IF(AND($E44&gt;0,$D44&lt;&gt;"The Public"),$E44/SUMIFS($E$9:$E$142,$E$9:$E$142,"&gt;0",$D$9:$D$142,"&lt;&gt;The Public")*$D$4,""),"")</f>
        <v/>
      </c>
      <c r="D44" s="68" t="n"/>
      <c r="E44" s="84">
        <f>SUM(G44:HJ44)</f>
        <v/>
      </c>
    </row>
    <row r="45" customFormat="1" s="568">
      <c r="B45" s="85" t="n"/>
      <c r="C45" s="84">
        <f>IFERROR(IF(AND($E45&gt;0,$D45&lt;&gt;"The Public"),$E45/SUMIFS($E$9:$E$142,$E$9:$E$142,"&gt;0",$D$9:$D$142,"&lt;&gt;The Public")*$D$4,""),"")</f>
        <v/>
      </c>
      <c r="D45" s="68" t="n"/>
      <c r="E45" s="84">
        <f>SUM(G45:HJ45)</f>
        <v/>
      </c>
    </row>
    <row r="46" customFormat="1" s="568">
      <c r="B46" s="85" t="n"/>
      <c r="C46" s="84">
        <f>IFERROR(IF(AND($E46&gt;0,$D46&lt;&gt;"The Public"),$E46/SUMIFS($E$9:$E$142,$E$9:$E$142,"&gt;0",$D$9:$D$142,"&lt;&gt;The Public")*$D$4,""),"")</f>
        <v/>
      </c>
      <c r="D46" s="68" t="n"/>
      <c r="E46" s="84">
        <f>SUM(G46:HJ46)</f>
        <v/>
      </c>
    </row>
    <row r="47" customFormat="1" s="568">
      <c r="B47" s="85" t="n"/>
      <c r="C47" s="84">
        <f>IFERROR(IF(AND($E47&gt;0,$D47&lt;&gt;"The Public"),$E47/SUMIFS($E$9:$E$142,$E$9:$E$142,"&gt;0",$D$9:$D$142,"&lt;&gt;The Public")*$D$4,""),"")</f>
        <v/>
      </c>
      <c r="D47" s="68" t="n"/>
      <c r="E47" s="84">
        <f>SUM(G47:HJ47)</f>
        <v/>
      </c>
    </row>
    <row r="48" customFormat="1" s="568">
      <c r="B48" s="85" t="n"/>
      <c r="C48" s="84">
        <f>IFERROR(IF(AND($E48&gt;0,$D48&lt;&gt;"The Public"),$E48/SUMIFS($E$9:$E$142,$E$9:$E$142,"&gt;0",$D$9:$D$142,"&lt;&gt;The Public")*$D$4,""),"")</f>
        <v/>
      </c>
      <c r="D48" s="68" t="n"/>
      <c r="E48" s="84">
        <f>SUM(G48:HJ48)</f>
        <v/>
      </c>
    </row>
    <row r="49" customFormat="1" s="568">
      <c r="B49" s="85" t="n"/>
      <c r="C49" s="84">
        <f>IFERROR(IF(AND($E49&gt;0,$D49&lt;&gt;"The Public"),$E49/SUMIFS($E$9:$E$142,$E$9:$E$142,"&gt;0",$D$9:$D$142,"&lt;&gt;The Public")*$D$4,""),"")</f>
        <v/>
      </c>
      <c r="D49" s="68" t="n"/>
      <c r="E49" s="84">
        <f>SUM(G49:HJ49)</f>
        <v/>
      </c>
    </row>
    <row r="50" customFormat="1" s="568">
      <c r="B50" s="85" t="n"/>
      <c r="C50" s="84">
        <f>IFERROR(IF(AND($E50&gt;0,$D50&lt;&gt;"The Public"),$E50/SUMIFS($E$9:$E$142,$E$9:$E$142,"&gt;0",$D$9:$D$142,"&lt;&gt;The Public")*$D$4,""),"")</f>
        <v/>
      </c>
      <c r="D50" s="68" t="n"/>
      <c r="E50" s="84">
        <f>SUM(G50:HJ50)</f>
        <v/>
      </c>
    </row>
    <row r="51" customFormat="1" s="568">
      <c r="B51" s="85" t="n"/>
      <c r="C51" s="84">
        <f>IFERROR(IF(AND($E51&gt;0,$D51&lt;&gt;"The Public"),$E51/SUMIFS($E$9:$E$142,$E$9:$E$142,"&gt;0",$D$9:$D$142,"&lt;&gt;The Public")*$D$4,""),"")</f>
        <v/>
      </c>
      <c r="D51" s="68" t="n"/>
      <c r="E51" s="84">
        <f>SUM(G51:HJ51)</f>
        <v/>
      </c>
    </row>
    <row r="52" customFormat="1" s="568">
      <c r="B52" s="85" t="n"/>
      <c r="C52" s="84">
        <f>IFERROR(IF(AND($E52&gt;0,$D52&lt;&gt;"The Public"),$E52/SUMIFS($E$9:$E$142,$E$9:$E$142,"&gt;0",$D$9:$D$142,"&lt;&gt;The Public")*$D$4,""),"")</f>
        <v/>
      </c>
      <c r="D52" s="68" t="n"/>
      <c r="E52" s="84">
        <f>SUM(G52:HJ52)</f>
        <v/>
      </c>
    </row>
    <row r="53" customFormat="1" s="568">
      <c r="B53" s="85" t="n"/>
      <c r="C53" s="84">
        <f>IFERROR(IF(AND($E53&gt;0,$D53&lt;&gt;"The Public"),$E53/SUMIFS($E$9:$E$142,$E$9:$E$142,"&gt;0",$D$9:$D$142,"&lt;&gt;The Public")*$D$4,""),"")</f>
        <v/>
      </c>
      <c r="D53" s="68" t="n"/>
      <c r="E53" s="84">
        <f>SUM(G53:HJ53)</f>
        <v/>
      </c>
    </row>
    <row r="54" customFormat="1" s="568">
      <c r="B54" s="85" t="n"/>
      <c r="C54" s="84">
        <f>IFERROR(IF(AND($E54&gt;0,$D54&lt;&gt;"The Public"),$E54/SUMIFS($E$9:$E$142,$E$9:$E$142,"&gt;0",$D$9:$D$142,"&lt;&gt;The Public")*$D$4,""),"")</f>
        <v/>
      </c>
      <c r="D54" s="68" t="n"/>
      <c r="E54" s="84">
        <f>SUM(G54:HJ54)</f>
        <v/>
      </c>
    </row>
    <row r="55" customFormat="1" s="568">
      <c r="B55" s="85" t="n"/>
      <c r="C55" s="84">
        <f>IFERROR(IF(AND($E55&gt;0,$D55&lt;&gt;"The Public"),$E55/SUMIFS($E$9:$E$142,$E$9:$E$142,"&gt;0",$D$9:$D$142,"&lt;&gt;The Public")*$D$4,""),"")</f>
        <v/>
      </c>
      <c r="D55" s="68" t="n"/>
      <c r="E55" s="84">
        <f>SUM(G55:HJ55)</f>
        <v/>
      </c>
    </row>
    <row r="56" customFormat="1" s="568">
      <c r="B56" s="85" t="n"/>
      <c r="C56" s="84">
        <f>IFERROR(IF(AND($E56&gt;0,$D56&lt;&gt;"The Public"),$E56/SUMIFS($E$9:$E$142,$E$9:$E$142,"&gt;0",$D$9:$D$142,"&lt;&gt;The Public")*$D$4,""),"")</f>
        <v/>
      </c>
      <c r="D56" s="68" t="n"/>
      <c r="E56" s="84">
        <f>SUM(G56:HJ56)</f>
        <v/>
      </c>
    </row>
    <row r="57" customFormat="1" s="568">
      <c r="B57" s="85" t="n"/>
      <c r="C57" s="84">
        <f>IFERROR(IF(AND($E57&gt;0,$D57&lt;&gt;"The Public"),$E57/SUMIFS($E$9:$E$142,$E$9:$E$142,"&gt;0",$D$9:$D$142,"&lt;&gt;The Public")*$D$4,""),"")</f>
        <v/>
      </c>
      <c r="D57" s="68" t="n"/>
      <c r="E57" s="84">
        <f>SUM(G57:HJ57)</f>
        <v/>
      </c>
    </row>
    <row r="58" customFormat="1" s="568">
      <c r="B58" s="85" t="n"/>
      <c r="C58" s="84">
        <f>IFERROR(IF(AND($E58&gt;0,$D58&lt;&gt;"The Public"),$E58/SUMIFS($E$9:$E$142,$E$9:$E$142,"&gt;0",$D$9:$D$142,"&lt;&gt;The Public")*$D$4,""),"")</f>
        <v/>
      </c>
      <c r="D58" s="68" t="n"/>
      <c r="E58" s="84">
        <f>SUM(G58:HJ58)</f>
        <v/>
      </c>
    </row>
    <row r="59" customFormat="1" s="568">
      <c r="B59" s="85" t="n"/>
      <c r="C59" s="84">
        <f>IFERROR(IF(AND($E59&gt;0,$D59&lt;&gt;"The Public"),$E59/SUMIFS($E$9:$E$142,$E$9:$E$142,"&gt;0",$D$9:$D$142,"&lt;&gt;The Public")*$D$4,""),"")</f>
        <v/>
      </c>
      <c r="D59" s="68" t="n"/>
      <c r="E59" s="84">
        <f>SUM(G59:HJ59)</f>
        <v/>
      </c>
    </row>
    <row r="60" customFormat="1" s="568">
      <c r="B60" s="85" t="n"/>
      <c r="C60" s="84">
        <f>IFERROR(IF(AND($E60&gt;0,$D60&lt;&gt;"The Public"),$E60/SUMIFS($E$9:$E$142,$E$9:$E$142,"&gt;0",$D$9:$D$142,"&lt;&gt;The Public")*$D$4,""),"")</f>
        <v/>
      </c>
      <c r="D60" s="68" t="n"/>
      <c r="E60" s="84">
        <f>SUM(G60:HJ60)</f>
        <v/>
      </c>
    </row>
    <row r="61" customFormat="1" s="568">
      <c r="B61" s="85" t="n"/>
      <c r="C61" s="84">
        <f>IFERROR(IF(AND($E61&gt;0,$D61&lt;&gt;"The Public"),$E61/SUMIFS($E$9:$E$142,$E$9:$E$142,"&gt;0",$D$9:$D$142,"&lt;&gt;The Public")*$D$4,""),"")</f>
        <v/>
      </c>
      <c r="D61" s="68" t="n"/>
      <c r="E61" s="84">
        <f>SUM(G61:HJ61)</f>
        <v/>
      </c>
    </row>
    <row r="62" customFormat="1" s="568">
      <c r="B62" s="85" t="n"/>
      <c r="C62" s="84">
        <f>IFERROR(IF(AND($E62&gt;0,$D62&lt;&gt;"The Public"),$E62/SUMIFS($E$9:$E$142,$E$9:$E$142,"&gt;0",$D$9:$D$142,"&lt;&gt;The Public")*$D$4,""),"")</f>
        <v/>
      </c>
      <c r="D62" s="68" t="n"/>
      <c r="E62" s="84">
        <f>SUM(G62:HJ62)</f>
        <v/>
      </c>
    </row>
    <row r="63" customFormat="1" s="568">
      <c r="B63" s="85" t="n"/>
      <c r="C63" s="84">
        <f>IFERROR(IF(AND($E63&gt;0,$D63&lt;&gt;"The Public"),$E63/SUMIFS($E$9:$E$142,$E$9:$E$142,"&gt;0",$D$9:$D$142,"&lt;&gt;The Public")*$D$4,""),"")</f>
        <v/>
      </c>
      <c r="D63" s="68" t="n"/>
      <c r="E63" s="84">
        <f>SUM(G63:HJ63)</f>
        <v/>
      </c>
    </row>
    <row r="64" customFormat="1" s="568">
      <c r="B64" s="85" t="n"/>
      <c r="C64" s="84">
        <f>IFERROR(IF(AND($E64&gt;0,$D64&lt;&gt;"The Public"),$E64/SUMIFS($E$9:$E$142,$E$9:$E$142,"&gt;0",$D$9:$D$142,"&lt;&gt;The Public")*$D$4,""),"")</f>
        <v/>
      </c>
      <c r="D64" s="68" t="n"/>
      <c r="E64" s="84">
        <f>SUM(G64:HJ64)</f>
        <v/>
      </c>
    </row>
    <row r="65" customFormat="1" s="568">
      <c r="B65" s="85" t="n"/>
      <c r="C65" s="84">
        <f>IFERROR(IF(AND($E65&gt;0,$D65&lt;&gt;"The Public"),$E65/SUMIFS($E$9:$E$142,$E$9:$E$142,"&gt;0",$D$9:$D$142,"&lt;&gt;The Public")*$D$4,""),"")</f>
        <v/>
      </c>
      <c r="D65" s="68" t="n"/>
      <c r="E65" s="84">
        <f>SUM(G65:HJ65)</f>
        <v/>
      </c>
    </row>
    <row r="66" customFormat="1" s="568">
      <c r="B66" s="85" t="n"/>
      <c r="C66" s="84">
        <f>IFERROR(IF(AND($E66&gt;0,$D66&lt;&gt;"The Public"),$E66/SUMIFS($E$9:$E$142,$E$9:$E$142,"&gt;0",$D$9:$D$142,"&lt;&gt;The Public")*$D$4,""),"")</f>
        <v/>
      </c>
      <c r="D66" s="68" t="n"/>
      <c r="E66" s="84">
        <f>SUM(G66:HJ66)</f>
        <v/>
      </c>
    </row>
    <row r="67" customFormat="1" s="568">
      <c r="B67" s="85" t="n"/>
      <c r="C67" s="84">
        <f>IFERROR(IF(AND($E67&gt;0,$D67&lt;&gt;"The Public"),$E67/SUMIFS($E$9:$E$142,$E$9:$E$142,"&gt;0",$D$9:$D$142,"&lt;&gt;The Public")*$D$4,""),"")</f>
        <v/>
      </c>
      <c r="D67" s="68" t="n"/>
      <c r="E67" s="84">
        <f>SUM(G67:HJ67)</f>
        <v/>
      </c>
    </row>
    <row r="68" customFormat="1" s="568">
      <c r="B68" s="85" t="n"/>
      <c r="C68" s="84">
        <f>IFERROR(IF(AND($E68&gt;0,$D68&lt;&gt;"The Public"),$E68/SUMIFS($E$9:$E$142,$E$9:$E$142,"&gt;0",$D$9:$D$142,"&lt;&gt;The Public")*$D$4,""),"")</f>
        <v/>
      </c>
      <c r="D68" s="68" t="n"/>
      <c r="E68" s="84">
        <f>SUM(G68:HJ68)</f>
        <v/>
      </c>
    </row>
    <row r="69" customFormat="1" s="568">
      <c r="B69" s="85" t="n"/>
      <c r="C69" s="84">
        <f>IFERROR(IF(AND($E69&gt;0,$D69&lt;&gt;"The Public"),$E69/SUMIFS($E$9:$E$142,$E$9:$E$142,"&gt;0",$D$9:$D$142,"&lt;&gt;The Public")*$D$4,""),"")</f>
        <v/>
      </c>
      <c r="D69" s="68" t="n"/>
      <c r="E69" s="84">
        <f>SUM(G69:HJ69)</f>
        <v/>
      </c>
    </row>
    <row r="70" customFormat="1" s="568">
      <c r="B70" s="85" t="n"/>
      <c r="C70" s="84">
        <f>IFERROR(IF(AND($E70&gt;0,$D70&lt;&gt;"The Public"),$E70/SUMIFS($E$9:$E$142,$E$9:$E$142,"&gt;0",$D$9:$D$142,"&lt;&gt;The Public")*$D$4,""),"")</f>
        <v/>
      </c>
      <c r="D70" s="68" t="n"/>
      <c r="E70" s="84">
        <f>SUM(G70:HJ70)</f>
        <v/>
      </c>
    </row>
    <row r="71" customFormat="1" s="568">
      <c r="B71" s="85" t="n"/>
      <c r="C71" s="84">
        <f>IFERROR(IF(AND($E71&gt;0,$D71&lt;&gt;"The Public"),$E71/SUMIFS($E$9:$E$142,$E$9:$E$142,"&gt;0",$D$9:$D$142,"&lt;&gt;The Public")*$D$4,""),"")</f>
        <v/>
      </c>
      <c r="D71" s="68" t="n"/>
      <c r="E71" s="84">
        <f>SUM(G71:HJ71)</f>
        <v/>
      </c>
    </row>
    <row r="72" customFormat="1" s="568">
      <c r="B72" s="85" t="n"/>
      <c r="C72" s="84">
        <f>IFERROR(IF(AND($E72&gt;0,$D72&lt;&gt;"The Public"),$E72/SUMIFS($E$9:$E$142,$E$9:$E$142,"&gt;0",$D$9:$D$142,"&lt;&gt;The Public")*$D$4,""),"")</f>
        <v/>
      </c>
      <c r="D72" s="68" t="n"/>
      <c r="E72" s="84">
        <f>SUM(G72:HJ72)</f>
        <v/>
      </c>
    </row>
    <row r="73" customFormat="1" s="568">
      <c r="B73" s="85" t="n"/>
      <c r="C73" s="84">
        <f>IFERROR(IF(AND($E73&gt;0,$D73&lt;&gt;"The Public"),$E73/SUMIFS($E$9:$E$142,$E$9:$E$142,"&gt;0",$D$9:$D$142,"&lt;&gt;The Public")*$D$4,""),"")</f>
        <v/>
      </c>
      <c r="D73" s="68" t="n"/>
      <c r="E73" s="84">
        <f>SUM(G73:HJ73)</f>
        <v/>
      </c>
    </row>
    <row r="74" customFormat="1" s="568">
      <c r="B74" s="85" t="n"/>
      <c r="C74" s="84">
        <f>IFERROR(IF(AND($E74&gt;0,$D74&lt;&gt;"The Public"),$E74/SUMIFS($E$9:$E$142,$E$9:$E$142,"&gt;0",$D$9:$D$142,"&lt;&gt;The Public")*$D$4,""),"")</f>
        <v/>
      </c>
      <c r="D74" s="68" t="n"/>
      <c r="E74" s="84">
        <f>SUM(G74:HJ74)</f>
        <v/>
      </c>
    </row>
    <row r="75" customFormat="1" s="568">
      <c r="B75" s="85" t="n"/>
      <c r="C75" s="84">
        <f>IFERROR(IF(AND($E75&gt;0,$D75&lt;&gt;"The Public"),$E75/SUMIFS($E$9:$E$142,$E$9:$E$142,"&gt;0",$D$9:$D$142,"&lt;&gt;The Public")*$D$4,""),"")</f>
        <v/>
      </c>
      <c r="D75" s="68" t="n"/>
      <c r="E75" s="84">
        <f>SUM(G75:HJ75)</f>
        <v/>
      </c>
    </row>
    <row r="76" customFormat="1" s="568">
      <c r="B76" s="85" t="n"/>
      <c r="C76" s="84">
        <f>IFERROR(IF(AND($E76&gt;0,$D76&lt;&gt;"The Public"),$E76/SUMIFS($E$9:$E$142,$E$9:$E$142,"&gt;0",$D$9:$D$142,"&lt;&gt;The Public")*$D$4,""),"")</f>
        <v/>
      </c>
      <c r="D76" s="68" t="n"/>
      <c r="E76" s="84">
        <f>SUM(G76:HJ76)</f>
        <v/>
      </c>
    </row>
    <row r="77" customFormat="1" s="568">
      <c r="B77" s="85" t="n"/>
      <c r="C77" s="84">
        <f>IFERROR(IF(AND($E77&gt;0,$D77&lt;&gt;"The Public"),$E77/SUMIFS($E$9:$E$142,$E$9:$E$142,"&gt;0",$D$9:$D$142,"&lt;&gt;The Public")*$D$4,""),"")</f>
        <v/>
      </c>
      <c r="D77" s="68" t="n"/>
      <c r="E77" s="84">
        <f>SUM(G77:HJ77)</f>
        <v/>
      </c>
    </row>
    <row r="78" customFormat="1" s="568">
      <c r="B78" s="85" t="n"/>
      <c r="C78" s="84">
        <f>IFERROR(IF(AND($E78&gt;0,$D78&lt;&gt;"The Public"),$E78/SUMIFS($E$9:$E$142,$E$9:$E$142,"&gt;0",$D$9:$D$142,"&lt;&gt;The Public")*$D$4,""),"")</f>
        <v/>
      </c>
      <c r="D78" s="68" t="n"/>
      <c r="E78" s="84">
        <f>SUM(G78:HJ78)</f>
        <v/>
      </c>
    </row>
    <row r="79" customFormat="1" s="568">
      <c r="B79" s="85" t="n"/>
      <c r="C79" s="84">
        <f>IFERROR(IF(AND($E79&gt;0,$D79&lt;&gt;"The Public"),$E79/SUMIFS($E$9:$E$142,$E$9:$E$142,"&gt;0",$D$9:$D$142,"&lt;&gt;The Public")*$D$4,""),"")</f>
        <v/>
      </c>
      <c r="D79" s="68" t="n"/>
      <c r="E79" s="84">
        <f>SUM(G79:HJ79)</f>
        <v/>
      </c>
    </row>
    <row r="80" customFormat="1" s="568">
      <c r="B80" s="85" t="n"/>
      <c r="C80" s="84">
        <f>IFERROR(IF(AND($E80&gt;0,$D80&lt;&gt;"The Public"),$E80/SUMIFS($E$9:$E$142,$E$9:$E$142,"&gt;0",$D$9:$D$142,"&lt;&gt;The Public")*$D$4,""),"")</f>
        <v/>
      </c>
      <c r="D80" s="68" t="n"/>
      <c r="E80" s="84">
        <f>SUM(G80:HJ80)</f>
        <v/>
      </c>
    </row>
    <row r="81" customFormat="1" s="568">
      <c r="B81" s="85" t="n"/>
      <c r="C81" s="84">
        <f>IFERROR(IF(AND($E81&gt;0,$D81&lt;&gt;"The Public"),$E81/SUMIFS($E$9:$E$142,$E$9:$E$142,"&gt;0",$D$9:$D$142,"&lt;&gt;The Public")*$D$4,""),"")</f>
        <v/>
      </c>
      <c r="D81" s="68" t="n"/>
      <c r="E81" s="84">
        <f>SUM(G81:HJ81)</f>
        <v/>
      </c>
    </row>
    <row r="82" customFormat="1" s="568">
      <c r="B82" s="85" t="n"/>
      <c r="C82" s="84">
        <f>IFERROR(IF(AND($E82&gt;0,$D82&lt;&gt;"The Public"),$E82/SUMIFS($E$9:$E$142,$E$9:$E$142,"&gt;0",$D$9:$D$142,"&lt;&gt;The Public")*$D$4,""),"")</f>
        <v/>
      </c>
      <c r="D82" s="68" t="n"/>
      <c r="E82" s="84">
        <f>SUM(G82:HJ82)</f>
        <v/>
      </c>
    </row>
    <row r="83" customFormat="1" s="568">
      <c r="B83" s="85" t="n"/>
      <c r="C83" s="84">
        <f>IFERROR(IF(AND($E83&gt;0,$D83&lt;&gt;"The Public"),$E83/SUMIFS($E$9:$E$142,$E$9:$E$142,"&gt;0",$D$9:$D$142,"&lt;&gt;The Public")*$D$4,""),"")</f>
        <v/>
      </c>
      <c r="D83" s="68" t="n"/>
      <c r="E83" s="84">
        <f>SUM(G83:HJ83)</f>
        <v/>
      </c>
    </row>
    <row r="84" customFormat="1" s="568">
      <c r="B84" s="85" t="n"/>
      <c r="C84" s="84">
        <f>IFERROR(IF(AND($E84&gt;0,$D84&lt;&gt;"The Public"),$E84/SUMIFS($E$9:$E$142,$E$9:$E$142,"&gt;0",$D$9:$D$142,"&lt;&gt;The Public")*$D$4,""),"")</f>
        <v/>
      </c>
      <c r="D84" s="68" t="n"/>
      <c r="E84" s="84">
        <f>SUM(G84:HJ84)</f>
        <v/>
      </c>
    </row>
    <row r="85" customFormat="1" s="568">
      <c r="B85" s="85" t="n"/>
      <c r="C85" s="84">
        <f>IFERROR(IF(AND($E85&gt;0,$D85&lt;&gt;"The Public"),$E85/SUMIFS($E$9:$E$142,$E$9:$E$142,"&gt;0",$D$9:$D$142,"&lt;&gt;The Public")*$D$4,""),"")</f>
        <v/>
      </c>
      <c r="D85" s="68" t="n"/>
      <c r="E85" s="84">
        <f>SUM(G85:HJ85)</f>
        <v/>
      </c>
    </row>
    <row r="86" customFormat="1" s="568">
      <c r="B86" s="85" t="n"/>
      <c r="C86" s="84">
        <f>IFERROR(IF(AND($E86&gt;0,$D86&lt;&gt;"The Public"),$E86/SUMIFS($E$9:$E$142,$E$9:$E$142,"&gt;0",$D$9:$D$142,"&lt;&gt;The Public")*$D$4,""),"")</f>
        <v/>
      </c>
      <c r="D86" s="68" t="n"/>
      <c r="E86" s="84">
        <f>SUM(G86:HJ86)</f>
        <v/>
      </c>
    </row>
    <row r="87" customFormat="1" s="568">
      <c r="B87" s="85" t="n"/>
      <c r="C87" s="84">
        <f>IFERROR(IF(AND($E87&gt;0,$D87&lt;&gt;"The Public"),$E87/SUMIFS($E$9:$E$142,$E$9:$E$142,"&gt;0",$D$9:$D$142,"&lt;&gt;The Public")*$D$4,""),"")</f>
        <v/>
      </c>
      <c r="D87" s="68" t="n"/>
      <c r="E87" s="84">
        <f>SUM(G87:HJ87)</f>
        <v/>
      </c>
    </row>
    <row r="88" customFormat="1" s="568">
      <c r="B88" s="85" t="n"/>
      <c r="C88" s="84">
        <f>IFERROR(IF(AND($E88&gt;0,$D88&lt;&gt;"The Public"),$E88/SUMIFS($E$9:$E$142,$E$9:$E$142,"&gt;0",$D$9:$D$142,"&lt;&gt;The Public")*$D$4,""),"")</f>
        <v/>
      </c>
      <c r="D88" s="68" t="n"/>
      <c r="E88" s="84">
        <f>SUM(G88:HJ88)</f>
        <v/>
      </c>
    </row>
    <row r="89" customFormat="1" s="568">
      <c r="B89" s="85" t="n"/>
      <c r="C89" s="84">
        <f>IFERROR(IF(AND($E89&gt;0,$D89&lt;&gt;"The Public"),$E89/SUMIFS($E$9:$E$142,$E$9:$E$142,"&gt;0",$D$9:$D$142,"&lt;&gt;The Public")*$D$4,""),"")</f>
        <v/>
      </c>
      <c r="D89" s="68" t="n"/>
      <c r="E89" s="84">
        <f>SUM(G89:HJ89)</f>
        <v/>
      </c>
    </row>
    <row r="90" customFormat="1" s="568">
      <c r="B90" s="85" t="n"/>
      <c r="C90" s="84">
        <f>IFERROR(IF(AND($E90&gt;0,$D90&lt;&gt;"The Public"),$E90/SUMIFS($E$9:$E$142,$E$9:$E$142,"&gt;0",$D$9:$D$142,"&lt;&gt;The Public")*$D$4,""),"")</f>
        <v/>
      </c>
      <c r="D90" s="68" t="n"/>
      <c r="E90" s="84">
        <f>SUM(G90:HJ90)</f>
        <v/>
      </c>
    </row>
    <row r="91" customFormat="1" s="568">
      <c r="B91" s="85" t="n"/>
      <c r="C91" s="84">
        <f>IFERROR(IF(AND($E91&gt;0,$D91&lt;&gt;"The Public"),$E91/SUMIFS($E$9:$E$142,$E$9:$E$142,"&gt;0",$D$9:$D$142,"&lt;&gt;The Public")*$D$4,""),"")</f>
        <v/>
      </c>
      <c r="D91" s="68" t="n"/>
      <c r="E91" s="84">
        <f>SUM(G91:HJ91)</f>
        <v/>
      </c>
    </row>
    <row r="92" customFormat="1" s="568">
      <c r="B92" s="85" t="n"/>
      <c r="C92" s="84">
        <f>IFERROR(IF(AND($E92&gt;0,$D92&lt;&gt;"The Public"),$E92/SUMIFS($E$9:$E$142,$E$9:$E$142,"&gt;0",$D$9:$D$142,"&lt;&gt;The Public")*$D$4,""),"")</f>
        <v/>
      </c>
      <c r="D92" s="68" t="n"/>
      <c r="E92" s="84">
        <f>SUM(G92:HJ92)</f>
        <v/>
      </c>
    </row>
    <row r="93" customFormat="1" s="568">
      <c r="B93" s="85" t="n"/>
      <c r="C93" s="84">
        <f>IFERROR(IF(AND($E93&gt;0,$D93&lt;&gt;"The Public"),$E93/SUMIFS($E$9:$E$142,$E$9:$E$142,"&gt;0",$D$9:$D$142,"&lt;&gt;The Public")*$D$4,""),"")</f>
        <v/>
      </c>
      <c r="D93" s="68" t="n"/>
      <c r="E93" s="84">
        <f>SUM(G93:HJ93)</f>
        <v/>
      </c>
    </row>
    <row r="94" customFormat="1" s="568">
      <c r="B94" s="85" t="n"/>
      <c r="C94" s="84">
        <f>IFERROR(IF(AND($E94&gt;0,$D94&lt;&gt;"The Public"),$E94/SUMIFS($E$9:$E$142,$E$9:$E$142,"&gt;0",$D$9:$D$142,"&lt;&gt;The Public")*$D$4,""),"")</f>
        <v/>
      </c>
      <c r="D94" s="68" t="n"/>
      <c r="E94" s="84">
        <f>SUM(G94:HJ94)</f>
        <v/>
      </c>
    </row>
    <row r="95" customFormat="1" s="568">
      <c r="B95" s="85" t="n"/>
      <c r="C95" s="84">
        <f>IFERROR(IF(AND($E95&gt;0,$D95&lt;&gt;"The Public"),$E95/SUMIFS($E$9:$E$142,$E$9:$E$142,"&gt;0",$D$9:$D$142,"&lt;&gt;The Public")*$D$4,""),"")</f>
        <v/>
      </c>
      <c r="D95" s="68" t="n"/>
      <c r="E95" s="84">
        <f>SUM(G95:HJ95)</f>
        <v/>
      </c>
    </row>
    <row r="96" customFormat="1" s="568">
      <c r="B96" s="85" t="n"/>
      <c r="C96" s="84">
        <f>IFERROR(IF(AND($E96&gt;0,$D96&lt;&gt;"The Public"),$E96/SUMIFS($E$9:$E$142,$E$9:$E$142,"&gt;0",$D$9:$D$142,"&lt;&gt;The Public")*$D$4,""),"")</f>
        <v/>
      </c>
      <c r="D96" s="68" t="n"/>
      <c r="E96" s="84">
        <f>SUM(G96:HJ96)</f>
        <v/>
      </c>
    </row>
    <row r="97" customFormat="1" s="568">
      <c r="B97" s="85" t="n"/>
      <c r="C97" s="84">
        <f>IFERROR(IF(AND($E97&gt;0,$D97&lt;&gt;"The Public"),$E97/SUMIFS($E$9:$E$142,$E$9:$E$142,"&gt;0",$D$9:$D$142,"&lt;&gt;The Public")*$D$4,""),"")</f>
        <v/>
      </c>
      <c r="D97" s="68" t="n"/>
      <c r="E97" s="84">
        <f>SUM(G97:HJ97)</f>
        <v/>
      </c>
    </row>
    <row r="98" customFormat="1" s="568">
      <c r="B98" s="85" t="n"/>
      <c r="C98" s="84">
        <f>IFERROR(IF(AND($E98&gt;0,$D98&lt;&gt;"The Public"),$E98/SUMIFS($E$9:$E$142,$E$9:$E$142,"&gt;0",$D$9:$D$142,"&lt;&gt;The Public")*$D$4,""),"")</f>
        <v/>
      </c>
      <c r="D98" s="68" t="n"/>
      <c r="E98" s="84">
        <f>SUM(G98:HJ98)</f>
        <v/>
      </c>
    </row>
    <row r="99" customFormat="1" s="568">
      <c r="B99" s="85" t="n"/>
      <c r="C99" s="84">
        <f>IFERROR(IF(AND($E99&gt;0,$D99&lt;&gt;"The Public"),$E99/SUMIFS($E$9:$E$142,$E$9:$E$142,"&gt;0",$D$9:$D$142,"&lt;&gt;The Public")*$D$4,""),"")</f>
        <v/>
      </c>
      <c r="D99" s="68" t="n"/>
      <c r="E99" s="84">
        <f>SUM(G99:HJ99)</f>
        <v/>
      </c>
    </row>
    <row r="100" customFormat="1" s="568">
      <c r="B100" s="85" t="n"/>
      <c r="C100" s="84">
        <f>IFERROR(IF(AND($E100&gt;0,$D100&lt;&gt;"The Public"),$E100/SUMIFS($E$9:$E$142,$E$9:$E$142,"&gt;0",$D$9:$D$142,"&lt;&gt;The Public")*$D$4,""),"")</f>
        <v/>
      </c>
      <c r="D100" s="68" t="n"/>
      <c r="E100" s="84">
        <f>SUM(G100:HJ100)</f>
        <v/>
      </c>
    </row>
    <row r="101" customFormat="1" s="568">
      <c r="B101" s="85" t="n"/>
      <c r="C101" s="84">
        <f>IFERROR(IF(AND($E101&gt;0,$D101&lt;&gt;"The Public"),$E101/SUMIFS($E$9:$E$142,$E$9:$E$142,"&gt;0",$D$9:$D$142,"&lt;&gt;The Public")*$D$4,""),"")</f>
        <v/>
      </c>
      <c r="D101" s="68" t="n"/>
      <c r="E101" s="84">
        <f>SUM(G101:HJ101)</f>
        <v/>
      </c>
    </row>
    <row r="102" customFormat="1" s="568">
      <c r="B102" s="85" t="n"/>
      <c r="C102" s="84">
        <f>IFERROR(IF(AND($E102&gt;0,$D102&lt;&gt;"The Public"),$E102/SUMIFS($E$9:$E$142,$E$9:$E$142,"&gt;0",$D$9:$D$142,"&lt;&gt;The Public")*$D$4,""),"")</f>
        <v/>
      </c>
      <c r="D102" s="68" t="n"/>
      <c r="E102" s="84">
        <f>SUM(G102:HJ102)</f>
        <v/>
      </c>
    </row>
    <row r="103" customFormat="1" s="568">
      <c r="B103" s="85" t="n"/>
      <c r="C103" s="84">
        <f>IFERROR(IF(AND($E103&gt;0,$D103&lt;&gt;"The Public"),$E103/SUMIFS($E$9:$E$142,$E$9:$E$142,"&gt;0",$D$9:$D$142,"&lt;&gt;The Public")*$D$4,""),"")</f>
        <v/>
      </c>
      <c r="D103" s="68" t="n"/>
      <c r="E103" s="84">
        <f>SUM(G103:HJ103)</f>
        <v/>
      </c>
    </row>
    <row r="104" customFormat="1" s="568">
      <c r="B104" s="85" t="n"/>
      <c r="C104" s="84">
        <f>IFERROR(IF(AND($E104&gt;0,$D104&lt;&gt;"The Public"),$E104/SUMIFS($E$9:$E$142,$E$9:$E$142,"&gt;0",$D$9:$D$142,"&lt;&gt;The Public")*$D$4,""),"")</f>
        <v/>
      </c>
      <c r="D104" s="68" t="n"/>
      <c r="E104" s="84">
        <f>SUM(G104:HJ104)</f>
        <v/>
      </c>
    </row>
    <row r="105" customFormat="1" s="568">
      <c r="B105" s="85" t="n"/>
      <c r="C105" s="84">
        <f>IFERROR(IF(AND($E105&gt;0,$D105&lt;&gt;"The Public"),$E105/SUMIFS($E$9:$E$142,$E$9:$E$142,"&gt;0",$D$9:$D$142,"&lt;&gt;The Public")*$D$4,""),"")</f>
        <v/>
      </c>
      <c r="D105" s="68" t="n"/>
      <c r="E105" s="84">
        <f>SUM(G105:HJ105)</f>
        <v/>
      </c>
    </row>
    <row r="106" customFormat="1" s="568">
      <c r="B106" s="85" t="n"/>
      <c r="C106" s="84">
        <f>IFERROR(IF(AND($E106&gt;0,$D106&lt;&gt;"The Public"),$E106/SUMIFS($E$9:$E$142,$E$9:$E$142,"&gt;0",$D$9:$D$142,"&lt;&gt;The Public")*$D$4,""),"")</f>
        <v/>
      </c>
      <c r="D106" s="68" t="n"/>
      <c r="E106" s="84">
        <f>SUM(G106:HJ106)</f>
        <v/>
      </c>
    </row>
    <row r="107" customFormat="1" s="568">
      <c r="B107" s="85" t="n"/>
      <c r="C107" s="84">
        <f>IFERROR(IF(AND($E107&gt;0,$D107&lt;&gt;"The Public"),$E107/SUMIFS($E$9:$E$142,$E$9:$E$142,"&gt;0",$D$9:$D$142,"&lt;&gt;The Public")*$D$4,""),"")</f>
        <v/>
      </c>
      <c r="D107" s="68" t="n"/>
      <c r="E107" s="84">
        <f>SUM(G107:HJ107)</f>
        <v/>
      </c>
    </row>
    <row r="108" customFormat="1" s="568">
      <c r="B108" s="85" t="n"/>
      <c r="C108" s="84">
        <f>IFERROR(IF(AND($E108&gt;0,$D108&lt;&gt;"The Public"),$E108/SUMIFS($E$9:$E$142,$E$9:$E$142,"&gt;0",$D$9:$D$142,"&lt;&gt;The Public")*$D$4,""),"")</f>
        <v/>
      </c>
      <c r="D108" s="68" t="n"/>
      <c r="E108" s="84">
        <f>SUM(G108:HJ108)</f>
        <v/>
      </c>
    </row>
    <row r="109" customFormat="1" s="568">
      <c r="B109" s="85" t="n"/>
      <c r="C109" s="84">
        <f>IFERROR(IF(AND($E109&gt;0,$D109&lt;&gt;"The Public"),$E109/SUMIFS($E$9:$E$142,$E$9:$E$142,"&gt;0",$D$9:$D$142,"&lt;&gt;The Public")*$D$4,""),"")</f>
        <v/>
      </c>
      <c r="D109" s="68" t="n"/>
      <c r="E109" s="84">
        <f>SUM(G109:HJ109)</f>
        <v/>
      </c>
    </row>
    <row r="110" customFormat="1" s="568">
      <c r="B110" s="85" t="n"/>
      <c r="C110" s="84">
        <f>IFERROR(IF(AND($E110&gt;0,$D110&lt;&gt;"The Public"),$E110/SUMIFS($E$9:$E$142,$E$9:$E$142,"&gt;0",$D$9:$D$142,"&lt;&gt;The Public")*$D$4,""),"")</f>
        <v/>
      </c>
      <c r="D110" s="68" t="n"/>
      <c r="E110" s="84">
        <f>SUM(G110:HJ110)</f>
        <v/>
      </c>
    </row>
    <row r="111" customFormat="1" s="568">
      <c r="B111" s="85" t="n"/>
      <c r="C111" s="84">
        <f>IFERROR(IF(AND($E111&gt;0,$D111&lt;&gt;"The Public"),$E111/SUMIFS($E$9:$E$142,$E$9:$E$142,"&gt;0",$D$9:$D$142,"&lt;&gt;The Public")*$D$4,""),"")</f>
        <v/>
      </c>
      <c r="D111" s="68" t="n"/>
      <c r="E111" s="84">
        <f>SUM(G111:HJ111)</f>
        <v/>
      </c>
    </row>
    <row r="112" customFormat="1" s="568">
      <c r="B112" s="85" t="n"/>
      <c r="C112" s="84">
        <f>IFERROR(IF(AND($E112&gt;0,$D112&lt;&gt;"The Public"),$E112/SUMIFS($E$9:$E$142,$E$9:$E$142,"&gt;0",$D$9:$D$142,"&lt;&gt;The Public")*$D$4,""),"")</f>
        <v/>
      </c>
      <c r="D112" s="68" t="n"/>
      <c r="E112" s="84">
        <f>SUM(G112:HJ112)</f>
        <v/>
      </c>
    </row>
    <row r="113" customFormat="1" s="568">
      <c r="B113" s="85" t="n"/>
      <c r="C113" s="84">
        <f>IFERROR(IF(AND($E113&gt;0,$D113&lt;&gt;"The Public"),$E113/SUMIFS($E$9:$E$142,$E$9:$E$142,"&gt;0",$D$9:$D$142,"&lt;&gt;The Public")*$D$4,""),"")</f>
        <v/>
      </c>
      <c r="D113" s="68" t="n"/>
      <c r="E113" s="84">
        <f>SUM(G113:HJ113)</f>
        <v/>
      </c>
    </row>
    <row r="114" customFormat="1" s="568">
      <c r="B114" s="85" t="n"/>
      <c r="C114" s="84">
        <f>IFERROR(IF(AND($E114&gt;0,$D114&lt;&gt;"The Public"),$E114/SUMIFS($E$9:$E$142,$E$9:$E$142,"&gt;0",$D$9:$D$142,"&lt;&gt;The Public")*$D$4,""),"")</f>
        <v/>
      </c>
      <c r="D114" s="68" t="n"/>
      <c r="E114" s="84">
        <f>SUM(G114:HJ114)</f>
        <v/>
      </c>
    </row>
    <row r="115" customFormat="1" s="568">
      <c r="B115" s="85" t="n"/>
      <c r="C115" s="84">
        <f>IFERROR(IF(AND($E115&gt;0,$D115&lt;&gt;"The Public"),$E115/SUMIFS($E$9:$E$142,$E$9:$E$142,"&gt;0",$D$9:$D$142,"&lt;&gt;The Public")*$D$4,""),"")</f>
        <v/>
      </c>
      <c r="D115" s="68" t="n"/>
      <c r="E115" s="84">
        <f>SUM(G115:HJ115)</f>
        <v/>
      </c>
    </row>
    <row r="116" customFormat="1" s="568">
      <c r="B116" s="85" t="n"/>
      <c r="C116" s="84">
        <f>IFERROR(IF(AND($E116&gt;0,$D116&lt;&gt;"The Public"),$E116/SUMIFS($E$9:$E$142,$E$9:$E$142,"&gt;0",$D$9:$D$142,"&lt;&gt;The Public")*$D$4,""),"")</f>
        <v/>
      </c>
      <c r="D116" s="68" t="n"/>
      <c r="E116" s="84">
        <f>SUM(G116:HJ116)</f>
        <v/>
      </c>
    </row>
    <row r="117" customFormat="1" s="568">
      <c r="B117" s="85" t="n"/>
      <c r="C117" s="84">
        <f>IFERROR(IF(AND($E117&gt;0,$D117&lt;&gt;"The Public"),$E117/SUMIFS($E$9:$E$142,$E$9:$E$142,"&gt;0",$D$9:$D$142,"&lt;&gt;The Public")*$D$4,""),"")</f>
        <v/>
      </c>
      <c r="D117" s="68" t="n"/>
      <c r="E117" s="84">
        <f>SUM(G117:HJ117)</f>
        <v/>
      </c>
    </row>
    <row r="118" customFormat="1" s="568">
      <c r="B118" s="85" t="n"/>
      <c r="C118" s="84">
        <f>IFERROR(IF(AND($E118&gt;0,$D118&lt;&gt;"The Public"),$E118/SUMIFS($E$9:$E$142,$E$9:$E$142,"&gt;0",$D$9:$D$142,"&lt;&gt;The Public")*$D$4,""),"")</f>
        <v/>
      </c>
      <c r="D118" s="68" t="n"/>
      <c r="E118" s="84">
        <f>SUM(G118:HJ118)</f>
        <v/>
      </c>
    </row>
    <row r="119" customFormat="1" s="568">
      <c r="B119" s="85" t="n"/>
      <c r="C119" s="84">
        <f>IFERROR(IF(AND($E119&gt;0,$D119&lt;&gt;"The Public"),$E119/SUMIFS($E$9:$E$142,$E$9:$E$142,"&gt;0",$D$9:$D$142,"&lt;&gt;The Public")*$D$4,""),"")</f>
        <v/>
      </c>
      <c r="D119" s="68" t="n"/>
      <c r="E119" s="84">
        <f>SUM(G119:HJ119)</f>
        <v/>
      </c>
    </row>
    <row r="120" customFormat="1" s="568">
      <c r="B120" s="85" t="n"/>
      <c r="C120" s="84">
        <f>IFERROR(IF(AND($E120&gt;0,$D120&lt;&gt;"The Public"),$E120/SUMIFS($E$9:$E$142,$E$9:$E$142,"&gt;0",$D$9:$D$142,"&lt;&gt;The Public")*$D$4,""),"")</f>
        <v/>
      </c>
      <c r="D120" s="68" t="n"/>
      <c r="E120" s="84">
        <f>SUM(G120:HJ120)</f>
        <v/>
      </c>
    </row>
    <row r="121" customFormat="1" s="568">
      <c r="B121" s="85" t="n"/>
      <c r="C121" s="84">
        <f>IFERROR(IF(AND($E121&gt;0,$D121&lt;&gt;"The Public"),$E121/SUMIFS($E$9:$E$142,$E$9:$E$142,"&gt;0",$D$9:$D$142,"&lt;&gt;The Public")*$D$4,""),"")</f>
        <v/>
      </c>
      <c r="D121" s="68" t="n"/>
      <c r="E121" s="84">
        <f>SUM(G121:HJ121)</f>
        <v/>
      </c>
    </row>
    <row r="122" customFormat="1" s="568">
      <c r="B122" s="85" t="n"/>
      <c r="C122" s="84">
        <f>IFERROR(IF(AND($E122&gt;0,$D122&lt;&gt;"The Public"),$E122/SUMIFS($E$9:$E$142,$E$9:$E$142,"&gt;0",$D$9:$D$142,"&lt;&gt;The Public")*$D$4,""),"")</f>
        <v/>
      </c>
      <c r="D122" s="68" t="n"/>
      <c r="E122" s="84">
        <f>SUM(G122:HJ122)</f>
        <v/>
      </c>
    </row>
    <row r="123" customFormat="1" s="568">
      <c r="B123" s="85" t="n"/>
      <c r="C123" s="84">
        <f>IFERROR(IF(AND($E123&gt;0,$D123&lt;&gt;"The Public"),$E123/SUMIFS($E$9:$E$142,$E$9:$E$142,"&gt;0",$D$9:$D$142,"&lt;&gt;The Public")*$D$4,""),"")</f>
        <v/>
      </c>
      <c r="D123" s="68" t="n"/>
      <c r="E123" s="84">
        <f>SUM(G123:HJ123)</f>
        <v/>
      </c>
    </row>
    <row r="124" customFormat="1" s="568">
      <c r="B124" s="85" t="n"/>
      <c r="C124" s="84">
        <f>IFERROR(IF(AND($E124&gt;0,$D124&lt;&gt;"The Public"),$E124/SUMIFS($E$9:$E$142,$E$9:$E$142,"&gt;0",$D$9:$D$142,"&lt;&gt;The Public")*$D$4,""),"")</f>
        <v/>
      </c>
      <c r="D124" s="68" t="n"/>
      <c r="E124" s="84">
        <f>SUM(G124:HJ124)</f>
        <v/>
      </c>
    </row>
    <row r="125" customFormat="1" s="568">
      <c r="B125" s="85" t="n"/>
      <c r="C125" s="84">
        <f>IFERROR(IF(AND($E125&gt;0,$D125&lt;&gt;"The Public"),$E125/SUMIFS($E$9:$E$142,$E$9:$E$142,"&gt;0",$D$9:$D$142,"&lt;&gt;The Public")*$D$4,""),"")</f>
        <v/>
      </c>
      <c r="D125" s="68" t="n"/>
      <c r="E125" s="84">
        <f>SUM(G125:HJ125)</f>
        <v/>
      </c>
    </row>
    <row r="126" customFormat="1" s="568">
      <c r="B126" s="85" t="n"/>
      <c r="C126" s="84">
        <f>IFERROR(IF(AND($E126&gt;0,$D126&lt;&gt;"The Public"),$E126/SUMIFS($E$9:$E$142,$E$9:$E$142,"&gt;0",$D$9:$D$142,"&lt;&gt;The Public")*$D$4,""),"")</f>
        <v/>
      </c>
      <c r="D126" s="68" t="n"/>
      <c r="E126" s="84">
        <f>SUM(G126:HJ126)</f>
        <v/>
      </c>
    </row>
    <row r="127" customFormat="1" s="568">
      <c r="B127" s="85" t="n"/>
      <c r="C127" s="84">
        <f>IFERROR(IF(AND($E127&gt;0,$D127&lt;&gt;"The Public"),$E127/SUMIFS($E$9:$E$142,$E$9:$E$142,"&gt;0",$D$9:$D$142,"&lt;&gt;The Public")*$D$4,""),"")</f>
        <v/>
      </c>
      <c r="D127" s="68" t="n"/>
      <c r="E127" s="84">
        <f>SUM(G127:HJ127)</f>
        <v/>
      </c>
    </row>
    <row r="128" customFormat="1" s="568">
      <c r="B128" s="85" t="n"/>
      <c r="C128" s="84">
        <f>IFERROR(IF(AND($E128&gt;0,$D128&lt;&gt;"The Public"),$E128/SUMIFS($E$9:$E$142,$E$9:$E$142,"&gt;0",$D$9:$D$142,"&lt;&gt;The Public")*$D$4,""),"")</f>
        <v/>
      </c>
      <c r="D128" s="68" t="n"/>
      <c r="E128" s="84">
        <f>SUM(G128:HJ128)</f>
        <v/>
      </c>
    </row>
    <row r="129" customFormat="1" s="568">
      <c r="B129" s="85" t="n"/>
      <c r="C129" s="84">
        <f>IFERROR(IF(AND($E129&gt;0,$D129&lt;&gt;"The Public"),$E129/SUMIFS($E$9:$E$142,$E$9:$E$142,"&gt;0",$D$9:$D$142,"&lt;&gt;The Public")*$D$4,""),"")</f>
        <v/>
      </c>
      <c r="D129" s="68" t="n"/>
      <c r="E129" s="84">
        <f>SUM(G129:HJ129)</f>
        <v/>
      </c>
    </row>
    <row r="130" customFormat="1" s="568">
      <c r="B130" s="85" t="n"/>
      <c r="C130" s="84">
        <f>IFERROR(IF(AND($E130&gt;0,$D130&lt;&gt;"The Public"),$E130/SUMIFS($E$9:$E$142,$E$9:$E$142,"&gt;0",$D$9:$D$142,"&lt;&gt;The Public")*$D$4,""),"")</f>
        <v/>
      </c>
      <c r="D130" s="68" t="n"/>
      <c r="E130" s="84">
        <f>SUM(G130:HJ130)</f>
        <v/>
      </c>
    </row>
    <row r="131" customFormat="1" s="568">
      <c r="B131" s="85" t="n"/>
      <c r="C131" s="84">
        <f>IFERROR(IF(AND($E131&gt;0,$D131&lt;&gt;"The Public"),$E131/SUMIFS($E$9:$E$142,$E$9:$E$142,"&gt;0",$D$9:$D$142,"&lt;&gt;The Public")*$D$4,""),"")</f>
        <v/>
      </c>
      <c r="D131" s="68" t="n"/>
      <c r="E131" s="84">
        <f>SUM(G131:HJ131)</f>
        <v/>
      </c>
    </row>
    <row r="132" customFormat="1" s="568">
      <c r="B132" s="85" t="n"/>
      <c r="C132" s="84">
        <f>IFERROR(IF(AND($E132&gt;0,$D132&lt;&gt;"The Public"),$E132/SUMIFS($E$9:$E$142,$E$9:$E$142,"&gt;0",$D$9:$D$142,"&lt;&gt;The Public")*$D$4,""),"")</f>
        <v/>
      </c>
      <c r="D132" s="68" t="n"/>
      <c r="E132" s="84">
        <f>SUM(G132:HJ132)</f>
        <v/>
      </c>
    </row>
    <row r="133" customFormat="1" s="568">
      <c r="B133" s="85" t="n"/>
      <c r="C133" s="84">
        <f>IFERROR(IF(AND($E133&gt;0,$D133&lt;&gt;"The Public"),$E133/SUMIFS($E$9:$E$142,$E$9:$E$142,"&gt;0",$D$9:$D$142,"&lt;&gt;The Public")*$D$4,""),"")</f>
        <v/>
      </c>
      <c r="D133" s="68" t="n"/>
      <c r="E133" s="84">
        <f>SUM(G133:HJ133)</f>
        <v/>
      </c>
    </row>
    <row r="134" customFormat="1" s="568">
      <c r="B134" s="85" t="n"/>
      <c r="C134" s="84">
        <f>IFERROR(IF(AND($E134&gt;0,$D134&lt;&gt;"The Public"),$E134/SUMIFS($E$9:$E$142,$E$9:$E$142,"&gt;0",$D$9:$D$142,"&lt;&gt;The Public")*$D$4,""),"")</f>
        <v/>
      </c>
      <c r="D134" s="68" t="n"/>
      <c r="E134" s="84">
        <f>SUM(G134:HJ134)</f>
        <v/>
      </c>
    </row>
    <row r="135" customFormat="1" s="568">
      <c r="B135" s="85" t="n"/>
      <c r="C135" s="84">
        <f>IFERROR(IF(AND($E135&gt;0,$D135&lt;&gt;"The Public"),$E135/SUMIFS($E$9:$E$142,$E$9:$E$142,"&gt;0",$D$9:$D$142,"&lt;&gt;The Public")*$D$4,""),"")</f>
        <v/>
      </c>
      <c r="D135" s="68" t="n"/>
      <c r="E135" s="84">
        <f>SUM(G135:HJ135)</f>
        <v/>
      </c>
    </row>
    <row r="136" customFormat="1" s="568">
      <c r="B136" s="85" t="n"/>
      <c r="C136" s="84">
        <f>IFERROR(IF(AND($E136&gt;0,$D136&lt;&gt;"The Public"),$E136/SUMIFS($E$9:$E$142,$E$9:$E$142,"&gt;0",$D$9:$D$142,"&lt;&gt;The Public")*$D$4,""),"")</f>
        <v/>
      </c>
      <c r="D136" s="68" t="n"/>
      <c r="E136" s="84">
        <f>SUM(G136:HJ136)</f>
        <v/>
      </c>
    </row>
    <row r="137" customFormat="1" s="568">
      <c r="B137" s="85" t="n"/>
      <c r="C137" s="84">
        <f>IFERROR(IF(AND($E137&gt;0,$D137&lt;&gt;"The Public"),$E137/SUMIFS($E$9:$E$142,$E$9:$E$142,"&gt;0",$D$9:$D$142,"&lt;&gt;The Public")*$D$4,""),"")</f>
        <v/>
      </c>
      <c r="D137" s="68" t="n"/>
      <c r="E137" s="84">
        <f>SUM(G137:HJ137)</f>
        <v/>
      </c>
    </row>
    <row r="138" customFormat="1" s="568">
      <c r="B138" s="85" t="n"/>
      <c r="C138" s="84">
        <f>IFERROR(IF(AND($E138&gt;0,$D138&lt;&gt;"The Public"),$E138/SUMIFS($E$9:$E$142,$E$9:$E$142,"&gt;0",$D$9:$D$142,"&lt;&gt;The Public")*$D$4,""),"")</f>
        <v/>
      </c>
      <c r="D138" s="68" t="n"/>
      <c r="E138" s="84">
        <f>SUM(G138:HJ138)</f>
        <v/>
      </c>
    </row>
    <row r="139" customFormat="1" s="568">
      <c r="B139" s="85" t="n"/>
      <c r="C139" s="84">
        <f>IFERROR(IF(AND($E139&gt;0,$D139&lt;&gt;"The Public"),$E139/SUMIFS($E$9:$E$142,$E$9:$E$142,"&gt;0",$D$9:$D$142,"&lt;&gt;The Public")*$D$4,""),"")</f>
        <v/>
      </c>
      <c r="D139" s="68" t="n"/>
      <c r="E139" s="84">
        <f>SUM(G139:HJ139)</f>
        <v/>
      </c>
    </row>
    <row r="140" customFormat="1" s="568">
      <c r="B140" s="85" t="n"/>
      <c r="C140" s="84">
        <f>IFERROR(IF(AND($E140&gt;0,$D140&lt;&gt;"The Public"),$E140/SUMIFS($E$9:$E$142,$E$9:$E$142,"&gt;0",$D$9:$D$142,"&lt;&gt;The Public")*$D$4,""),"")</f>
        <v/>
      </c>
      <c r="D140" s="68" t="n"/>
      <c r="E140" s="84">
        <f>SUM(G140:HJ140)</f>
        <v/>
      </c>
    </row>
    <row r="141" customFormat="1" s="568">
      <c r="B141" s="85" t="n"/>
      <c r="C141" s="84">
        <f>IFERROR(IF(AND($E141&gt;0,$D141&lt;&gt;"The Public"),$E141/SUMIFS($E$9:$E$142,$E$9:$E$142,"&gt;0",$D$9:$D$142,"&lt;&gt;The Public")*$D$4,""),"")</f>
        <v/>
      </c>
      <c r="D141" s="68" t="n"/>
      <c r="E141" s="84">
        <f>SUM(G141:HJ141)</f>
        <v/>
      </c>
    </row>
    <row r="142" customFormat="1" s="568">
      <c r="B142" s="85" t="n"/>
      <c r="C142" s="84">
        <f>IFERROR(IF(AND($E142&gt;0,$D142&lt;&gt;"The Public"),$E142/SUMIFS($E$9:$E$142,$E$9:$E$142,"&gt;0",$D$9:$D$142,"&lt;&gt;The Public")*$D$4,""),"")</f>
        <v/>
      </c>
      <c r="D142" s="68" t="n"/>
      <c r="E142" s="84">
        <f>SUM(G142:HJ142)</f>
        <v/>
      </c>
    </row>
    <row r="143" customFormat="1" s="77">
      <c r="B143" s="81" t="n"/>
      <c r="C143" s="80" t="n"/>
      <c r="D143" s="79" t="inlineStr">
        <is>
          <t>If additional Rows are needed,</t>
        </is>
      </c>
      <c r="E143" s="78" t="n"/>
    </row>
    <row r="144" customFormat="1" s="74">
      <c r="B144" s="72" t="n"/>
      <c r="C144" s="71" t="n"/>
      <c r="D144" s="70" t="inlineStr">
        <is>
          <t>Insert them prior to the last row listed.</t>
        </is>
      </c>
      <c r="E144" s="69" t="n"/>
    </row>
    <row r="145">
      <c r="B145" s="72" t="n"/>
      <c r="C145" s="71" t="n"/>
      <c r="D145" s="70" t="inlineStr">
        <is>
          <t>Do NOT COPY the formulas below this line.</t>
        </is>
      </c>
      <c r="E145" s="69" t="n"/>
    </row>
  </sheetData>
  <mergeCells count="182">
    <mergeCell ref="EH6:EH7"/>
    <mergeCell ref="CA6:CA7"/>
    <mergeCell ref="DS6:DS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B1:C1"/>
    <mergeCell ref="AJ6:AJ7"/>
    <mergeCell ref="EQ6:EQ7"/>
    <mergeCell ref="BB6:BB7"/>
    <mergeCell ref="CJ6:CJ7"/>
    <mergeCell ref="BD6:BD7"/>
    <mergeCell ref="CL6:CL7"/>
    <mergeCell ref="FC6:FC7"/>
    <mergeCell ref="AV6:AV7"/>
    <mergeCell ref="CV6:CV7"/>
    <mergeCell ref="CX6:CX7"/>
    <mergeCell ref="FO6:FO7"/>
    <mergeCell ref="DR6:DR7"/>
    <mergeCell ref="EZ6:EZ7"/>
    <mergeCell ref="FN6:FN7"/>
    <mergeCell ref="BT6:BT7"/>
    <mergeCell ref="AY6:AY7"/>
    <mergeCell ref="BV6:BV7"/>
    <mergeCell ref="DX6:DX7"/>
    <mergeCell ref="I6:I7"/>
    <mergeCell ref="EJ6:EJ7"/>
    <mergeCell ref="K6:K7"/>
    <mergeCell ref="U6:U7"/>
    <mergeCell ref="BE6:BE7"/>
    <mergeCell ref="W6:W7"/>
    <mergeCell ref="E3:F3"/>
    <mergeCell ref="DV6:DV7"/>
    <mergeCell ref="BW6:BW7"/>
    <mergeCell ref="AG6:AG7"/>
    <mergeCell ref="BY6:BY7"/>
    <mergeCell ref="EP6:EP7"/>
    <mergeCell ref="CI6:CI7"/>
    <mergeCell ref="B3:C3"/>
    <mergeCell ref="CK6:CK7"/>
    <mergeCell ref="AA6:AA7"/>
    <mergeCell ref="EY6:EY7"/>
    <mergeCell ref="ET6:ET7"/>
    <mergeCell ref="EV6:EV7"/>
    <mergeCell ref="E4:F4"/>
    <mergeCell ref="BG6:BG7"/>
    <mergeCell ref="B2:C2"/>
    <mergeCell ref="BI6:BI7"/>
    <mergeCell ref="CO6:CO7"/>
    <mergeCell ref="CQ6:CQ7"/>
    <mergeCell ref="DI6:DI7"/>
    <mergeCell ref="FF6:FF7"/>
    <mergeCell ref="FH6:FH7"/>
    <mergeCell ref="DK6:DK7"/>
    <mergeCell ref="DA6:DA7"/>
    <mergeCell ref="ES6:ES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Z6:Z7"/>
    <mergeCell ref="BH6:BH7"/>
    <mergeCell ref="BR6:BR7"/>
    <mergeCell ref="AB6:AB7"/>
    <mergeCell ref="FQ6:FQ7"/>
    <mergeCell ref="EA6:EA7"/>
    <mergeCell ref="CB6:CB7"/>
    <mergeCell ref="CD6:CD7"/>
    <mergeCell ref="ED6:ED7"/>
    <mergeCell ref="CN6:CN7"/>
    <mergeCell ref="EF6:EF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S6:S7"/>
    <mergeCell ref="BA6:BA7"/>
    <mergeCell ref="BS6:BS7"/>
    <mergeCell ref="BU6:BU7"/>
    <mergeCell ref="EL6:EL7"/>
    <mergeCell ref="DU6:DU7"/>
    <mergeCell ref="CE6:CE7"/>
    <mergeCell ref="DW6:DW7"/>
    <mergeCell ref="CG6:CG7"/>
    <mergeCell ref="DO6:DO7"/>
    <mergeCell ref="EI6:EI7"/>
    <mergeCell ref="EK6:EK7"/>
    <mergeCell ref="T6:T7"/>
    <mergeCell ref="A1:A5"/>
    <mergeCell ref="BC6:BC7"/>
    <mergeCell ref="EO6:EO7"/>
    <mergeCell ref="AL6:AL7"/>
    <mergeCell ref="EU6:EU7"/>
    <mergeCell ref="AN6:AN7"/>
    <mergeCell ref="B4:C4"/>
    <mergeCell ref="BF6:BF7"/>
    <mergeCell ref="AX6:AX7"/>
    <mergeCell ref="CP6:CP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E2:F2"/>
    <mergeCell ref="CM6:CM7"/>
    <mergeCell ref="DJ6:DJ7"/>
    <mergeCell ref="AC6:AC7"/>
    <mergeCell ref="AE6:AE7"/>
    <mergeCell ref="AO6:AO7"/>
    <mergeCell ref="EX6:EX7"/>
    <mergeCell ref="AQ6:AQ7"/>
    <mergeCell ref="D5:D6"/>
    <mergeCell ref="DH6:DH7"/>
    <mergeCell ref="BK6:BK7"/>
    <mergeCell ref="CS6:CS7"/>
    <mergeCell ref="BM6:BM7"/>
    <mergeCell ref="CU6:CU7"/>
    <mergeCell ref="FL6:FL7"/>
    <mergeCell ref="DE6:DE7"/>
    <mergeCell ref="EW6:EW7"/>
    <mergeCell ref="DG6:DG7"/>
    <mergeCell ref="DY6:DY7"/>
    <mergeCell ref="FI6:FI7"/>
    <mergeCell ref="O6:O7"/>
    <mergeCell ref="BO6:BO7"/>
    <mergeCell ref="AT6:AT7"/>
    <mergeCell ref="BQ6:BQ7"/>
  </mergeCells>
  <pageMargins left="0.7" right="0.7" top="0.75" bottom="0.75" header="0.3" footer="0.3"/>
  <pageSetup orientation="portrait"/>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FX166"/>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 bestFit="1" customWidth="1" style="61" min="8" max="9"/>
    <col width="9.140625" bestFit="1" customWidth="1" style="61" min="10" max="13"/>
    <col width="14.42578125" customWidth="1" style="61" min="14" max="173"/>
    <col width="3" customWidth="1" style="62" min="174" max="174"/>
    <col width="14.42578125" customWidth="1" style="61" min="175" max="16384"/>
  </cols>
  <sheetData>
    <row r="1" ht="13.5" customHeight="1" s="267" thickBot="1">
      <c r="E1" s="298" t="inlineStr">
        <is>
          <t>Instrument</t>
        </is>
      </c>
      <c r="F1" s="507" t="n"/>
      <c r="G1" s="111" t="n"/>
      <c r="H1" s="219" t="inlineStr">
        <is>
          <t>Assignment</t>
        </is>
      </c>
      <c r="I1" s="219" t="inlineStr">
        <is>
          <t>Assignment</t>
        </is>
      </c>
      <c r="J1" s="219" t="inlineStr">
        <is>
          <t>Assignment</t>
        </is>
      </c>
      <c r="K1" s="219" t="inlineStr">
        <is>
          <t>Assignment</t>
        </is>
      </c>
      <c r="L1" s="219" t="inlineStr">
        <is>
          <t>Assignment</t>
        </is>
      </c>
      <c r="M1" s="219" t="inlineStr">
        <is>
          <t>Assignment</t>
        </is>
      </c>
      <c r="N1" s="169" t="inlineStr">
        <is>
          <t>Assignment</t>
        </is>
      </c>
      <c r="O1" s="169" t="inlineStr">
        <is>
          <t>Assignment</t>
        </is>
      </c>
      <c r="P1" s="169" t="inlineStr">
        <is>
          <t>Assignment</t>
        </is>
      </c>
      <c r="Q1" s="169" t="inlineStr">
        <is>
          <t>Assignment</t>
        </is>
      </c>
      <c r="R1" s="169" t="inlineStr">
        <is>
          <t>Assignment</t>
        </is>
      </c>
      <c r="S1" s="169" t="inlineStr">
        <is>
          <t>Assignment</t>
        </is>
      </c>
      <c r="T1" s="169" t="inlineStr">
        <is>
          <t>Wellbore Assignment</t>
        </is>
      </c>
      <c r="U1" s="169" t="inlineStr">
        <is>
          <t>Assignment</t>
        </is>
      </c>
      <c r="V1" s="169" t="inlineStr">
        <is>
          <t>Assignment</t>
        </is>
      </c>
      <c r="W1" s="169" t="inlineStr">
        <is>
          <t>Assignment</t>
        </is>
      </c>
      <c r="X1" s="169" t="inlineStr">
        <is>
          <t>Assignment</t>
        </is>
      </c>
      <c r="Y1" s="169" t="inlineStr">
        <is>
          <t>Wellbore Assignment</t>
        </is>
      </c>
      <c r="Z1" s="169" t="n"/>
      <c r="AA1" s="169" t="inlineStr">
        <is>
          <t>OGL</t>
        </is>
      </c>
      <c r="AB1" s="169" t="inlineStr">
        <is>
          <t>OGL</t>
        </is>
      </c>
      <c r="AC1" s="169" t="inlineStr">
        <is>
          <t>OGL</t>
        </is>
      </c>
      <c r="AD1" s="169" t="inlineStr">
        <is>
          <t>OGL</t>
        </is>
      </c>
      <c r="AE1" s="169" t="inlineStr">
        <is>
          <t>OGL</t>
        </is>
      </c>
      <c r="AF1" s="169" t="inlineStr">
        <is>
          <t>OGL</t>
        </is>
      </c>
      <c r="AG1" s="169" t="n"/>
      <c r="AH1" s="169" t="n"/>
      <c r="AI1" s="169" t="n"/>
      <c r="AJ1" s="169" t="n"/>
      <c r="AK1" s="169" t="n"/>
      <c r="AL1" s="169" t="n"/>
      <c r="AM1" s="169" t="n"/>
      <c r="AN1" s="169" t="n"/>
      <c r="AO1" s="169" t="n"/>
      <c r="AP1" s="169" t="n"/>
      <c r="AQ1" s="169" t="n"/>
      <c r="AR1" s="169" t="n"/>
      <c r="AS1" s="169" t="n"/>
      <c r="AT1" s="169" t="n"/>
      <c r="AU1" s="169" t="n"/>
      <c r="AV1" s="169" t="n"/>
      <c r="AW1" s="169" t="n"/>
      <c r="AX1" s="169" t="n"/>
      <c r="AY1" s="169" t="n"/>
      <c r="AZ1" s="169" t="n"/>
      <c r="BA1" s="169" t="n"/>
      <c r="BB1" s="169" t="n"/>
      <c r="BC1" s="169" t="n"/>
      <c r="BD1" s="169" t="n"/>
      <c r="BE1" s="169" t="n"/>
      <c r="BF1" s="169" t="n"/>
      <c r="BG1" s="169" t="n"/>
      <c r="BH1" s="169" t="n"/>
      <c r="BI1" s="169" t="n"/>
      <c r="BJ1" s="169" t="n"/>
      <c r="BK1" s="169" t="n"/>
      <c r="BL1" s="169" t="n"/>
      <c r="BM1" s="169" t="n"/>
      <c r="BN1" s="169" t="n"/>
      <c r="BO1" s="169" t="n"/>
      <c r="BP1" s="169" t="n"/>
      <c r="BQ1" s="169" t="n"/>
      <c r="BR1" s="169" t="n"/>
      <c r="BS1" s="169" t="n"/>
      <c r="BT1" s="169" t="n"/>
      <c r="BU1" s="169" t="n"/>
      <c r="BV1" s="169" t="n"/>
      <c r="BW1" s="169" t="n"/>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62" t="n"/>
    </row>
    <row r="2" ht="12.75" customFormat="1" customHeight="1" s="110" thickTop="1">
      <c r="A2" s="534" t="inlineStr">
        <is>
          <t>1</t>
        </is>
      </c>
      <c r="B2" s="535" t="inlineStr">
        <is>
          <t>TRACT</t>
        </is>
      </c>
      <c r="C2" s="536" t="n"/>
      <c r="D2" s="604" t="inlineStr">
        <is>
          <t>Alexander #1-31 wellbore &amp; Sec 31-12N-24W leasehold WI chain (shallower interval, above Springer). WI/NRI net acres pending assignment-fraction reconciliation.</t>
        </is>
      </c>
      <c r="E2" s="538" t="inlineStr">
        <is>
          <t>Image Number</t>
        </is>
      </c>
      <c r="F2" s="539" t="n"/>
      <c r="G2" s="111" t="n"/>
      <c r="H2" s="219" t="inlineStr">
        <is>
          <t>1994-007065</t>
        </is>
      </c>
      <c r="I2" s="219" t="inlineStr">
        <is>
          <t>2007-008043</t>
        </is>
      </c>
      <c r="J2" s="219" t="inlineStr">
        <is>
          <t>2016-001883</t>
        </is>
      </c>
      <c r="K2" s="219" t="inlineStr">
        <is>
          <t>2016-002793</t>
        </is>
      </c>
      <c r="L2" s="219" t="inlineStr">
        <is>
          <t>2017-000083</t>
        </is>
      </c>
      <c r="M2" s="219" t="n"/>
      <c r="N2" s="107" t="inlineStr">
        <is>
          <t>2019-001779</t>
        </is>
      </c>
      <c r="O2" s="107" t="inlineStr">
        <is>
          <t>2020-001283</t>
        </is>
      </c>
      <c r="P2" s="107" t="inlineStr">
        <is>
          <t>2020-001577</t>
        </is>
      </c>
      <c r="Q2" s="107" t="n"/>
      <c r="R2" s="107" t="inlineStr">
        <is>
          <t>2021-001561</t>
        </is>
      </c>
      <c r="S2" s="107" t="inlineStr">
        <is>
          <t>2021-001605</t>
        </is>
      </c>
      <c r="T2" s="107" t="inlineStr">
        <is>
          <t>2023-003590</t>
        </is>
      </c>
      <c r="U2" s="107" t="inlineStr">
        <is>
          <t>2024-002310</t>
        </is>
      </c>
      <c r="V2" s="107" t="inlineStr">
        <is>
          <t>2024-003107</t>
        </is>
      </c>
      <c r="W2" s="107" t="inlineStr">
        <is>
          <t>2024-004916</t>
        </is>
      </c>
      <c r="X2" s="107" t="n"/>
      <c r="Y2" s="107" t="inlineStr">
        <is>
          <t>2025-006987</t>
        </is>
      </c>
      <c r="Z2" s="107" t="n"/>
      <c r="AA2" s="107" t="n">
        <v>289</v>
      </c>
      <c r="AB2" s="107" t="n">
        <v>290</v>
      </c>
      <c r="AC2" s="107" t="n">
        <v>291</v>
      </c>
      <c r="AD2" s="107" t="n">
        <v>292</v>
      </c>
      <c r="AE2" s="107" t="n">
        <v>293</v>
      </c>
      <c r="AF2" s="107" t="n">
        <v>294</v>
      </c>
      <c r="AG2" s="107" t="n"/>
      <c r="AH2" s="107"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1" t="inlineStr">
        <is>
          <t>DESCRIPTION</t>
        </is>
      </c>
      <c r="C3" s="536" t="n"/>
      <c r="D3" s="598" t="n"/>
      <c r="E3" s="543" t="inlineStr">
        <is>
          <t xml:space="preserve">Book / Page </t>
        </is>
      </c>
      <c r="F3" s="539" t="n"/>
      <c r="G3" s="111" t="n"/>
      <c r="H3" s="54" t="inlineStr">
        <is>
          <t>1608/0038</t>
        </is>
      </c>
      <c r="I3" s="54" t="inlineStr">
        <is>
          <t>1567/0006</t>
        </is>
      </c>
      <c r="J3" s="56" t="inlineStr">
        <is>
          <t>2343/0001</t>
        </is>
      </c>
      <c r="K3" s="56" t="inlineStr">
        <is>
          <t>2354/0229</t>
        </is>
      </c>
      <c r="L3" s="56" t="inlineStr">
        <is>
          <t>2356/0399</t>
        </is>
      </c>
      <c r="M3" s="56" t="inlineStr">
        <is>
          <t>2385/0072</t>
        </is>
      </c>
      <c r="N3" s="51" t="inlineStr">
        <is>
          <t>2425/0380</t>
        </is>
      </c>
      <c r="O3" s="56" t="inlineStr">
        <is>
          <t>2449/0333</t>
        </is>
      </c>
      <c r="P3" s="51" t="inlineStr">
        <is>
          <t>2452/0235</t>
        </is>
      </c>
      <c r="Q3" s="56" t="inlineStr">
        <is>
          <t>2455/0446</t>
        </is>
      </c>
      <c r="R3" s="51" t="inlineStr">
        <is>
          <t>2479/0001</t>
        </is>
      </c>
      <c r="S3" s="51" t="inlineStr">
        <is>
          <t>2480/0297</t>
        </is>
      </c>
      <c r="T3" s="51" t="inlineStr">
        <is>
          <t>2542/0413</t>
        </is>
      </c>
      <c r="U3" s="51" t="inlineStr">
        <is>
          <t>2567/0102</t>
        </is>
      </c>
      <c r="V3" s="51" t="inlineStr">
        <is>
          <t>2571/0579</t>
        </is>
      </c>
      <c r="W3" s="51" t="inlineStr">
        <is>
          <t>2584/0149</t>
        </is>
      </c>
      <c r="X3" s="51" t="inlineStr">
        <is>
          <t>2604/0111</t>
        </is>
      </c>
      <c r="Y3" s="51" t="inlineStr">
        <is>
          <t>2664/0169</t>
        </is>
      </c>
      <c r="Z3" s="51" t="n"/>
      <c r="AA3" s="51" t="inlineStr">
        <is>
          <t>2702/505</t>
        </is>
      </c>
      <c r="AB3" s="51" t="inlineStr">
        <is>
          <t>2697/520</t>
        </is>
      </c>
      <c r="AC3" s="54" t="inlineStr">
        <is>
          <t>2693/349</t>
        </is>
      </c>
      <c r="AD3" s="54" t="inlineStr">
        <is>
          <t>2693/337</t>
        </is>
      </c>
      <c r="AE3" s="54" t="inlineStr">
        <is>
          <t>2693/345</t>
        </is>
      </c>
      <c r="AF3" s="54" t="inlineStr">
        <is>
          <t>2697/524</t>
        </is>
      </c>
      <c r="AG3" s="54" t="n"/>
      <c r="AI3" s="107" t="n"/>
      <c r="AJ3" s="107" t="n"/>
      <c r="AK3" s="107" t="n"/>
      <c r="AL3" s="107" t="n"/>
      <c r="AM3" s="107" t="n"/>
      <c r="AN3" s="107" t="n"/>
      <c r="AO3" s="107" t="n"/>
      <c r="AP3" s="107" t="n"/>
      <c r="AQ3" s="107" t="n"/>
      <c r="AR3" s="107" t="n"/>
      <c r="AS3" s="107" t="n"/>
      <c r="AT3" s="107" t="n"/>
      <c r="AU3" s="107" t="n"/>
      <c r="AV3" s="107" t="n"/>
      <c r="AW3" s="107" t="n"/>
      <c r="AX3" s="107" t="n"/>
      <c r="AY3" s="107" t="n"/>
      <c r="AZ3" s="107" t="n"/>
      <c r="BA3" s="107" t="n"/>
      <c r="BB3" s="107" t="n"/>
      <c r="BC3" s="107" t="n"/>
      <c r="BD3" s="107" t="n"/>
      <c r="BE3" s="107" t="n"/>
      <c r="BF3" s="107" t="n"/>
      <c r="BG3" s="107" t="n"/>
      <c r="BH3" s="107" t="n"/>
      <c r="BI3" s="107" t="n"/>
      <c r="BJ3" s="107" t="n"/>
      <c r="BK3" s="107" t="n"/>
      <c r="BL3" s="107" t="n"/>
      <c r="BM3" s="107" t="n"/>
      <c r="BN3" s="107" t="n"/>
      <c r="BO3" s="107" t="n"/>
      <c r="BP3" s="107" t="n"/>
      <c r="BQ3" s="107" t="n"/>
      <c r="BR3" s="107" t="n"/>
      <c r="BS3" s="107" t="n"/>
      <c r="BT3" s="107" t="n"/>
      <c r="BU3" s="107" t="n"/>
      <c r="BV3" s="107" t="n"/>
      <c r="BW3" s="107" t="n"/>
      <c r="BX3" s="107" t="n"/>
      <c r="BY3" s="107" t="n"/>
      <c r="BZ3" s="107" t="n"/>
      <c r="CA3" s="107" t="n"/>
      <c r="CB3" s="107" t="n"/>
      <c r="CC3" s="107" t="n"/>
      <c r="CD3" s="107" t="n"/>
      <c r="CE3" s="107" t="n"/>
      <c r="CF3" s="107" t="n"/>
      <c r="CG3" s="107" t="n"/>
      <c r="CH3" s="107" t="n"/>
      <c r="CI3" s="107" t="n"/>
      <c r="CJ3" s="107" t="n"/>
      <c r="CK3" s="107" t="n"/>
      <c r="CL3" s="107" t="n"/>
      <c r="CM3" s="107" t="n"/>
      <c r="CN3" s="107" t="n"/>
      <c r="CO3" s="107" t="n"/>
      <c r="CP3" s="107" t="n"/>
      <c r="CQ3" s="107" t="n"/>
      <c r="CR3" s="107" t="n"/>
      <c r="CS3" s="107" t="n"/>
      <c r="CT3" s="107" t="n"/>
      <c r="CU3" s="107" t="n"/>
      <c r="CV3" s="107" t="n"/>
      <c r="CW3" s="107" t="n"/>
      <c r="CX3" s="107" t="n"/>
      <c r="CY3" s="107" t="n"/>
      <c r="CZ3" s="107" t="n"/>
      <c r="DA3" s="107" t="n"/>
      <c r="DB3" s="107" t="n"/>
      <c r="DC3" s="107" t="n"/>
      <c r="DD3" s="107" t="n"/>
      <c r="DE3" s="107" t="n"/>
      <c r="DF3" s="107" t="n"/>
      <c r="DG3" s="107" t="n"/>
      <c r="DH3" s="107" t="n"/>
      <c r="DI3" s="107" t="n"/>
      <c r="DJ3" s="107" t="n"/>
      <c r="DK3" s="107" t="n"/>
      <c r="DL3" s="107" t="n"/>
      <c r="DM3" s="107" t="n"/>
      <c r="DN3" s="107" t="n"/>
      <c r="DO3" s="107" t="n"/>
      <c r="DP3" s="107" t="n"/>
      <c r="DQ3" s="107" t="n"/>
      <c r="DR3" s="107" t="n"/>
      <c r="DS3" s="107" t="n"/>
      <c r="DT3" s="107" t="n"/>
      <c r="DU3" s="107" t="n"/>
      <c r="DV3" s="107" t="n"/>
      <c r="DW3" s="107" t="n"/>
      <c r="DX3" s="107" t="n"/>
      <c r="DY3" s="107" t="n"/>
      <c r="DZ3" s="107" t="n"/>
      <c r="EA3" s="107" t="n"/>
      <c r="EB3" s="107" t="n"/>
      <c r="EC3" s="107" t="n"/>
      <c r="ED3" s="107" t="n"/>
      <c r="EE3" s="107" t="n"/>
      <c r="EF3" s="107" t="n"/>
      <c r="EG3" s="107" t="n"/>
      <c r="EH3" s="107" t="n"/>
      <c r="EI3" s="107" t="n"/>
      <c r="EJ3" s="107" t="n"/>
      <c r="EK3" s="107" t="n"/>
      <c r="EL3" s="107" t="n"/>
      <c r="EM3" s="107" t="n"/>
      <c r="EN3" s="107" t="n"/>
      <c r="EO3" s="107" t="n"/>
      <c r="EP3" s="107" t="n"/>
      <c r="EQ3" s="107" t="n"/>
      <c r="ER3" s="107" t="n"/>
      <c r="ES3" s="107" t="n"/>
      <c r="ET3" s="107" t="n"/>
      <c r="EU3" s="107" t="n"/>
      <c r="EV3" s="107" t="n"/>
      <c r="EW3" s="107" t="n"/>
      <c r="EX3" s="107" t="n"/>
      <c r="EY3" s="107" t="n"/>
      <c r="EZ3" s="107" t="n"/>
      <c r="FA3" s="107" t="n"/>
      <c r="FB3" s="107" t="n"/>
      <c r="FC3" s="107" t="n"/>
      <c r="FD3" s="107" t="n"/>
      <c r="FE3" s="107" t="n"/>
      <c r="FF3" s="107" t="n"/>
      <c r="FG3" s="107" t="n"/>
      <c r="FH3" s="107" t="n"/>
      <c r="FI3" s="107" t="n"/>
      <c r="FJ3" s="107" t="n"/>
      <c r="FK3" s="107" t="n"/>
      <c r="FL3" s="107" t="n"/>
      <c r="FM3" s="107" t="n"/>
      <c r="FN3" s="107" t="n"/>
      <c r="FO3" s="107" t="n"/>
      <c r="FP3" s="107" t="n"/>
      <c r="FQ3" s="107" t="n"/>
    </row>
    <row r="4" ht="12.75" customFormat="1" customHeight="1" s="110">
      <c r="A4" s="540" t="n"/>
      <c r="B4" s="544" t="n"/>
      <c r="C4" s="536" t="n"/>
      <c r="D4" s="599" t="n"/>
      <c r="E4" s="312" t="inlineStr">
        <is>
          <t xml:space="preserve">Date </t>
        </is>
      </c>
      <c r="F4" s="539" t="n"/>
      <c r="G4" s="111" t="n"/>
      <c r="H4" s="55" t="n">
        <v>36600</v>
      </c>
      <c r="I4" s="55" t="n">
        <v>39336</v>
      </c>
      <c r="J4" s="60" t="n">
        <v>42593</v>
      </c>
      <c r="K4" s="60" t="n">
        <v>42719</v>
      </c>
      <c r="L4" s="60" t="n">
        <v>42752</v>
      </c>
      <c r="M4" s="60" t="n">
        <v>43119</v>
      </c>
      <c r="N4" s="60" t="n">
        <v>43698</v>
      </c>
      <c r="O4" s="60" t="n">
        <v>44060</v>
      </c>
      <c r="P4" s="60" t="n">
        <v>44118</v>
      </c>
      <c r="Q4" s="60" t="n">
        <v>44175</v>
      </c>
      <c r="R4" s="53" t="n">
        <v>44463</v>
      </c>
      <c r="S4" s="106" t="n">
        <v>44476</v>
      </c>
      <c r="T4" s="106" t="n">
        <v>45247</v>
      </c>
      <c r="U4" s="53" t="n">
        <v>45401</v>
      </c>
      <c r="V4" s="53" t="n">
        <v>45432</v>
      </c>
      <c r="W4" s="53" t="n">
        <v>45509</v>
      </c>
      <c r="X4" s="53" t="n">
        <v>45642</v>
      </c>
      <c r="Y4" s="53" t="n">
        <v>45975</v>
      </c>
      <c r="Z4" s="53" t="n"/>
      <c r="AA4" s="53" t="n">
        <v>46170</v>
      </c>
      <c r="AB4" s="53" t="n">
        <v>46143</v>
      </c>
      <c r="AC4" s="53" t="n">
        <v>46122</v>
      </c>
      <c r="AD4" s="53" t="n">
        <v>46122</v>
      </c>
      <c r="AE4" s="53" t="n">
        <v>46122</v>
      </c>
      <c r="AF4" s="53" t="n">
        <v>46143</v>
      </c>
      <c r="AG4" s="53" t="n"/>
      <c r="AI4" s="106" t="n"/>
      <c r="AJ4" s="106" t="n"/>
      <c r="AK4" s="106" t="n"/>
      <c r="AL4" s="106" t="n"/>
      <c r="AM4" s="106" t="n"/>
      <c r="AN4" s="106" t="n"/>
      <c r="AO4" s="106" t="n"/>
      <c r="AP4" s="106" t="n"/>
      <c r="AQ4" s="106" t="n"/>
      <c r="AR4" s="106" t="n"/>
      <c r="AS4" s="106" t="n"/>
      <c r="AT4" s="106" t="n"/>
      <c r="AU4" s="106" t="n"/>
      <c r="AV4" s="106" t="n"/>
      <c r="AW4" s="106" t="n"/>
      <c r="AX4" s="106" t="n"/>
      <c r="AY4" s="106" t="n"/>
      <c r="AZ4" s="106" t="n"/>
      <c r="BA4" s="106" t="n"/>
      <c r="BB4" s="106" t="n"/>
      <c r="BC4" s="106" t="n"/>
      <c r="BD4" s="106" t="n"/>
      <c r="BE4" s="106" t="n"/>
      <c r="BF4" s="106" t="n"/>
      <c r="BG4" s="106" t="n"/>
      <c r="BH4" s="106" t="n"/>
      <c r="BI4" s="106" t="n"/>
      <c r="BJ4" s="106" t="n"/>
      <c r="BK4" s="106" t="n"/>
      <c r="BL4" s="106" t="n"/>
      <c r="BM4" s="106" t="n"/>
      <c r="BN4" s="106" t="n"/>
      <c r="BO4" s="106" t="n"/>
      <c r="BP4" s="106" t="n"/>
      <c r="BQ4" s="106" t="n"/>
      <c r="BR4" s="106" t="n"/>
      <c r="BS4" s="106" t="n"/>
      <c r="BT4" s="106" t="n"/>
      <c r="BU4" s="106" t="n"/>
      <c r="BV4" s="106" t="n"/>
      <c r="BW4" s="106" t="n"/>
      <c r="BX4" s="106" t="n"/>
      <c r="BY4" s="106" t="n"/>
      <c r="BZ4" s="106" t="n"/>
      <c r="CA4" s="106" t="n"/>
      <c r="CB4" s="106" t="n"/>
      <c r="CC4" s="106" t="n"/>
      <c r="CD4" s="106" t="n"/>
      <c r="CE4" s="106" t="n"/>
      <c r="CF4" s="106" t="n"/>
      <c r="CG4" s="106" t="n"/>
      <c r="CH4" s="106" t="n"/>
      <c r="CI4" s="106" t="n"/>
      <c r="CJ4" s="106" t="n"/>
      <c r="CK4" s="106" t="n"/>
      <c r="CL4" s="106" t="n"/>
      <c r="CM4" s="106" t="n"/>
      <c r="CN4" s="106" t="n"/>
      <c r="CO4" s="106" t="n"/>
      <c r="CP4" s="106" t="n"/>
      <c r="CQ4" s="106" t="n"/>
      <c r="CR4" s="106" t="n"/>
      <c r="CS4" s="106" t="n"/>
      <c r="CT4" s="106" t="n"/>
      <c r="CU4" s="106" t="n"/>
      <c r="CV4" s="106" t="n"/>
      <c r="CW4" s="106" t="n"/>
      <c r="CX4" s="106" t="n"/>
      <c r="CY4" s="106" t="n"/>
      <c r="CZ4" s="106" t="n"/>
      <c r="DA4" s="106" t="n"/>
      <c r="DB4" s="106" t="n"/>
      <c r="DC4" s="106" t="n"/>
      <c r="DD4" s="106" t="n"/>
      <c r="DE4" s="106" t="n"/>
      <c r="DF4" s="106" t="n"/>
      <c r="DG4" s="106" t="n"/>
      <c r="DH4" s="106" t="n"/>
      <c r="DI4" s="106" t="n"/>
      <c r="DJ4" s="106" t="n"/>
      <c r="DK4" s="106" t="n"/>
      <c r="DL4" s="106" t="n"/>
      <c r="DM4" s="106" t="n"/>
      <c r="DN4" s="106" t="n"/>
      <c r="DO4" s="106" t="n"/>
      <c r="DP4" s="106" t="n"/>
      <c r="DQ4" s="106" t="n"/>
      <c r="DR4" s="106" t="n"/>
      <c r="DS4" s="106" t="n"/>
      <c r="DT4" s="106" t="n"/>
      <c r="DU4" s="106" t="n"/>
      <c r="DV4" s="106" t="n"/>
      <c r="DW4" s="106" t="n"/>
      <c r="DX4" s="106" t="n"/>
      <c r="DY4" s="106" t="n"/>
      <c r="DZ4" s="106" t="n"/>
      <c r="EA4" s="106" t="n"/>
      <c r="EB4" s="106" t="n"/>
      <c r="EC4" s="106" t="n"/>
      <c r="ED4" s="106" t="n"/>
      <c r="EE4" s="106" t="n"/>
      <c r="EF4" s="106" t="n"/>
      <c r="EG4" s="106" t="n"/>
      <c r="EH4" s="106" t="n"/>
      <c r="EI4" s="106" t="n"/>
      <c r="EJ4" s="106" t="n"/>
      <c r="EK4" s="106" t="n"/>
      <c r="EL4" s="106" t="n"/>
      <c r="EM4" s="106" t="n"/>
      <c r="EN4" s="106" t="n"/>
      <c r="EO4" s="106" t="n"/>
      <c r="EP4" s="106" t="n"/>
      <c r="EQ4" s="106" t="n"/>
      <c r="ER4" s="106" t="n"/>
      <c r="ES4" s="106" t="n"/>
      <c r="ET4" s="106" t="n"/>
      <c r="EU4" s="106" t="n"/>
      <c r="EV4" s="106" t="n"/>
      <c r="EW4" s="106" t="n"/>
      <c r="EX4" s="106" t="n"/>
      <c r="EY4" s="106" t="n"/>
      <c r="EZ4" s="106" t="n"/>
      <c r="FA4" s="106" t="n"/>
      <c r="FB4" s="106" t="n"/>
      <c r="FC4" s="106" t="n"/>
      <c r="FD4" s="106" t="n"/>
      <c r="FE4" s="106" t="n"/>
      <c r="FF4" s="106" t="n"/>
      <c r="FG4" s="106" t="n"/>
      <c r="FH4" s="106" t="n"/>
      <c r="FI4" s="106" t="n"/>
      <c r="FJ4" s="106" t="n"/>
      <c r="FK4" s="106" t="n"/>
      <c r="FL4" s="106" t="n"/>
      <c r="FM4" s="106" t="n"/>
      <c r="FN4" s="106" t="n"/>
      <c r="FO4" s="106" t="n"/>
      <c r="FP4" s="106" t="n"/>
      <c r="FQ4" s="106" t="n"/>
    </row>
    <row r="5" ht="27.75" customFormat="1" customHeight="1" s="105">
      <c r="A5" s="540" t="n"/>
      <c r="B5" s="546" t="inlineStr">
        <is>
          <t>TRACT ACRES</t>
        </is>
      </c>
      <c r="C5" s="547" t="n"/>
      <c r="D5" s="605" t="n">
        <v>448.333333</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19" t="inlineStr">
        <is>
          <t>ARTI</t>
        </is>
      </c>
      <c r="N5" s="107" t="inlineStr">
        <is>
          <t>ARTI</t>
        </is>
      </c>
      <c r="O5" s="107" t="inlineStr">
        <is>
          <t>ARTI</t>
        </is>
      </c>
      <c r="P5" s="107" t="inlineStr">
        <is>
          <t>ARTI</t>
        </is>
      </c>
      <c r="Q5" s="107" t="inlineStr">
        <is>
          <t>ARTI</t>
        </is>
      </c>
      <c r="R5" s="107" t="inlineStr">
        <is>
          <t>ARTI</t>
        </is>
      </c>
      <c r="S5" s="107" t="inlineStr">
        <is>
          <t>ARTI</t>
        </is>
      </c>
      <c r="T5" s="107" t="inlineStr">
        <is>
          <t>Wellbore</t>
        </is>
      </c>
      <c r="U5" s="107" t="inlineStr">
        <is>
          <t>ARTI</t>
        </is>
      </c>
      <c r="V5" s="107" t="inlineStr">
        <is>
          <t>ARTI</t>
        </is>
      </c>
      <c r="W5" s="107" t="inlineStr">
        <is>
          <t>ARTI</t>
        </is>
      </c>
      <c r="X5" s="107" t="inlineStr">
        <is>
          <t>ARTI</t>
        </is>
      </c>
      <c r="Y5" s="107" t="inlineStr">
        <is>
          <t>Wellbore</t>
        </is>
      </c>
      <c r="Z5" s="107" t="n"/>
      <c r="AA5" s="107" t="n">
        <v>0.1875</v>
      </c>
      <c r="AB5" s="107" t="n">
        <v>0.1875</v>
      </c>
      <c r="AC5" s="107" t="n">
        <v>0.1875</v>
      </c>
      <c r="AD5" s="107" t="n">
        <v>0.1875</v>
      </c>
      <c r="AE5" s="107" t="n">
        <v>0.1875</v>
      </c>
      <c r="AF5" s="107" t="n">
        <v>0.1875</v>
      </c>
      <c r="AG5" s="107" t="n"/>
      <c r="AI5" s="107" t="n"/>
      <c r="AJ5" s="107" t="n"/>
      <c r="AK5" s="107" t="n"/>
      <c r="AL5" s="107" t="n"/>
      <c r="AM5" s="107" t="n"/>
      <c r="AN5" s="107" t="n"/>
      <c r="AO5" s="107" t="n"/>
      <c r="AP5" s="107" t="n"/>
      <c r="AQ5" s="107" t="n"/>
      <c r="AR5" s="107" t="n"/>
      <c r="AS5" s="107" t="n"/>
      <c r="AT5" s="107" t="n"/>
      <c r="AU5" s="107" t="n"/>
      <c r="AV5" s="107" t="n"/>
      <c r="AW5" s="107" t="n"/>
      <c r="AX5" s="107" t="n"/>
      <c r="AY5" s="107" t="n"/>
      <c r="AZ5" s="107" t="n"/>
      <c r="BA5" s="107" t="n"/>
      <c r="BB5" s="107" t="n"/>
      <c r="BC5" s="107" t="n"/>
      <c r="BD5" s="107" t="n"/>
      <c r="BE5" s="107" t="n"/>
      <c r="BF5" s="107" t="n"/>
      <c r="BG5" s="107" t="n"/>
      <c r="BH5" s="107" t="n"/>
      <c r="BI5" s="107" t="n"/>
      <c r="BJ5" s="107" t="n"/>
      <c r="BK5" s="107" t="n"/>
      <c r="BL5" s="107" t="n"/>
      <c r="BM5" s="107" t="n"/>
      <c r="BN5" s="107" t="n"/>
      <c r="BO5" s="107" t="n"/>
      <c r="BP5" s="107" t="n"/>
      <c r="BQ5" s="107" t="n"/>
      <c r="BR5" s="107" t="n"/>
      <c r="BS5" s="107" t="n"/>
      <c r="BT5" s="107" t="n"/>
      <c r="BU5" s="107" t="n"/>
      <c r="BV5" s="107" t="n"/>
      <c r="BW5" s="107" t="n"/>
      <c r="BX5" s="107" t="n"/>
      <c r="BY5" s="107" t="n"/>
      <c r="BZ5" s="107" t="n"/>
      <c r="CA5" s="107" t="n"/>
      <c r="CB5" s="107" t="n"/>
      <c r="CC5" s="107" t="n"/>
      <c r="CD5" s="107" t="n"/>
      <c r="CE5" s="107" t="n"/>
      <c r="CF5" s="107" t="n"/>
      <c r="CG5" s="107" t="n"/>
      <c r="CH5" s="107" t="n"/>
      <c r="CI5" s="107" t="n"/>
      <c r="CJ5" s="107" t="n"/>
      <c r="CK5" s="107" t="n"/>
      <c r="CL5" s="107" t="n"/>
      <c r="CM5" s="107" t="n"/>
      <c r="CN5" s="107" t="n"/>
      <c r="CO5" s="107" t="n"/>
      <c r="CP5" s="107" t="n"/>
      <c r="CQ5" s="107" t="n"/>
      <c r="CR5" s="107" t="n"/>
      <c r="CS5" s="107" t="n"/>
      <c r="CT5" s="107" t="n"/>
      <c r="CU5" s="107" t="n"/>
      <c r="CV5" s="107" t="n"/>
      <c r="CW5" s="107" t="n"/>
      <c r="CX5" s="107" t="n"/>
      <c r="CY5" s="107" t="n"/>
      <c r="CZ5" s="107" t="n"/>
      <c r="DA5" s="107" t="n"/>
      <c r="DB5" s="107" t="n"/>
      <c r="DC5" s="107" t="n"/>
      <c r="DD5" s="107" t="n"/>
      <c r="DE5" s="107" t="n"/>
      <c r="DF5" s="107" t="n"/>
      <c r="DG5" s="107" t="n"/>
      <c r="DH5" s="107" t="n"/>
      <c r="DI5" s="107" t="n"/>
      <c r="DJ5" s="107" t="n"/>
      <c r="DK5" s="107" t="n"/>
      <c r="DL5" s="107" t="n"/>
      <c r="DM5" s="107" t="n"/>
      <c r="DN5" s="107" t="n"/>
      <c r="DO5" s="107" t="n"/>
      <c r="DP5" s="107" t="n"/>
      <c r="DQ5" s="107" t="n"/>
      <c r="DR5" s="107" t="n"/>
      <c r="DS5" s="107" t="n"/>
      <c r="DT5" s="107" t="n"/>
      <c r="DU5" s="107" t="n"/>
      <c r="DV5" s="107" t="n"/>
      <c r="DW5" s="107" t="n"/>
      <c r="DX5" s="107" t="n"/>
      <c r="DY5" s="107" t="n"/>
      <c r="DZ5" s="107" t="n"/>
      <c r="EA5" s="107" t="n"/>
      <c r="EB5" s="107" t="n"/>
      <c r="EC5" s="107" t="n"/>
      <c r="ED5" s="107" t="n"/>
      <c r="EE5" s="107" t="n"/>
      <c r="EF5" s="107" t="n"/>
      <c r="EG5" s="107" t="n"/>
      <c r="EH5" s="107" t="n"/>
      <c r="EI5" s="107" t="n"/>
      <c r="EJ5" s="107" t="n"/>
      <c r="EK5" s="107" t="n"/>
      <c r="EL5" s="107" t="n"/>
      <c r="EM5" s="107" t="n"/>
      <c r="EN5" s="107" t="n"/>
      <c r="EO5" s="107" t="n"/>
      <c r="EP5" s="107" t="n"/>
      <c r="EQ5" s="107" t="n"/>
      <c r="ER5" s="107" t="n"/>
      <c r="ES5" s="107" t="n"/>
      <c r="ET5" s="107" t="n"/>
      <c r="EU5" s="107" t="n"/>
      <c r="EV5" s="107" t="n"/>
      <c r="EW5" s="107" t="n"/>
      <c r="EX5" s="107" t="n"/>
      <c r="EY5" s="107" t="n"/>
      <c r="EZ5" s="107" t="n"/>
      <c r="FA5" s="107" t="n"/>
      <c r="FB5" s="107" t="n"/>
      <c r="FC5" s="107" t="n"/>
      <c r="FD5" s="107" t="n"/>
      <c r="FE5" s="107" t="n"/>
      <c r="FF5" s="107" t="n"/>
      <c r="FG5" s="107" t="n"/>
      <c r="FH5" s="107" t="n"/>
      <c r="FI5" s="107" t="n"/>
      <c r="FJ5" s="107" t="n"/>
      <c r="FK5" s="107" t="n"/>
      <c r="FL5" s="107" t="n"/>
      <c r="FM5" s="107" t="n"/>
      <c r="FN5" s="107" t="n"/>
      <c r="FO5" s="107" t="n"/>
      <c r="FP5" s="107" t="n"/>
      <c r="FQ5" s="107" t="n"/>
    </row>
    <row r="6" ht="14.25" customFormat="1" customHeight="1" s="103" thickBot="1">
      <c r="A6" s="551" t="n"/>
      <c r="B6" s="552" t="inlineStr">
        <is>
          <t>BASE OGL</t>
        </is>
      </c>
      <c r="C6" s="553" t="n">
        <v>448.333333</v>
      </c>
      <c r="D6" s="554" t="inlineStr">
        <is>
          <t>Working Interest 1 — Shallower (above Springer)</t>
        </is>
      </c>
      <c r="E6" s="553">
        <f>SUBTOTAL(9,E9:E163)</f>
        <v/>
      </c>
      <c r="F6" s="601" t="inlineStr">
        <is>
          <t>SURFACE</t>
        </is>
      </c>
      <c r="G6" s="104" t="n"/>
      <c r="H6" s="104" t="n"/>
      <c r="I6" s="104" t="n"/>
      <c r="J6" s="104" t="n"/>
      <c r="K6" s="104">
        <f>IF(K7=0,"","RECHECK")</f>
        <v/>
      </c>
      <c r="L6" s="104">
        <f>IF(L7=0,"","RECHECK")</f>
        <v/>
      </c>
      <c r="M6" s="104">
        <f>IF(M7=0,"","RECHECK")</f>
        <v/>
      </c>
      <c r="N6" s="104">
        <f>IF(N7=0,"","RECHECK")</f>
        <v/>
      </c>
      <c r="O6" s="104">
        <f>IF(O7=0,"","RECHECK")</f>
        <v/>
      </c>
      <c r="P6" s="104">
        <f>IF(P7=0,"","RECHECK")</f>
        <v/>
      </c>
      <c r="Q6" s="104" t="n"/>
      <c r="R6" s="104">
        <f>IF(R7=0,"","RECHECK")</f>
        <v/>
      </c>
      <c r="S6" s="104">
        <f>IF(S7=0,"","RECHECK")</f>
        <v/>
      </c>
      <c r="T6" s="104">
        <f>IF(T7=0,"","RECHECK")</f>
        <v/>
      </c>
      <c r="U6" s="104">
        <f>IF(U7=0,"","RECHECK")</f>
        <v/>
      </c>
      <c r="V6" s="104">
        <f>IF(V7=0,"","RECHECK")</f>
        <v/>
      </c>
      <c r="W6" s="104">
        <f>IF(W7=0,"","RECHECK")</f>
        <v/>
      </c>
      <c r="X6" s="104">
        <f>IF(X7=0,"","RECHECK")</f>
        <v/>
      </c>
      <c r="Y6" s="104">
        <f>IF(Y7=0,"","RECHECK")</f>
        <v/>
      </c>
      <c r="Z6" s="104">
        <f>IF(Z7=0,"","RECHECK")</f>
        <v/>
      </c>
      <c r="AA6" s="104" t="n"/>
      <c r="AB6" s="104">
        <f>IF(AB7=0,"","RECHECK")</f>
        <v/>
      </c>
      <c r="AC6" s="104">
        <f>IF(AC7=0,"","RECHECK")</f>
        <v/>
      </c>
      <c r="AD6" s="104">
        <f>IF(AD7=0,"","RECHECK")</f>
        <v/>
      </c>
      <c r="AE6" s="104">
        <f>IF(AE7=0,"","RECHECK")</f>
        <v/>
      </c>
      <c r="AF6" s="104">
        <f>IF(AF7=0,"","RECHECK")</f>
        <v/>
      </c>
      <c r="AG6" s="104">
        <f>IF(AG7=0,"","RECHECK")</f>
        <v/>
      </c>
      <c r="AH6" s="104">
        <f>IF(AH7=0,"","RECHECK")</f>
        <v/>
      </c>
      <c r="AI6" s="104">
        <f>IF(AI7=0,"","RECHECK")</f>
        <v/>
      </c>
      <c r="AJ6" s="104">
        <f>IF(AJ7=0,"","RECHECK")</f>
        <v/>
      </c>
      <c r="AK6" s="104">
        <f>IF(AK7=0,"","RECHECK")</f>
        <v/>
      </c>
      <c r="AL6" s="104">
        <f>IF(AL7=0,"","RECHECK")</f>
        <v/>
      </c>
      <c r="AM6" s="104">
        <f>IF(AM7=0,"","RECHECK")</f>
        <v/>
      </c>
      <c r="AN6" s="104">
        <f>IF(AN7=0,"","RECHECK")</f>
        <v/>
      </c>
      <c r="AO6" s="104">
        <f>IF(AO7=0,"","RECHECK")</f>
        <v/>
      </c>
      <c r="AP6" s="104">
        <f>IF(AP7=0,"","RECHECK")</f>
        <v/>
      </c>
      <c r="AQ6" s="104">
        <f>IF(AQ7=0,"","RECHECK")</f>
        <v/>
      </c>
      <c r="AR6" s="104">
        <f>IF(AR7=0,"","RECHECK")</f>
        <v/>
      </c>
      <c r="AS6" s="104">
        <f>IF(AS7=0,"","RECHECK")</f>
        <v/>
      </c>
      <c r="AT6" s="104">
        <f>IF(AT7=0,"","RECHECK")</f>
        <v/>
      </c>
      <c r="AU6" s="104">
        <f>IF(AU7=0,"","RECHECK")</f>
        <v/>
      </c>
      <c r="AV6" s="104">
        <f>IF(AV7=0,"","RECHECK")</f>
        <v/>
      </c>
      <c r="AW6" s="104">
        <f>IF(AW7=0,"","RECHECK")</f>
        <v/>
      </c>
      <c r="AX6" s="104">
        <f>IF(AX7=0,"","RECHECK")</f>
        <v/>
      </c>
      <c r="AY6" s="104">
        <f>IF(AY7=0,"","RECHECK")</f>
        <v/>
      </c>
      <c r="AZ6" s="104">
        <f>IF(AZ7=0,"","RECHECK")</f>
        <v/>
      </c>
      <c r="BA6" s="104">
        <f>IF(BA7=0,"","RECHECK")</f>
        <v/>
      </c>
      <c r="BB6" s="104">
        <f>IF(BB7=0,"","RECHECK")</f>
        <v/>
      </c>
      <c r="BC6" s="104">
        <f>IF(BC7=0,"","RECHECK")</f>
        <v/>
      </c>
      <c r="BD6" s="104">
        <f>IF(BD7=0,"","RECHECK")</f>
        <v/>
      </c>
      <c r="BE6" s="104">
        <f>IF(BE7=0,"","RECHECK")</f>
        <v/>
      </c>
      <c r="BF6" s="104">
        <f>IF(BF7=0,"","RECHECK")</f>
        <v/>
      </c>
      <c r="BG6" s="104">
        <f>IF(BG7=0,"","RECHECK")</f>
        <v/>
      </c>
      <c r="BH6" s="104">
        <f>IF(BH7=0,"","RECHECK")</f>
        <v/>
      </c>
      <c r="BI6" s="104">
        <f>IF(BI7=0,"","RECHECK")</f>
        <v/>
      </c>
      <c r="BJ6" s="104">
        <f>IF(BJ7=0,"","RECHECK")</f>
        <v/>
      </c>
      <c r="BK6" s="104">
        <f>IF(BK7=0,"","RECHECK")</f>
        <v/>
      </c>
      <c r="BL6" s="104">
        <f>IF(BL7=0,"","RECHECK")</f>
        <v/>
      </c>
      <c r="BM6" s="104">
        <f>IF(BM7=0,"","RECHECK")</f>
        <v/>
      </c>
      <c r="BN6" s="104">
        <f>IF(BN7=0,"","RECHECK")</f>
        <v/>
      </c>
      <c r="BO6" s="104">
        <f>IF(BO7=0,"","RECHECK")</f>
        <v/>
      </c>
      <c r="BP6" s="104">
        <f>IF(BP7=0,"","RECHECK")</f>
        <v/>
      </c>
      <c r="BQ6" s="104">
        <f>IF(BQ7=0,"","RECHECK")</f>
        <v/>
      </c>
      <c r="BR6" s="104">
        <f>IF(BR7=0,"","RECHECK")</f>
        <v/>
      </c>
      <c r="BS6" s="104">
        <f>IF(BS7=0,"","RECHECK")</f>
        <v/>
      </c>
      <c r="BT6" s="104">
        <f>IF(BT7=0,"","RECHECK")</f>
        <v/>
      </c>
      <c r="BU6" s="104">
        <f>IF(BU7=0,"","RECHECK")</f>
        <v/>
      </c>
      <c r="BV6" s="104">
        <f>IF(BV7=0,"","RECHECK")</f>
        <v/>
      </c>
      <c r="BW6" s="104">
        <f>IF(BW7=0,"","RECHECK")</f>
        <v/>
      </c>
      <c r="BX6" s="104">
        <f>IF(BX7=0,"","RECHECK")</f>
        <v/>
      </c>
      <c r="BY6" s="104">
        <f>IF(BY7=0,"","RECHECK")</f>
        <v/>
      </c>
      <c r="BZ6" s="104">
        <f>IF(BZ7=0,"","RECHECK")</f>
        <v/>
      </c>
      <c r="CA6" s="104">
        <f>IF(CA7=0,"","RECHECK")</f>
        <v/>
      </c>
      <c r="CB6" s="104">
        <f>IF(CB7=0,"","RECHECK")</f>
        <v/>
      </c>
      <c r="CC6" s="104">
        <f>IF(CC7=0,"","RECHECK")</f>
        <v/>
      </c>
      <c r="CD6" s="104">
        <f>IF(CD7=0,"","RECHECK")</f>
        <v/>
      </c>
      <c r="CE6" s="104">
        <f>IF(CE7=0,"","RECHECK")</f>
        <v/>
      </c>
      <c r="CF6" s="104">
        <f>IF(CF7=0,"","RECHECK")</f>
        <v/>
      </c>
      <c r="CG6" s="104">
        <f>IF(CG7=0,"","RECHECK")</f>
        <v/>
      </c>
      <c r="CH6" s="104">
        <f>IF(CH7=0,"","RECHECK")</f>
        <v/>
      </c>
      <c r="CI6" s="104">
        <f>IF(CI7=0,"","RECHECK")</f>
        <v/>
      </c>
      <c r="CJ6" s="104">
        <f>IF(CJ7=0,"","RECHECK")</f>
        <v/>
      </c>
      <c r="CK6" s="104">
        <f>IF(CK7=0,"","RECHECK")</f>
        <v/>
      </c>
      <c r="CL6" s="104">
        <f>IF(CL7=0,"","RECHECK")</f>
        <v/>
      </c>
      <c r="CM6" s="104">
        <f>IF(CM7=0,"","RECHECK")</f>
        <v/>
      </c>
      <c r="CN6" s="104">
        <f>IF(CN7=0,"","RECHECK")</f>
        <v/>
      </c>
      <c r="CO6" s="104">
        <f>IF(CO7=0,"","RECHECK")</f>
        <v/>
      </c>
      <c r="CP6" s="104">
        <f>IF(CP7=0,"","RECHECK")</f>
        <v/>
      </c>
      <c r="CQ6" s="104">
        <f>IF(CQ7=0,"","RECHECK")</f>
        <v/>
      </c>
      <c r="CR6" s="104">
        <f>IF(CR7=0,"","RECHECK")</f>
        <v/>
      </c>
      <c r="CS6" s="104">
        <f>IF(CS7=0,"","RECHECK")</f>
        <v/>
      </c>
      <c r="CT6" s="104">
        <f>IF(CT7=0,"","RECHECK")</f>
        <v/>
      </c>
      <c r="CU6" s="104">
        <f>IF(CU7=0,"","RECHECK")</f>
        <v/>
      </c>
      <c r="CV6" s="104">
        <f>IF(CV7=0,"","RECHECK")</f>
        <v/>
      </c>
      <c r="CW6" s="104">
        <f>IF(CW7=0,"","RECHECK")</f>
        <v/>
      </c>
      <c r="CX6" s="104">
        <f>IF(CX7=0,"","RECHECK")</f>
        <v/>
      </c>
      <c r="CY6" s="104">
        <f>IF(CY7=0,"","RECHECK")</f>
        <v/>
      </c>
      <c r="CZ6" s="104">
        <f>IF(CZ7=0,"","RECHECK")</f>
        <v/>
      </c>
      <c r="DA6" s="104">
        <f>IF(DA7=0,"","RECHECK")</f>
        <v/>
      </c>
      <c r="DB6" s="104">
        <f>IF(DB7=0,"","RECHECK")</f>
        <v/>
      </c>
      <c r="DC6" s="104">
        <f>IF(DC7=0,"","RECHECK")</f>
        <v/>
      </c>
      <c r="DD6" s="104">
        <f>IF(DD7=0,"","RECHECK")</f>
        <v/>
      </c>
      <c r="DE6" s="104">
        <f>IF(DE7=0,"","RECHECK")</f>
        <v/>
      </c>
      <c r="DF6" s="104">
        <f>IF(DF7=0,"","RECHECK")</f>
        <v/>
      </c>
      <c r="DG6" s="104">
        <f>IF(DG7=0,"","RECHECK")</f>
        <v/>
      </c>
      <c r="DH6" s="104">
        <f>IF(DH7=0,"","RECHECK")</f>
        <v/>
      </c>
      <c r="DI6" s="104">
        <f>IF(DI7=0,"","RECHECK")</f>
        <v/>
      </c>
      <c r="DJ6" s="104">
        <f>IF(DJ7=0,"","RECHECK")</f>
        <v/>
      </c>
      <c r="DK6" s="104">
        <f>IF(DK7=0,"","RECHECK")</f>
        <v/>
      </c>
      <c r="DL6" s="104">
        <f>IF(DL7=0,"","RECHECK")</f>
        <v/>
      </c>
      <c r="DM6" s="104">
        <f>IF(DM7=0,"","RECHECK")</f>
        <v/>
      </c>
      <c r="DN6" s="104">
        <f>IF(DN7=0,"","RECHECK")</f>
        <v/>
      </c>
      <c r="DO6" s="104">
        <f>IF(DO7=0,"","RECHECK")</f>
        <v/>
      </c>
      <c r="DP6" s="104">
        <f>IF(DP7=0,"","RECHECK")</f>
        <v/>
      </c>
      <c r="DQ6" s="104">
        <f>IF(DQ7=0,"","RECHECK")</f>
        <v/>
      </c>
      <c r="DR6" s="104">
        <f>IF(DR7=0,"","RECHECK")</f>
        <v/>
      </c>
      <c r="DS6" s="104">
        <f>IF(DS7=0,"","RECHECK")</f>
        <v/>
      </c>
      <c r="DT6" s="104">
        <f>IF(DT7=0,"","RECHECK")</f>
        <v/>
      </c>
      <c r="DU6" s="104">
        <f>IF(DU7=0,"","RECHECK")</f>
        <v/>
      </c>
      <c r="DV6" s="104">
        <f>IF(DV7=0,"","RECHECK")</f>
        <v/>
      </c>
      <c r="DW6" s="104">
        <f>IF(DW7=0,"","RECHECK")</f>
        <v/>
      </c>
      <c r="DX6" s="104">
        <f>IF(DX7=0,"","RECHECK")</f>
        <v/>
      </c>
      <c r="DY6" s="104">
        <f>IF(DY7=0,"","RECHECK")</f>
        <v/>
      </c>
      <c r="DZ6" s="104">
        <f>IF(DZ7=0,"","RECHECK")</f>
        <v/>
      </c>
      <c r="EA6" s="104">
        <f>IF(EA7=0,"","RECHECK")</f>
        <v/>
      </c>
      <c r="EB6" s="104">
        <f>IF(EB7=0,"","RECHECK")</f>
        <v/>
      </c>
      <c r="EC6" s="104">
        <f>IF(EC7=0,"","RECHECK")</f>
        <v/>
      </c>
      <c r="ED6" s="104">
        <f>IF(ED7=0,"","RECHECK")</f>
        <v/>
      </c>
      <c r="EE6" s="104">
        <f>IF(EE7=0,"","RECHECK")</f>
        <v/>
      </c>
      <c r="EF6" s="104">
        <f>IF(EF7=0,"","RECHECK")</f>
        <v/>
      </c>
      <c r="EG6" s="104">
        <f>IF(EG7=0,"","RECHECK")</f>
        <v/>
      </c>
      <c r="EH6" s="104">
        <f>IF(EH7=0,"","RECHECK")</f>
        <v/>
      </c>
      <c r="EI6" s="104">
        <f>IF(EI7=0,"","RECHECK")</f>
        <v/>
      </c>
      <c r="EJ6" s="104">
        <f>IF(EJ7=0,"","RECHECK")</f>
        <v/>
      </c>
      <c r="EK6" s="104">
        <f>IF(EK7=0,"","RECHECK")</f>
        <v/>
      </c>
      <c r="EL6" s="104">
        <f>IF(EL7=0,"","RECHECK")</f>
        <v/>
      </c>
      <c r="EM6" s="104">
        <f>IF(EM7=0,"","RECHECK")</f>
        <v/>
      </c>
      <c r="EN6" s="104">
        <f>IF(EN7=0,"","RECHECK")</f>
        <v/>
      </c>
      <c r="EO6" s="104">
        <f>IF(EO7=0,"","RECHECK")</f>
        <v/>
      </c>
      <c r="EP6" s="104">
        <f>IF(EP7=0,"","RECHECK")</f>
        <v/>
      </c>
      <c r="EQ6" s="104">
        <f>IF(EQ7=0,"","RECHECK")</f>
        <v/>
      </c>
      <c r="ER6" s="104">
        <f>IF(ER7=0,"","RECHECK")</f>
        <v/>
      </c>
      <c r="ES6" s="104">
        <f>IF(ES7=0,"","RECHECK")</f>
        <v/>
      </c>
      <c r="ET6" s="104">
        <f>IF(ET7=0,"","RECHECK")</f>
        <v/>
      </c>
      <c r="EU6" s="104">
        <f>IF(EU7=0,"","RECHECK")</f>
        <v/>
      </c>
      <c r="EV6" s="104">
        <f>IF(EV7=0,"","RECHECK")</f>
        <v/>
      </c>
      <c r="EW6" s="104">
        <f>IF(EW7=0,"","RECHECK")</f>
        <v/>
      </c>
      <c r="EX6" s="104">
        <f>IF(EX7=0,"","RECHECK")</f>
        <v/>
      </c>
      <c r="EY6" s="104">
        <f>IF(EY7=0,"","RECHECK")</f>
        <v/>
      </c>
      <c r="EZ6" s="104">
        <f>IF(EZ7=0,"","RECHECK")</f>
        <v/>
      </c>
      <c r="FA6" s="104">
        <f>IF(FA7=0,"","RECHECK")</f>
        <v/>
      </c>
      <c r="FB6" s="104">
        <f>IF(FB7=0,"","RECHECK")</f>
        <v/>
      </c>
      <c r="FC6" s="104">
        <f>IF(FC7=0,"","RECHECK")</f>
        <v/>
      </c>
      <c r="FD6" s="104">
        <f>IF(FD7=0,"","RECHECK")</f>
        <v/>
      </c>
      <c r="FE6" s="104">
        <f>IF(FE7=0,"","RECHECK")</f>
        <v/>
      </c>
      <c r="FF6" s="104">
        <f>IF(FF7=0,"","RECHECK")</f>
        <v/>
      </c>
      <c r="FG6" s="104">
        <f>IF(FG7=0,"","RECHECK")</f>
        <v/>
      </c>
      <c r="FH6" s="104">
        <f>IF(FH7=0,"","RECHECK")</f>
        <v/>
      </c>
      <c r="FI6" s="104">
        <f>IF(FI7=0,"","RECHECK")</f>
        <v/>
      </c>
      <c r="FJ6" s="104">
        <f>IF(FJ7=0,"","RECHECK")</f>
        <v/>
      </c>
      <c r="FK6" s="104">
        <f>IF(FK7=0,"","RECHECK")</f>
        <v/>
      </c>
      <c r="FL6" s="104">
        <f>IF(FL7=0,"","RECHECK")</f>
        <v/>
      </c>
      <c r="FM6" s="104">
        <f>IF(FM7=0,"","RECHECK")</f>
        <v/>
      </c>
      <c r="FN6" s="104">
        <f>IF(FN7=0,"","RECHECK")</f>
        <v/>
      </c>
      <c r="FO6" s="104">
        <f>IF(FO7=0,"","RECHECK")</f>
        <v/>
      </c>
      <c r="FP6" s="104">
        <f>IF(FP7=0,"","RECHECK")</f>
        <v/>
      </c>
      <c r="FQ6" s="104">
        <f>IF(FQ7=0,"","RECHECK")</f>
        <v/>
      </c>
    </row>
    <row r="7" ht="14.25" customFormat="1" customHeight="1" s="101" thickBot="1" thickTop="1">
      <c r="A7" s="102" t="n"/>
      <c r="B7" s="536" t="n"/>
      <c r="C7" s="555" t="n"/>
      <c r="D7" s="555" t="n"/>
      <c r="E7" s="555" t="n"/>
      <c r="F7" s="602" t="n"/>
      <c r="G7" s="556">
        <f>SUBTOTAL(9,G10:G164)</f>
        <v/>
      </c>
      <c r="H7" s="557">
        <f>SUBTOTAL(9,H10:H164)</f>
        <v/>
      </c>
      <c r="I7" s="557">
        <f>SUBTOTAL(9,I10:I164)</f>
        <v/>
      </c>
      <c r="J7" s="557">
        <f>SUBTOTAL(9,J10:J164)</f>
        <v/>
      </c>
      <c r="K7" s="557">
        <f>SUBTOTAL(9,K10:K164)</f>
        <v/>
      </c>
      <c r="L7" s="557">
        <f>SUBTOTAL(9,L10:L164)</f>
        <v/>
      </c>
      <c r="M7" s="557">
        <f>SUBTOTAL(9,M10:M164)</f>
        <v/>
      </c>
      <c r="N7" s="557">
        <f>SUBTOTAL(9,N10:N164)</f>
        <v/>
      </c>
      <c r="O7" s="557">
        <f>SUBTOTAL(9,O10:O164)</f>
        <v/>
      </c>
      <c r="P7" s="557">
        <f>SUBTOTAL(9,P10:P164)</f>
        <v/>
      </c>
      <c r="Q7" s="557">
        <f>SUBTOTAL(9,Q10:Q164)</f>
        <v/>
      </c>
      <c r="R7" s="557">
        <f>SUBTOTAL(9,R10:R164)</f>
        <v/>
      </c>
      <c r="S7" s="557">
        <f>SUBTOTAL(9,S10:S164)</f>
        <v/>
      </c>
      <c r="T7" s="557">
        <f>SUBTOTAL(9,T10:T164)</f>
        <v/>
      </c>
      <c r="U7" s="557">
        <f>SUBTOTAL(9,U10:U164)</f>
        <v/>
      </c>
      <c r="V7" s="557">
        <f>SUBTOTAL(9,V10:V164)</f>
        <v/>
      </c>
      <c r="W7" s="557">
        <f>SUBTOTAL(9,W10:W164)</f>
        <v/>
      </c>
      <c r="X7" s="557">
        <f>SUBTOTAL(9,X10:X164)</f>
        <v/>
      </c>
      <c r="Y7" s="557">
        <f>SUBTOTAL(9,Y10:Y164)</f>
        <v/>
      </c>
      <c r="Z7" s="557">
        <f>SUBTOTAL(9,Z10:Z164)</f>
        <v/>
      </c>
      <c r="AA7" s="557">
        <f>SUBTOTAL(9,AA10:AA164)</f>
        <v/>
      </c>
      <c r="AB7" s="557">
        <f>SUBTOTAL(9,AB10:AB164)</f>
        <v/>
      </c>
      <c r="AC7" s="557">
        <f>SUBTOTAL(9,AC10:AC164)</f>
        <v/>
      </c>
      <c r="AD7" s="557">
        <f>SUBTOTAL(9,AD10:AD164)</f>
        <v/>
      </c>
      <c r="AE7" s="557">
        <f>SUBTOTAL(9,AE10:AE164)</f>
        <v/>
      </c>
      <c r="AF7" s="557">
        <f>SUBTOTAL(9,AF10:AF164)</f>
        <v/>
      </c>
      <c r="AG7" s="557">
        <f>SUBTOTAL(9,AG10:AG164)</f>
        <v/>
      </c>
      <c r="AH7" s="557">
        <f>SUBTOTAL(9,AH10:AH164)</f>
        <v/>
      </c>
      <c r="AI7" s="557">
        <f>SUBTOTAL(9,AI10:AI164)</f>
        <v/>
      </c>
      <c r="AJ7" s="557">
        <f>SUBTOTAL(9,AJ10:AJ164)</f>
        <v/>
      </c>
      <c r="AK7" s="557">
        <f>SUBTOTAL(9,AK10:AK164)</f>
        <v/>
      </c>
      <c r="AL7" s="557">
        <f>SUBTOTAL(9,AL10:AL164)</f>
        <v/>
      </c>
      <c r="AM7" s="557">
        <f>SUBTOTAL(9,AM10:AM164)</f>
        <v/>
      </c>
      <c r="AN7" s="557">
        <f>SUBTOTAL(9,AN10:AN164)</f>
        <v/>
      </c>
      <c r="AO7" s="557">
        <f>SUBTOTAL(9,AO10:AO164)</f>
        <v/>
      </c>
      <c r="AP7" s="557">
        <f>SUBTOTAL(9,AP10:AP164)</f>
        <v/>
      </c>
      <c r="AQ7" s="557">
        <f>SUBTOTAL(9,AQ10:AQ164)</f>
        <v/>
      </c>
      <c r="AR7" s="557">
        <f>SUBTOTAL(9,AR10:AR164)</f>
        <v/>
      </c>
      <c r="AS7" s="557">
        <f>SUBTOTAL(9,AS10:AS164)</f>
        <v/>
      </c>
      <c r="AT7" s="557">
        <f>SUBTOTAL(9,AT10:AT164)</f>
        <v/>
      </c>
      <c r="AU7" s="557">
        <f>SUBTOTAL(9,AU10:AU164)</f>
        <v/>
      </c>
      <c r="AV7" s="557">
        <f>SUBTOTAL(9,AV10:AV164)</f>
        <v/>
      </c>
      <c r="AW7" s="557">
        <f>SUBTOTAL(9,AW10:AW164)</f>
        <v/>
      </c>
      <c r="AX7" s="557">
        <f>SUBTOTAL(9,AX10:AX164)</f>
        <v/>
      </c>
      <c r="AY7" s="557">
        <f>SUBTOTAL(9,AY10:AY164)</f>
        <v/>
      </c>
      <c r="AZ7" s="557">
        <f>SUBTOTAL(9,AZ10:AZ164)</f>
        <v/>
      </c>
      <c r="BA7" s="557">
        <f>SUBTOTAL(9,BA10:BA164)</f>
        <v/>
      </c>
      <c r="BB7" s="557">
        <f>SUBTOTAL(9,BB10:BB164)</f>
        <v/>
      </c>
      <c r="BC7" s="557">
        <f>SUBTOTAL(9,BC10:BC164)</f>
        <v/>
      </c>
      <c r="BD7" s="557">
        <f>SUBTOTAL(9,BD10:BD164)</f>
        <v/>
      </c>
      <c r="BE7" s="557">
        <f>SUBTOTAL(9,BE10:BE164)</f>
        <v/>
      </c>
      <c r="BF7" s="557">
        <f>SUBTOTAL(9,BF10:BF164)</f>
        <v/>
      </c>
      <c r="BG7" s="557">
        <f>SUBTOTAL(9,BG10:BG164)</f>
        <v/>
      </c>
      <c r="BH7" s="557">
        <f>SUBTOTAL(9,BH10:BH164)</f>
        <v/>
      </c>
      <c r="BI7" s="557">
        <f>SUBTOTAL(9,BI10:BI164)</f>
        <v/>
      </c>
      <c r="BJ7" s="557">
        <f>SUBTOTAL(9,BJ10:BJ164)</f>
        <v/>
      </c>
      <c r="BK7" s="557">
        <f>SUBTOTAL(9,BK10:BK164)</f>
        <v/>
      </c>
      <c r="BL7" s="557">
        <f>SUBTOTAL(9,BL10:BL164)</f>
        <v/>
      </c>
      <c r="BM7" s="557">
        <f>SUBTOTAL(9,BM10:BM164)</f>
        <v/>
      </c>
      <c r="BN7" s="557">
        <f>SUBTOTAL(9,BN10:BN164)</f>
        <v/>
      </c>
      <c r="BO7" s="557">
        <f>SUBTOTAL(9,BO10:BO164)</f>
        <v/>
      </c>
      <c r="BP7" s="557">
        <f>SUBTOTAL(9,BP10:BP164)</f>
        <v/>
      </c>
      <c r="BQ7" s="557">
        <f>SUBTOTAL(9,BQ10:BQ164)</f>
        <v/>
      </c>
      <c r="BR7" s="557">
        <f>SUBTOTAL(9,BR10:BR164)</f>
        <v/>
      </c>
      <c r="BS7" s="557">
        <f>SUBTOTAL(9,BS10:BS164)</f>
        <v/>
      </c>
      <c r="BT7" s="557">
        <f>SUBTOTAL(9,BT10:BT164)</f>
        <v/>
      </c>
      <c r="BU7" s="557">
        <f>SUBTOTAL(9,BU10:BU164)</f>
        <v/>
      </c>
      <c r="BV7" s="557">
        <f>SUBTOTAL(9,BV10:BV164)</f>
        <v/>
      </c>
      <c r="BW7" s="557">
        <f>SUBTOTAL(9,BW10:BW164)</f>
        <v/>
      </c>
      <c r="BX7" s="557">
        <f>SUBTOTAL(9,BX10:BX164)</f>
        <v/>
      </c>
      <c r="BY7" s="557">
        <f>SUBTOTAL(9,BY10:BY164)</f>
        <v/>
      </c>
      <c r="BZ7" s="557">
        <f>SUBTOTAL(9,BZ10:BZ164)</f>
        <v/>
      </c>
      <c r="CA7" s="557">
        <f>SUBTOTAL(9,CA10:CA164)</f>
        <v/>
      </c>
      <c r="CB7" s="557">
        <f>SUBTOTAL(9,CB10:CB164)</f>
        <v/>
      </c>
      <c r="CC7" s="557">
        <f>SUBTOTAL(9,CC10:CC164)</f>
        <v/>
      </c>
      <c r="CD7" s="557">
        <f>SUBTOTAL(9,CD10:CD164)</f>
        <v/>
      </c>
      <c r="CE7" s="557">
        <f>SUBTOTAL(9,CE10:CE164)</f>
        <v/>
      </c>
      <c r="CF7" s="557">
        <f>SUBTOTAL(9,CF10:CF164)</f>
        <v/>
      </c>
      <c r="CG7" s="557">
        <f>SUBTOTAL(9,CG10:CG164)</f>
        <v/>
      </c>
      <c r="CH7" s="557">
        <f>SUBTOTAL(9,CH10:CH164)</f>
        <v/>
      </c>
      <c r="CI7" s="557">
        <f>SUBTOTAL(9,CI10:CI164)</f>
        <v/>
      </c>
      <c r="CJ7" s="557">
        <f>SUBTOTAL(9,CJ10:CJ164)</f>
        <v/>
      </c>
      <c r="CK7" s="557">
        <f>SUBTOTAL(9,CK10:CK164)</f>
        <v/>
      </c>
      <c r="CL7" s="557">
        <f>SUBTOTAL(9,CL10:CL164)</f>
        <v/>
      </c>
      <c r="CM7" s="557">
        <f>SUBTOTAL(9,CM10:CM164)</f>
        <v/>
      </c>
      <c r="CN7" s="557">
        <f>SUBTOTAL(9,CN10:CN164)</f>
        <v/>
      </c>
      <c r="CO7" s="557">
        <f>SUBTOTAL(9,CO10:CO164)</f>
        <v/>
      </c>
      <c r="CP7" s="557">
        <f>SUBTOTAL(9,CP10:CP164)</f>
        <v/>
      </c>
      <c r="CQ7" s="557">
        <f>SUBTOTAL(9,CQ10:CQ164)</f>
        <v/>
      </c>
      <c r="CR7" s="557">
        <f>SUBTOTAL(9,CR10:CR164)</f>
        <v/>
      </c>
      <c r="CS7" s="557">
        <f>SUBTOTAL(9,CS10:CS164)</f>
        <v/>
      </c>
      <c r="CT7" s="557">
        <f>SUBTOTAL(9,CT10:CT164)</f>
        <v/>
      </c>
      <c r="CU7" s="557">
        <f>SUBTOTAL(9,CU10:CU164)</f>
        <v/>
      </c>
      <c r="CV7" s="557">
        <f>SUBTOTAL(9,CV10:CV164)</f>
        <v/>
      </c>
      <c r="CW7" s="557">
        <f>SUBTOTAL(9,CW10:CW164)</f>
        <v/>
      </c>
      <c r="CX7" s="557">
        <f>SUBTOTAL(9,CX10:CX164)</f>
        <v/>
      </c>
      <c r="CY7" s="557">
        <f>SUBTOTAL(9,CY10:CY164)</f>
        <v/>
      </c>
      <c r="CZ7" s="557">
        <f>SUBTOTAL(9,CZ10:CZ164)</f>
        <v/>
      </c>
      <c r="DA7" s="557">
        <f>SUBTOTAL(9,DA10:DA164)</f>
        <v/>
      </c>
      <c r="DB7" s="557">
        <f>SUBTOTAL(9,DB10:DB164)</f>
        <v/>
      </c>
      <c r="DC7" s="557">
        <f>SUBTOTAL(9,DC10:DC164)</f>
        <v/>
      </c>
      <c r="DD7" s="557">
        <f>SUBTOTAL(9,DD10:DD164)</f>
        <v/>
      </c>
      <c r="DE7" s="557">
        <f>SUBTOTAL(9,DE10:DE164)</f>
        <v/>
      </c>
      <c r="DF7" s="557">
        <f>SUBTOTAL(9,DF10:DF164)</f>
        <v/>
      </c>
      <c r="DG7" s="557">
        <f>SUBTOTAL(9,DG10:DG164)</f>
        <v/>
      </c>
      <c r="DH7" s="557">
        <f>SUBTOTAL(9,DH10:DH164)</f>
        <v/>
      </c>
      <c r="DI7" s="557">
        <f>SUBTOTAL(9,DI10:DI164)</f>
        <v/>
      </c>
      <c r="DJ7" s="557">
        <f>SUBTOTAL(9,DJ10:DJ164)</f>
        <v/>
      </c>
      <c r="DK7" s="557">
        <f>SUBTOTAL(9,DK10:DK164)</f>
        <v/>
      </c>
      <c r="DL7" s="557">
        <f>SUBTOTAL(9,DL10:DL164)</f>
        <v/>
      </c>
      <c r="DM7" s="557">
        <f>SUBTOTAL(9,DM10:DM164)</f>
        <v/>
      </c>
      <c r="DN7" s="557">
        <f>SUBTOTAL(9,DN10:DN164)</f>
        <v/>
      </c>
      <c r="DO7" s="557">
        <f>SUBTOTAL(9,DO10:DO164)</f>
        <v/>
      </c>
      <c r="DP7" s="557">
        <f>SUBTOTAL(9,DP10:DP164)</f>
        <v/>
      </c>
      <c r="DQ7" s="557">
        <f>SUBTOTAL(9,DQ10:DQ164)</f>
        <v/>
      </c>
      <c r="DR7" s="557">
        <f>SUBTOTAL(9,DR10:DR164)</f>
        <v/>
      </c>
      <c r="DS7" s="557">
        <f>SUBTOTAL(9,DS10:DS164)</f>
        <v/>
      </c>
      <c r="DT7" s="557">
        <f>SUBTOTAL(9,DT10:DT164)</f>
        <v/>
      </c>
      <c r="DU7" s="557">
        <f>SUBTOTAL(9,DU10:DU164)</f>
        <v/>
      </c>
      <c r="DV7" s="557">
        <f>SUBTOTAL(9,DV10:DV164)</f>
        <v/>
      </c>
      <c r="DW7" s="557">
        <f>SUBTOTAL(9,DW10:DW164)</f>
        <v/>
      </c>
      <c r="DX7" s="557">
        <f>SUBTOTAL(9,DX10:DX164)</f>
        <v/>
      </c>
      <c r="DY7" s="557">
        <f>SUBTOTAL(9,DY10:DY164)</f>
        <v/>
      </c>
      <c r="DZ7" s="557">
        <f>SUBTOTAL(9,DZ10:DZ164)</f>
        <v/>
      </c>
      <c r="EA7" s="557">
        <f>SUBTOTAL(9,EA10:EA164)</f>
        <v/>
      </c>
      <c r="EB7" s="557">
        <f>SUBTOTAL(9,EB10:EB164)</f>
        <v/>
      </c>
      <c r="EC7" s="557">
        <f>SUBTOTAL(9,EC10:EC164)</f>
        <v/>
      </c>
      <c r="ED7" s="557">
        <f>SUBTOTAL(9,ED10:ED164)</f>
        <v/>
      </c>
      <c r="EE7" s="557">
        <f>SUBTOTAL(9,EE10:EE164)</f>
        <v/>
      </c>
      <c r="EF7" s="557">
        <f>SUBTOTAL(9,EF10:EF164)</f>
        <v/>
      </c>
      <c r="EG7" s="557">
        <f>SUBTOTAL(9,EG10:EG164)</f>
        <v/>
      </c>
      <c r="EH7" s="557">
        <f>SUBTOTAL(9,EH10:EH164)</f>
        <v/>
      </c>
      <c r="EI7" s="557">
        <f>SUBTOTAL(9,EI10:EI164)</f>
        <v/>
      </c>
      <c r="EJ7" s="557">
        <f>SUBTOTAL(9,EJ10:EJ164)</f>
        <v/>
      </c>
      <c r="EK7" s="557">
        <f>SUBTOTAL(9,EK10:EK164)</f>
        <v/>
      </c>
      <c r="EL7" s="557">
        <f>SUBTOTAL(9,EL10:EL164)</f>
        <v/>
      </c>
      <c r="EM7" s="557">
        <f>SUBTOTAL(9,EM10:EM164)</f>
        <v/>
      </c>
      <c r="EN7" s="557">
        <f>SUBTOTAL(9,EN10:EN164)</f>
        <v/>
      </c>
      <c r="EO7" s="557">
        <f>SUBTOTAL(9,EO10:EO164)</f>
        <v/>
      </c>
      <c r="EP7" s="557">
        <f>SUBTOTAL(9,EP10:EP164)</f>
        <v/>
      </c>
      <c r="EQ7" s="557">
        <f>SUBTOTAL(9,EQ10:EQ164)</f>
        <v/>
      </c>
      <c r="ER7" s="557">
        <f>SUBTOTAL(9,ER10:ER164)</f>
        <v/>
      </c>
      <c r="ES7" s="557">
        <f>SUBTOTAL(9,ES10:ES164)</f>
        <v/>
      </c>
      <c r="ET7" s="557">
        <f>SUBTOTAL(9,ET10:ET164)</f>
        <v/>
      </c>
      <c r="EU7" s="557">
        <f>SUBTOTAL(9,EU10:EU164)</f>
        <v/>
      </c>
      <c r="EV7" s="557">
        <f>SUBTOTAL(9,EV10:EV164)</f>
        <v/>
      </c>
      <c r="EW7" s="557">
        <f>SUBTOTAL(9,EW10:EW164)</f>
        <v/>
      </c>
      <c r="EX7" s="557">
        <f>SUBTOTAL(9,EX10:EX164)</f>
        <v/>
      </c>
      <c r="EY7" s="557">
        <f>SUBTOTAL(9,EY10:EY164)</f>
        <v/>
      </c>
      <c r="EZ7" s="557">
        <f>SUBTOTAL(9,EZ10:EZ164)</f>
        <v/>
      </c>
      <c r="FA7" s="557">
        <f>SUBTOTAL(9,FA10:FA164)</f>
        <v/>
      </c>
      <c r="FB7" s="557">
        <f>SUBTOTAL(9,FB10:FB164)</f>
        <v/>
      </c>
      <c r="FC7" s="557">
        <f>SUBTOTAL(9,FC10:FC164)</f>
        <v/>
      </c>
      <c r="FD7" s="557">
        <f>SUBTOTAL(9,FD10:FD164)</f>
        <v/>
      </c>
      <c r="FE7" s="557">
        <f>SUBTOTAL(9,FE10:FE164)</f>
        <v/>
      </c>
      <c r="FF7" s="557">
        <f>SUBTOTAL(9,FF10:FF164)</f>
        <v/>
      </c>
      <c r="FG7" s="557">
        <f>SUBTOTAL(9,FG10:FG164)</f>
        <v/>
      </c>
      <c r="FH7" s="557">
        <f>SUBTOTAL(9,FH10:FH164)</f>
        <v/>
      </c>
      <c r="FI7" s="557">
        <f>SUBTOTAL(9,FI10:FI164)</f>
        <v/>
      </c>
      <c r="FJ7" s="557">
        <f>SUBTOTAL(9,FJ10:FJ164)</f>
        <v/>
      </c>
      <c r="FK7" s="557">
        <f>SUBTOTAL(9,FK10:FK164)</f>
        <v/>
      </c>
      <c r="FL7" s="557">
        <f>SUBTOTAL(9,FL10:FL164)</f>
        <v/>
      </c>
      <c r="FM7" s="557">
        <f>SUBTOTAL(9,FM10:FM164)</f>
        <v/>
      </c>
      <c r="FN7" s="557">
        <f>SUBTOTAL(9,FN10:FN164)</f>
        <v/>
      </c>
      <c r="FO7" s="557">
        <f>SUBTOTAL(9,FO10:FO164)</f>
        <v/>
      </c>
      <c r="FP7" s="557">
        <f>SUBTOTAL(9,FP10:FP164)</f>
        <v/>
      </c>
      <c r="FQ7" s="557">
        <f>SUBTOTAL(9,FQ10:FQ164)</f>
        <v/>
      </c>
    </row>
    <row r="8" ht="14.25" customFormat="1" customHeight="1" s="74" thickBot="1" thickTop="1">
      <c r="A8" s="100" t="inlineStr">
        <is>
          <t>NOTES</t>
        </is>
      </c>
      <c r="B8" s="559" t="n"/>
      <c r="C8" s="99" t="inlineStr">
        <is>
          <t>NET ACRES</t>
        </is>
      </c>
      <c r="D8" s="98" t="inlineStr">
        <is>
          <t>OWNERS</t>
        </is>
      </c>
      <c r="E8" s="97" t="inlineStr">
        <is>
          <t xml:space="preserve">TOTAL </t>
        </is>
      </c>
      <c r="F8" s="603" t="n"/>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row>
    <row r="9" ht="12.75" customFormat="1" customHeight="1" s="88" thickTop="1">
      <c r="A9" s="96" t="n"/>
      <c r="B9" s="95" t="n"/>
      <c r="C9" s="93" t="n"/>
      <c r="D9" s="155"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row>
    <row r="10" customFormat="1" s="568">
      <c r="A10" s="86" t="n"/>
      <c r="B10" s="87" t="n">
        <v>15</v>
      </c>
      <c r="C10" s="153">
        <f>IFERROR(IF(AND($E10&gt;0,$D10&lt;&gt;"The Public"),$E10/SUMIFS($E$10:$E$163,$E$10:$E$163,"&gt;0",$D$10:$D$163,"&lt;&gt;The Public")*$D$5,""),"")</f>
        <v/>
      </c>
      <c r="D10" s="185" t="inlineStr">
        <is>
          <t>R. Michael Lortz</t>
        </is>
      </c>
      <c r="E10" s="154">
        <f>SUM(G10:HJ10)</f>
        <v/>
      </c>
      <c r="F10" s="569" t="n"/>
      <c r="G10" s="586">
        <f>80/448.333333</f>
        <v/>
      </c>
      <c r="H10" s="570" t="n">
        <v>-1</v>
      </c>
      <c r="I10" s="570" t="n"/>
      <c r="J10" s="570" t="n"/>
      <c r="K10" s="586" t="n"/>
      <c r="L10" s="570" t="n"/>
      <c r="M10" s="570" t="n"/>
      <c r="N10" s="570"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ht="24" customFormat="1" customHeight="1" s="568">
      <c r="A11" s="86" t="n"/>
      <c r="B11" s="87" t="inlineStr">
        <is>
          <t>6, 9, 16-20</t>
        </is>
      </c>
      <c r="C11" s="153">
        <f>IFERROR(IF(AND($E11&gt;0,$D11&lt;&gt;"The Public"),$E11/SUMIFS($E$10:$E$163,$E$10:$E$163,"&gt;0",$D$10:$D$163,"&lt;&gt;The Public")*$D$5,""),"")</f>
        <v/>
      </c>
      <c r="D11" s="156" t="inlineStr">
        <is>
          <t>Lariat Petroleum, Inc.</t>
        </is>
      </c>
      <c r="E11" s="606">
        <f>SUM(G11:HJ11)</f>
        <v/>
      </c>
      <c r="F11" s="569" t="n"/>
      <c r="G11" s="586">
        <f>176.833333333333/448.333333</f>
        <v/>
      </c>
      <c r="H11" s="571" t="n">
        <v>1</v>
      </c>
      <c r="I11" s="586" t="n"/>
      <c r="J11" s="571" t="n"/>
      <c r="K11" s="571" t="n"/>
      <c r="L11" s="571" t="n"/>
      <c r="M11" s="571" t="n"/>
      <c r="N11" s="571"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customFormat="1" s="568">
      <c r="A12" s="86" t="n"/>
      <c r="B12" s="87" t="inlineStr">
        <is>
          <t>7, 10, 11</t>
        </is>
      </c>
      <c r="C12" s="153">
        <f>IFERROR(IF(AND($E12&gt;0,$D12&lt;&gt;"The Public"),$E12/SUMIFS($E$10:$E$163,$E$10:$E$163,"&gt;0",$D$10:$D$163,"&lt;&gt;The Public")*$D$5,""),"")</f>
        <v/>
      </c>
      <c r="D12" s="51" t="inlineStr">
        <is>
          <t>Ocean Energy, Inc.</t>
        </is>
      </c>
      <c r="E12" s="154">
        <f>SUM(G12:HJ12)</f>
        <v/>
      </c>
      <c r="F12" s="569" t="n"/>
      <c r="G12" s="586">
        <f>61.25/448.333333</f>
        <v/>
      </c>
      <c r="H12" s="571" t="n"/>
      <c r="I12" s="571" t="n">
        <v>-1</v>
      </c>
      <c r="J12" s="571" t="n"/>
      <c r="K12" s="571" t="n"/>
      <c r="L12" s="571" t="n"/>
      <c r="M12" s="571" t="n"/>
      <c r="N12" s="571" t="n"/>
      <c r="O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inlineStr">
        <is>
          <t>8, 12-14</t>
        </is>
      </c>
      <c r="C13" s="153">
        <f>IFERROR(IF(AND($E13&gt;0,$D13&lt;&gt;"The Public"),$E13/SUMIFS($E$10:$E$163,$E$10:$E$163,"&gt;0",$D$10:$D$163,"&lt;&gt;The Public")*$D$5,""),"")</f>
        <v/>
      </c>
      <c r="D13" s="178" t="inlineStr">
        <is>
          <t>Ocean Energy Resources, Inc.</t>
        </is>
      </c>
      <c r="E13" s="606">
        <f>SUM(G13:HJ13)</f>
        <v/>
      </c>
      <c r="F13" s="569" t="n"/>
      <c r="G13" s="586">
        <f>44/448.333333</f>
        <v/>
      </c>
      <c r="H13" s="585" t="n"/>
      <c r="I13" s="571" t="n">
        <v>1</v>
      </c>
      <c r="J13" s="571" t="n"/>
      <c r="K13" s="571" t="n"/>
      <c r="L13" s="586" t="n"/>
      <c r="M13" s="571" t="n"/>
      <c r="N13" s="571" t="n"/>
      <c r="O13" s="579" t="n"/>
      <c r="P13" s="579" t="n"/>
      <c r="Q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customFormat="1" s="568">
      <c r="A14" s="86" t="n"/>
      <c r="B14" s="188" t="inlineStr">
        <is>
          <t>2</t>
        </is>
      </c>
      <c r="C14" s="153">
        <f>IFERROR(IF(AND($E14&gt;0,$D14&lt;&gt;"The Public"),$E14/SUMIFS($E$10:$E$163,$E$10:$E$163,"&gt;0",$D$10:$D$163,"&lt;&gt;The Public")*$D$5,""),"")</f>
        <v/>
      </c>
      <c r="D14" s="178" t="inlineStr">
        <is>
          <t>Devon Energy Production Co.</t>
        </is>
      </c>
      <c r="E14" s="154">
        <f>SUM(G14:HJ14)</f>
        <v/>
      </c>
      <c r="F14" s="569" t="n"/>
      <c r="G14" s="586">
        <f>56.25/448.333333</f>
        <v/>
      </c>
      <c r="H14" s="571" t="n"/>
      <c r="I14" s="571" t="n"/>
      <c r="J14" s="586" t="n">
        <v>-1</v>
      </c>
      <c r="K14" s="585" t="n"/>
      <c r="L14" s="585" t="n"/>
      <c r="M14" s="585" t="n"/>
      <c r="N14" s="571"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v>5</v>
      </c>
      <c r="C15" s="153">
        <f>IFERROR(IF(AND($E15&gt;0,$D15&lt;&gt;"The Public"),$E15/SUMIFS($E$10:$E$163,$E$10:$E$163,"&gt;0",$D$10:$D$163,"&lt;&gt;The Public")*$D$5,""),"")</f>
        <v/>
      </c>
      <c r="D15" s="178" t="inlineStr">
        <is>
          <t>Tecolote Holdings, LLC</t>
        </is>
      </c>
      <c r="E15" s="606">
        <f>SUM(G15:HJ15)</f>
        <v/>
      </c>
      <c r="F15" s="569" t="n"/>
      <c r="G15" s="586">
        <f>10/448.333333</f>
        <v/>
      </c>
      <c r="H15" s="571" t="n"/>
      <c r="I15" s="571" t="n"/>
      <c r="J15" s="585" t="n">
        <v>1</v>
      </c>
      <c r="K15" s="585" t="n"/>
      <c r="L15" s="585" t="n"/>
      <c r="M15" s="586" t="n"/>
      <c r="N15" s="571"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v>1</v>
      </c>
      <c r="C16" s="153">
        <f>IFERROR(IF(AND($E16&gt;0,$D16&lt;&gt;"The Public"),$E16/SUMIFS($E$10:$E$163,$E$10:$E$163,"&gt;0",$D$10:$D$163,"&lt;&gt;The Public")*$D$5,""),"")</f>
        <v/>
      </c>
      <c r="D16" s="51" t="inlineStr">
        <is>
          <t>Hefner Company, Inc.</t>
        </is>
      </c>
      <c r="E16" s="154">
        <f>SUM(G16:HJ16)</f>
        <v/>
      </c>
      <c r="F16" s="569" t="n"/>
      <c r="G16" s="586">
        <f>20/448.333333</f>
        <v/>
      </c>
      <c r="H16" s="571" t="n"/>
      <c r="I16" s="571" t="n"/>
      <c r="J16" s="585" t="n"/>
      <c r="K16" s="585" t="n">
        <v>-1</v>
      </c>
      <c r="L16" s="585" t="n"/>
      <c r="M16" s="585" t="n"/>
      <c r="N16" s="571"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A17" s="86" t="n"/>
      <c r="B17" s="188" t="inlineStr">
        <is>
          <t>12-14</t>
        </is>
      </c>
      <c r="C17" s="153">
        <f>IFERROR(IF(AND($E17&gt;0,$D17&lt;&gt;"The Public"),$E17/SUMIFS($E$10:$E$163,$E$10:$E$163,"&gt;0",$D$10:$D$163,"&lt;&gt;The Public")*$D$5,""),"")</f>
        <v/>
      </c>
      <c r="D17" s="51" t="inlineStr">
        <is>
          <t>Cheyenne Resources, LLC</t>
        </is>
      </c>
      <c r="E17" s="154">
        <f>SUM(G17:HJ17)</f>
        <v/>
      </c>
      <c r="F17" s="569" t="n"/>
      <c r="G17" s="570" t="n"/>
      <c r="H17" s="585" t="n"/>
      <c r="I17" s="585" t="n"/>
      <c r="J17" s="585" t="n"/>
      <c r="K17" s="585" t="n">
        <v>1</v>
      </c>
      <c r="L17" s="585" t="n"/>
      <c r="M17" s="585" t="n">
        <v>-1</v>
      </c>
      <c r="N17" s="571" t="n"/>
      <c r="O17" s="579" t="n"/>
      <c r="P17" s="579" t="n"/>
      <c r="Q17" s="579" t="n"/>
      <c r="R17" s="579" t="n"/>
      <c r="S17" s="579" t="n"/>
      <c r="T17" s="579" t="n"/>
      <c r="U17" s="579" t="n"/>
      <c r="V17" s="579" t="n"/>
      <c r="W17" s="579" t="n"/>
      <c r="X17" s="579" t="n"/>
      <c r="Y17" s="579" t="n"/>
      <c r="Z17" s="579" t="n"/>
      <c r="AA17" s="579" t="n"/>
      <c r="AB17" s="579" t="n"/>
      <c r="AC17" s="579" t="n"/>
      <c r="AD17" s="579" t="n"/>
      <c r="AE17" s="579" t="n"/>
      <c r="AF17" s="579" t="n"/>
      <c r="AG17" s="579" t="n"/>
      <c r="AH17" s="579" t="n"/>
      <c r="AI17" s="579" t="n"/>
      <c r="AJ17" s="579" t="n"/>
      <c r="AK17" s="579" t="n"/>
      <c r="AL17" s="579" t="n"/>
      <c r="AM17" s="579" t="n"/>
      <c r="AN17" s="579"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row>
    <row r="18" customFormat="1" s="568">
      <c r="A18" s="86" t="n"/>
      <c r="B18" s="87" t="inlineStr">
        <is>
          <t>16-20</t>
        </is>
      </c>
      <c r="C18" s="153">
        <f>IFERROR(IF(AND($E18&gt;0,$D18&lt;&gt;"The Public"),$E18/SUMIFS($E$10:$E$163,$E$10:$E$163,"&gt;0",$D$10:$D$163,"&lt;&gt;The Public")*$D$5,""),"")</f>
        <v/>
      </c>
      <c r="D18" s="57" t="inlineStr">
        <is>
          <t>Geodyne / Samson</t>
        </is>
      </c>
      <c r="E18" s="154">
        <f>SUM(G18:HJ18)</f>
        <v/>
      </c>
      <c r="F18" s="569" t="n"/>
      <c r="G18" s="570" t="n"/>
      <c r="H18" s="585" t="n"/>
      <c r="I18" s="586" t="n"/>
      <c r="J18" s="586" t="n"/>
      <c r="K18" s="586" t="n"/>
      <c r="L18" s="585" t="n"/>
      <c r="M18" s="586" t="n"/>
      <c r="N18" s="570" t="n"/>
      <c r="O18" s="579" t="n"/>
      <c r="P18" s="579" t="n"/>
      <c r="Q18" s="579" t="n"/>
      <c r="R18" s="579" t="n"/>
      <c r="S18" s="579" t="n"/>
      <c r="T18" s="579" t="n"/>
      <c r="U18" s="579" t="n"/>
      <c r="V18" s="579" t="n"/>
      <c r="W18" s="579" t="n"/>
      <c r="X18" s="579" t="n"/>
      <c r="Y18" s="579" t="n"/>
      <c r="Z18" s="579" t="n"/>
      <c r="AA18" s="579" t="n"/>
      <c r="AB18" s="579" t="n"/>
      <c r="AC18" s="579" t="n"/>
      <c r="AD18" s="579" t="n"/>
      <c r="AE18" s="579" t="n"/>
      <c r="AF18" s="579" t="n"/>
      <c r="AG18" s="579" t="n"/>
      <c r="AH18" s="579" t="n"/>
      <c r="AI18" s="579" t="n"/>
      <c r="AJ18" s="579" t="n"/>
      <c r="AK18" s="579" t="n"/>
      <c r="AL18" s="579" t="n"/>
      <c r="AM18" s="579" t="n"/>
      <c r="AN18" s="579"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row>
    <row r="19" ht="13.5" customFormat="1" customHeight="1" s="568">
      <c r="A19" s="86" t="n"/>
      <c r="B19" s="188" t="inlineStr">
        <is>
          <t>2</t>
        </is>
      </c>
      <c r="C19" s="153">
        <f>IFERROR(IF(AND($E19&gt;0,$D19&lt;&gt;"The Public"),$E19/SUMIFS($E$10:$E$163,$E$10:$E$163,"&gt;0",$D$10:$D$163,"&lt;&gt;The Public")*$D$5,""),"")</f>
        <v/>
      </c>
      <c r="D19" s="156" t="inlineStr">
        <is>
          <t>Fairway Resources III, LLC</t>
        </is>
      </c>
      <c r="E19" s="154">
        <f>SUM(G19:HJ19)</f>
        <v/>
      </c>
      <c r="F19" s="569" t="n"/>
      <c r="G19" s="570" t="n"/>
      <c r="H19" s="570" t="n"/>
      <c r="I19" s="570" t="n"/>
      <c r="J19" s="586" t="n"/>
      <c r="K19" s="586" t="n"/>
      <c r="L19" s="586" t="n"/>
      <c r="M19" s="586" t="n"/>
      <c r="N19" s="571" t="n"/>
      <c r="P19" s="579" t="n"/>
      <c r="Q19" s="579" t="n"/>
      <c r="R19" s="579" t="n"/>
      <c r="S19" s="579" t="n"/>
      <c r="T19" s="579" t="n"/>
      <c r="U19" s="579" t="n"/>
      <c r="V19" s="579" t="n"/>
      <c r="W19" s="579" t="n"/>
      <c r="X19" s="579" t="n"/>
      <c r="Y19" s="579" t="n"/>
      <c r="Z19" s="579" t="n"/>
      <c r="AA19" s="579" t="n"/>
      <c r="AB19" s="579" t="n"/>
      <c r="AC19" s="579" t="n"/>
      <c r="AD19" s="579" t="n"/>
      <c r="AE19" s="579" t="n"/>
      <c r="AF19" s="579" t="n"/>
      <c r="AG19" s="579" t="n"/>
      <c r="AH19" s="579" t="n"/>
      <c r="AI19" s="579" t="n"/>
      <c r="AJ19" s="579" t="n"/>
      <c r="AK19" s="579" t="n"/>
      <c r="AL19" s="579" t="n"/>
      <c r="AM19" s="579" t="n"/>
      <c r="AN19" s="579"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row>
    <row r="20" customFormat="1" s="568">
      <c r="A20" s="86" t="n"/>
      <c r="B20" s="87" t="n">
        <v>15</v>
      </c>
      <c r="C20" s="153">
        <f>IFERROR(IF(AND($E20&gt;0,$D20&lt;&gt;"The Public"),$E20/SUMIFS($E$10:$E$163,$E$10:$E$163,"&gt;0",$D$10:$D$163,"&lt;&gt;The Public")*$D$5,""),"")</f>
        <v/>
      </c>
      <c r="D20" s="57" t="inlineStr">
        <is>
          <t>Templar Energy, LLC</t>
        </is>
      </c>
      <c r="E20" s="154">
        <f>SUM(G20:HJ20)</f>
        <v/>
      </c>
      <c r="F20" s="569" t="n"/>
      <c r="G20" s="570" t="n"/>
      <c r="H20" s="570" t="n"/>
      <c r="I20" s="570" t="n"/>
      <c r="J20" s="586" t="n"/>
      <c r="K20" s="586" t="n"/>
      <c r="L20" s="586" t="n"/>
      <c r="M20" s="586" t="n">
        <v>1</v>
      </c>
      <c r="N20" s="570" t="n"/>
      <c r="O20" s="579" t="n"/>
      <c r="P20" s="579" t="n"/>
      <c r="Q20" s="579" t="n"/>
      <c r="R20" s="579" t="n"/>
      <c r="S20" s="579" t="n"/>
      <c r="T20" s="579" t="n"/>
      <c r="U20" s="579" t="n"/>
      <c r="V20" s="579" t="n"/>
      <c r="W20" s="579" t="n"/>
      <c r="X20" s="579" t="n"/>
      <c r="Y20" s="579" t="n"/>
      <c r="Z20" s="579" t="n"/>
      <c r="AA20" s="579" t="n"/>
      <c r="AB20" s="579" t="n"/>
      <c r="AC20" s="579" t="n"/>
      <c r="AD20" s="579" t="n"/>
      <c r="AE20" s="579" t="n"/>
      <c r="AF20" s="579" t="n"/>
      <c r="AG20" s="579" t="n"/>
      <c r="AH20" s="579" t="n"/>
      <c r="AI20" s="579" t="n"/>
      <c r="AJ20" s="579" t="n"/>
      <c r="AK20" s="579" t="n"/>
      <c r="AL20" s="579" t="n"/>
      <c r="AM20" s="579" t="n"/>
      <c r="AN20" s="579"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row>
    <row r="21" customFormat="1" s="568">
      <c r="A21" s="86" t="n"/>
      <c r="B21" s="87" t="n">
        <v>8</v>
      </c>
      <c r="C21" s="153">
        <f>IFERROR(IF(AND($E21&gt;0,$D21&lt;&gt;"The Public"),$E21/SUMIFS($E$10:$E$163,$E$10:$E$163,"&gt;0",$D$10:$D$163,"&lt;&gt;The Public")*$D$5,""),"")</f>
        <v/>
      </c>
      <c r="D21" s="57" t="inlineStr">
        <is>
          <t>BHP Billiton Petroleum</t>
        </is>
      </c>
      <c r="E21" s="154">
        <f>SUM(G21:HJ21)</f>
        <v/>
      </c>
      <c r="F21" s="569" t="n"/>
      <c r="G21" s="570" t="n"/>
      <c r="H21" s="570" t="n"/>
      <c r="I21" s="570" t="n"/>
      <c r="J21" s="586" t="n"/>
      <c r="K21" s="586" t="n"/>
      <c r="L21" s="586" t="n"/>
      <c r="M21" s="586" t="n"/>
      <c r="N21" s="570" t="n">
        <v>-1</v>
      </c>
      <c r="O21" s="579" t="n"/>
      <c r="P21" s="579" t="n"/>
      <c r="Q21" s="579" t="n"/>
      <c r="R21" s="579" t="n"/>
      <c r="S21" s="579" t="n"/>
      <c r="T21" s="579" t="n"/>
      <c r="U21" s="579" t="n"/>
      <c r="V21" s="579" t="n"/>
      <c r="W21" s="579" t="n"/>
      <c r="X21" s="579" t="n"/>
      <c r="Y21" s="579" t="n"/>
      <c r="Z21" s="579" t="n"/>
      <c r="AA21" s="579" t="n"/>
      <c r="AB21" s="579" t="n"/>
      <c r="AC21" s="579" t="n"/>
      <c r="AD21" s="579" t="n"/>
      <c r="AE21" s="579" t="n"/>
      <c r="AF21" s="579" t="n"/>
      <c r="AG21" s="579" t="n"/>
      <c r="AH21" s="579" t="n"/>
      <c r="AI21" s="579" t="n"/>
      <c r="AJ21" s="579" t="n"/>
      <c r="AK21" s="579" t="n"/>
      <c r="AL21" s="579" t="n"/>
      <c r="AM21" s="579" t="n"/>
      <c r="AN21" s="579"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row>
    <row r="22" customFormat="1" s="568">
      <c r="A22" s="86" t="n"/>
      <c r="B22" s="87" t="n">
        <v>5</v>
      </c>
      <c r="C22" s="153">
        <f>IFERROR(IF(AND($E22&gt;0,$D22&lt;&gt;"The Public"),$E22/SUMIFS($E$10:$E$163,$E$10:$E$163,"&gt;0",$D$10:$D$163,"&lt;&gt;The Public")*$D$5,""),"")</f>
        <v/>
      </c>
      <c r="D22" s="57" t="inlineStr">
        <is>
          <t>Cohete Rojo, LLC</t>
        </is>
      </c>
      <c r="E22" s="154">
        <f>SUM(G22:HJ22)</f>
        <v/>
      </c>
      <c r="F22" s="569" t="n"/>
      <c r="G22" s="570" t="n"/>
      <c r="H22" s="570" t="n"/>
      <c r="I22" s="570" t="n"/>
      <c r="J22" s="586" t="n"/>
      <c r="K22" s="586" t="n"/>
      <c r="L22" s="586" t="n"/>
      <c r="M22" s="586" t="n"/>
      <c r="N22" s="570" t="n">
        <v>1</v>
      </c>
      <c r="O22" s="579" t="n"/>
      <c r="P22" s="579" t="n"/>
      <c r="Q22" s="579" t="n"/>
      <c r="R22" s="579" t="n"/>
      <c r="S22" s="579" t="n"/>
      <c r="T22" s="579" t="n"/>
      <c r="U22" s="579" t="n"/>
      <c r="V22" s="579" t="n"/>
      <c r="W22" s="579" t="n"/>
      <c r="X22" s="579" t="n"/>
      <c r="Y22" s="579" t="n"/>
      <c r="Z22" s="579" t="n"/>
      <c r="AA22" s="579" t="n"/>
      <c r="AB22" s="579" t="n"/>
      <c r="AC22" s="579" t="n"/>
      <c r="AD22" s="579" t="n"/>
      <c r="AE22" s="579" t="n"/>
      <c r="AF22" s="579" t="n"/>
      <c r="AG22" s="579" t="n"/>
      <c r="AH22" s="579" t="n"/>
      <c r="AI22" s="579" t="n"/>
      <c r="AJ22" s="579" t="n"/>
      <c r="AK22" s="579" t="n"/>
      <c r="AL22" s="579" t="n"/>
      <c r="AM22" s="579" t="n"/>
      <c r="AN22" s="579"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row>
    <row r="23" customFormat="1" s="568">
      <c r="A23" s="86" t="n"/>
      <c r="B23" s="87" t="n"/>
      <c r="C23" s="153">
        <f>IFERROR(IF(AND($E23&gt;0,$D23&lt;&gt;"The Public"),$E23/SUMIFS($E$10:$E$163,$E$10:$E$163,"&gt;0",$D$10:$D$163,"&lt;&gt;The Public")*$D$5,""),"")</f>
        <v/>
      </c>
      <c r="D23" s="57" t="inlineStr">
        <is>
          <t>TE Holdco RP, LLC et al</t>
        </is>
      </c>
      <c r="E23" s="154">
        <f>SUM(G23:HJ23)</f>
        <v/>
      </c>
      <c r="H23" s="579" t="n"/>
      <c r="I23" s="579" t="n"/>
      <c r="J23" s="579" t="n"/>
      <c r="K23" s="579" t="n"/>
      <c r="L23" s="579" t="n"/>
      <c r="M23" s="579" t="n"/>
      <c r="N23" s="579" t="n"/>
      <c r="O23" s="579" t="n"/>
      <c r="P23" s="579" t="n"/>
      <c r="Q23" s="579" t="n"/>
      <c r="R23" s="579" t="n"/>
      <c r="S23" s="579" t="n"/>
      <c r="T23" s="579" t="n"/>
      <c r="U23" s="579" t="n"/>
      <c r="V23" s="579" t="n"/>
      <c r="W23" s="579" t="n"/>
      <c r="X23" s="579" t="n"/>
      <c r="Y23" s="579" t="n"/>
      <c r="Z23" s="579" t="n"/>
      <c r="AA23" s="579" t="n"/>
      <c r="AB23" s="579" t="n"/>
      <c r="AC23" s="579" t="n"/>
      <c r="AD23" s="579" t="n"/>
      <c r="AE23" s="579" t="n"/>
      <c r="AF23" s="579" t="n"/>
      <c r="AG23" s="579" t="n"/>
      <c r="AH23" s="579" t="n"/>
      <c r="AI23" s="579" t="n"/>
      <c r="AJ23" s="579" t="n"/>
      <c r="AK23" s="579" t="n"/>
      <c r="AL23" s="579" t="n"/>
      <c r="AM23" s="579" t="n"/>
      <c r="AN23" s="579"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row>
    <row r="24" customFormat="1" s="568">
      <c r="B24" s="87" t="n"/>
      <c r="C24" s="153">
        <f>IFERROR(IF(AND($E24&gt;0,$D24&lt;&gt;"The Public"),$E24/SUMIFS($E$10:$E$163,$E$10:$E$163,"&gt;0",$D$10:$D$163,"&lt;&gt;The Public")*$D$5,""),"")</f>
        <v/>
      </c>
      <c r="D24" s="51" t="inlineStr">
        <is>
          <t>Presidio Wab, LLC</t>
        </is>
      </c>
      <c r="E24" s="154">
        <f>SUM(G24:HJ24)</f>
        <v/>
      </c>
      <c r="H24" s="579" t="n"/>
    </row>
    <row r="25" customFormat="1" s="568">
      <c r="B25" s="87" t="n"/>
      <c r="C25" s="153">
        <f>IFERROR(IF(AND($E25&gt;0,$D25&lt;&gt;"The Public"),$E25/SUMIFS($E$10:$E$163,$E$10:$E$163,"&gt;0",$D$10:$D$163,"&lt;&gt;The Public")*$D$5,""),"")</f>
        <v/>
      </c>
      <c r="D25" s="156" t="inlineStr">
        <is>
          <t>Mustang Fuel Corporation</t>
        </is>
      </c>
      <c r="E25" s="154">
        <f>SUM(G25:HJ25)</f>
        <v/>
      </c>
      <c r="H25" s="579" t="n"/>
    </row>
    <row r="26" customFormat="1" s="568">
      <c r="B26" s="87" t="n"/>
      <c r="C26" s="153">
        <f>IFERROR(IF(AND($E26&gt;0,$D26&lt;&gt;"The Public"),$E26/SUMIFS($E$10:$E$163,$E$10:$E$163,"&gt;0",$D$10:$D$163,"&lt;&gt;The Public")*$D$5,""),"")</f>
        <v/>
      </c>
      <c r="D26" s="51" t="inlineStr">
        <is>
          <t>Hani Tabally</t>
        </is>
      </c>
      <c r="E26" s="154">
        <f>SUM(G26:HJ26)</f>
        <v/>
      </c>
      <c r="H26" s="579" t="n"/>
      <c r="Q26" s="568" t="n">
        <v>-1</v>
      </c>
    </row>
    <row r="27" customFormat="1" s="568">
      <c r="B27" s="87" t="n"/>
      <c r="C27" s="153">
        <f>IFERROR(IF(AND($E27&gt;0,$D27&lt;&gt;"The Public"),$E27/SUMIFS($E$10:$E$163,$E$10:$E$163,"&gt;0",$D$10:$D$163,"&lt;&gt;The Public")*$D$5,""),"")</f>
        <v/>
      </c>
      <c r="D27" s="51" t="inlineStr">
        <is>
          <t>Santos J. Dominguez</t>
        </is>
      </c>
      <c r="E27" s="154">
        <f>SUM(G27:HJ27)</f>
        <v/>
      </c>
      <c r="H27" s="579" t="n"/>
      <c r="Q27" s="568" t="n">
        <v>1</v>
      </c>
    </row>
    <row r="28" customFormat="1" s="568">
      <c r="B28" s="87" t="n"/>
      <c r="C28" s="153">
        <f>IFERROR(IF(AND($E28&gt;0,$D28&lt;&gt;"The Public"),$E28/SUMIFS($E$10:$E$163,$E$10:$E$163,"&gt;0",$D$10:$D$163,"&lt;&gt;The Public")*$D$5,""),"")</f>
        <v/>
      </c>
      <c r="D28" s="156" t="inlineStr">
        <is>
          <t>TLW Investments, LLC</t>
        </is>
      </c>
      <c r="E28" s="154">
        <f>SUM(G28:HJ28)</f>
        <v/>
      </c>
      <c r="H28" s="579" t="n"/>
      <c r="S28" s="568" t="n">
        <v>-1</v>
      </c>
    </row>
    <row r="29" customFormat="1" s="568">
      <c r="B29" s="87" t="n"/>
      <c r="C29" s="153">
        <f>IFERROR(IF(AND($E29&gt;0,$D29&lt;&gt;"The Public"),$E29/SUMIFS($E$10:$E$163,$E$10:$E$163,"&gt;0",$D$10:$D$163,"&lt;&gt;The Public")*$D$5,""),"")</f>
        <v/>
      </c>
      <c r="D29" s="156" t="inlineStr">
        <is>
          <t>Cannon Field Minerals Fund, LP</t>
        </is>
      </c>
      <c r="E29" s="154">
        <f>SUM(G29:HJ29)</f>
        <v/>
      </c>
      <c r="H29" s="579" t="n"/>
      <c r="S29" s="568" t="n">
        <v>1</v>
      </c>
    </row>
    <row r="30" customFormat="1" s="568">
      <c r="B30" s="87" t="n"/>
      <c r="C30" s="153">
        <f>IFERROR(IF(AND($E30&gt;0,$D30&lt;&gt;"The Public"),$E30/SUMIFS($E$10:$E$163,$E$10:$E$163,"&gt;0",$D$10:$D$163,"&lt;&gt;The Public")*$D$5,""),"")</f>
        <v/>
      </c>
      <c r="D30" s="51" t="inlineStr">
        <is>
          <t>Unbridled Resources, LLC</t>
        </is>
      </c>
      <c r="E30" s="154">
        <f>SUM(G30:HJ30)</f>
        <v/>
      </c>
      <c r="H30" s="579" t="n"/>
      <c r="T30" s="568" t="n">
        <v>-1</v>
      </c>
    </row>
    <row r="31" customFormat="1" s="568">
      <c r="B31" s="85" t="n"/>
      <c r="C31" s="153">
        <f>IFERROR(IF(AND($E31&gt;0,$D31&lt;&gt;"The Public"),$E31/SUMIFS($E$10:$E$163,$E$10:$E$163,"&gt;0",$D$10:$D$163,"&lt;&gt;The Public")*$D$5,""),"")</f>
        <v/>
      </c>
      <c r="D31" s="57" t="inlineStr">
        <is>
          <t>MNR ABS Issuer I, LLC</t>
        </is>
      </c>
      <c r="E31" s="154">
        <f>SUM(G31:HJ31)</f>
        <v/>
      </c>
      <c r="H31" s="579" t="n"/>
      <c r="T31" s="568" t="n">
        <v>1</v>
      </c>
    </row>
    <row r="32" customFormat="1" s="568">
      <c r="B32" s="85" t="n"/>
      <c r="C32" s="153">
        <f>IFERROR(IF(AND($E32&gt;0,$D32&lt;&gt;"The Public"),$E32/SUMIFS($E$10:$E$163,$E$10:$E$163,"&gt;0",$D$10:$D$163,"&lt;&gt;The Public")*$D$5,""),"")</f>
        <v/>
      </c>
      <c r="D32" s="57" t="inlineStr">
        <is>
          <t>Yale Oil Association, Inc.</t>
        </is>
      </c>
      <c r="E32" s="154">
        <f>SUM(G32:HJ32)</f>
        <v/>
      </c>
      <c r="H32" s="579" t="n"/>
      <c r="U32" s="568" t="n">
        <v>-1</v>
      </c>
    </row>
    <row r="33" customFormat="1" s="568">
      <c r="B33" s="85" t="n"/>
      <c r="C33" s="153">
        <f>IFERROR(IF(AND($E33&gt;0,$D33&lt;&gt;"The Public"),$E33/SUMIFS($E$10:$E$163,$E$10:$E$163,"&gt;0",$D$10:$D$163,"&lt;&gt;The Public")*$D$5,""),"")</f>
        <v/>
      </c>
      <c r="D33" s="51" t="inlineStr">
        <is>
          <t>K.C. Production, LLC</t>
        </is>
      </c>
      <c r="E33" s="154">
        <f>SUM(G33:HJ33)</f>
        <v/>
      </c>
      <c r="H33" s="579" t="n"/>
      <c r="U33" s="568" t="n">
        <v>1</v>
      </c>
    </row>
    <row r="34" customFormat="1" s="568">
      <c r="B34" s="85" t="n"/>
      <c r="C34" s="153">
        <f>IFERROR(IF(AND($E34&gt;0,$D34&lt;&gt;"The Public"),$E34/SUMIFS($E$10:$E$163,$E$10:$E$163,"&gt;0",$D$10:$D$163,"&lt;&gt;The Public")*$D$5,""),"")</f>
        <v/>
      </c>
      <c r="D34" s="57" t="inlineStr">
        <is>
          <t>Greg et al CDX</t>
        </is>
      </c>
      <c r="E34" s="154">
        <f>SUM(G34:HJ34)</f>
        <v/>
      </c>
      <c r="H34" s="579" t="n"/>
    </row>
    <row r="35" customFormat="1" s="568">
      <c r="B35" s="85" t="n"/>
      <c r="C35" s="153">
        <f>IFERROR(IF(AND($E35&gt;0,$D35&lt;&gt;"The Public"),$E35/SUMIFS($E$10:$E$163,$E$10:$E$163,"&gt;0",$D$10:$D$163,"&lt;&gt;The Public")*$D$5,""),"")</f>
        <v/>
      </c>
      <c r="D35" s="57" t="inlineStr">
        <is>
          <t>Chanas Partners, LLC</t>
        </is>
      </c>
      <c r="E35" s="154">
        <f>SUM(G35:HJ35)</f>
        <v/>
      </c>
      <c r="H35" s="579" t="n"/>
      <c r="W35" s="568" t="n">
        <v>-1</v>
      </c>
    </row>
    <row r="36" customFormat="1" s="568">
      <c r="B36" s="85" t="n"/>
      <c r="C36" s="153">
        <f>IFERROR(IF(AND($E36&gt;0,$D36&lt;&gt;"The Public"),$E36/SUMIFS($E$10:$E$163,$E$10:$E$163,"&gt;0",$D$10:$D$163,"&lt;&gt;The Public")*$D$5,""),"")</f>
        <v/>
      </c>
      <c r="D36" s="57" t="inlineStr">
        <is>
          <t>NWR Mineral Partners, LLC</t>
        </is>
      </c>
      <c r="E36" s="154">
        <f>SUM(G36:HJ36)</f>
        <v/>
      </c>
      <c r="H36" s="579" t="n"/>
      <c r="W36" s="568" t="n">
        <v>1</v>
      </c>
    </row>
    <row r="37" customFormat="1" s="568">
      <c r="B37" s="85" t="n"/>
      <c r="C37" s="153">
        <f>IFERROR(IF(AND($E37&gt;0,$D37&lt;&gt;"The Public"),$E37/SUMIFS($E$10:$E$163,$E$10:$E$163,"&gt;0",$D$10:$D$163,"&lt;&gt;The Public")*$D$5,""),"")</f>
        <v/>
      </c>
      <c r="D37" s="57" t="inlineStr">
        <is>
          <t>Satherlie 1989 Rev. Trust</t>
        </is>
      </c>
      <c r="E37" s="154">
        <f>SUM(G37:HJ37)</f>
        <v/>
      </c>
      <c r="H37" s="579" t="n"/>
    </row>
    <row r="38" customFormat="1" s="568">
      <c r="B38" s="85" t="n"/>
      <c r="C38" s="153">
        <f>IFERROR(IF(AND($E38&gt;0,$D38&lt;&gt;"The Public"),$E38/SUMIFS($E$10:$E$163,$E$10:$E$163,"&gt;0",$D$10:$D$163,"&lt;&gt;The Public")*$D$5,""),"")</f>
        <v/>
      </c>
      <c r="D38" s="51" t="inlineStr">
        <is>
          <t>Trison Holdings, LLC</t>
        </is>
      </c>
      <c r="E38" s="154">
        <f>SUM(G38:HJ38)</f>
        <v/>
      </c>
      <c r="H38" s="579" t="n"/>
    </row>
    <row r="39" customFormat="1" s="568">
      <c r="B39" s="85" t="n"/>
      <c r="C39" s="153">
        <f>IFERROR(IF(AND($E39&gt;0,$D39&lt;&gt;"The Public"),$E39/SUMIFS($E$10:$E$163,$E$10:$E$163,"&gt;0",$D$10:$D$163,"&lt;&gt;The Public")*$D$5,""),"")</f>
        <v/>
      </c>
      <c r="D39" s="57" t="inlineStr">
        <is>
          <t>Presidio Finance, LLC</t>
        </is>
      </c>
      <c r="E39" s="154">
        <f>SUM(G39:HJ39)</f>
        <v/>
      </c>
      <c r="H39" s="579" t="n"/>
      <c r="Y39" s="568" t="n">
        <v>-1</v>
      </c>
    </row>
    <row r="40" customFormat="1" s="568">
      <c r="B40" s="85" t="n"/>
      <c r="C40" s="153">
        <f>IFERROR(IF(AND($E40&gt;0,$D40&lt;&gt;"The Public"),$E40/SUMIFS($E$10:$E$163,$E$10:$E$163,"&gt;0",$D$10:$D$163,"&lt;&gt;The Public")*$D$5,""),"")</f>
        <v/>
      </c>
      <c r="D40" s="51" t="inlineStr">
        <is>
          <t>Martins Empire, LLC</t>
        </is>
      </c>
      <c r="E40" s="154">
        <f>SUM(G40:HJ40)</f>
        <v/>
      </c>
      <c r="H40" s="579" t="n"/>
      <c r="Y40" s="568" t="n">
        <v>1</v>
      </c>
    </row>
    <row r="41" customFormat="1" s="568">
      <c r="B41" s="85" t="n"/>
      <c r="C41" s="153">
        <f>IFERROR(IF(AND($E41&gt;0,$D41&lt;&gt;"The Public"),$E41/SUMIFS($E$10:$E$163,$E$10:$E$163,"&gt;0",$D$10:$D$163,"&lt;&gt;The Public")*$D$5,""),"")</f>
        <v/>
      </c>
      <c r="D41" s="51" t="n"/>
      <c r="E41" s="154">
        <f>SUM(G41:HJ41)</f>
        <v/>
      </c>
      <c r="H41" s="579" t="n"/>
    </row>
    <row r="42" customFormat="1" s="568">
      <c r="B42" s="85" t="n"/>
      <c r="C42" s="153">
        <f>IFERROR(IF(AND($E42&gt;0,$D42&lt;&gt;"The Public"),$E42/SUMIFS($E$10:$E$163,$E$10:$E$163,"&gt;0",$D$10:$D$163,"&lt;&gt;The Public")*$D$5,""),"")</f>
        <v/>
      </c>
      <c r="D42" s="156" t="n"/>
      <c r="E42" s="154">
        <f>SUM(G42:HJ42)</f>
        <v/>
      </c>
      <c r="H42" s="579" t="n"/>
    </row>
    <row r="43" customFormat="1" s="568">
      <c r="B43" s="85" t="n"/>
      <c r="C43" s="153">
        <f>IFERROR(IF(AND($E43&gt;0,$D43&lt;&gt;"The Public"),$E43/SUMIFS($E$10:$E$163,$E$10:$E$163,"&gt;0",$D$10:$D$163,"&lt;&gt;The Public")*$D$5,""),"")</f>
        <v/>
      </c>
      <c r="D43" s="51" t="n"/>
      <c r="E43" s="154">
        <f>SUM(G43:HJ43)</f>
        <v/>
      </c>
      <c r="H43" s="579" t="n"/>
    </row>
    <row r="44" customFormat="1" s="568">
      <c r="B44" s="85" t="n"/>
      <c r="C44" s="153">
        <f>IFERROR(IF(AND($E44&gt;0,$D44&lt;&gt;"The Public"),$E44/SUMIFS($E$10:$E$163,$E$10:$E$163,"&gt;0",$D$10:$D$163,"&lt;&gt;The Public")*$D$5,""),"")</f>
        <v/>
      </c>
      <c r="D44" s="51" t="n"/>
      <c r="E44" s="154">
        <f>SUM(G44:HJ44)</f>
        <v/>
      </c>
      <c r="H44" s="579" t="n"/>
    </row>
    <row r="45" customFormat="1" s="568">
      <c r="B45" s="85" t="n"/>
      <c r="C45" s="153">
        <f>IFERROR(IF(AND($E45&gt;0,$D45&lt;&gt;"The Public"),$E45/SUMIFS($E$10:$E$163,$E$10:$E$163,"&gt;0",$D$10:$D$163,"&lt;&gt;The Public")*$D$5,""),"")</f>
        <v/>
      </c>
      <c r="D45" s="51" t="n"/>
      <c r="E45" s="154">
        <f>SUM(G45:HJ45)</f>
        <v/>
      </c>
      <c r="H45" s="579" t="n"/>
    </row>
    <row r="46" customFormat="1" s="568">
      <c r="B46" s="85" t="n"/>
      <c r="C46" s="153">
        <f>IFERROR(IF(AND($E46&gt;0,$D46&lt;&gt;"The Public"),$E46/SUMIFS($E$10:$E$163,$E$10:$E$163,"&gt;0",$D$10:$D$163,"&lt;&gt;The Public")*$D$5,""),"")</f>
        <v/>
      </c>
      <c r="D46" s="51" t="n"/>
      <c r="E46" s="154">
        <f>SUM(G46:HJ46)</f>
        <v/>
      </c>
      <c r="H46" s="579" t="n"/>
    </row>
    <row r="47" customFormat="1" s="568">
      <c r="B47" s="85" t="n"/>
      <c r="C47" s="153">
        <f>IFERROR(IF(AND($E47&gt;0,$D47&lt;&gt;"The Public"),$E47/SUMIFS($E$10:$E$163,$E$10:$E$163,"&gt;0",$D$10:$D$163,"&lt;&gt;The Public")*$D$5,""),"")</f>
        <v/>
      </c>
      <c r="D47" s="51" t="n"/>
      <c r="E47" s="154">
        <f>SUM(G47:HJ47)</f>
        <v/>
      </c>
      <c r="H47" s="579" t="n"/>
    </row>
    <row r="48" customFormat="1" s="568">
      <c r="B48" s="85" t="n"/>
      <c r="C48" s="153">
        <f>IFERROR(IF(AND($E48&gt;0,$D48&lt;&gt;"The Public"),$E48/SUMIFS($E$10:$E$163,$E$10:$E$163,"&gt;0",$D$10:$D$163,"&lt;&gt;The Public")*$D$5,""),"")</f>
        <v/>
      </c>
      <c r="D48" s="51" t="n"/>
      <c r="E48" s="154">
        <f>SUM(G48:HJ48)</f>
        <v/>
      </c>
      <c r="H48" s="579" t="n"/>
    </row>
    <row r="49" customFormat="1" s="568">
      <c r="B49" s="85" t="n"/>
      <c r="C49" s="153">
        <f>IFERROR(IF(AND($E49&gt;0,$D49&lt;&gt;"The Public"),$E49/SUMIFS($E$10:$E$163,$E$10:$E$163,"&gt;0",$D$10:$D$163,"&lt;&gt;The Public")*$D$5,""),"")</f>
        <v/>
      </c>
      <c r="D49" s="156" t="n"/>
      <c r="E49" s="154">
        <f>SUM(G49:HJ49)</f>
        <v/>
      </c>
      <c r="H49" s="579" t="n"/>
    </row>
    <row r="50" customFormat="1" s="568">
      <c r="B50" s="85" t="n"/>
      <c r="C50" s="153">
        <f>IFERROR(IF(AND($E50&gt;0,$D50&lt;&gt;"The Public"),$E50/SUMIFS($E$10:$E$163,$E$10:$E$163,"&gt;0",$D$10:$D$163,"&lt;&gt;The Public")*$D$5,""),"")</f>
        <v/>
      </c>
      <c r="D50" s="156" t="n"/>
      <c r="E50" s="154">
        <f>SUM(G50:HJ50)</f>
        <v/>
      </c>
      <c r="H50" s="579" t="n"/>
    </row>
    <row r="51" customFormat="1" s="568">
      <c r="B51" s="85" t="n"/>
      <c r="C51" s="153">
        <f>IFERROR(IF(AND($E51&gt;0,$D51&lt;&gt;"The Public"),$E51/SUMIFS($E$10:$E$163,$E$10:$E$163,"&gt;0",$D$10:$D$163,"&lt;&gt;The Public")*$D$5,""),"")</f>
        <v/>
      </c>
      <c r="D51" s="51" t="n"/>
      <c r="E51" s="154">
        <f>SUM(G51:HJ51)</f>
        <v/>
      </c>
      <c r="H51" s="579" t="n"/>
    </row>
    <row r="52" customFormat="1" s="568">
      <c r="B52" s="85" t="n"/>
      <c r="C52" s="153">
        <f>IFERROR(IF(AND($E52&gt;0,$D52&lt;&gt;"The Public"),$E52/SUMIFS($E$10:$E$163,$E$10:$E$163,"&gt;0",$D$10:$D$163,"&lt;&gt;The Public")*$D$5,""),"")</f>
        <v/>
      </c>
      <c r="D52" s="156" t="n"/>
      <c r="E52" s="154">
        <f>SUM(G52:HJ52)</f>
        <v/>
      </c>
    </row>
    <row r="53" customFormat="1" s="568">
      <c r="B53" s="85" t="n"/>
      <c r="C53" s="153">
        <f>IFERROR(IF(AND($E53&gt;0,$D53&lt;&gt;"The Public"),$E53/SUMIFS($E$10:$E$163,$E$10:$E$163,"&gt;0",$D$10:$D$163,"&lt;&gt;The Public")*$D$5,""),"")</f>
        <v/>
      </c>
      <c r="D53" s="51" t="n"/>
      <c r="E53" s="154">
        <f>SUM(G53:HJ53)</f>
        <v/>
      </c>
    </row>
    <row r="54" customFormat="1" s="568">
      <c r="B54" s="85" t="n"/>
      <c r="C54" s="153">
        <f>IFERROR(IF(AND($E54&gt;0,$D54&lt;&gt;"The Public"),$E54/SUMIFS($E$10:$E$163,$E$10:$E$163,"&gt;0",$D$10:$D$163,"&lt;&gt;The Public")*$D$5,""),"")</f>
        <v/>
      </c>
      <c r="D54" s="156" t="n"/>
      <c r="E54" s="154">
        <f>SUM(G54:HJ54)</f>
        <v/>
      </c>
    </row>
    <row r="55" customFormat="1" s="568">
      <c r="B55" s="85" t="n"/>
      <c r="C55" s="153">
        <f>IFERROR(IF(AND($E55&gt;0,$D55&lt;&gt;"The Public"),$E55/SUMIFS($E$10:$E$163,$E$10:$E$163,"&gt;0",$D$10:$D$163,"&lt;&gt;The Public")*$D$5,""),"")</f>
        <v/>
      </c>
      <c r="D55" s="156" t="n"/>
      <c r="E55" s="154">
        <f>SUM(G55:HJ55)</f>
        <v/>
      </c>
    </row>
    <row r="56" customFormat="1" s="568">
      <c r="B56" s="85" t="n"/>
      <c r="C56" s="153">
        <f>IFERROR(IF(AND($E56&gt;0,$D56&lt;&gt;"The Public"),$E56/SUMIFS($E$10:$E$163,$E$10:$E$163,"&gt;0",$D$10:$D$163,"&lt;&gt;The Public")*$D$5,""),"")</f>
        <v/>
      </c>
      <c r="D56" s="51" t="n"/>
      <c r="E56" s="154">
        <f>SUM(G56:HJ56)</f>
        <v/>
      </c>
    </row>
    <row r="57" customFormat="1" s="568">
      <c r="B57" s="85" t="n"/>
      <c r="C57" s="153">
        <f>IFERROR(IF(AND($E57&gt;0,$D57&lt;&gt;"The Public"),$E57/SUMIFS($E$10:$E$163,$E$10:$E$163,"&gt;0",$D$10:$D$163,"&lt;&gt;The Public")*$D$5,""),"")</f>
        <v/>
      </c>
      <c r="D57" s="156" t="n"/>
      <c r="E57" s="154">
        <f>SUM(G57:HJ57)</f>
        <v/>
      </c>
    </row>
    <row r="58" customFormat="1" s="568">
      <c r="B58" s="85" t="n"/>
      <c r="C58" s="153">
        <f>IFERROR(IF(AND($E58&gt;0,$D58&lt;&gt;"The Public"),$E58/SUMIFS($E$10:$E$163,$E$10:$E$163,"&gt;0",$D$10:$D$163,"&lt;&gt;The Public")*$D$5,""),"")</f>
        <v/>
      </c>
      <c r="D58" s="156" t="n"/>
      <c r="E58" s="154">
        <f>SUM(G58:HJ58)</f>
        <v/>
      </c>
    </row>
    <row r="59" customFormat="1" s="568">
      <c r="B59" s="85" t="n"/>
      <c r="C59" s="153">
        <f>IFERROR(IF(AND($E59&gt;0,$D59&lt;&gt;"The Public"),$E59/SUMIFS($E$10:$E$163,$E$10:$E$163,"&gt;0",$D$10:$D$163,"&lt;&gt;The Public")*$D$5,""),"")</f>
        <v/>
      </c>
      <c r="D59" s="57" t="n"/>
      <c r="E59" s="154">
        <f>SUM(G59:HJ59)</f>
        <v/>
      </c>
    </row>
    <row r="60" customFormat="1" s="568">
      <c r="B60" s="85" t="n"/>
      <c r="C60" s="153">
        <f>IFERROR(IF(AND($E60&gt;0,$D60&lt;&gt;"The Public"),$E60/SUMIFS($E$10:$E$163,$E$10:$E$163,"&gt;0",$D$10:$D$163,"&lt;&gt;The Public")*$D$5,""),"")</f>
        <v/>
      </c>
      <c r="D60" s="156" t="n"/>
      <c r="E60" s="154">
        <f>SUM(G60:HJ60)</f>
        <v/>
      </c>
    </row>
    <row r="61" customFormat="1" s="568">
      <c r="B61" s="85" t="n"/>
      <c r="C61" s="84">
        <f>IFERROR(IF(AND($E61&gt;0,$D61&lt;&gt;"The Public"),$E61/SUMIFS($E$10:$E$163,$E$10:$E$163,"&gt;0",$D$10:$D$163,"&lt;&gt;The Public")*$D$5,""),"")</f>
        <v/>
      </c>
      <c r="D61" s="68" t="n"/>
      <c r="E61" s="84">
        <f>SUM(G61:HJ61)</f>
        <v/>
      </c>
    </row>
    <row r="62" customFormat="1" s="568">
      <c r="B62" s="85" t="n"/>
      <c r="C62" s="84">
        <f>IFERROR(IF(AND($E62&gt;0,$D62&lt;&gt;"The Public"),$E62/SUMIFS($E$10:$E$163,$E$10:$E$163,"&gt;0",$D$10:$D$163,"&lt;&gt;The Public")*$D$5,""),"")</f>
        <v/>
      </c>
      <c r="D62" s="68" t="n"/>
      <c r="E62" s="84">
        <f>SUM(G62:HJ62)</f>
        <v/>
      </c>
    </row>
    <row r="63" customFormat="1" s="568">
      <c r="B63" s="85" t="n"/>
      <c r="C63" s="84">
        <f>IFERROR(IF(AND($E63&gt;0,$D63&lt;&gt;"The Public"),$E63/SUMIFS($E$10:$E$163,$E$10:$E$163,"&gt;0",$D$10:$D$163,"&lt;&gt;The Public")*$D$5,""),"")</f>
        <v/>
      </c>
      <c r="D63" s="68" t="n"/>
      <c r="E63" s="84">
        <f>SUM(G63:HJ63)</f>
        <v/>
      </c>
    </row>
    <row r="64" customFormat="1" s="568">
      <c r="B64" s="85" t="n"/>
      <c r="C64" s="84">
        <f>IFERROR(IF(AND($E64&gt;0,$D64&lt;&gt;"The Public"),$E64/SUMIFS($E$10:$E$163,$E$10:$E$163,"&gt;0",$D$10:$D$163,"&lt;&gt;The Public")*$D$5,""),"")</f>
        <v/>
      </c>
      <c r="D64" s="68" t="n"/>
      <c r="E64" s="84">
        <f>SUM(G64:HJ64)</f>
        <v/>
      </c>
    </row>
    <row r="65" customFormat="1" s="568">
      <c r="B65" s="85" t="n"/>
      <c r="C65" s="84">
        <f>IFERROR(IF(AND($E65&gt;0,$D65&lt;&gt;"The Public"),$E65/SUMIFS($E$10:$E$163,$E$10:$E$163,"&gt;0",$D$10:$D$163,"&lt;&gt;The Public")*$D$5,""),"")</f>
        <v/>
      </c>
      <c r="D65" s="68" t="n"/>
      <c r="E65" s="84">
        <f>SUM(G65:HJ65)</f>
        <v/>
      </c>
    </row>
    <row r="66" customFormat="1" s="568">
      <c r="B66" s="85" t="n"/>
      <c r="C66" s="84">
        <f>IFERROR(IF(AND($E66&gt;0,$D66&lt;&gt;"The Public"),$E66/SUMIFS($E$10:$E$163,$E$10:$E$163,"&gt;0",$D$10:$D$163,"&lt;&gt;The Public")*$D$5,""),"")</f>
        <v/>
      </c>
      <c r="D66" s="68" t="n"/>
      <c r="E66" s="84">
        <f>SUM(G66:HJ66)</f>
        <v/>
      </c>
    </row>
    <row r="67" customFormat="1" s="568">
      <c r="B67" s="85" t="n"/>
      <c r="C67" s="84">
        <f>IFERROR(IF(AND($E67&gt;0,$D67&lt;&gt;"The Public"),$E67/SUMIFS($E$10:$E$163,$E$10:$E$163,"&gt;0",$D$10:$D$163,"&lt;&gt;The Public")*$D$5,""),"")</f>
        <v/>
      </c>
      <c r="D67" s="68" t="n"/>
      <c r="E67" s="84">
        <f>SUM(G67:HJ67)</f>
        <v/>
      </c>
    </row>
    <row r="68" customFormat="1" s="568">
      <c r="B68" s="85" t="n"/>
      <c r="C68" s="84">
        <f>IFERROR(IF(AND($E68&gt;0,$D68&lt;&gt;"The Public"),$E68/SUMIFS($E$10:$E$163,$E$10:$E$163,"&gt;0",$D$10:$D$163,"&lt;&gt;The Public")*$D$5,""),"")</f>
        <v/>
      </c>
      <c r="D68" s="68" t="n"/>
      <c r="E68" s="84">
        <f>SUM(G68:HJ68)</f>
        <v/>
      </c>
    </row>
    <row r="69" customFormat="1" s="568">
      <c r="B69" s="85" t="n"/>
      <c r="C69" s="84">
        <f>IFERROR(IF(AND($E69&gt;0,$D69&lt;&gt;"The Public"),$E69/SUMIFS($E$10:$E$163,$E$10:$E$163,"&gt;0",$D$10:$D$163,"&lt;&gt;The Public")*$D$5,""),"")</f>
        <v/>
      </c>
      <c r="D69" s="68" t="n"/>
      <c r="E69" s="84">
        <f>SUM(G69:HJ69)</f>
        <v/>
      </c>
    </row>
    <row r="70" customFormat="1" s="568">
      <c r="B70" s="85" t="n"/>
      <c r="C70" s="84">
        <f>IFERROR(IF(AND($E70&gt;0,$D70&lt;&gt;"The Public"),$E70/SUMIFS($E$10:$E$163,$E$10:$E$163,"&gt;0",$D$10:$D$163,"&lt;&gt;The Public")*$D$5,""),"")</f>
        <v/>
      </c>
      <c r="D70" s="68" t="n"/>
      <c r="E70" s="84">
        <f>SUM(G70:HJ70)</f>
        <v/>
      </c>
    </row>
    <row r="71" customFormat="1" s="568">
      <c r="B71" s="85" t="n"/>
      <c r="C71" s="84">
        <f>IFERROR(IF(AND($E71&gt;0,$D71&lt;&gt;"The Public"),$E71/SUMIFS($E$10:$E$163,$E$10:$E$163,"&gt;0",$D$10:$D$163,"&lt;&gt;The Public")*$D$5,""),"")</f>
        <v/>
      </c>
      <c r="D71" s="68" t="n"/>
      <c r="E71" s="84">
        <f>SUM(G71:HJ71)</f>
        <v/>
      </c>
    </row>
    <row r="72" customFormat="1" s="568">
      <c r="B72" s="85" t="n"/>
      <c r="C72" s="84">
        <f>IFERROR(IF(AND($E72&gt;0,$D72&lt;&gt;"The Public"),$E72/SUMIFS($E$10:$E$163,$E$10:$E$163,"&gt;0",$D$10:$D$163,"&lt;&gt;The Public")*$D$5,""),"")</f>
        <v/>
      </c>
      <c r="D72" s="68" t="n"/>
      <c r="E72" s="84">
        <f>SUM(G72:HJ72)</f>
        <v/>
      </c>
    </row>
    <row r="73" customFormat="1" s="568">
      <c r="B73" s="85" t="n"/>
      <c r="C73" s="84">
        <f>IFERROR(IF(AND($E73&gt;0,$D73&lt;&gt;"The Public"),$E73/SUMIFS($E$10:$E$163,$E$10:$E$163,"&gt;0",$D$10:$D$163,"&lt;&gt;The Public")*$D$5,""),"")</f>
        <v/>
      </c>
      <c r="D73" s="68" t="n"/>
      <c r="E73" s="84">
        <f>SUM(G73:HJ73)</f>
        <v/>
      </c>
    </row>
    <row r="74" customFormat="1" s="568">
      <c r="B74" s="85" t="n"/>
      <c r="C74" s="84">
        <f>IFERROR(IF(AND($E74&gt;0,$D74&lt;&gt;"The Public"),$E74/SUMIFS($E$10:$E$163,$E$10:$E$163,"&gt;0",$D$10:$D$163,"&lt;&gt;The Public")*$D$5,""),"")</f>
        <v/>
      </c>
      <c r="D74" s="68" t="n"/>
      <c r="E74" s="84">
        <f>SUM(G74:HJ74)</f>
        <v/>
      </c>
    </row>
    <row r="75" customFormat="1" s="568">
      <c r="B75" s="85" t="n"/>
      <c r="C75" s="84">
        <f>IFERROR(IF(AND($E75&gt;0,$D75&lt;&gt;"The Public"),$E75/SUMIFS($E$10:$E$163,$E$10:$E$163,"&gt;0",$D$10:$D$163,"&lt;&gt;The Public")*$D$5,""),"")</f>
        <v/>
      </c>
      <c r="D75" s="68" t="n"/>
      <c r="E75" s="84">
        <f>SUM(G75:HJ75)</f>
        <v/>
      </c>
    </row>
    <row r="76" customFormat="1" s="568">
      <c r="B76" s="85" t="n"/>
      <c r="C76" s="84">
        <f>IFERROR(IF(AND($E76&gt;0,$D76&lt;&gt;"The Public"),$E76/SUMIFS($E$10:$E$163,$E$10:$E$163,"&gt;0",$D$10:$D$163,"&lt;&gt;The Public")*$D$5,""),"")</f>
        <v/>
      </c>
      <c r="D76" s="68" t="n"/>
      <c r="E76" s="84">
        <f>SUM(G76:HJ76)</f>
        <v/>
      </c>
    </row>
    <row r="77" customFormat="1" s="568">
      <c r="B77" s="85" t="n"/>
      <c r="C77" s="84">
        <f>IFERROR(IF(AND($E77&gt;0,$D77&lt;&gt;"The Public"),$E77/SUMIFS($E$10:$E$163,$E$10:$E$163,"&gt;0",$D$10:$D$163,"&lt;&gt;The Public")*$D$5,""),"")</f>
        <v/>
      </c>
      <c r="D77" s="68" t="n"/>
      <c r="E77" s="84">
        <f>SUM(G77:HJ77)</f>
        <v/>
      </c>
    </row>
    <row r="78" customFormat="1" s="568">
      <c r="B78" s="85" t="n"/>
      <c r="C78" s="84">
        <f>IFERROR(IF(AND($E78&gt;0,$D78&lt;&gt;"The Public"),$E78/SUMIFS($E$10:$E$163,$E$10:$E$163,"&gt;0",$D$10:$D$163,"&lt;&gt;The Public")*$D$5,""),"")</f>
        <v/>
      </c>
      <c r="D78" s="68" t="n"/>
      <c r="E78" s="84">
        <f>SUM(G78:HJ78)</f>
        <v/>
      </c>
    </row>
    <row r="79" customFormat="1" s="568">
      <c r="B79" s="85" t="n"/>
      <c r="C79" s="84">
        <f>IFERROR(IF(AND($E79&gt;0,$D79&lt;&gt;"The Public"),$E79/SUMIFS($E$10:$E$163,$E$10:$E$163,"&gt;0",$D$10:$D$163,"&lt;&gt;The Public")*$D$5,""),"")</f>
        <v/>
      </c>
      <c r="D79" s="68" t="n"/>
      <c r="E79" s="84">
        <f>SUM(G79:HJ79)</f>
        <v/>
      </c>
    </row>
    <row r="80" customFormat="1" s="568">
      <c r="B80" s="85" t="n"/>
      <c r="C80" s="84">
        <f>IFERROR(IF(AND($E80&gt;0,$D80&lt;&gt;"The Public"),$E80/SUMIFS($E$10:$E$163,$E$10:$E$163,"&gt;0",$D$10:$D$163,"&lt;&gt;The Public")*$D$5,""),"")</f>
        <v/>
      </c>
      <c r="D80" s="68" t="n"/>
      <c r="E80" s="84">
        <f>SUM(G80:HJ80)</f>
        <v/>
      </c>
    </row>
    <row r="81" customFormat="1" s="568">
      <c r="B81" s="85" t="n"/>
      <c r="C81" s="84">
        <f>IFERROR(IF(AND($E81&gt;0,$D81&lt;&gt;"The Public"),$E81/SUMIFS($E$10:$E$163,$E$10:$E$163,"&gt;0",$D$10:$D$163,"&lt;&gt;The Public")*$D$5,""),"")</f>
        <v/>
      </c>
      <c r="D81" s="68" t="n"/>
      <c r="E81" s="84">
        <f>SUM(G81:HJ81)</f>
        <v/>
      </c>
    </row>
    <row r="82" customFormat="1" s="568">
      <c r="B82" s="85" t="n"/>
      <c r="C82" s="84">
        <f>IFERROR(IF(AND($E82&gt;0,$D82&lt;&gt;"The Public"),$E82/SUMIFS($E$10:$E$163,$E$10:$E$163,"&gt;0",$D$10:$D$163,"&lt;&gt;The Public")*$D$5,""),"")</f>
        <v/>
      </c>
      <c r="D82" s="68" t="n"/>
      <c r="E82" s="84">
        <f>SUM(G82:HJ82)</f>
        <v/>
      </c>
    </row>
    <row r="83" customFormat="1" s="568">
      <c r="B83" s="85" t="n"/>
      <c r="C83" s="84">
        <f>IFERROR(IF(AND($E83&gt;0,$D83&lt;&gt;"The Public"),$E83/SUMIFS($E$10:$E$163,$E$10:$E$163,"&gt;0",$D$10:$D$163,"&lt;&gt;The Public")*$D$5,""),"")</f>
        <v/>
      </c>
      <c r="D83" s="68" t="n"/>
      <c r="E83" s="84">
        <f>SUM(G83:HJ83)</f>
        <v/>
      </c>
    </row>
    <row r="84" customFormat="1" s="568">
      <c r="B84" s="85" t="n"/>
      <c r="C84" s="84">
        <f>IFERROR(IF(AND($E84&gt;0,$D84&lt;&gt;"The Public"),$E84/SUMIFS($E$10:$E$163,$E$10:$E$163,"&gt;0",$D$10:$D$163,"&lt;&gt;The Public")*$D$5,""),"")</f>
        <v/>
      </c>
      <c r="D84" s="68" t="n"/>
      <c r="E84" s="84">
        <f>SUM(G84:HJ84)</f>
        <v/>
      </c>
    </row>
    <row r="85" customFormat="1" s="568">
      <c r="B85" s="85" t="n"/>
      <c r="C85" s="84">
        <f>IFERROR(IF(AND($E85&gt;0,$D85&lt;&gt;"The Public"),$E85/SUMIFS($E$10:$E$163,$E$10:$E$163,"&gt;0",$D$10:$D$163,"&lt;&gt;The Public")*$D$5,""),"")</f>
        <v/>
      </c>
      <c r="D85" s="68" t="n"/>
      <c r="E85" s="84">
        <f>SUM(G85:HJ85)</f>
        <v/>
      </c>
    </row>
    <row r="86" customFormat="1" s="568">
      <c r="B86" s="85" t="n"/>
      <c r="C86" s="84">
        <f>IFERROR(IF(AND($E86&gt;0,$D86&lt;&gt;"The Public"),$E86/SUMIFS($E$10:$E$163,$E$10:$E$163,"&gt;0",$D$10:$D$163,"&lt;&gt;The Public")*$D$5,""),"")</f>
        <v/>
      </c>
      <c r="D86" s="68" t="n"/>
      <c r="E86" s="84">
        <f>SUM(G86:HJ86)</f>
        <v/>
      </c>
    </row>
    <row r="87" customFormat="1" s="568">
      <c r="B87" s="85" t="n"/>
      <c r="C87" s="84">
        <f>IFERROR(IF(AND($E87&gt;0,$D87&lt;&gt;"The Public"),$E87/SUMIFS($E$10:$E$163,$E$10:$E$163,"&gt;0",$D$10:$D$163,"&lt;&gt;The Public")*$D$5,""),"")</f>
        <v/>
      </c>
      <c r="D87" s="68" t="n"/>
      <c r="E87" s="84">
        <f>SUM(G87:HJ87)</f>
        <v/>
      </c>
    </row>
    <row r="88" customFormat="1" s="568">
      <c r="B88" s="85" t="n"/>
      <c r="C88" s="84">
        <f>IFERROR(IF(AND($E88&gt;0,$D88&lt;&gt;"The Public"),$E88/SUMIFS($E$10:$E$163,$E$10:$E$163,"&gt;0",$D$10:$D$163,"&lt;&gt;The Public")*$D$5,""),"")</f>
        <v/>
      </c>
      <c r="D88" s="68" t="n"/>
      <c r="E88" s="84">
        <f>SUM(G88:HJ88)</f>
        <v/>
      </c>
    </row>
    <row r="89" customFormat="1" s="568">
      <c r="B89" s="85" t="n"/>
      <c r="C89" s="84">
        <f>IFERROR(IF(AND($E89&gt;0,$D89&lt;&gt;"The Public"),$E89/SUMIFS($E$10:$E$163,$E$10:$E$163,"&gt;0",$D$10:$D$163,"&lt;&gt;The Public")*$D$5,""),"")</f>
        <v/>
      </c>
      <c r="D89" s="68" t="n"/>
      <c r="E89" s="84">
        <f>SUM(G89:HJ89)</f>
        <v/>
      </c>
    </row>
    <row r="90" customFormat="1" s="568">
      <c r="B90" s="85" t="n"/>
      <c r="C90" s="84">
        <f>IFERROR(IF(AND($E90&gt;0,$D90&lt;&gt;"The Public"),$E90/SUMIFS($E$10:$E$163,$E$10:$E$163,"&gt;0",$D$10:$D$163,"&lt;&gt;The Public")*$D$5,""),"")</f>
        <v/>
      </c>
      <c r="D90" s="68" t="n"/>
      <c r="E90" s="84">
        <f>SUM(G90:HJ90)</f>
        <v/>
      </c>
    </row>
    <row r="91" customFormat="1" s="568">
      <c r="B91" s="85" t="n"/>
      <c r="C91" s="84">
        <f>IFERROR(IF(AND($E91&gt;0,$D91&lt;&gt;"The Public"),$E91/SUMIFS($E$10:$E$163,$E$10:$E$163,"&gt;0",$D$10:$D$163,"&lt;&gt;The Public")*$D$5,""),"")</f>
        <v/>
      </c>
      <c r="D91" s="68" t="n"/>
      <c r="E91" s="84">
        <f>SUM(G91:HJ91)</f>
        <v/>
      </c>
    </row>
    <row r="92" customFormat="1" s="568">
      <c r="B92" s="85" t="n"/>
      <c r="C92" s="84">
        <f>IFERROR(IF(AND($E92&gt;0,$D92&lt;&gt;"The Public"),$E92/SUMIFS($E$10:$E$163,$E$10:$E$163,"&gt;0",$D$10:$D$163,"&lt;&gt;The Public")*$D$5,""),"")</f>
        <v/>
      </c>
      <c r="D92" s="68" t="n"/>
      <c r="E92" s="84">
        <f>SUM(G92:HJ92)</f>
        <v/>
      </c>
    </row>
    <row r="93" customFormat="1" s="568">
      <c r="B93" s="85" t="n"/>
      <c r="C93" s="84">
        <f>IFERROR(IF(AND($E93&gt;0,$D93&lt;&gt;"The Public"),$E93/SUMIFS($E$10:$E$163,$E$10:$E$163,"&gt;0",$D$10:$D$163,"&lt;&gt;The Public")*$D$5,""),"")</f>
        <v/>
      </c>
      <c r="D93" s="68" t="n"/>
      <c r="E93" s="84">
        <f>SUM(G93:HJ93)</f>
        <v/>
      </c>
    </row>
    <row r="94" customFormat="1" s="568">
      <c r="B94" s="85" t="n"/>
      <c r="C94" s="84">
        <f>IFERROR(IF(AND($E94&gt;0,$D94&lt;&gt;"The Public"),$E94/SUMIFS($E$10:$E$163,$E$10:$E$163,"&gt;0",$D$10:$D$163,"&lt;&gt;The Public")*$D$5,""),"")</f>
        <v/>
      </c>
      <c r="D94" s="68" t="n"/>
      <c r="E94" s="84">
        <f>SUM(G94:HJ94)</f>
        <v/>
      </c>
    </row>
    <row r="95" customFormat="1" s="568">
      <c r="B95" s="85" t="n"/>
      <c r="C95" s="84">
        <f>IFERROR(IF(AND($E95&gt;0,$D95&lt;&gt;"The Public"),$E95/SUMIFS($E$10:$E$163,$E$10:$E$163,"&gt;0",$D$10:$D$163,"&lt;&gt;The Public")*$D$5,""),"")</f>
        <v/>
      </c>
      <c r="D95" s="68" t="n"/>
      <c r="E95" s="84">
        <f>SUM(G95:HJ95)</f>
        <v/>
      </c>
    </row>
    <row r="96" customFormat="1" s="568">
      <c r="B96" s="85" t="n"/>
      <c r="C96" s="84">
        <f>IFERROR(IF(AND($E96&gt;0,$D96&lt;&gt;"The Public"),$E96/SUMIFS($E$10:$E$163,$E$10:$E$163,"&gt;0",$D$10:$D$163,"&lt;&gt;The Public")*$D$5,""),"")</f>
        <v/>
      </c>
      <c r="D96" s="68" t="n"/>
      <c r="E96" s="84">
        <f>SUM(G96:HJ96)</f>
        <v/>
      </c>
    </row>
    <row r="97" customFormat="1" s="568">
      <c r="B97" s="85" t="n"/>
      <c r="C97" s="84">
        <f>IFERROR(IF(AND($E97&gt;0,$D97&lt;&gt;"The Public"),$E97/SUMIFS($E$10:$E$163,$E$10:$E$163,"&gt;0",$D$10:$D$163,"&lt;&gt;The Public")*$D$5,""),"")</f>
        <v/>
      </c>
      <c r="D97" s="68" t="n"/>
      <c r="E97" s="84">
        <f>SUM(G97:HJ97)</f>
        <v/>
      </c>
    </row>
    <row r="98" customFormat="1" s="568">
      <c r="B98" s="85" t="n"/>
      <c r="C98" s="84">
        <f>IFERROR(IF(AND($E98&gt;0,$D98&lt;&gt;"The Public"),$E98/SUMIFS($E$10:$E$163,$E$10:$E$163,"&gt;0",$D$10:$D$163,"&lt;&gt;The Public")*$D$5,""),"")</f>
        <v/>
      </c>
      <c r="D98" s="68" t="n"/>
      <c r="E98" s="84">
        <f>SUM(G98:HJ98)</f>
        <v/>
      </c>
    </row>
    <row r="99" customFormat="1" s="568">
      <c r="B99" s="85" t="n"/>
      <c r="C99" s="84">
        <f>IFERROR(IF(AND($E99&gt;0,$D99&lt;&gt;"The Public"),$E99/SUMIFS($E$10:$E$163,$E$10:$E$163,"&gt;0",$D$10:$D$163,"&lt;&gt;The Public")*$D$5,""),"")</f>
        <v/>
      </c>
      <c r="D99" s="68" t="n"/>
      <c r="E99" s="84">
        <f>SUM(G99:HJ99)</f>
        <v/>
      </c>
    </row>
    <row r="100" customFormat="1" s="568">
      <c r="B100" s="85" t="n"/>
      <c r="C100" s="84">
        <f>IFERROR(IF(AND($E100&gt;0,$D100&lt;&gt;"The Public"),$E100/SUMIFS($E$10:$E$163,$E$10:$E$163,"&gt;0",$D$10:$D$163,"&lt;&gt;The Public")*$D$5,""),"")</f>
        <v/>
      </c>
      <c r="D100" s="68" t="n"/>
      <c r="E100" s="84">
        <f>SUM(G100:HJ100)</f>
        <v/>
      </c>
    </row>
    <row r="101" customFormat="1" s="568">
      <c r="B101" s="85" t="n"/>
      <c r="C101" s="84">
        <f>IFERROR(IF(AND($E101&gt;0,$D101&lt;&gt;"The Public"),$E101/SUMIFS($E$10:$E$163,$E$10:$E$163,"&gt;0",$D$10:$D$163,"&lt;&gt;The Public")*$D$5,""),"")</f>
        <v/>
      </c>
      <c r="D101" s="68" t="n"/>
      <c r="E101" s="84">
        <f>SUM(G101:HJ101)</f>
        <v/>
      </c>
    </row>
    <row r="102" customFormat="1" s="568">
      <c r="B102" s="85" t="n"/>
      <c r="C102" s="84">
        <f>IFERROR(IF(AND($E102&gt;0,$D102&lt;&gt;"The Public"),$E102/SUMIFS($E$10:$E$163,$E$10:$E$163,"&gt;0",$D$10:$D$163,"&lt;&gt;The Public")*$D$5,""),"")</f>
        <v/>
      </c>
      <c r="D102" s="68" t="n"/>
      <c r="E102" s="84">
        <f>SUM(G102:HJ102)</f>
        <v/>
      </c>
    </row>
    <row r="103" customFormat="1" s="568">
      <c r="B103" s="85" t="n"/>
      <c r="C103" s="84">
        <f>IFERROR(IF(AND($E103&gt;0,$D103&lt;&gt;"The Public"),$E103/SUMIFS($E$10:$E$163,$E$10:$E$163,"&gt;0",$D$10:$D$163,"&lt;&gt;The Public")*$D$5,""),"")</f>
        <v/>
      </c>
      <c r="D103" s="68" t="n"/>
      <c r="E103" s="84">
        <f>SUM(G103:HJ103)</f>
        <v/>
      </c>
    </row>
    <row r="104" customFormat="1" s="568">
      <c r="B104" s="85" t="n"/>
      <c r="C104" s="84">
        <f>IFERROR(IF(AND($E104&gt;0,$D104&lt;&gt;"The Public"),$E104/SUMIFS($E$10:$E$163,$E$10:$E$163,"&gt;0",$D$10:$D$163,"&lt;&gt;The Public")*$D$5,""),"")</f>
        <v/>
      </c>
      <c r="D104" s="68" t="n"/>
      <c r="E104" s="84">
        <f>SUM(G104:HJ104)</f>
        <v/>
      </c>
    </row>
    <row r="105" customFormat="1" s="568">
      <c r="B105" s="85" t="n"/>
      <c r="C105" s="84">
        <f>IFERROR(IF(AND($E105&gt;0,$D105&lt;&gt;"The Public"),$E105/SUMIFS($E$10:$E$163,$E$10:$E$163,"&gt;0",$D$10:$D$163,"&lt;&gt;The Public")*$D$5,""),"")</f>
        <v/>
      </c>
      <c r="D105" s="68" t="n"/>
      <c r="E105" s="84">
        <f>SUM(G105:HJ105)</f>
        <v/>
      </c>
    </row>
    <row r="106" customFormat="1" s="568">
      <c r="B106" s="85" t="n"/>
      <c r="C106" s="84">
        <f>IFERROR(IF(AND($E106&gt;0,$D106&lt;&gt;"The Public"),$E106/SUMIFS($E$10:$E$163,$E$10:$E$163,"&gt;0",$D$10:$D$163,"&lt;&gt;The Public")*$D$5,""),"")</f>
        <v/>
      </c>
      <c r="D106" s="68" t="n"/>
      <c r="E106" s="84">
        <f>SUM(G106:HJ106)</f>
        <v/>
      </c>
    </row>
    <row r="107" customFormat="1" s="568">
      <c r="B107" s="85" t="n"/>
      <c r="C107" s="84">
        <f>IFERROR(IF(AND($E107&gt;0,$D107&lt;&gt;"The Public"),$E107/SUMIFS($E$10:$E$163,$E$10:$E$163,"&gt;0",$D$10:$D$163,"&lt;&gt;The Public")*$D$5,""),"")</f>
        <v/>
      </c>
      <c r="D107" s="68" t="n"/>
      <c r="E107" s="84">
        <f>SUM(G107:HJ107)</f>
        <v/>
      </c>
    </row>
    <row r="108" customFormat="1" s="568">
      <c r="B108" s="85" t="n"/>
      <c r="C108" s="84">
        <f>IFERROR(IF(AND($E108&gt;0,$D108&lt;&gt;"The Public"),$E108/SUMIFS($E$10:$E$163,$E$10:$E$163,"&gt;0",$D$10:$D$163,"&lt;&gt;The Public")*$D$5,""),"")</f>
        <v/>
      </c>
      <c r="D108" s="68" t="n"/>
      <c r="E108" s="84">
        <f>SUM(G108:HJ108)</f>
        <v/>
      </c>
    </row>
    <row r="109" customFormat="1" s="568">
      <c r="B109" s="85" t="n"/>
      <c r="C109" s="84">
        <f>IFERROR(IF(AND($E109&gt;0,$D109&lt;&gt;"The Public"),$E109/SUMIFS($E$10:$E$163,$E$10:$E$163,"&gt;0",$D$10:$D$163,"&lt;&gt;The Public")*$D$5,""),"")</f>
        <v/>
      </c>
      <c r="D109" s="68" t="n"/>
      <c r="E109" s="84">
        <f>SUM(G109:HJ109)</f>
        <v/>
      </c>
    </row>
    <row r="110" customFormat="1" s="568">
      <c r="B110" s="85" t="n"/>
      <c r="C110" s="84">
        <f>IFERROR(IF(AND($E110&gt;0,$D110&lt;&gt;"The Public"),$E110/SUMIFS($E$10:$E$163,$E$10:$E$163,"&gt;0",$D$10:$D$163,"&lt;&gt;The Public")*$D$5,""),"")</f>
        <v/>
      </c>
      <c r="D110" s="68" t="n"/>
      <c r="E110" s="84">
        <f>SUM(G110:HJ110)</f>
        <v/>
      </c>
    </row>
    <row r="111" customFormat="1" s="568">
      <c r="B111" s="85" t="n"/>
      <c r="C111" s="84">
        <f>IFERROR(IF(AND($E111&gt;0,$D111&lt;&gt;"The Public"),$E111/SUMIFS($E$10:$E$163,$E$10:$E$163,"&gt;0",$D$10:$D$163,"&lt;&gt;The Public")*$D$5,""),"")</f>
        <v/>
      </c>
      <c r="D111" s="68" t="n"/>
      <c r="E111" s="84">
        <f>SUM(G111:HJ111)</f>
        <v/>
      </c>
    </row>
    <row r="112" customFormat="1" s="568">
      <c r="B112" s="85" t="n"/>
      <c r="C112" s="84">
        <f>IFERROR(IF(AND($E112&gt;0,$D112&lt;&gt;"The Public"),$E112/SUMIFS($E$10:$E$163,$E$10:$E$163,"&gt;0",$D$10:$D$163,"&lt;&gt;The Public")*$D$5,""),"")</f>
        <v/>
      </c>
      <c r="D112" s="68" t="n"/>
      <c r="E112" s="84">
        <f>SUM(G112:HJ112)</f>
        <v/>
      </c>
    </row>
    <row r="113" customFormat="1" s="568">
      <c r="B113" s="85" t="n"/>
      <c r="C113" s="84">
        <f>IFERROR(IF(AND($E113&gt;0,$D113&lt;&gt;"The Public"),$E113/SUMIFS($E$10:$E$163,$E$10:$E$163,"&gt;0",$D$10:$D$163,"&lt;&gt;The Public")*$D$5,""),"")</f>
        <v/>
      </c>
      <c r="D113" s="68" t="n"/>
      <c r="E113" s="84">
        <f>SUM(G113:HJ113)</f>
        <v/>
      </c>
    </row>
    <row r="114" customFormat="1" s="568">
      <c r="B114" s="85" t="n"/>
      <c r="C114" s="84">
        <f>IFERROR(IF(AND($E114&gt;0,$D114&lt;&gt;"The Public"),$E114/SUMIFS($E$10:$E$163,$E$10:$E$163,"&gt;0",$D$10:$D$163,"&lt;&gt;The Public")*$D$5,""),"")</f>
        <v/>
      </c>
      <c r="D114" s="68" t="n"/>
      <c r="E114" s="84">
        <f>SUM(G114:HJ114)</f>
        <v/>
      </c>
    </row>
    <row r="115" customFormat="1" s="568">
      <c r="B115" s="85" t="n"/>
      <c r="C115" s="84">
        <f>IFERROR(IF(AND($E115&gt;0,$D115&lt;&gt;"The Public"),$E115/SUMIFS($E$10:$E$163,$E$10:$E$163,"&gt;0",$D$10:$D$163,"&lt;&gt;The Public")*$D$5,""),"")</f>
        <v/>
      </c>
      <c r="D115" s="68" t="n"/>
      <c r="E115" s="84">
        <f>SUM(G115:HJ115)</f>
        <v/>
      </c>
    </row>
    <row r="116" customFormat="1" s="568">
      <c r="B116" s="85" t="n"/>
      <c r="C116" s="84">
        <f>IFERROR(IF(AND($E116&gt;0,$D116&lt;&gt;"The Public"),$E116/SUMIFS($E$10:$E$163,$E$10:$E$163,"&gt;0",$D$10:$D$163,"&lt;&gt;The Public")*$D$5,""),"")</f>
        <v/>
      </c>
      <c r="D116" s="68" t="n"/>
      <c r="E116" s="84">
        <f>SUM(G116:HJ116)</f>
        <v/>
      </c>
    </row>
    <row r="117" customFormat="1" s="568">
      <c r="B117" s="85" t="n"/>
      <c r="C117" s="84">
        <f>IFERROR(IF(AND($E117&gt;0,$D117&lt;&gt;"The Public"),$E117/SUMIFS($E$10:$E$163,$E$10:$E$163,"&gt;0",$D$10:$D$163,"&lt;&gt;The Public")*$D$5,""),"")</f>
        <v/>
      </c>
      <c r="D117" s="68" t="n"/>
      <c r="E117" s="84">
        <f>SUM(G117:HJ117)</f>
        <v/>
      </c>
    </row>
    <row r="118" customFormat="1" s="568">
      <c r="B118" s="85" t="n"/>
      <c r="C118" s="84">
        <f>IFERROR(IF(AND($E118&gt;0,$D118&lt;&gt;"The Public"),$E118/SUMIFS($E$10:$E$163,$E$10:$E$163,"&gt;0",$D$10:$D$163,"&lt;&gt;The Public")*$D$5,""),"")</f>
        <v/>
      </c>
      <c r="D118" s="68" t="n"/>
      <c r="E118" s="84">
        <f>SUM(G118:HJ118)</f>
        <v/>
      </c>
    </row>
    <row r="119" customFormat="1" s="568">
      <c r="B119" s="85" t="n"/>
      <c r="C119" s="84">
        <f>IFERROR(IF(AND($E119&gt;0,$D119&lt;&gt;"The Public"),$E119/SUMIFS($E$10:$E$163,$E$10:$E$163,"&gt;0",$D$10:$D$163,"&lt;&gt;The Public")*$D$5,""),"")</f>
        <v/>
      </c>
      <c r="D119" s="68" t="n"/>
      <c r="E119" s="84">
        <f>SUM(G119:HJ119)</f>
        <v/>
      </c>
    </row>
    <row r="120" customFormat="1" s="568">
      <c r="B120" s="85" t="n"/>
      <c r="C120" s="84">
        <f>IFERROR(IF(AND($E120&gt;0,$D120&lt;&gt;"The Public"),$E120/SUMIFS($E$10:$E$163,$E$10:$E$163,"&gt;0",$D$10:$D$163,"&lt;&gt;The Public")*$D$5,""),"")</f>
        <v/>
      </c>
      <c r="D120" s="68" t="n"/>
      <c r="E120" s="84">
        <f>SUM(G120:HJ120)</f>
        <v/>
      </c>
    </row>
    <row r="121" customFormat="1" s="568">
      <c r="B121" s="85" t="n"/>
      <c r="C121" s="84">
        <f>IFERROR(IF(AND($E121&gt;0,$D121&lt;&gt;"The Public"),$E121/SUMIFS($E$10:$E$163,$E$10:$E$163,"&gt;0",$D$10:$D$163,"&lt;&gt;The Public")*$D$5,""),"")</f>
        <v/>
      </c>
      <c r="D121" s="68" t="n"/>
      <c r="E121" s="84">
        <f>SUM(G121:HJ121)</f>
        <v/>
      </c>
    </row>
    <row r="122" customFormat="1" s="568">
      <c r="B122" s="85" t="n"/>
      <c r="C122" s="84">
        <f>IFERROR(IF(AND($E122&gt;0,$D122&lt;&gt;"The Public"),$E122/SUMIFS($E$10:$E$163,$E$10:$E$163,"&gt;0",$D$10:$D$163,"&lt;&gt;The Public")*$D$5,""),"")</f>
        <v/>
      </c>
      <c r="D122" s="68" t="n"/>
      <c r="E122" s="84">
        <f>SUM(G122:HJ122)</f>
        <v/>
      </c>
    </row>
    <row r="123" customFormat="1" s="568">
      <c r="B123" s="85" t="n"/>
      <c r="C123" s="84">
        <f>IFERROR(IF(AND($E123&gt;0,$D123&lt;&gt;"The Public"),$E123/SUMIFS($E$10:$E$163,$E$10:$E$163,"&gt;0",$D$10:$D$163,"&lt;&gt;The Public")*$D$5,""),"")</f>
        <v/>
      </c>
      <c r="D123" s="68" t="n"/>
      <c r="E123" s="84">
        <f>SUM(G123:HJ123)</f>
        <v/>
      </c>
    </row>
    <row r="124" customFormat="1" s="568">
      <c r="B124" s="85" t="n"/>
      <c r="C124" s="84">
        <f>IFERROR(IF(AND($E124&gt;0,$D124&lt;&gt;"The Public"),$E124/SUMIFS($E$10:$E$163,$E$10:$E$163,"&gt;0",$D$10:$D$163,"&lt;&gt;The Public")*$D$5,""),"")</f>
        <v/>
      </c>
      <c r="D124" s="68" t="n"/>
      <c r="E124" s="84">
        <f>SUM(G124:HJ124)</f>
        <v/>
      </c>
    </row>
    <row r="125" customFormat="1" s="568">
      <c r="B125" s="85" t="n"/>
      <c r="C125" s="84">
        <f>IFERROR(IF(AND($E125&gt;0,$D125&lt;&gt;"The Public"),$E125/SUMIFS($E$10:$E$163,$E$10:$E$163,"&gt;0",$D$10:$D$163,"&lt;&gt;The Public")*$D$5,""),"")</f>
        <v/>
      </c>
      <c r="D125" s="68" t="n"/>
      <c r="E125" s="84">
        <f>SUM(G125:HJ125)</f>
        <v/>
      </c>
    </row>
    <row r="126" customFormat="1" s="568">
      <c r="B126" s="85" t="n"/>
      <c r="C126" s="84">
        <f>IFERROR(IF(AND($E126&gt;0,$D126&lt;&gt;"The Public"),$E126/SUMIFS($E$10:$E$163,$E$10:$E$163,"&gt;0",$D$10:$D$163,"&lt;&gt;The Public")*$D$5,""),"")</f>
        <v/>
      </c>
      <c r="D126" s="68" t="n"/>
      <c r="E126" s="84">
        <f>SUM(G126:HJ126)</f>
        <v/>
      </c>
    </row>
    <row r="127" customFormat="1" s="568">
      <c r="B127" s="85" t="n"/>
      <c r="C127" s="84">
        <f>IFERROR(IF(AND($E127&gt;0,$D127&lt;&gt;"The Public"),$E127/SUMIFS($E$10:$E$163,$E$10:$E$163,"&gt;0",$D$10:$D$163,"&lt;&gt;The Public")*$D$5,""),"")</f>
        <v/>
      </c>
      <c r="D127" s="68" t="n"/>
      <c r="E127" s="84">
        <f>SUM(G127:HJ127)</f>
        <v/>
      </c>
    </row>
    <row r="128" customFormat="1" s="568">
      <c r="B128" s="85" t="n"/>
      <c r="C128" s="84">
        <f>IFERROR(IF(AND($E128&gt;0,$D128&lt;&gt;"The Public"),$E128/SUMIFS($E$10:$E$163,$E$10:$E$163,"&gt;0",$D$10:$D$163,"&lt;&gt;The Public")*$D$5,""),"")</f>
        <v/>
      </c>
      <c r="D128" s="68" t="n"/>
      <c r="E128" s="84">
        <f>SUM(G128:HJ128)</f>
        <v/>
      </c>
    </row>
    <row r="129" customFormat="1" s="568">
      <c r="B129" s="85" t="n"/>
      <c r="C129" s="84">
        <f>IFERROR(IF(AND($E129&gt;0,$D129&lt;&gt;"The Public"),$E129/SUMIFS($E$10:$E$163,$E$10:$E$163,"&gt;0",$D$10:$D$163,"&lt;&gt;The Public")*$D$5,""),"")</f>
        <v/>
      </c>
      <c r="D129" s="68" t="n"/>
      <c r="E129" s="84">
        <f>SUM(G129:HJ129)</f>
        <v/>
      </c>
    </row>
    <row r="130" customFormat="1" s="568">
      <c r="B130" s="85" t="n"/>
      <c r="C130" s="84">
        <f>IFERROR(IF(AND($E130&gt;0,$D130&lt;&gt;"The Public"),$E130/SUMIFS($E$10:$E$163,$E$10:$E$163,"&gt;0",$D$10:$D$163,"&lt;&gt;The Public")*$D$5,""),"")</f>
        <v/>
      </c>
      <c r="D130" s="68" t="n"/>
      <c r="E130" s="84">
        <f>SUM(G130:HJ130)</f>
        <v/>
      </c>
    </row>
    <row r="131" customFormat="1" s="568">
      <c r="B131" s="85" t="n"/>
      <c r="C131" s="84">
        <f>IFERROR(IF(AND($E131&gt;0,$D131&lt;&gt;"The Public"),$E131/SUMIFS($E$10:$E$163,$E$10:$E$163,"&gt;0",$D$10:$D$163,"&lt;&gt;The Public")*$D$5,""),"")</f>
        <v/>
      </c>
      <c r="D131" s="68" t="n"/>
      <c r="E131" s="84">
        <f>SUM(G131:HJ131)</f>
        <v/>
      </c>
    </row>
    <row r="132" customFormat="1" s="568">
      <c r="B132" s="85" t="n"/>
      <c r="C132" s="84">
        <f>IFERROR(IF(AND($E132&gt;0,$D132&lt;&gt;"The Public"),$E132/SUMIFS($E$10:$E$163,$E$10:$E$163,"&gt;0",$D$10:$D$163,"&lt;&gt;The Public")*$D$5,""),"")</f>
        <v/>
      </c>
      <c r="D132" s="68" t="n"/>
      <c r="E132" s="84">
        <f>SUM(G132:HJ132)</f>
        <v/>
      </c>
    </row>
    <row r="133" customFormat="1" s="568">
      <c r="B133" s="85" t="n"/>
      <c r="C133" s="84">
        <f>IFERROR(IF(AND($E133&gt;0,$D133&lt;&gt;"The Public"),$E133/SUMIFS($E$10:$E$163,$E$10:$E$163,"&gt;0",$D$10:$D$163,"&lt;&gt;The Public")*$D$5,""),"")</f>
        <v/>
      </c>
      <c r="D133" s="68" t="n"/>
      <c r="E133" s="84">
        <f>SUM(G133:HJ133)</f>
        <v/>
      </c>
    </row>
    <row r="134" customFormat="1" s="568">
      <c r="B134" s="85" t="n"/>
      <c r="C134" s="84">
        <f>IFERROR(IF(AND($E134&gt;0,$D134&lt;&gt;"The Public"),$E134/SUMIFS($E$10:$E$163,$E$10:$E$163,"&gt;0",$D$10:$D$163,"&lt;&gt;The Public")*$D$5,""),"")</f>
        <v/>
      </c>
      <c r="D134" s="68" t="n"/>
      <c r="E134" s="84">
        <f>SUM(G134:HJ134)</f>
        <v/>
      </c>
    </row>
    <row r="135" customFormat="1" s="568">
      <c r="B135" s="85" t="n"/>
      <c r="C135" s="84">
        <f>IFERROR(IF(AND($E135&gt;0,$D135&lt;&gt;"The Public"),$E135/SUMIFS($E$10:$E$163,$E$10:$E$163,"&gt;0",$D$10:$D$163,"&lt;&gt;The Public")*$D$5,""),"")</f>
        <v/>
      </c>
      <c r="D135" s="68" t="n"/>
      <c r="E135" s="84">
        <f>SUM(G135:HJ135)</f>
        <v/>
      </c>
    </row>
    <row r="136" customFormat="1" s="568">
      <c r="B136" s="85" t="n"/>
      <c r="C136" s="84">
        <f>IFERROR(IF(AND($E136&gt;0,$D136&lt;&gt;"The Public"),$E136/SUMIFS($E$10:$E$163,$E$10:$E$163,"&gt;0",$D$10:$D$163,"&lt;&gt;The Public")*$D$5,""),"")</f>
        <v/>
      </c>
      <c r="D136" s="68" t="n"/>
      <c r="E136" s="84">
        <f>SUM(G136:HJ136)</f>
        <v/>
      </c>
    </row>
    <row r="137" customFormat="1" s="568">
      <c r="B137" s="85" t="n"/>
      <c r="C137" s="84">
        <f>IFERROR(IF(AND($E137&gt;0,$D137&lt;&gt;"The Public"),$E137/SUMIFS($E$10:$E$163,$E$10:$E$163,"&gt;0",$D$10:$D$163,"&lt;&gt;The Public")*$D$5,""),"")</f>
        <v/>
      </c>
      <c r="D137" s="68" t="n"/>
      <c r="E137" s="84">
        <f>SUM(G137:HJ137)</f>
        <v/>
      </c>
    </row>
    <row r="138" customFormat="1" s="568">
      <c r="B138" s="85" t="n"/>
      <c r="C138" s="84">
        <f>IFERROR(IF(AND($E138&gt;0,$D138&lt;&gt;"The Public"),$E138/SUMIFS($E$10:$E$163,$E$10:$E$163,"&gt;0",$D$10:$D$163,"&lt;&gt;The Public")*$D$5,""),"")</f>
        <v/>
      </c>
      <c r="D138" s="68" t="n"/>
      <c r="E138" s="84">
        <f>SUM(G138:HJ138)</f>
        <v/>
      </c>
    </row>
    <row r="139" customFormat="1" s="568">
      <c r="B139" s="85" t="n"/>
      <c r="C139" s="84">
        <f>IFERROR(IF(AND($E139&gt;0,$D139&lt;&gt;"The Public"),$E139/SUMIFS($E$10:$E$163,$E$10:$E$163,"&gt;0",$D$10:$D$163,"&lt;&gt;The Public")*$D$5,""),"")</f>
        <v/>
      </c>
      <c r="D139" s="68" t="n"/>
      <c r="E139" s="84">
        <f>SUM(G139:HJ139)</f>
        <v/>
      </c>
    </row>
    <row r="140" customFormat="1" s="568">
      <c r="B140" s="85" t="n"/>
      <c r="C140" s="84">
        <f>IFERROR(IF(AND($E140&gt;0,$D140&lt;&gt;"The Public"),$E140/SUMIFS($E$10:$E$163,$E$10:$E$163,"&gt;0",$D$10:$D$163,"&lt;&gt;The Public")*$D$5,""),"")</f>
        <v/>
      </c>
      <c r="D140" s="68" t="n"/>
      <c r="E140" s="84">
        <f>SUM(G140:HJ140)</f>
        <v/>
      </c>
    </row>
    <row r="141" customFormat="1" s="568">
      <c r="B141" s="85" t="n"/>
      <c r="C141" s="84">
        <f>IFERROR(IF(AND($E141&gt;0,$D141&lt;&gt;"The Public"),$E141/SUMIFS($E$10:$E$163,$E$10:$E$163,"&gt;0",$D$10:$D$163,"&lt;&gt;The Public")*$D$5,""),"")</f>
        <v/>
      </c>
      <c r="D141" s="68" t="n"/>
      <c r="E141" s="84">
        <f>SUM(G141:HJ141)</f>
        <v/>
      </c>
    </row>
    <row r="142" customFormat="1" s="568">
      <c r="B142" s="85" t="n"/>
      <c r="C142" s="84">
        <f>IFERROR(IF(AND($E142&gt;0,$D142&lt;&gt;"The Public"),$E142/SUMIFS($E$10:$E$163,$E$10:$E$163,"&gt;0",$D$10:$D$163,"&lt;&gt;The Public")*$D$5,""),"")</f>
        <v/>
      </c>
      <c r="D142" s="68" t="n"/>
      <c r="E142" s="84">
        <f>SUM(G142:HJ142)</f>
        <v/>
      </c>
    </row>
    <row r="143" customFormat="1" s="568">
      <c r="B143" s="85" t="n"/>
      <c r="C143" s="84">
        <f>IFERROR(IF(AND($E143&gt;0,$D143&lt;&gt;"The Public"),$E143/SUMIFS($E$10:$E$163,$E$10:$E$163,"&gt;0",$D$10:$D$163,"&lt;&gt;The Public")*$D$5,""),"")</f>
        <v/>
      </c>
      <c r="D143" s="68" t="n"/>
      <c r="E143" s="84">
        <f>SUM(G143:HJ143)</f>
        <v/>
      </c>
    </row>
    <row r="144" customFormat="1" s="568">
      <c r="B144" s="85" t="n"/>
      <c r="C144" s="84">
        <f>IFERROR(IF(AND($E144&gt;0,$D144&lt;&gt;"The Public"),$E144/SUMIFS($E$10:$E$163,$E$10:$E$163,"&gt;0",$D$10:$D$163,"&lt;&gt;The Public")*$D$5,""),"")</f>
        <v/>
      </c>
      <c r="D144" s="68" t="n"/>
      <c r="E144" s="84">
        <f>SUM(G144:HJ144)</f>
        <v/>
      </c>
    </row>
    <row r="145" customFormat="1" s="568">
      <c r="B145" s="85" t="n"/>
      <c r="C145" s="84">
        <f>IFERROR(IF(AND($E145&gt;0,$D145&lt;&gt;"The Public"),$E145/SUMIFS($E$10:$E$163,$E$10:$E$163,"&gt;0",$D$10:$D$163,"&lt;&gt;The Public")*$D$5,""),"")</f>
        <v/>
      </c>
      <c r="D145" s="68" t="n"/>
      <c r="E145" s="84">
        <f>SUM(G145:HJ145)</f>
        <v/>
      </c>
    </row>
    <row r="146" customFormat="1" s="568">
      <c r="B146" s="85" t="n"/>
      <c r="C146" s="84">
        <f>IFERROR(IF(AND($E146&gt;0,$D146&lt;&gt;"The Public"),$E146/SUMIFS($E$10:$E$163,$E$10:$E$163,"&gt;0",$D$10:$D$163,"&lt;&gt;The Public")*$D$5,""),"")</f>
        <v/>
      </c>
      <c r="D146" s="68" t="n"/>
      <c r="E146" s="84">
        <f>SUM(G146:HJ146)</f>
        <v/>
      </c>
    </row>
    <row r="147" customFormat="1" s="568">
      <c r="B147" s="85" t="n"/>
      <c r="C147" s="84">
        <f>IFERROR(IF(AND($E147&gt;0,$D147&lt;&gt;"The Public"),$E147/SUMIFS($E$10:$E$163,$E$10:$E$163,"&gt;0",$D$10:$D$163,"&lt;&gt;The Public")*$D$5,""),"")</f>
        <v/>
      </c>
      <c r="D147" s="68" t="n"/>
      <c r="E147" s="84">
        <f>SUM(G147:HJ147)</f>
        <v/>
      </c>
    </row>
    <row r="148" customFormat="1" s="568">
      <c r="B148" s="85" t="n"/>
      <c r="C148" s="84">
        <f>IFERROR(IF(AND($E148&gt;0,$D148&lt;&gt;"The Public"),$E148/SUMIFS($E$10:$E$163,$E$10:$E$163,"&gt;0",$D$10:$D$163,"&lt;&gt;The Public")*$D$5,""),"")</f>
        <v/>
      </c>
      <c r="D148" s="68" t="n"/>
      <c r="E148" s="84">
        <f>SUM(G148:HJ148)</f>
        <v/>
      </c>
    </row>
    <row r="149" customFormat="1" s="568">
      <c r="B149" s="85" t="n"/>
      <c r="C149" s="84">
        <f>IFERROR(IF(AND($E149&gt;0,$D149&lt;&gt;"The Public"),$E149/SUMIFS($E$10:$E$163,$E$10:$E$163,"&gt;0",$D$10:$D$163,"&lt;&gt;The Public")*$D$5,""),"")</f>
        <v/>
      </c>
      <c r="D149" s="68" t="n"/>
      <c r="E149" s="84">
        <f>SUM(G149:HJ149)</f>
        <v/>
      </c>
    </row>
    <row r="150" customFormat="1" s="568">
      <c r="B150" s="85" t="n"/>
      <c r="C150" s="84">
        <f>IFERROR(IF(AND($E150&gt;0,$D150&lt;&gt;"The Public"),$E150/SUMIFS($E$10:$E$163,$E$10:$E$163,"&gt;0",$D$10:$D$163,"&lt;&gt;The Public")*$D$5,""),"")</f>
        <v/>
      </c>
      <c r="D150" s="68" t="n"/>
      <c r="E150" s="84">
        <f>SUM(G150:HJ150)</f>
        <v/>
      </c>
    </row>
    <row r="151" customFormat="1" s="568">
      <c r="B151" s="85" t="n"/>
      <c r="C151" s="84">
        <f>IFERROR(IF(AND($E151&gt;0,$D151&lt;&gt;"The Public"),$E151/SUMIFS($E$10:$E$163,$E$10:$E$163,"&gt;0",$D$10:$D$163,"&lt;&gt;The Public")*$D$5,""),"")</f>
        <v/>
      </c>
      <c r="D151" s="68" t="n"/>
      <c r="E151" s="84">
        <f>SUM(G151:HJ151)</f>
        <v/>
      </c>
    </row>
    <row r="152" customFormat="1" s="568">
      <c r="B152" s="85" t="n"/>
      <c r="C152" s="84">
        <f>IFERROR(IF(AND($E152&gt;0,$D152&lt;&gt;"The Public"),$E152/SUMIFS($E$10:$E$163,$E$10:$E$163,"&gt;0",$D$10:$D$163,"&lt;&gt;The Public")*$D$5,""),"")</f>
        <v/>
      </c>
      <c r="D152" s="68" t="n"/>
      <c r="E152" s="84">
        <f>SUM(G152:HJ152)</f>
        <v/>
      </c>
    </row>
    <row r="153" customFormat="1" s="568">
      <c r="B153" s="85" t="n"/>
      <c r="C153" s="84">
        <f>IFERROR(IF(AND($E153&gt;0,$D153&lt;&gt;"The Public"),$E153/SUMIFS($E$10:$E$163,$E$10:$E$163,"&gt;0",$D$10:$D$163,"&lt;&gt;The Public")*$D$5,""),"")</f>
        <v/>
      </c>
      <c r="D153" s="68" t="n"/>
      <c r="E153" s="84">
        <f>SUM(G153:HJ153)</f>
        <v/>
      </c>
    </row>
    <row r="154" customFormat="1" s="568">
      <c r="B154" s="85" t="n"/>
      <c r="C154" s="84">
        <f>IFERROR(IF(AND($E154&gt;0,$D154&lt;&gt;"The Public"),$E154/SUMIFS($E$10:$E$163,$E$10:$E$163,"&gt;0",$D$10:$D$163,"&lt;&gt;The Public")*$D$5,""),"")</f>
        <v/>
      </c>
      <c r="D154" s="68" t="n"/>
      <c r="E154" s="84">
        <f>SUM(G154:HJ154)</f>
        <v/>
      </c>
    </row>
    <row r="155" customFormat="1" s="568">
      <c r="B155" s="85" t="n"/>
      <c r="C155" s="84">
        <f>IFERROR(IF(AND($E155&gt;0,$D155&lt;&gt;"The Public"),$E155/SUMIFS($E$10:$E$163,$E$10:$E$163,"&gt;0",$D$10:$D$163,"&lt;&gt;The Public")*$D$5,""),"")</f>
        <v/>
      </c>
      <c r="D155" s="68" t="n"/>
      <c r="E155" s="84">
        <f>SUM(G155:HJ155)</f>
        <v/>
      </c>
    </row>
    <row r="156" customFormat="1" s="568">
      <c r="B156" s="85" t="n"/>
      <c r="C156" s="84">
        <f>IFERROR(IF(AND($E156&gt;0,$D156&lt;&gt;"The Public"),$E156/SUMIFS($E$10:$E$163,$E$10:$E$163,"&gt;0",$D$10:$D$163,"&lt;&gt;The Public")*$D$5,""),"")</f>
        <v/>
      </c>
      <c r="D156" s="68" t="n"/>
      <c r="E156" s="84">
        <f>SUM(G156:HJ156)</f>
        <v/>
      </c>
    </row>
    <row r="157" customFormat="1" s="568">
      <c r="B157" s="85" t="n"/>
      <c r="C157" s="84">
        <f>IFERROR(IF(AND($E157&gt;0,$D157&lt;&gt;"The Public"),$E157/SUMIFS($E$10:$E$163,$E$10:$E$163,"&gt;0",$D$10:$D$163,"&lt;&gt;The Public")*$D$5,""),"")</f>
        <v/>
      </c>
      <c r="D157" s="68" t="n"/>
      <c r="E157" s="84">
        <f>SUM(G157:HJ157)</f>
        <v/>
      </c>
    </row>
    <row r="158" customFormat="1" s="568">
      <c r="B158" s="85" t="n"/>
      <c r="C158" s="84">
        <f>IFERROR(IF(AND($E158&gt;0,$D158&lt;&gt;"The Public"),$E158/SUMIFS($E$10:$E$163,$E$10:$E$163,"&gt;0",$D$10:$D$163,"&lt;&gt;The Public")*$D$5,""),"")</f>
        <v/>
      </c>
      <c r="D158" s="68" t="n"/>
      <c r="E158" s="84">
        <f>SUM(G158:HJ158)</f>
        <v/>
      </c>
    </row>
    <row r="159" customFormat="1" s="568">
      <c r="B159" s="85" t="n"/>
      <c r="C159" s="84">
        <f>IFERROR(IF(AND($E159&gt;0,$D159&lt;&gt;"The Public"),$E159/SUMIFS($E$10:$E$163,$E$10:$E$163,"&gt;0",$D$10:$D$163,"&lt;&gt;The Public")*$D$5,""),"")</f>
        <v/>
      </c>
      <c r="D159" s="68" t="n"/>
      <c r="E159" s="84">
        <f>SUM(G159:HJ159)</f>
        <v/>
      </c>
    </row>
    <row r="160" customFormat="1" s="568">
      <c r="B160" s="85" t="n"/>
      <c r="C160" s="84">
        <f>IFERROR(IF(AND($E160&gt;0,$D160&lt;&gt;"The Public"),$E160/SUMIFS($E$10:$E$163,$E$10:$E$163,"&gt;0",$D$10:$D$163,"&lt;&gt;The Public")*$D$5,""),"")</f>
        <v/>
      </c>
      <c r="D160" s="68" t="n"/>
      <c r="E160" s="84">
        <f>SUM(G160:HJ160)</f>
        <v/>
      </c>
    </row>
    <row r="161" customFormat="1" s="568">
      <c r="B161" s="85" t="n"/>
      <c r="C161" s="84">
        <f>IFERROR(IF(AND($E161&gt;0,$D161&lt;&gt;"The Public"),$E161/SUMIFS($E$10:$E$163,$E$10:$E$163,"&gt;0",$D$10:$D$163,"&lt;&gt;The Public")*$D$5,""),"")</f>
        <v/>
      </c>
      <c r="D161" s="68" t="n"/>
      <c r="E161" s="84">
        <f>SUM(G161:HJ161)</f>
        <v/>
      </c>
    </row>
    <row r="162" customFormat="1" s="568">
      <c r="B162" s="85" t="n"/>
      <c r="C162" s="84">
        <f>IFERROR(IF(AND($E162&gt;0,$D162&lt;&gt;"The Public"),$E162/SUMIFS($E$10:$E$163,$E$10:$E$163,"&gt;0",$D$10:$D$163,"&lt;&gt;The Public")*$D$5,""),"")</f>
        <v/>
      </c>
      <c r="D162" s="68" t="n"/>
      <c r="E162" s="84">
        <f>SUM(G162:HJ162)</f>
        <v/>
      </c>
    </row>
    <row r="163" customFormat="1" s="568">
      <c r="B163" s="85" t="n"/>
      <c r="C163" s="84">
        <f>IFERROR(IF(AND($E163&gt;0,$D163&lt;&gt;"The Public"),$E163/SUMIFS($E$10:$E$163,$E$10:$E$163,"&gt;0",$D$10:$D$163,"&lt;&gt;The Public")*$D$5,""),"")</f>
        <v/>
      </c>
      <c r="D163" s="68" t="n"/>
      <c r="E163" s="84">
        <f>SUM(G163:HJ163)</f>
        <v/>
      </c>
    </row>
    <row r="164" customFormat="1" s="77">
      <c r="B164" s="81" t="n"/>
      <c r="C164" s="80" t="n"/>
      <c r="D164" s="79" t="inlineStr">
        <is>
          <t>If additional Rows are needed,</t>
        </is>
      </c>
      <c r="E164" s="78" t="n"/>
    </row>
    <row r="165" customFormat="1" s="74">
      <c r="B165" s="72" t="n"/>
      <c r="C165" s="71" t="n"/>
      <c r="D165" s="70" t="inlineStr">
        <is>
          <t>Insert them prior to the last row listed.</t>
        </is>
      </c>
      <c r="E165" s="69" t="n"/>
    </row>
    <row r="166">
      <c r="B166" s="72" t="n"/>
      <c r="C166" s="71" t="n"/>
      <c r="D166" s="70" t="inlineStr">
        <is>
          <t>Do NOT COPY the formulas below this line.</t>
        </is>
      </c>
      <c r="E166" s="69" t="n"/>
    </row>
  </sheetData>
  <mergeCells count="183">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Q7:EQ8"/>
    <mergeCell ref="EO7:EO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F6:F8"/>
    <mergeCell ref="CC7:CC8"/>
    <mergeCell ref="ET7:ET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W17"/>
  <sheetViews>
    <sheetView workbookViewId="0">
      <selection activeCell="C18" sqref="C18"/>
    </sheetView>
  </sheetViews>
  <sheetFormatPr baseColWidth="8" defaultColWidth="8.7109375" defaultRowHeight="26.25" customHeight="1"/>
  <cols>
    <col width="10.85546875" customWidth="1" style="115" min="1" max="1"/>
    <col width="12.42578125" bestFit="1" customWidth="1" style="115" min="2" max="2"/>
    <col width="21.140625" bestFit="1" customWidth="1" style="115" min="3" max="3"/>
    <col width="17.42578125" bestFit="1" customWidth="1" style="115" min="4" max="4"/>
    <col width="22.140625" customWidth="1" style="115" min="5" max="5"/>
    <col width="43.42578125" bestFit="1" customWidth="1" style="115" min="6" max="6"/>
    <col width="41.7109375" bestFit="1" customWidth="1" style="115" min="7" max="7"/>
    <col width="10.7109375" bestFit="1" customWidth="1" style="115" min="8" max="8"/>
    <col width="20.42578125" bestFit="1" customWidth="1" style="115" min="9" max="9"/>
    <col width="12.28515625" bestFit="1" customWidth="1" style="115" min="10" max="10"/>
    <col width="11.5703125" bestFit="1" customWidth="1" style="115" min="11" max="11"/>
    <col width="10.140625" customWidth="1" style="115" min="12" max="12"/>
    <col width="5.28515625" bestFit="1" customWidth="1" style="134" min="13" max="13"/>
    <col width="16.140625" bestFit="1" customWidth="1" style="115" min="14" max="14"/>
    <col width="14.7109375" bestFit="1" customWidth="1" style="115" min="15" max="15"/>
    <col width="12.85546875" customWidth="1" style="115" min="16" max="16"/>
    <col width="22.85546875" customWidth="1" style="115" min="17" max="17"/>
    <col width="8.7109375" customWidth="1" style="115" min="18" max="16384"/>
  </cols>
  <sheetData>
    <row r="1" ht="26.25" customHeight="1" s="267">
      <c r="A1" s="124" t="inlineStr">
        <is>
          <t>Wells</t>
        </is>
      </c>
      <c r="B1" s="124" t="n"/>
      <c r="C1" s="124" t="n"/>
      <c r="D1" s="124" t="n"/>
      <c r="E1" s="124" t="n"/>
      <c r="F1" s="124" t="n"/>
      <c r="G1" s="124" t="n"/>
      <c r="H1" s="124" t="n"/>
      <c r="I1" s="124" t="n"/>
      <c r="J1" s="124" t="n"/>
      <c r="K1" s="124" t="n"/>
      <c r="L1" s="124" t="n"/>
      <c r="N1" s="124" t="n"/>
      <c r="O1" s="124" t="n"/>
    </row>
    <row r="2" ht="26.25" customHeight="1" s="267">
      <c r="A2" s="125" t="inlineStr">
        <is>
          <t>Well #</t>
        </is>
      </c>
      <c r="B2" s="125" t="inlineStr">
        <is>
          <t>API #</t>
        </is>
      </c>
      <c r="C2" s="125" t="inlineStr">
        <is>
          <t>Current Operator</t>
        </is>
      </c>
      <c r="D2" s="125" t="inlineStr">
        <is>
          <t>Well Name</t>
        </is>
      </c>
      <c r="E2" s="125" t="inlineStr">
        <is>
          <t>Formation</t>
        </is>
      </c>
      <c r="F2" s="125" t="inlineStr">
        <is>
          <t>Surface Location</t>
        </is>
      </c>
      <c r="G2" s="125" t="inlineStr">
        <is>
          <t>Bottom Hole Location</t>
        </is>
      </c>
      <c r="H2" s="125" t="inlineStr">
        <is>
          <t>Spud Date</t>
        </is>
      </c>
      <c r="I2" s="125" t="inlineStr">
        <is>
          <t>Perforated Interval(s)</t>
        </is>
      </c>
      <c r="J2" s="125" t="inlineStr">
        <is>
          <t>TD &amp; TVD</t>
        </is>
      </c>
      <c r="K2" s="125" t="inlineStr">
        <is>
          <t>Spacing</t>
        </is>
      </c>
      <c r="L2" s="125" t="inlineStr">
        <is>
          <t>MU Order</t>
        </is>
      </c>
      <c r="M2" s="135" t="inlineStr">
        <is>
          <t>Type</t>
        </is>
      </c>
      <c r="N2" s="125" t="inlineStr">
        <is>
          <t>Completion Date</t>
        </is>
      </c>
      <c r="O2" s="125" t="inlineStr">
        <is>
          <t>Last Production</t>
        </is>
      </c>
      <c r="P2" s="125" t="inlineStr">
        <is>
          <t>Plugging</t>
        </is>
      </c>
      <c r="Q2" s="125" t="inlineStr">
        <is>
          <t>Allocation</t>
        </is>
      </c>
    </row>
    <row r="3" ht="26.25" customHeight="1" s="267">
      <c r="A3" s="132" t="inlineStr">
        <is>
          <t>Alexander #1-31 (of record as ALEXANDER 1-31)</t>
        </is>
      </c>
      <c r="B3" s="120" t="inlineStr">
        <is>
          <t>35-129-22925</t>
        </is>
      </c>
      <c r="C3" s="115" t="inlineStr">
        <is>
          <t>Martin's Resources LLC</t>
        </is>
      </c>
      <c r="D3" s="120" t="inlineStr">
        <is>
          <t>Alexander 1-31 / ALEXANDER 1-31 of record</t>
        </is>
      </c>
      <c r="E3" s="607" t="inlineStr">
        <is>
          <t>VERIFY - OCC 1002A / completion record needed</t>
        </is>
      </c>
      <c r="F3" s="120" t="inlineStr">
        <is>
          <t>Sec 31-12N-24W, C NW/4 SE/4, 660' FWL x 1980' FSL</t>
        </is>
      </c>
      <c r="G3" s="120" t="inlineStr">
        <is>
          <t>VERIFY — not provided in source</t>
        </is>
      </c>
      <c r="H3" s="117" t="inlineStr">
        <is>
          <t>VERIFY — not provided in source</t>
        </is>
      </c>
      <c r="I3" s="117" t="inlineStr">
        <is>
          <t>VERIFY — not provided in source</t>
        </is>
      </c>
      <c r="J3" s="117" t="inlineStr">
        <is>
          <t>VERIFY — not provided in source</t>
        </is>
      </c>
      <c r="K3" s="121" t="inlineStr">
        <is>
          <t>VERIFY — not provided in source</t>
        </is>
      </c>
      <c r="L3" s="118" t="inlineStr">
        <is>
          <t>VERIFY — not provided in source</t>
        </is>
      </c>
      <c r="M3" s="136" t="inlineStr">
        <is>
          <t>Active (OCC status AC, oil)</t>
        </is>
      </c>
      <c r="N3" s="119" t="n">
        <v>38856</v>
      </c>
      <c r="O3" s="608" t="n">
        <v>46082</v>
      </c>
      <c r="P3" s="609" t="inlineStr">
        <is>
          <t>Active / not plugged per source; VERIFY vs OCC plugging records.</t>
        </is>
      </c>
      <c r="Q3" s="125" t="inlineStr">
        <is>
          <t>Source: OCC RBDMS GIS 6/12/2026. Sole well of record. Wellbore ORRI 2% of 8/8 → Martin's Empire LLC to Stride Bank, Trustee (2698/0069). HBP UNCONFIRMED — active status alone insufficient; pending OTC PUN pull.</t>
        </is>
      </c>
    </row>
    <row r="4" ht="26.25" customHeight="1" s="267">
      <c r="A4" s="120" t="n"/>
      <c r="B4" s="120" t="n"/>
      <c r="C4" s="120" t="n"/>
      <c r="D4" s="120" t="n"/>
      <c r="E4" s="121" t="n"/>
      <c r="F4" s="120" t="n"/>
      <c r="G4" s="120" t="n"/>
      <c r="H4" s="117" t="n"/>
      <c r="I4" s="133" t="n"/>
      <c r="J4" s="117" t="n"/>
      <c r="K4" s="121" t="n"/>
      <c r="L4" s="118" t="n"/>
      <c r="M4" s="136" t="n"/>
      <c r="N4" s="119" t="n"/>
      <c r="O4" s="116" t="n"/>
      <c r="P4" s="119" t="n"/>
      <c r="Q4" s="122" t="n"/>
    </row>
    <row r="5" ht="26.25" customHeight="1" s="267">
      <c r="A5" s="120" t="inlineStr">
        <is>
          <t>Production Check (6/24/2026)</t>
        </is>
      </c>
      <c r="B5" s="120" t="inlineStr">
        <is>
          <t>Checked for additional wells affecting Sec 31-12N-24W. Alexander #1-31 (API 35-129-22925) remains the SOLE confirmed well of record in Sec 31; web re-check 6/24/2026 found no contradicting public data (status Active; last production ~3/2026 per prior OCC/ShaleXP); well-level monthly volumes still require OTC PUN / OCC pull. Client-named candidate 'Pasture Trail 31/30 MD #1H' (API 35-129-24158): county code 129 = Roger Mills, BUT public records (Mineral Rights Forum) place Mewbourne 'Pasture Trails 31/30' multiunit in 31/30-17N-24W, ELLIS Co — NOT 31-12N-24W. Could not confirm this API's section/operator/status via accessible public sources (OCC Well Data Finder / RBDMS are interactive, not retrievable). VERIFY via OCC before adding as a Sec 31 well — no well data added pending confirmation. Mewbourne is an active Roger Mills operator (DrillingEdge) but no confirmed Mewbourne well in Sec 31-12N-24W.</t>
        </is>
      </c>
      <c r="C5" s="120" t="n"/>
      <c r="D5" s="120" t="n"/>
      <c r="E5" s="121" t="n"/>
      <c r="F5" s="120" t="n"/>
      <c r="G5" s="120" t="n"/>
      <c r="H5" s="117" t="n"/>
      <c r="I5" s="133" t="n"/>
      <c r="J5" s="119" t="n"/>
      <c r="K5" s="121" t="n"/>
      <c r="L5" s="118" t="n"/>
      <c r="M5" s="133" t="n"/>
      <c r="N5" s="117" t="n"/>
      <c r="O5" s="116" t="n"/>
      <c r="P5" s="123" t="n"/>
      <c r="Q5" s="122" t="n"/>
    </row>
    <row r="6" ht="26.25" customHeight="1" s="267">
      <c r="A6" s="115" t="inlineStr">
        <is>
          <t>Affecting Status</t>
        </is>
      </c>
      <c r="B6" s="115" t="inlineStr">
        <is>
          <t>Well Name</t>
        </is>
      </c>
      <c r="C6" s="115" t="inlineStr">
        <is>
          <t>API #</t>
        </is>
      </c>
      <c r="D6" s="115" t="inlineStr">
        <is>
          <t>Current Operator</t>
        </is>
      </c>
      <c r="E6" s="115" t="inlineStr">
        <is>
          <t>Original Operator / Applicant</t>
        </is>
      </c>
      <c r="F6" s="115" t="inlineStr">
        <is>
          <t>Well Status</t>
        </is>
      </c>
      <c r="G6" s="115" t="inlineStr">
        <is>
          <t>Well Type</t>
        </is>
      </c>
      <c r="H6" s="115" t="inlineStr">
        <is>
          <t>Formation / Target</t>
        </is>
      </c>
      <c r="I6" s="115" t="inlineStr">
        <is>
          <t>Surface Location / SHL</t>
        </is>
      </c>
      <c r="J6" s="115" t="inlineStr">
        <is>
          <t>Bottom Hole / BHL</t>
        </is>
      </c>
      <c r="K6" s="115" t="inlineStr">
        <is>
          <t>STR / Unit Tie to 31-12N-24W</t>
        </is>
      </c>
      <c r="L6" s="115" t="inlineStr">
        <is>
          <t>Spud / Permit Date</t>
        </is>
      </c>
      <c r="M6" s="134" t="inlineStr">
        <is>
          <t>Completion / Recompletion Date</t>
        </is>
      </c>
      <c r="N6" s="115" t="inlineStr">
        <is>
          <t>Last Production / Production Status</t>
        </is>
      </c>
      <c r="O6" s="115" t="inlineStr">
        <is>
          <t>TD / MD / TVD</t>
        </is>
      </c>
      <c r="P6" s="115" t="inlineStr">
        <is>
          <t>Perfs / Treatment</t>
        </is>
      </c>
      <c r="Q6" s="115" t="inlineStr">
        <is>
          <t>PUN / Lease ID</t>
        </is>
      </c>
      <c r="R6" s="115" t="inlineStr">
        <is>
          <t>Spacing / Unit / Allocation</t>
        </is>
      </c>
      <c r="S6" s="115" t="inlineStr">
        <is>
          <t>Source Class</t>
        </is>
      </c>
      <c r="T6" s="115" t="inlineStr">
        <is>
          <t>Source URL(s)</t>
        </is>
      </c>
      <c r="U6" s="115" t="inlineStr">
        <is>
          <t>Confidence</t>
        </is>
      </c>
      <c r="V6" s="115" t="inlineStr">
        <is>
          <t>Data Gaps / Required Verification</t>
        </is>
      </c>
      <c r="W6" s="115" t="inlineStr">
        <is>
          <t>Notes</t>
        </is>
      </c>
    </row>
    <row r="7" ht="26.25" customHeight="1" s="267">
      <c r="A7" s="115" t="inlineStr">
        <is>
          <t>CONFIRMED AFFECTING WELL LEAD</t>
        </is>
      </c>
      <c r="B7" s="115" t="inlineStr">
        <is>
          <t>Alexander #1-31 / ALEXANDER 1-31</t>
        </is>
      </c>
      <c r="C7" s="115" t="inlineStr">
        <is>
          <t>35-129-22925</t>
        </is>
      </c>
      <c r="D7" s="115" t="inlineStr">
        <is>
          <t>Martin's Resources LLC (secondary ShaleXP; verify OCC current operator)</t>
        </is>
      </c>
      <c r="E7" s="115" t="inlineStr">
        <is>
          <t>Newfield Exploration Mid-Continent (Journal Record drilling/spud/recompletion reports)</t>
        </is>
      </c>
      <c r="F7" s="115" t="inlineStr">
        <is>
          <t>Active per ShaleXP/Martin operator listing; verify OCC status</t>
        </is>
      </c>
      <c r="G7" s="115" t="inlineStr">
        <is>
          <t>Vertical conventional oil/gas well - verify OCC well type</t>
        </is>
      </c>
      <c r="H7" s="115" t="inlineStr">
        <is>
          <t>Shawnee recompletion at 9,100'; original target/deeper formation needs OCC 1002A</t>
        </is>
      </c>
      <c r="I7" s="115" t="inlineStr">
        <is>
          <t>C NW/4 SE/4, Section 31-12N-24W; 1,980' FSL &amp; 660' FWL</t>
        </is>
      </c>
      <c r="J7" s="115" t="inlineStr">
        <is>
          <t>Not found in public text; likely vertical unless OCC record shows directional/BHL</t>
        </is>
      </c>
      <c r="K7" s="115" t="inlineStr">
        <is>
          <t>Surface located in 31-12N-24W. HBP/acreage effect depends on OCC spacing/unit and lease terms.</t>
        </is>
      </c>
      <c r="L7" s="115" t="inlineStr">
        <is>
          <t>Spudded/listed March 2006 in Journal Record; exact spud date needs OCC Form 1000/1001A</t>
        </is>
      </c>
      <c r="M7" s="134" t="inlineStr">
        <is>
          <t>Workbook carried 05/19/2006 completion date from prior OCC/RBDMS note; Journal Record reports recompletion Jan. 11, 2012</t>
        </is>
      </c>
      <c r="N7" s="115" t="inlineStr">
        <is>
          <t>Active through Mar. 2026 per secondary listing; well-level OTC monthly volumes/PUN not pulled</t>
        </is>
      </c>
      <c r="O7" s="115" t="inlineStr">
        <is>
          <t>TD 15,100'; TVD not found</t>
        </is>
      </c>
      <c r="P7" s="115" t="inlineStr">
        <is>
          <t>Recompletion at 9,100' Shawnee; exact perforated interval not found</t>
        </is>
      </c>
      <c r="Q7" s="115" t="inlineStr">
        <is>
          <t>Not found - pull OTC PUN/Gross Production by API or legal</t>
        </is>
      </c>
      <c r="R7" s="115" t="inlineStr">
        <is>
          <t>Not found - pull OCC spacing/pooling/location/unit orders by API/legal</t>
        </is>
      </c>
      <c r="S7" s="115" t="inlineStr">
        <is>
          <t>Journal Record public drilling report + ShaleXP secondary operator listing + existing workbook OCC/RBDMS note</t>
        </is>
      </c>
      <c r="T7" s="325" t="inlineStr">
        <is>
          <t>https://journalrecord.com/2006/03/27/drilling-reports-284/
https://journalrecord.com/2012/02/09/drilling-reports-feb-10-2012-energy/
https://www.shalexp.com/martin-s-resources-llc
https://oklahoma.gov/occ/divisions/oil-gas/database-search-imaged-documents/occ-well-data-finder.html</t>
        </is>
      </c>
      <c r="U7" s="115" t="inlineStr">
        <is>
          <t>Medium-High for existence/legal tie; Medium for current operator/status; Low for production volumes until OTC PUN pull</t>
        </is>
      </c>
      <c r="V7" s="115" t="inlineStr">
        <is>
          <t>Pull OCC well file: Forms 1000/1001A/1002A/1073/plugging; pull OTC PUN monthly production; verify spacing/unit and current operator.</t>
        </is>
      </c>
      <c r="W7" s="115" t="inlineStr">
        <is>
          <t>Only source-supported well currently tied directly to 31-12N-24W. Do not credit Pasture Trail, Christensen, Flick, or Mooney to this section without an OCC multiunit/order/lateral proof.</t>
        </is>
      </c>
    </row>
    <row r="9" ht="26.25" customHeight="1" s="267">
      <c r="A9" s="115" t="inlineStr">
        <is>
          <t>Research Conclusion</t>
        </is>
      </c>
      <c r="B9" s="115" t="inlineStr">
        <is>
          <t>Confirmed affecting wells found from public/source-backed review: 1 (Alexander #1-31). All other high-profile “31” / “31-30” leads are quarantined below unless OCC proves lateral/unit allocation to 31-12N-24W.</t>
        </is>
      </c>
    </row>
    <row r="11" ht="26.25" customHeight="1" s="267">
      <c r="A11" s="115" t="inlineStr">
        <is>
          <t>QUARANTINED / DO NOT USE AS AFFECTING 31-12N-24W UNLESS OCC PROVES IT</t>
        </is>
      </c>
    </row>
    <row r="12" ht="26.25" customHeight="1" s="267">
      <c r="A12" s="115" t="inlineStr">
        <is>
          <t>Affecting Status</t>
        </is>
      </c>
      <c r="B12" s="115" t="inlineStr">
        <is>
          <t>Well Name</t>
        </is>
      </c>
      <c r="C12" s="115" t="inlineStr">
        <is>
          <t>API #</t>
        </is>
      </c>
      <c r="D12" s="115" t="inlineStr">
        <is>
          <t>Current Operator</t>
        </is>
      </c>
      <c r="E12" s="115" t="inlineStr">
        <is>
          <t>Original Operator / Applicant</t>
        </is>
      </c>
      <c r="F12" s="115" t="inlineStr">
        <is>
          <t>Well Status</t>
        </is>
      </c>
      <c r="G12" s="115" t="inlineStr">
        <is>
          <t>Well Type</t>
        </is>
      </c>
      <c r="H12" s="115" t="inlineStr">
        <is>
          <t>Formation / Target</t>
        </is>
      </c>
      <c r="I12" s="115" t="inlineStr">
        <is>
          <t>Surface Location / SHL</t>
        </is>
      </c>
      <c r="J12" s="115" t="inlineStr">
        <is>
          <t>Bottom Hole / BHL</t>
        </is>
      </c>
      <c r="K12" s="115" t="inlineStr">
        <is>
          <t>STR / Unit Tie to 31-12N-24W</t>
        </is>
      </c>
      <c r="L12" s="115" t="inlineStr">
        <is>
          <t>Spud / Permit Date</t>
        </is>
      </c>
      <c r="M12" s="134" t="inlineStr">
        <is>
          <t>Completion / Recompletion Date</t>
        </is>
      </c>
      <c r="N12" s="115" t="inlineStr">
        <is>
          <t>Last Production / Production Status</t>
        </is>
      </c>
      <c r="O12" s="115" t="inlineStr">
        <is>
          <t>TD / MD / TVD</t>
        </is>
      </c>
      <c r="P12" s="115" t="inlineStr">
        <is>
          <t>Perfs / Treatment</t>
        </is>
      </c>
      <c r="Q12" s="115" t="inlineStr">
        <is>
          <t>PUN / Lease ID</t>
        </is>
      </c>
      <c r="R12" s="115" t="inlineStr">
        <is>
          <t>Spacing / Unit / Allocation</t>
        </is>
      </c>
      <c r="S12" s="115" t="inlineStr">
        <is>
          <t>Source Class</t>
        </is>
      </c>
      <c r="T12" s="115" t="inlineStr">
        <is>
          <t>Source URL(s)</t>
        </is>
      </c>
      <c r="U12" s="115" t="inlineStr">
        <is>
          <t>Confidence</t>
        </is>
      </c>
      <c r="V12" s="115" t="inlineStr">
        <is>
          <t>Data Gaps / Required Verification</t>
        </is>
      </c>
      <c r="W12" s="115" t="inlineStr">
        <is>
          <t>Notes</t>
        </is>
      </c>
    </row>
    <row r="13" ht="26.25" customHeight="1" s="267">
      <c r="A13" s="115" t="inlineStr">
        <is>
          <t>QUARANTINE - WRONG AREA / SAME NAME TRAP</t>
        </is>
      </c>
      <c r="B13" s="115" t="inlineStr">
        <is>
          <t>Alexander #1-31 (different ShaleXP Alexander property row)</t>
        </is>
      </c>
      <c r="C13" s="115" t="inlineStr">
        <is>
          <t>35-129-22600</t>
        </is>
      </c>
      <c r="D13" s="115" t="inlineStr">
        <is>
          <t>Avalanche Oil &amp; Gas LLC / Unbridled Resources LLC shown in ShaleXP property record</t>
        </is>
      </c>
      <c r="E13" s="115" t="inlineStr">
        <is>
          <t>Unknown</t>
        </is>
      </c>
      <c r="F13" s="115" t="inlineStr">
        <is>
          <t>Active per ShaleXP property row</t>
        </is>
      </c>
      <c r="G13" s="115" t="inlineStr">
        <is>
          <t>Vertical gas/oil - verify if ever relevant</t>
        </is>
      </c>
      <c r="H13" s="115" t="inlineStr">
        <is>
          <t>Unknown</t>
        </is>
      </c>
      <c r="I13" s="115" t="inlineStr">
        <is>
          <t>Coordinates 35.477628, -99.993085 (far west of target section)</t>
        </is>
      </c>
      <c r="J13" s="115" t="inlineStr">
        <is>
          <t>Not found</t>
        </is>
      </c>
      <c r="K13" s="115" t="inlineStr">
        <is>
          <t>Do not treat as 31-12N-24W; appears to be another Alexander 1-31 near Wheeler/Roger Mills border</t>
        </is>
      </c>
      <c r="L13" s="115" t="inlineStr">
        <is>
          <t>Unknown</t>
        </is>
      </c>
      <c r="M13" s="134" t="inlineStr">
        <is>
          <t>Unknown</t>
        </is>
      </c>
      <c r="N13" s="115" t="inlineStr">
        <is>
          <t>No recent production on ShaleXP Alexander property as of Jan 2026 aggregate</t>
        </is>
      </c>
      <c r="O13" s="115" t="inlineStr">
        <is>
          <t>Unknown</t>
        </is>
      </c>
      <c r="P13" s="115" t="inlineStr">
        <is>
          <t>Unknown</t>
        </is>
      </c>
      <c r="Q13" s="115" t="inlineStr">
        <is>
          <t>129-113441-0-0000 shown for ALEXANDER 1-31 in ShaleXP property record</t>
        </is>
      </c>
      <c r="R13" s="115" t="inlineStr">
        <is>
          <t>Unknown</t>
        </is>
      </c>
      <c r="S13" s="115" t="inlineStr">
        <is>
          <t>ShaleXP secondary; not a target-section legal proof</t>
        </is>
      </c>
      <c r="T13" s="115" t="inlineStr">
        <is>
          <t>https://www.shalexp.com/texas/wheeler-county/alexander/593728</t>
        </is>
      </c>
      <c r="U13" s="115" t="inlineStr">
        <is>
          <t>High confidence this is not safe for target section without OCC legal proof</t>
        </is>
      </c>
      <c r="V13" s="115" t="inlineStr">
        <is>
          <t>Verify exact STR in OCC before any use.</t>
        </is>
      </c>
      <c r="W13" s="115" t="inlineStr">
        <is>
          <t>Included only to prevent title/valuation contamination.</t>
        </is>
      </c>
    </row>
    <row r="14" ht="26.25" customHeight="1" s="267">
      <c r="A14" s="115" t="inlineStr">
        <is>
          <t>QUARANTINE - WRONG TOWNSHIP/RANGE TRAP</t>
        </is>
      </c>
      <c r="B14" s="115" t="inlineStr">
        <is>
          <t>Pasture Trail 31/30 MD #1H</t>
        </is>
      </c>
      <c r="C14" s="115" t="inlineStr">
        <is>
          <t>35-129-24158</t>
        </is>
      </c>
      <c r="D14" s="115" t="inlineStr">
        <is>
          <t>Mewbourne Oil Company</t>
        </is>
      </c>
      <c r="E14" s="115" t="inlineStr">
        <is>
          <t>Mewbourne Oil Company</t>
        </is>
      </c>
      <c r="F14" s="115" t="inlineStr">
        <is>
          <t>Producing/high-rate secondary reports, but not tied to this section</t>
        </is>
      </c>
      <c r="G14" s="115" t="inlineStr">
        <is>
          <t>Horizontal multiunit</t>
        </is>
      </c>
      <c r="H14" s="115" t="inlineStr">
        <is>
          <t>Unknown / verify OCC</t>
        </is>
      </c>
      <c r="I14" s="115" t="inlineStr">
        <is>
          <t>Not target section</t>
        </is>
      </c>
      <c r="J14" s="115" t="inlineStr">
        <is>
          <t>Not target section</t>
        </is>
      </c>
      <c r="K14" s="115" t="inlineStr">
        <is>
          <t>Forum/source context points to Sections 30 &amp; 31 - 17N-24W, not 31-12N-24W</t>
        </is>
      </c>
      <c r="L14" s="115" t="inlineStr">
        <is>
          <t>Unknown</t>
        </is>
      </c>
      <c r="M14" s="134" t="inlineStr">
        <is>
          <t>2025-era producing well; dates/volumes not used here</t>
        </is>
      </c>
      <c r="N14" s="115" t="inlineStr">
        <is>
          <t>Excluded from valuation/HBP for 31-12N-24W</t>
        </is>
      </c>
      <c r="O14" s="115" t="inlineStr">
        <is>
          <t>Unknown</t>
        </is>
      </c>
      <c r="P14" s="115" t="inlineStr">
        <is>
          <t>Unknown</t>
        </is>
      </c>
      <c r="Q14" s="115" t="inlineStr">
        <is>
          <t>Unknown</t>
        </is>
      </c>
      <c r="R14" s="115" t="inlineStr">
        <is>
          <t>Unknown</t>
        </is>
      </c>
      <c r="S14" s="115" t="inlineStr">
        <is>
          <t>MineralRightsForum / secondary sources</t>
        </is>
      </c>
      <c r="T14" s="325" t="inlineStr">
        <is>
          <t>https://www.mineralrightsforum.com/t/bonus-amounts-in-roger-mills-county-oklahoma/80142
https://www.mineralanswers.com/oklahoma/roger-mills-county</t>
        </is>
      </c>
      <c r="U14" s="115" t="inlineStr">
        <is>
          <t>High confidence it should be excluded absent OCC allocation to 31-12N-24W</t>
        </is>
      </c>
      <c r="V14" s="115" t="inlineStr">
        <is>
          <t>Pull OCC MU order only if someone claims allocation.</t>
        </is>
      </c>
      <c r="W14" s="115" t="inlineStr">
        <is>
          <t>Do not use Kimi-style Pasture Trail valuation for this tract.</t>
        </is>
      </c>
    </row>
    <row r="15" ht="26.25" customHeight="1" s="267">
      <c r="A15" s="115" t="inlineStr">
        <is>
          <t>QUARANTINE - WRONG AREA / SAME SECTION NUMBER TRAP</t>
        </is>
      </c>
      <c r="B15" s="115" t="inlineStr">
        <is>
          <t>Flick “31” #1</t>
        </is>
      </c>
      <c r="C15" s="115" t="inlineStr">
        <is>
          <t>35-129-22508</t>
        </is>
      </c>
      <c r="D15" s="115" t="inlineStr">
        <is>
          <t>Mewbourne Oil Company</t>
        </is>
      </c>
      <c r="E15" s="115" t="inlineStr">
        <is>
          <t>Unknown</t>
        </is>
      </c>
      <c r="F15" s="115" t="inlineStr">
        <is>
          <t>Active per ShaleXP</t>
        </is>
      </c>
      <c r="G15" s="115" t="inlineStr">
        <is>
          <t>Vertical conventional</t>
        </is>
      </c>
      <c r="H15" s="115" t="inlineStr">
        <is>
          <t>Unknown</t>
        </is>
      </c>
      <c r="I15" s="115" t="inlineStr">
        <is>
          <t>Coordinates 35.736492, -99.468770 per ShaleXP</t>
        </is>
      </c>
      <c r="J15" s="115" t="inlineStr">
        <is>
          <t>Not found</t>
        </is>
      </c>
      <c r="K15" s="115" t="inlineStr">
        <is>
          <t>Not tied to 31-12N-24W; coordinates are not in target area</t>
        </is>
      </c>
      <c r="L15" s="115" t="inlineStr">
        <is>
          <t>Unknown</t>
        </is>
      </c>
      <c r="M15" s="134" t="inlineStr">
        <is>
          <t>Sep. 2003-Mar. 2026 production period per ShaleXP property</t>
        </is>
      </c>
      <c r="N15" s="115" t="inlineStr">
        <is>
          <t>Excluded unless OCC legal proof is produced</t>
        </is>
      </c>
      <c r="O15" s="115" t="inlineStr">
        <is>
          <t>Unknown</t>
        </is>
      </c>
      <c r="P15" s="115" t="inlineStr">
        <is>
          <t>Unknown</t>
        </is>
      </c>
      <c r="Q15" s="115" t="inlineStr">
        <is>
          <t>129-111821-0-0000 per ShaleXP; not target-section proof</t>
        </is>
      </c>
      <c r="R15" s="115" t="inlineStr">
        <is>
          <t>Unknown</t>
        </is>
      </c>
      <c r="S15" s="115" t="inlineStr">
        <is>
          <t>ShaleXP secondary; public notice context previously indicated different township/range area</t>
        </is>
      </c>
      <c r="T15" s="115" t="inlineStr">
        <is>
          <t>https://www.shalexp.com/oklahoma/roger-mills-county/flick-31-1/558003</t>
        </is>
      </c>
      <c r="U15" s="115" t="inlineStr">
        <is>
          <t>High confidence excluded from target section from available coordinates/source context</t>
        </is>
      </c>
      <c r="V15" s="115" t="inlineStr">
        <is>
          <t>Verify with OCC only if an operator/payor says it affects this tract.</t>
        </is>
      </c>
      <c r="W15" s="115" t="inlineStr">
        <is>
          <t>Previously associated in error; corrected here.</t>
        </is>
      </c>
    </row>
    <row r="16" ht="26.25" customHeight="1" s="267">
      <c r="A16" s="115" t="inlineStr">
        <is>
          <t>QUARANTINE - UNCONFIRMED FOR TARGET SECTION</t>
        </is>
      </c>
      <c r="B16" s="115" t="inlineStr">
        <is>
          <t>Mooney “31” #1</t>
        </is>
      </c>
      <c r="C16" s="115" t="inlineStr">
        <is>
          <t>35-129-22556</t>
        </is>
      </c>
      <c r="D16" s="115" t="inlineStr">
        <is>
          <t>Mewbourne Oil Company</t>
        </is>
      </c>
      <c r="E16" s="115" t="inlineStr">
        <is>
          <t>Unknown</t>
        </is>
      </c>
      <c r="F16" s="115" t="inlineStr">
        <is>
          <t>Active per secondary/source references</t>
        </is>
      </c>
      <c r="G16" s="115" t="inlineStr">
        <is>
          <t>Vertical conventional</t>
        </is>
      </c>
      <c r="H16" s="115" t="inlineStr">
        <is>
          <t>Unknown</t>
        </is>
      </c>
      <c r="I16" s="115" t="inlineStr">
        <is>
          <t>SE NE NW SE of Section 31 in public notice context; not target STR verified</t>
        </is>
      </c>
      <c r="J16" s="115" t="inlineStr">
        <is>
          <t>Not found</t>
        </is>
      </c>
      <c r="K16" s="115" t="inlineStr">
        <is>
          <t>Do not tie to 31-12N-24W without OCC legal proof; public notice context previously pointed away from target section</t>
        </is>
      </c>
      <c r="L16" s="115" t="inlineStr">
        <is>
          <t>Unknown</t>
        </is>
      </c>
      <c r="M16" s="134" t="inlineStr">
        <is>
          <t>Unknown</t>
        </is>
      </c>
      <c r="N16" s="115" t="inlineStr">
        <is>
          <t>Excluded unless OCC/OTC proves section allocation</t>
        </is>
      </c>
      <c r="O16" s="115" t="inlineStr">
        <is>
          <t>Unknown</t>
        </is>
      </c>
      <c r="P16" s="115" t="inlineStr">
        <is>
          <t>Unknown</t>
        </is>
      </c>
      <c r="Q16" s="115" t="inlineStr">
        <is>
          <t>Possible shared lease with Flick in non-target section</t>
        </is>
      </c>
      <c r="R16" s="115" t="inlineStr">
        <is>
          <t>Unknown</t>
        </is>
      </c>
      <c r="S16" s="115" t="inlineStr">
        <is>
          <t>Secondary / public notice trap</t>
        </is>
      </c>
      <c r="T16" s="115" t="inlineStr">
        <is>
          <t>https://www.shalexp.com/oklahoma/roger-mills-county/flick-31-1/558003</t>
        </is>
      </c>
      <c r="U16" s="115" t="inlineStr">
        <is>
          <t>Medium confidence excluded; needs OCC legal if ever asserted</t>
        </is>
      </c>
      <c r="V16" s="115" t="inlineStr">
        <is>
          <t>Run API 35-129-22556 in OCC Well Data Finder if needed.</t>
        </is>
      </c>
      <c r="W16" s="115" t="inlineStr">
        <is>
          <t>Previously associated in error; corrected here.</t>
        </is>
      </c>
    </row>
    <row r="17" ht="26.25" customHeight="1" s="267">
      <c r="A17" s="115" t="inlineStr">
        <is>
          <t>QUARANTINE - OFFSET/TOWNSHIP CLAIM NOT PROVEN</t>
        </is>
      </c>
      <c r="B17" s="115" t="inlineStr">
        <is>
          <t>Christensen 19/30 BO #2H / CN #1H</t>
        </is>
      </c>
      <c r="C17" s="115" t="inlineStr">
        <is>
          <t>35-129-24195 / 35-129-24196</t>
        </is>
      </c>
      <c r="D17" s="115" t="inlineStr">
        <is>
          <t>Mewbourne Oil Company</t>
        </is>
      </c>
      <c r="E17" s="115" t="inlineStr">
        <is>
          <t>Mewbourne Oil Company</t>
        </is>
      </c>
      <c r="F17" s="115" t="inlineStr">
        <is>
          <t>High-rate county wells, not target section verified</t>
        </is>
      </c>
      <c r="G17" s="115" t="inlineStr">
        <is>
          <t>Horizontal</t>
        </is>
      </c>
      <c r="H17" s="115" t="inlineStr">
        <is>
          <t>Unknown</t>
        </is>
      </c>
      <c r="I17" s="115" t="inlineStr">
        <is>
          <t>Not found for target</t>
        </is>
      </c>
      <c r="J17" s="115" t="inlineStr">
        <is>
          <t>Not found for target</t>
        </is>
      </c>
      <c r="K17" s="115" t="inlineStr">
        <is>
          <t>No source reviewed ties these to 31-12N-24W; do not use for HBP/valuation of Section 31</t>
        </is>
      </c>
      <c r="L17" s="115" t="inlineStr">
        <is>
          <t>Unknown</t>
        </is>
      </c>
      <c r="M17" s="134" t="inlineStr">
        <is>
          <t>2026 production stats excluded</t>
        </is>
      </c>
      <c r="N17" s="115" t="inlineStr">
        <is>
          <t>Excluded from this title/well sheet except as county context</t>
        </is>
      </c>
      <c r="O17" s="115" t="inlineStr">
        <is>
          <t>Unknown</t>
        </is>
      </c>
      <c r="P17" s="115" t="inlineStr">
        <is>
          <t>Unknown</t>
        </is>
      </c>
      <c r="Q17" s="115" t="inlineStr">
        <is>
          <t>Unknown</t>
        </is>
      </c>
      <c r="R17" s="115" t="inlineStr">
        <is>
          <t>Unknown</t>
        </is>
      </c>
      <c r="S17" s="115" t="inlineStr">
        <is>
          <t>MineralAnswers/Buckhead secondary context only</t>
        </is>
      </c>
      <c r="T17" s="325" t="inlineStr">
        <is>
          <t>https://www.mineralanswers.com/oklahoma/roger-mills-county
https://www.buckheadenergy.com/top-producing-wells-oklahoma</t>
        </is>
      </c>
      <c r="U17" s="115" t="inlineStr">
        <is>
          <t>High confidence not usable for target section without OCC MU order</t>
        </is>
      </c>
      <c r="V17" s="115" t="inlineStr">
        <is>
          <t>Pull OCC if someone claims a unit/lateral touches 31-12N-24W.</t>
        </is>
      </c>
      <c r="W17" s="115" t="inlineStr">
        <is>
          <t>Do not use in mineral-value math for this tract.</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39"/>
  <sheetViews>
    <sheetView showGridLines="0" workbookViewId="0">
      <selection activeCell="A1" sqref="A1"/>
    </sheetView>
  </sheetViews>
  <sheetFormatPr baseColWidth="8" defaultRowHeight="15"/>
  <cols>
    <col width="22" customWidth="1" style="267" min="1" max="1"/>
    <col width="40" customWidth="1" style="267" min="2" max="2"/>
    <col width="16" customWidth="1" style="267" min="3" max="3"/>
    <col width="46" customWidth="1" style="267" min="4" max="4"/>
    <col width="16" customWidth="1" style="267" min="5" max="5"/>
    <col width="14" customWidth="1" style="267" min="6" max="6"/>
  </cols>
  <sheetData>
    <row r="1">
      <c r="A1" s="610" t="inlineStr">
        <is>
          <t>31-12N-24W Roger Mills — Cursory Title Report — Summary Dashboard</t>
        </is>
      </c>
    </row>
    <row r="2">
      <c r="A2" s="611" t="inlineStr">
        <is>
          <t>Section 31, T12N, R24W, Roger Mills County, Oklahoma</t>
        </is>
      </c>
    </row>
    <row r="4">
      <c r="A4" s="612" t="inlineStr">
        <is>
          <t>Tract</t>
        </is>
      </c>
      <c r="B4" s="612" t="inlineStr">
        <is>
          <t>Legal Description</t>
        </is>
      </c>
      <c r="C4" s="612" t="inlineStr">
        <is>
          <t>Gross Acres</t>
        </is>
      </c>
      <c r="D4" s="612" t="inlineStr">
        <is>
          <t>Net Acres (linked)</t>
        </is>
      </c>
      <c r="E4" s="612" t="inlineStr">
        <is>
          <t>Foots?</t>
        </is>
      </c>
      <c r="F4" s="612" t="inlineStr">
        <is>
          <t>Owner Count</t>
        </is>
      </c>
    </row>
    <row r="5">
      <c r="A5" s="613" t="inlineStr">
        <is>
          <t>Tract 1</t>
        </is>
      </c>
      <c r="B5" s="614">
        <f>'Tract 1'!D2</f>
        <v/>
      </c>
      <c r="C5" s="614">
        <f>'Tract 1'!D5</f>
        <v/>
      </c>
      <c r="D5" s="615">
        <f>SUM('Tract 1'!C10:C205)</f>
        <v/>
      </c>
      <c r="E5" s="614">
        <f>IF(ABS((SUM('Tract 1'!C10:C205))-('Tract 1'!D5))&lt;0.01,"PASS","FAIL")</f>
        <v/>
      </c>
      <c r="F5" s="614">
        <f>COUNTIFS('Tract 1'!E10:E205,"&gt;0",'Tract 1'!D10:D205,"&lt;&gt;The Public")</f>
        <v/>
      </c>
    </row>
    <row r="6">
      <c r="A6" s="613" t="inlineStr">
        <is>
          <t>Tract 2</t>
        </is>
      </c>
      <c r="B6" s="614">
        <f>'Tract 2'!D2</f>
        <v/>
      </c>
      <c r="C6" s="614">
        <f>'Tract 2'!D5</f>
        <v/>
      </c>
      <c r="D6" s="615">
        <f>'Tract 2'!C103</f>
        <v/>
      </c>
      <c r="E6" s="614">
        <f>IF(ABS(('Tract 2'!C103)-('Tract 2'!D5))&lt;0.01,"PASS","FAIL")</f>
        <v/>
      </c>
      <c r="F6" s="614">
        <f>COUNTIFS('Tract 2'!E10:E205,"&gt;0",'Tract 2'!D10:D205,"&lt;&gt;The Public")</f>
        <v/>
      </c>
    </row>
    <row r="7">
      <c r="A7" s="613" t="inlineStr">
        <is>
          <t>Tract 3</t>
        </is>
      </c>
      <c r="B7" s="614">
        <f>'Tract 3'!D2</f>
        <v/>
      </c>
      <c r="C7" s="614">
        <f>'Tract 3'!D5</f>
        <v/>
      </c>
      <c r="D7" s="615">
        <f>'Tract 3'!C95</f>
        <v/>
      </c>
      <c r="E7" s="614">
        <f>IF(ABS(('Tract 3'!C95)-('Tract 3'!D5))&lt;0.01,"PASS","FAIL")</f>
        <v/>
      </c>
      <c r="F7" s="614">
        <f>COUNTIFS('Tract 3'!E10:E205,"&gt;0",'Tract 3'!D10:D205,"&lt;&gt;The Public")</f>
        <v/>
      </c>
    </row>
    <row r="8">
      <c r="A8" s="613" t="inlineStr">
        <is>
          <t>Tract 4</t>
        </is>
      </c>
      <c r="B8" s="614">
        <f>'Tract 4'!D2</f>
        <v/>
      </c>
      <c r="C8" s="614">
        <f>'Tract 4'!D5</f>
        <v/>
      </c>
      <c r="D8" s="615">
        <f>SUM('Tract 4'!C10:C186)</f>
        <v/>
      </c>
      <c r="E8" s="614">
        <f>IF(ABS((SUM('Tract 4'!C10:C186))-('Tract 4'!D5))&lt;0.01,"PASS","FAIL")</f>
        <v/>
      </c>
      <c r="F8" s="614">
        <f>COUNTIFS('Tract 4'!E10:E205,"&gt;0",'Tract 4'!D10:D205,"&lt;&gt;The Public")</f>
        <v/>
      </c>
    </row>
    <row r="9">
      <c r="A9" s="613" t="inlineStr">
        <is>
          <t>Tract 5</t>
        </is>
      </c>
      <c r="B9" s="614">
        <f>'Tract 5'!D2</f>
        <v/>
      </c>
      <c r="C9" s="614">
        <f>'Tract 5'!D5</f>
        <v/>
      </c>
      <c r="D9" s="615">
        <f>'Tract 5'!C90</f>
        <v/>
      </c>
      <c r="E9" s="614">
        <f>IF(ABS(('Tract 5'!C90)-('Tract 5'!D5))&lt;0.01,"PASS","FAIL")</f>
        <v/>
      </c>
      <c r="F9" s="614">
        <f>COUNTIFS('Tract 5'!E10:E205,"&gt;0",'Tract 5'!D10:D205,"&lt;&gt;The Public")</f>
        <v/>
      </c>
    </row>
    <row r="10">
      <c r="A10" s="613" t="inlineStr">
        <is>
          <t>Tract 6</t>
        </is>
      </c>
      <c r="B10" s="614">
        <f>'Tract 6'!D2</f>
        <v/>
      </c>
      <c r="C10" s="614">
        <f>'Tract 6'!D5</f>
        <v/>
      </c>
      <c r="D10" s="615">
        <f>'Tract 6'!C89</f>
        <v/>
      </c>
      <c r="E10" s="614">
        <f>IF(ABS(('Tract 6'!C89)-('Tract 6'!D5))&lt;0.01,"PASS","FAIL")</f>
        <v/>
      </c>
      <c r="F10" s="614">
        <f>COUNTIFS('Tract 6'!E10:E205,"&gt;0",'Tract 6'!D10:D205,"&lt;&gt;The Public")</f>
        <v/>
      </c>
    </row>
    <row r="11">
      <c r="A11" s="613" t="inlineStr">
        <is>
          <t>Tract 7</t>
        </is>
      </c>
      <c r="B11" s="614">
        <f>'Tract 7'!D2</f>
        <v/>
      </c>
      <c r="C11" s="614">
        <f>'Tract 7'!D5</f>
        <v/>
      </c>
      <c r="D11" s="615">
        <f>'Tract 7'!C89</f>
        <v/>
      </c>
      <c r="E11" s="614">
        <f>IF(ABS(('Tract 7'!C89)-('Tract 7'!D5))&lt;0.01,"PASS","FAIL")</f>
        <v/>
      </c>
      <c r="F11" s="614">
        <f>COUNTIFS('Tract 7'!E10:E205,"&gt;0",'Tract 7'!D10:D205,"&lt;&gt;The Public")</f>
        <v/>
      </c>
    </row>
    <row r="12">
      <c r="A12" s="613" t="inlineStr">
        <is>
          <t>Tract 8</t>
        </is>
      </c>
      <c r="B12" s="614">
        <f>'Tract 8'!D2</f>
        <v/>
      </c>
      <c r="C12" s="614">
        <f>'Tract 8'!D5</f>
        <v/>
      </c>
      <c r="D12" s="615">
        <f>'Tract 8'!C97</f>
        <v/>
      </c>
      <c r="E12" s="614">
        <f>IF(ABS(('Tract 8'!C97)-('Tract 8'!D5))&lt;0.01,"PASS","FAIL")</f>
        <v/>
      </c>
      <c r="F12" s="614">
        <f>COUNTIFS('Tract 8'!E10:E205,"&gt;0",'Tract 8'!D10:D205,"&lt;&gt;The Public")</f>
        <v/>
      </c>
    </row>
    <row r="13">
      <c r="A13" s="616" t="inlineStr">
        <is>
          <t>SECTION TOTAL</t>
        </is>
      </c>
      <c r="B13" s="617" t="n"/>
      <c r="C13" s="618">
        <f>SUM(C5:C12)</f>
        <v/>
      </c>
      <c r="D13" s="618">
        <f>SUM(D5:D12)</f>
        <v/>
      </c>
      <c r="E13" s="617" t="n"/>
      <c r="F13" s="617" t="n"/>
    </row>
    <row r="15">
      <c r="A15" s="619" t="inlineStr">
        <is>
          <t>WORKING INTEREST / LEASEHOLD</t>
        </is>
      </c>
    </row>
    <row r="16">
      <c r="A16" s="616" t="inlineStr">
        <is>
          <t>Sheet</t>
        </is>
      </c>
      <c r="B16" s="616" t="inlineStr">
        <is>
          <t>Description</t>
        </is>
      </c>
      <c r="C16" s="616" t="inlineStr">
        <is>
          <t>Acreage</t>
        </is>
      </c>
      <c r="D16" s="616" t="inlineStr">
        <is>
          <t>Net Acres</t>
        </is>
      </c>
      <c r="E16" s="616" t="inlineStr">
        <is>
          <t>Foots?</t>
        </is>
      </c>
    </row>
    <row r="17">
      <c r="A17" s="613" t="inlineStr">
        <is>
          <t>WI 1</t>
        </is>
      </c>
      <c r="B17" s="614">
        <f>'WI 1'!D6</f>
        <v/>
      </c>
      <c r="C17" s="614">
        <f>'WI 1'!D5</f>
        <v/>
      </c>
      <c r="D17" s="615">
        <f>SUM('WI 1'!C10:C163)</f>
        <v/>
      </c>
      <c r="E17" s="614">
        <f>IF(ISNUMBER('WI 1'!D5),IF(ABS(SUM('WI 1'!C10:C163)-'WI 1'!D5)&lt;0.05,"PASS","FAIL"),"N/A — acreage TBD")</f>
        <v/>
      </c>
    </row>
    <row r="18">
      <c r="A18" s="613" t="inlineStr">
        <is>
          <t>WI 2</t>
        </is>
      </c>
      <c r="B18" s="614">
        <f>'WI 2'!D5</f>
        <v/>
      </c>
      <c r="C18" s="614">
        <f>'WI 2'!D4</f>
        <v/>
      </c>
      <c r="D18" s="615">
        <f>SUM('WI 2'!C9:C142)</f>
        <v/>
      </c>
      <c r="E18" s="614">
        <f>IF(ISNUMBER('WI 2'!D4),IF(ABS(SUM('WI 2'!C9:C142)-'WI 2'!D4)&lt;0.05,"PASS","FAIL"),"N/A — acreage TBD")</f>
        <v/>
      </c>
    </row>
    <row r="20">
      <c r="A20" s="619" t="inlineStr">
        <is>
          <t>OPEN ITEMS — PUNCH LIST (human pull required)</t>
        </is>
      </c>
    </row>
    <row r="21">
      <c r="A21" s="616" t="inlineStr">
        <is>
          <t>#</t>
        </is>
      </c>
      <c r="B21" s="616" t="inlineStr">
        <is>
          <t>Item</t>
        </is>
      </c>
      <c r="C21" s="616" t="inlineStr">
        <is>
          <t>Location</t>
        </is>
      </c>
      <c r="D21" s="616" t="inlineStr">
        <is>
          <t>Status / Note</t>
        </is>
      </c>
    </row>
    <row r="22">
      <c r="A22" s="614" t="n">
        <v>1</v>
      </c>
      <c r="B22" s="614" t="inlineStr">
        <is>
          <t>Williams family chain gap</t>
        </is>
      </c>
      <c r="C22" s="614" t="inlineStr">
        <is>
          <t>Tract 2!CM5/D68-73</t>
        </is>
      </c>
      <c r="D22" s="620" t="inlineStr">
        <is>
          <t>Probate 1479/191 distributes 8/7 of estate; confirm Gene=Rogene E. Williams. EXAMINER REVIEW.</t>
        </is>
      </c>
    </row>
    <row r="23">
      <c r="A23" s="614" t="n">
        <v>2</v>
      </c>
      <c r="B23" s="614" t="inlineStr">
        <is>
          <t>Silver Oak / SilverOak name + NRI/WI</t>
        </is>
      </c>
      <c r="C23" s="614" t="inlineStr">
        <is>
          <t>OGL!I3-8; Title!G12</t>
        </is>
      </c>
      <c r="D23" s="620" t="inlineStr">
        <is>
          <t>Recorded spelling variants — do not merge. NRI/WI for 2026 O&amp;L block pending.</t>
        </is>
      </c>
    </row>
    <row r="24">
      <c r="A24" s="614" t="n">
        <v>3</v>
      </c>
      <c r="B24" s="614" t="inlineStr">
        <is>
          <t>Alexander #1-31 HBP status</t>
        </is>
      </c>
      <c r="C24" s="614" t="inlineStr">
        <is>
          <t>Well 1!P3; WI 1!D2; Tract 7!K191</t>
        </is>
      </c>
      <c r="D24" s="620" t="inlineStr">
        <is>
          <t>Active per OCC but HBP UNCONFIRMED; pull OTC PUN production + OCC spacing.</t>
        </is>
      </c>
    </row>
    <row r="25">
      <c r="A25" s="614" t="n">
        <v>4</v>
      </c>
      <c r="B25" s="614" t="inlineStr">
        <is>
          <t>OCC / OTC regulatory pulls</t>
        </is>
      </c>
      <c r="C25" s="614" t="inlineStr">
        <is>
          <t>Well 1 (E/O/P cols)</t>
        </is>
      </c>
      <c r="D25" s="620" t="inlineStr">
        <is>
          <t>Pull OCC pooling/spacing/1002A and OTC/GPT production status.</t>
        </is>
      </c>
    </row>
    <row r="26">
      <c r="A26" s="614" t="n">
        <v>5</v>
      </c>
      <c r="B26" s="614" t="inlineStr">
        <is>
          <t>Pro-rata over-conveyances</t>
        </is>
      </c>
      <c r="C26" s="614" t="inlineStr">
        <is>
          <t>Tract 4!E56,E59,E99; WI 1!E11,13,15; WI 2!E10,11</t>
        </is>
      </c>
      <c r="D26" s="620" t="inlineStr">
        <is>
          <t>Owners net &gt;1.0 — pro-rata footing is allocation, not deed derivation. EXAMINER REVIEW.</t>
        </is>
      </c>
    </row>
    <row r="27">
      <c r="A27" s="614" t="n">
        <v>6</v>
      </c>
      <c r="B27" s="614" t="inlineStr">
        <is>
          <t>Tract 2 chain break (AS col)</t>
        </is>
      </c>
      <c r="C27" s="614" t="inlineStr">
        <is>
          <t>Tract 2!AS5</t>
        </is>
      </c>
      <c r="D27" s="620" t="inlineStr">
        <is>
          <t>MD 933/226 grantor UND 3/791.47 has no grantee row — column not balanced.</t>
        </is>
      </c>
    </row>
    <row r="28">
      <c r="A28" s="614" t="n">
        <v>7</v>
      </c>
      <c r="B28" s="614" t="inlineStr">
        <is>
          <t>Truncated owner name</t>
        </is>
      </c>
      <c r="C28" s="614" t="inlineStr">
        <is>
          <t>Tract 2!D71</t>
        </is>
      </c>
      <c r="D28" s="620" t="inlineStr">
        <is>
          <t>'on T. Williams, Jr.' truncated upstream (same in Runsheet) — cannot restore; do not invent.</t>
        </is>
      </c>
    </row>
    <row r="29">
      <c r="A29" s="614" t="n">
        <v>8</v>
      </c>
      <c r="B29" s="614" t="inlineStr">
        <is>
          <t>WI acreage confirmation</t>
        </is>
      </c>
      <c r="C29" s="614" t="inlineStr">
        <is>
          <t>WI 1!D5</t>
        </is>
      </c>
      <c r="D29" s="620" t="inlineStr">
        <is>
          <t>Set to 448.333333 from workbook C6 / Template; CONFIRM vs legal description.</t>
        </is>
      </c>
    </row>
    <row r="31">
      <c r="A31" s="619" t="inlineStr">
        <is>
          <t>NAVIGATION</t>
        </is>
      </c>
    </row>
    <row r="32">
      <c r="A32" s="621" t="inlineStr">
        <is>
          <t>Overview</t>
        </is>
      </c>
      <c r="B32" s="621" t="inlineStr">
        <is>
          <t>Tract 4</t>
        </is>
      </c>
    </row>
    <row r="33">
      <c r="A33" s="621" t="inlineStr">
        <is>
          <t xml:space="preserve">Title </t>
        </is>
      </c>
      <c r="B33" s="621" t="inlineStr">
        <is>
          <t>Tract 5</t>
        </is>
      </c>
    </row>
    <row r="34">
      <c r="A34" s="621" t="inlineStr">
        <is>
          <t>OGL</t>
        </is>
      </c>
      <c r="B34" s="621" t="inlineStr">
        <is>
          <t>Tract 6</t>
        </is>
      </c>
    </row>
    <row r="35">
      <c r="A35" s="621" t="inlineStr">
        <is>
          <t>PLAT</t>
        </is>
      </c>
      <c r="B35" s="621" t="inlineStr">
        <is>
          <t>Tract 7</t>
        </is>
      </c>
    </row>
    <row r="36">
      <c r="A36" s="621" t="inlineStr">
        <is>
          <t>Runsheet</t>
        </is>
      </c>
      <c r="B36" s="621" t="inlineStr">
        <is>
          <t>Tract 8</t>
        </is>
      </c>
    </row>
    <row r="37">
      <c r="A37" s="621" t="inlineStr">
        <is>
          <t>Tract 1</t>
        </is>
      </c>
      <c r="B37" s="621" t="inlineStr">
        <is>
          <t>WI 2</t>
        </is>
      </c>
    </row>
    <row r="38">
      <c r="A38" s="621" t="inlineStr">
        <is>
          <t>Tract 2</t>
        </is>
      </c>
      <c r="B38" s="621" t="inlineStr">
        <is>
          <t>WI 1</t>
        </is>
      </c>
    </row>
    <row r="39">
      <c r="A39" s="621" t="inlineStr">
        <is>
          <t>Tract 3</t>
        </is>
      </c>
      <c r="B39" s="621" t="inlineStr">
        <is>
          <t>Well 1</t>
        </is>
      </c>
    </row>
  </sheetData>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7" r:id="rId9"/>
    <hyperlink xmlns:r="http://schemas.openxmlformats.org/officeDocument/2006/relationships" ref="A18" r:id="rId10"/>
    <hyperlink xmlns:r="http://schemas.openxmlformats.org/officeDocument/2006/relationships" ref="A32" r:id="rId11"/>
    <hyperlink xmlns:r="http://schemas.openxmlformats.org/officeDocument/2006/relationships" ref="B32" r:id="rId12"/>
    <hyperlink xmlns:r="http://schemas.openxmlformats.org/officeDocument/2006/relationships" ref="A33" r:id="rId13"/>
    <hyperlink xmlns:r="http://schemas.openxmlformats.org/officeDocument/2006/relationships" ref="B33" r:id="rId14"/>
    <hyperlink xmlns:r="http://schemas.openxmlformats.org/officeDocument/2006/relationships" ref="A34" r:id="rId15"/>
    <hyperlink xmlns:r="http://schemas.openxmlformats.org/officeDocument/2006/relationships" ref="B34" r:id="rId16"/>
    <hyperlink xmlns:r="http://schemas.openxmlformats.org/officeDocument/2006/relationships" ref="A35" r:id="rId17"/>
    <hyperlink xmlns:r="http://schemas.openxmlformats.org/officeDocument/2006/relationships" ref="B35" r:id="rId18"/>
    <hyperlink xmlns:r="http://schemas.openxmlformats.org/officeDocument/2006/relationships" ref="A36" r:id="rId19"/>
    <hyperlink xmlns:r="http://schemas.openxmlformats.org/officeDocument/2006/relationships" ref="B36" r:id="rId20"/>
    <hyperlink xmlns:r="http://schemas.openxmlformats.org/officeDocument/2006/relationships" ref="A37" r:id="rId21"/>
    <hyperlink xmlns:r="http://schemas.openxmlformats.org/officeDocument/2006/relationships" ref="B37" r:id="rId22"/>
    <hyperlink xmlns:r="http://schemas.openxmlformats.org/officeDocument/2006/relationships" ref="A38" r:id="rId23"/>
    <hyperlink xmlns:r="http://schemas.openxmlformats.org/officeDocument/2006/relationships" ref="B38" r:id="rId24"/>
    <hyperlink xmlns:r="http://schemas.openxmlformats.org/officeDocument/2006/relationships" ref="A39" r:id="rId25"/>
    <hyperlink xmlns:r="http://schemas.openxmlformats.org/officeDocument/2006/relationships" ref="B39"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2026-06-28T00:35:50Z</dcterms:modified>
  <cp:lastModifiedBy>Ryan Gille</cp:lastModifiedBy>
  <cp:lastPrinted>2025-01-15T21:46:25Z</cp:lastPrinted>
</cp:coreProperties>
</file>