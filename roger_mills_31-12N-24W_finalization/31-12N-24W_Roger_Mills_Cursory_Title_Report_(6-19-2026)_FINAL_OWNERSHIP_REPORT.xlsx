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QA_Summary" sheetId="1" state="visible" r:id="rId1"/>
    <sheet name="TRACT_BREAKDOWN" sheetId="2" state="visible" r:id="rId2"/>
    <sheet name="OWNER_NMA_ESTIMATE" sheetId="3" state="visible" r:id="rId3"/>
    <sheet name="LEASE_STATUS_AUDIT" sheetId="4" state="visible" r:id="rId4"/>
    <sheet name="CURATIVE_GAPS" sheetId="5" state="visible" r:id="rId5"/>
    <sheet name="TRACT_CHAINS" sheetId="6" state="visible" r:id="rId6"/>
    <sheet name="SOURCE_INDEX" sheetId="7" state="visible" r:id="rId7"/>
    <sheet name="LINK_QA" sheetId="8" state="visible" r:id="rId8"/>
    <sheet name="CHANGE_LOG" sheetId="9" state="visible" r:id="rId9"/>
    <sheet name="Overview_SRC" sheetId="10" state="visible" r:id="rId10"/>
    <sheet name="PLAT_SRC" sheetId="11" state="visible" r:id="rId11"/>
    <sheet name="Title_SRC" sheetId="12" state="visible" r:id="rId12"/>
    <sheet name="Wells_SRC" sheetId="13" state="visible" r:id="rId13"/>
  </sheets>
  <definedNames>
    <definedName name="_xlnm._FilterDatabase" localSheetId="1" hidden="1">'TRACT_BREAKDOWN'!$A$1:$J$1</definedName>
    <definedName name="_xlnm._FilterDatabase" localSheetId="2" hidden="1">'OWNER_NMA_ESTIMATE'!$A$1:$J$1</definedName>
    <definedName name="_xlnm._FilterDatabase" localSheetId="3" hidden="1">'LEASE_STATUS_AUDIT'!$A$1:$M$1</definedName>
    <definedName name="_xlnm._FilterDatabase" localSheetId="4" hidden="1">'CURATIVE_GAPS'!$A$1:$K$1</definedName>
    <definedName name="_xlnm._FilterDatabase" localSheetId="5" hidden="1">'TRACT_CHAINS'!$A$1:$N$1</definedName>
    <definedName name="_xlnm._FilterDatabase" localSheetId="6" hidden="1">'SOURCE_INDEX'!$A$1:$J$1</definedName>
    <definedName name="_xlnm._FilterDatabase" localSheetId="7" hidden="1">'LINK_QA'!$A$1:$G$1</definedName>
    <definedName name="_xlnm._FilterDatabase" localSheetId="8" hidden="1">'CHANGE_LOG'!$A$1:$F$1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1"/>
    </font>
    <font>
      <i val="1"/>
      <color rgb="00C0000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DataBoss FINAL Ownership / Title / Lease / HBP Report — Section 31, T12N, R24W, Roger Mills County, Oklahoma</t>
        </is>
      </c>
    </row>
    <row r="3">
      <c r="A3" s="2" t="inlineStr">
        <is>
          <t>Report date</t>
        </is>
      </c>
      <c r="B3" s="3" t="inlineStr">
        <is>
          <t>2026-06-19</t>
        </is>
      </c>
    </row>
    <row r="4">
      <c r="A4" s="2" t="inlineStr">
        <is>
          <t>Prospect</t>
        </is>
      </c>
      <c r="B4" s="3" t="inlineStr">
        <is>
          <t>25-004</t>
        </is>
      </c>
    </row>
    <row r="5">
      <c r="A5" s="2" t="inlineStr">
        <is>
          <t>Section / Twp / Rng</t>
        </is>
      </c>
      <c r="B5" s="3" t="inlineStr">
        <is>
          <t>31 / 12 North / 24 West, Indian Meridian</t>
        </is>
      </c>
    </row>
    <row r="6">
      <c r="A6" s="2" t="inlineStr">
        <is>
          <t>Gross section acreage</t>
        </is>
      </c>
      <c r="B6" s="3" t="inlineStr">
        <is>
          <t>640.00 acres, more or less</t>
        </is>
      </c>
    </row>
    <row r="7">
      <c r="A7" s="2" t="inlineStr">
        <is>
          <t>Examiner of record</t>
        </is>
      </c>
      <c r="B7" s="3" t="inlineStr">
        <is>
          <t>RG (cursory report dated 6/16/2026; last entry Bk 2704 Pg 142)</t>
        </is>
      </c>
    </row>
    <row r="8">
      <c r="A8" s="2" t="inlineStr">
        <is>
          <t>Report type</t>
        </is>
      </c>
      <c r="B8" s="3" t="inlineStr">
        <is>
          <t>CURSORY title report — NOT a formal title opinion</t>
        </is>
      </c>
    </row>
    <row r="9">
      <c r="A9" s="2" t="inlineStr"/>
      <c r="B9" s="3" t="inlineStr"/>
    </row>
    <row r="10">
      <c r="A10" s="4" t="inlineStr">
        <is>
          <t>OVERALL CONFIDENCE SCORE</t>
        </is>
      </c>
      <c r="B10" s="5" t="inlineStr">
        <is>
          <t>Medium-Low (chain present; NMA largely ESTIMATED; HBP UNCONFIRMED)</t>
        </is>
      </c>
    </row>
    <row r="11">
      <c r="A11" s="2" t="inlineStr">
        <is>
          <t>Final QA score (this build)</t>
        </is>
      </c>
      <c r="B11" s="3" t="inlineStr">
        <is>
          <t>See 05_QA / FINAL_QA_SCORECARD.md — 88/100</t>
        </is>
      </c>
    </row>
    <row r="12">
      <c r="A12" s="2" t="inlineStr"/>
      <c r="B12" s="3" t="inlineStr"/>
    </row>
    <row r="13">
      <c r="A13" s="2" t="inlineStr">
        <is>
          <t>Tracts identified</t>
        </is>
      </c>
      <c r="B13" s="3" t="inlineStr">
        <is>
          <t>8 named tracts + 1 UNASSIGNED quarter-quarter (NE/4 SW/4)</t>
        </is>
      </c>
    </row>
    <row r="14">
      <c r="A14" s="2" t="inlineStr">
        <is>
          <t>Net mineral acres status</t>
        </is>
      </c>
      <c r="B14" s="3" t="inlineStr">
        <is>
          <t>Mostly ESTIMATED from reconstructed Bain/Mitchell/Sorenson family trees; only Tract 6 (Dold 80 NMA) is leased-confirmed. Probate/heirship NOT in record set.</t>
        </is>
      </c>
    </row>
    <row r="15">
      <c r="A15" s="2" t="inlineStr">
        <is>
          <t>Lease / HBP summary</t>
        </is>
      </c>
      <c r="B15" s="3" t="inlineStr">
        <is>
          <t>6 Silver Oak 2026 PAID-UP TOP LEASES (3/16, exp 2029-2031, terms image-verified). Prior 2004-era + historic leases = POSSIBLE HBP, UNCONFIRMED.</t>
        </is>
      </c>
    </row>
    <row r="16">
      <c r="A16" s="2" t="inlineStr">
        <is>
          <t>Sole well of record</t>
        </is>
      </c>
      <c r="B16" s="3" t="inlineStr">
        <is>
          <t>Alexander #1-31, API 35-129-22925, Martin's Resources LLC, OCC status ACTIVE (oil), surface C NW/4 SE/4.</t>
        </is>
      </c>
    </row>
    <row r="17">
      <c r="A17" s="6" t="inlineStr">
        <is>
          <t>CRITICAL HBP CONFLICT</t>
        </is>
      </c>
      <c r="B17" s="7" t="inlineStr">
        <is>
          <t>OCC RBDMS shows well ACTIVE; CLIENT describes it INACTIVE. OTC gross production NEVER pulled. HBP of the section is therefore NOT established.</t>
        </is>
      </c>
    </row>
    <row r="18">
      <c r="A18" s="2" t="inlineStr"/>
      <c r="B18" s="3" t="inlineStr"/>
    </row>
    <row r="19">
      <c r="A19" s="2" t="inlineStr">
        <is>
          <t>Critical open gaps (High priority)</t>
        </is>
      </c>
      <c r="B19" s="3" t="inlineStr">
        <is>
          <t>5 — see CURATIVE_GAPS</t>
        </is>
      </c>
    </row>
    <row r="20">
      <c r="A20" s="2" t="inlineStr">
        <is>
          <t>Total curative items</t>
        </is>
      </c>
      <c r="B20" s="3" t="inlineStr">
        <is>
          <t>12 — see CURATIVE_GAPS sheet</t>
        </is>
      </c>
    </row>
    <row r="21">
      <c r="A21" s="2" t="inlineStr">
        <is>
          <t>Manual records needed</t>
        </is>
      </c>
      <c r="B21" s="3" t="inlineStr">
        <is>
          <t>OTC PUN/production; full lease images (6 Silver Oak + 2004-era Bk 1736); probate/heirship; multiple mineral deeds + release matches. See MANUAL_DOWNLOAD_QUEUE.</t>
        </is>
      </c>
    </row>
    <row r="22">
      <c r="A22" s="2" t="inlineStr"/>
      <c r="B22" s="3" t="inlineStr"/>
    </row>
    <row r="23">
      <c r="A23" s="2" t="inlineStr">
        <is>
          <t>Research performed by this build</t>
        </is>
      </c>
      <c r="B23" s="3" t="inlineStr">
        <is>
          <t>LOCAL ingestion + reconciliation of your real Google Drive files only. Live county/OCC/OTC/BLM portals were BLOCKED (HTTP 403 / login) in this environment — NO new public research was performed; gaps routed to MANUAL_DOWNLOAD_QUEUE.</t>
        </is>
      </c>
    </row>
    <row r="24">
      <c r="A24" s="2" t="inlineStr">
        <is>
          <t>Honesty note</t>
        </is>
      </c>
      <c r="B24" s="3" t="inlineStr">
        <is>
          <t>Prior narrative draft marked all 8 tracts blanket 'HBP'. That is NOT supported by record evidence and has been corrected to 'Possible HBP - Needs Confirmation' here.</t>
        </is>
      </c>
    </row>
    <row r="25">
      <c r="A25" s="4" t="inlineStr">
        <is>
          <t>Final QA status</t>
        </is>
      </c>
      <c r="B25" s="5" t="inlineStr">
        <is>
          <t>CONDITIONAL PASS — usable working report; ownership &amp; HBP conclusions remain OPEN pending the curative items listed.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34" customWidth="1" min="4" max="4"/>
    <col width="20" customWidth="1" min="5" max="5"/>
    <col width="26" customWidth="1" min="6" max="6"/>
    <col width="30" customWidth="1" min="7" max="7"/>
    <col width="40" customWidth="1" min="8" max="8"/>
    <col width="14" customWidth="1" min="9" max="9"/>
    <col width="26" customWidth="1" min="10" max="10"/>
  </cols>
  <sheetData>
    <row r="1">
      <c r="A1" s="8" t="inlineStr">
        <is>
          <t>Tract</t>
        </is>
      </c>
      <c r="B1" s="8" t="inlineStr">
        <is>
          <t>Legal description</t>
        </is>
      </c>
      <c r="C1" s="8" t="inlineStr">
        <is>
          <t>Gross acres</t>
        </is>
      </c>
      <c r="D1" s="8" t="inlineStr">
        <is>
          <t>Current best owner estimate</t>
        </is>
      </c>
      <c r="E1" s="8" t="inlineStr">
        <is>
          <t>Estimated NMA</t>
        </is>
      </c>
      <c r="F1" s="8" t="inlineStr">
        <is>
          <t>Lease status</t>
        </is>
      </c>
      <c r="G1" s="8" t="inlineStr">
        <is>
          <t>HBP evidence</t>
        </is>
      </c>
      <c r="H1" s="8" t="inlineStr">
        <is>
          <t>Key gaps</t>
        </is>
      </c>
      <c r="I1" s="8" t="inlineStr">
        <is>
          <t>Confidence</t>
        </is>
      </c>
      <c r="J1" s="8" t="inlineStr">
        <is>
          <t>Source links</t>
        </is>
      </c>
    </row>
    <row r="2">
      <c r="A2" s="9" t="inlineStr">
        <is>
          <t>1</t>
        </is>
      </c>
      <c r="B2" s="10" t="inlineStr">
        <is>
          <t>N/2 NE/4</t>
        </is>
      </c>
      <c r="C2" s="9" t="inlineStr">
        <is>
          <t>80</t>
        </is>
      </c>
      <c r="D2" s="10" t="inlineStr">
        <is>
          <t>Mitchell/Williams heirs + Panhandle Royalty (est.)</t>
        </is>
      </c>
      <c r="E2" s="9" t="inlineStr">
        <is>
          <t>80.0 (EST)</t>
        </is>
      </c>
      <c r="F2" s="10" t="inlineStr">
        <is>
          <t>6 Silver Oak top leases overlay; prior HBP unconfirmed</t>
        </is>
      </c>
      <c r="G2" s="11" t="inlineStr">
        <is>
          <t>Possible HBP - Needs Confirmation</t>
        </is>
      </c>
      <c r="H2" s="10" t="inlineStr">
        <is>
          <t>Heirship/probate for NMA split; full lease images; Panhandle 40 NMA basis</t>
        </is>
      </c>
      <c r="I2" s="9" t="inlineStr">
        <is>
          <t>Low-Medium</t>
        </is>
      </c>
      <c r="J2" s="10" t="inlineStr">
        <is>
          <t>Title sheet; Reconciled Tracker; OGLs</t>
        </is>
      </c>
    </row>
    <row r="3">
      <c r="A3" s="9" t="inlineStr">
        <is>
          <t>2</t>
        </is>
      </c>
      <c r="B3" s="10" t="inlineStr">
        <is>
          <t>SW/4 NE/4</t>
        </is>
      </c>
      <c r="C3" s="9" t="inlineStr">
        <is>
          <t>40</t>
        </is>
      </c>
      <c r="D3" s="10" t="inlineStr">
        <is>
          <t>EDR successors (Okki/Del Monte/Cardinal) + Bain heirs (est.)</t>
        </is>
      </c>
      <c r="E3" s="9" t="inlineStr">
        <is>
          <t>40.0 (EST)</t>
        </is>
      </c>
      <c r="F3" s="10" t="inlineStr">
        <is>
          <t>Mineral deeds; lease status not concluded</t>
        </is>
      </c>
      <c r="G3" s="11" t="inlineStr">
        <is>
          <t>Open / Unknown</t>
        </is>
      </c>
      <c r="H3" s="10" t="inlineStr">
        <is>
          <t>Full mineral deeds 2625/0231, 2625/0233, 2481/0287; Bain heirship; fractions</t>
        </is>
      </c>
      <c r="I3" s="9" t="inlineStr">
        <is>
          <t>Low</t>
        </is>
      </c>
      <c r="J3" s="10" t="inlineStr">
        <is>
          <t>Title sheet; Reconciled Tracker</t>
        </is>
      </c>
    </row>
    <row r="4">
      <c r="A4" s="9" t="inlineStr">
        <is>
          <t>3</t>
        </is>
      </c>
      <c r="B4" s="10" t="inlineStr">
        <is>
          <t>SE/4 NE/4</t>
        </is>
      </c>
      <c r="C4" s="9" t="inlineStr">
        <is>
          <t>40</t>
        </is>
      </c>
      <c r="D4" s="10" t="inlineStr">
        <is>
          <t>Mitchell 4 heirs + Sorenson 3 heirs (est.)</t>
        </is>
      </c>
      <c r="E4" s="9" t="inlineStr">
        <is>
          <t>40.0 (EST)</t>
        </is>
      </c>
      <c r="F4" s="10" t="inlineStr">
        <is>
          <t>6 Silver Oak top leases overlay; prior HBP unconfirmed</t>
        </is>
      </c>
      <c r="G4" s="11" t="inlineStr">
        <is>
          <t>Possible HBP - Needs Confirmation</t>
        </is>
      </c>
      <c r="H4" s="10" t="inlineStr">
        <is>
          <t>Heirship/probate; full lease + 2004 prior lease (Bk 1736) images</t>
        </is>
      </c>
      <c r="I4" s="9" t="inlineStr">
        <is>
          <t>Low-Medium</t>
        </is>
      </c>
      <c r="J4" s="10" t="inlineStr">
        <is>
          <t>Title sheet; Reconciled Tracker; OGLs</t>
        </is>
      </c>
    </row>
    <row r="5">
      <c r="A5" s="9" t="inlineStr">
        <is>
          <t>4</t>
        </is>
      </c>
      <c r="B5" s="10" t="inlineStr">
        <is>
          <t>E/2 NW/4</t>
        </is>
      </c>
      <c r="C5" s="9" t="inlineStr">
        <is>
          <t>80</t>
        </is>
      </c>
      <c r="D5" s="10" t="inlineStr">
        <is>
          <t>Mitchell 4 heirs + Sorenson 3 heirs + Dold (est.)</t>
        </is>
      </c>
      <c r="E5" s="9" t="inlineStr">
        <is>
          <t>80.0 (EST)</t>
        </is>
      </c>
      <c r="F5" s="10" t="inlineStr">
        <is>
          <t>Silver Oak top lease (Dold 2697/0524) overlay</t>
        </is>
      </c>
      <c r="G5" s="11" t="inlineStr">
        <is>
          <t>Possible HBP - Needs Confirmation</t>
        </is>
      </c>
      <c r="H5" s="10" t="inlineStr">
        <is>
          <t>Heirship/probate; deeds 2426/0154, 2406/0228, 2365/0338</t>
        </is>
      </c>
      <c r="I5" s="9" t="inlineStr">
        <is>
          <t>Low-Medium</t>
        </is>
      </c>
      <c r="J5" s="10" t="inlineStr">
        <is>
          <t>Title sheet; Reconciled Tracker</t>
        </is>
      </c>
    </row>
    <row r="6">
      <c r="A6" s="9" t="inlineStr">
        <is>
          <t>5</t>
        </is>
      </c>
      <c r="B6" s="10" t="inlineStr">
        <is>
          <t>NW/4 partial (W/2, Lots 1 &amp; 4) + SE/4 SW/4 partial</t>
        </is>
      </c>
      <c r="C6" s="9" t="inlineStr">
        <is>
          <t>IRREGULAR - VERIFY</t>
        </is>
      </c>
      <c r="D6" s="10" t="inlineStr">
        <is>
          <t>Calvin Wayne Kirk + William Bryant (est.)</t>
        </is>
      </c>
      <c r="E6" s="9" t="inlineStr">
        <is>
          <t>~65.9 (EST, acreage unverified)</t>
        </is>
      </c>
      <c r="F6" s="10" t="inlineStr">
        <is>
          <t>Mineral deeds; mortgage/release open</t>
        </is>
      </c>
      <c r="G6" s="11" t="inlineStr">
        <is>
          <t>Open / Unknown</t>
        </is>
      </c>
      <c r="H6" s="10" t="inlineStr">
        <is>
          <t>Recorded plat/survey for lot acreage; Kirk deed 2365/0338; Bryant releases</t>
        </is>
      </c>
      <c r="I6" s="9" t="inlineStr">
        <is>
          <t>Low</t>
        </is>
      </c>
      <c r="J6" s="10" t="inlineStr">
        <is>
          <t>Title sheet; PLAT; Reconciled Tracker</t>
        </is>
      </c>
    </row>
    <row r="7">
      <c r="A7" s="9" t="inlineStr">
        <is>
          <t>6</t>
        </is>
      </c>
      <c r="B7" s="10" t="inlineStr">
        <is>
          <t>W/2 SW/4</t>
        </is>
      </c>
      <c r="C7" s="9" t="inlineStr">
        <is>
          <t>80</t>
        </is>
      </c>
      <c r="D7" s="10" t="inlineStr">
        <is>
          <t>Ronald Paul Dold</t>
        </is>
      </c>
      <c r="E7" s="9" t="inlineStr">
        <is>
          <t>80.0 (leased-confirmed)</t>
        </is>
      </c>
      <c r="F7" s="10" t="inlineStr">
        <is>
          <t>Silver Oak top lease 2697/0524, 3/16, exp 03/31/2029</t>
        </is>
      </c>
      <c r="G7" s="11" t="inlineStr">
        <is>
          <t>Possible HBP - Needs Confirmation</t>
        </is>
      </c>
      <c r="H7" s="10" t="inlineStr">
        <is>
          <t>Full lease image; underlying deed; 2004 prior lease</t>
        </is>
      </c>
      <c r="I7" s="9" t="inlineStr">
        <is>
          <t>Medium</t>
        </is>
      </c>
      <c r="J7" s="10" t="inlineStr">
        <is>
          <t>Title sheet; OGLs 2697/0524</t>
        </is>
      </c>
    </row>
    <row r="8">
      <c r="A8" s="9" t="inlineStr">
        <is>
          <t>7</t>
        </is>
      </c>
      <c r="B8" s="10" t="inlineStr">
        <is>
          <t>NE/4 SE/4</t>
        </is>
      </c>
      <c r="C8" s="9" t="inlineStr">
        <is>
          <t>40</t>
        </is>
      </c>
      <c r="D8" s="10" t="inlineStr">
        <is>
          <t>Sorenson 3 heirs (Daigle/Johnson trusts) (est.)</t>
        </is>
      </c>
      <c r="E8" s="9" t="inlineStr">
        <is>
          <t>40.0 (EST)</t>
        </is>
      </c>
      <c r="F8" s="10" t="inlineStr">
        <is>
          <t>Silver Oak top leases overlay; prior HBP unconfirmed</t>
        </is>
      </c>
      <c r="G8" s="11" t="inlineStr">
        <is>
          <t>Possible HBP - Needs Confirmation</t>
        </is>
      </c>
      <c r="H8" s="10" t="inlineStr">
        <is>
          <t>Heirship/probate; full lease + 2004 prior lease images</t>
        </is>
      </c>
      <c r="I8" s="9" t="inlineStr">
        <is>
          <t>Low-Medium</t>
        </is>
      </c>
      <c r="J8" s="10" t="inlineStr">
        <is>
          <t>Title sheet; Reconciled Tracker; OGLs</t>
        </is>
      </c>
    </row>
    <row r="9">
      <c r="A9" s="9" t="inlineStr">
        <is>
          <t>8</t>
        </is>
      </c>
      <c r="B9" s="10" t="inlineStr">
        <is>
          <t>W/2 SE/4, SE/4 SE/4</t>
        </is>
      </c>
      <c r="C9" s="9" t="inlineStr">
        <is>
          <t>120</t>
        </is>
      </c>
      <c r="D9" s="10" t="inlineStr">
        <is>
          <t>Del Monte + Okki (EDR) + other Bain heirs (est.)</t>
        </is>
      </c>
      <c r="E9" s="9" t="inlineStr">
        <is>
          <t>120.0 (EST)</t>
        </is>
      </c>
      <c r="F9" s="10" t="inlineStr">
        <is>
          <t>Mineral deeds; lease status not concluded</t>
        </is>
      </c>
      <c r="G9" s="11" t="inlineStr">
        <is>
          <t>Open / Unknown</t>
        </is>
      </c>
      <c r="H9" s="10" t="inlineStr">
        <is>
          <t>Bain heirship reconciliation; deeds 2625/0231, 2625/0233; release scope</t>
        </is>
      </c>
      <c r="I9" s="9" t="inlineStr">
        <is>
          <t>Low</t>
        </is>
      </c>
      <c r="J9" s="10" t="inlineStr">
        <is>
          <t>Title sheet; Reconciled Tracker</t>
        </is>
      </c>
    </row>
    <row r="10">
      <c r="A10" s="9" t="inlineStr">
        <is>
          <t>(unassigned)</t>
        </is>
      </c>
      <c r="B10" s="10" t="inlineStr">
        <is>
          <t>NE/4 SW/4</t>
        </is>
      </c>
      <c r="C10" s="9" t="inlineStr">
        <is>
          <t>40</t>
        </is>
      </c>
      <c r="D10" s="10" t="inlineStr">
        <is>
          <t>NOT ASSIGNED to any subject tract</t>
        </is>
      </c>
      <c r="E10" s="9" t="inlineStr">
        <is>
          <t>UNKNOWN - OPEN GAP</t>
        </is>
      </c>
      <c r="F10" s="10" t="inlineStr">
        <is>
          <t>Unknown</t>
        </is>
      </c>
      <c r="G10" s="11" t="inlineStr">
        <is>
          <t>Unknown</t>
        </is>
      </c>
      <c r="H10" s="10" t="inlineStr">
        <is>
          <t>Verify ownership / government-lot allocation against plat &amp; runsheet</t>
        </is>
      </c>
      <c r="I10" s="9" t="inlineStr">
        <is>
          <t>Unknown</t>
        </is>
      </c>
      <c r="J10" s="10" t="inlineStr">
        <is>
          <t>PLAT sheet (flagged 'NOT in any subject tract')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18" customWidth="1" min="4" max="4"/>
    <col width="14" customWidth="1" min="5" max="5"/>
    <col width="22" customWidth="1" min="6" max="6"/>
    <col width="14" customWidth="1" min="7" max="7"/>
    <col width="40" customWidth="1" min="8" max="8"/>
    <col width="14" customWidth="1" min="9" max="9"/>
    <col width="36" customWidth="1" min="10" max="10"/>
  </cols>
  <sheetData>
    <row r="1">
      <c r="A1" s="8" t="inlineStr">
        <is>
          <t>Owner</t>
        </is>
      </c>
      <c r="B1" s="8" t="inlineStr">
        <is>
          <t>Tract</t>
        </is>
      </c>
      <c r="C1" s="8" t="inlineStr">
        <is>
          <t>Gross acres</t>
        </is>
      </c>
      <c r="D1" s="8" t="inlineStr">
        <is>
          <t>Tract coverage fraction</t>
        </is>
      </c>
      <c r="E1" s="8" t="inlineStr">
        <is>
          <t>Mineral fraction</t>
        </is>
      </c>
      <c r="F1" s="8" t="inlineStr">
        <is>
          <t>Estimated NMA (formula)</t>
        </is>
      </c>
      <c r="G1" s="8" t="inlineStr">
        <is>
          <t>Estimated NMA</t>
        </is>
      </c>
      <c r="H1" s="8" t="inlineStr">
        <is>
          <t>Evidence basis</t>
        </is>
      </c>
      <c r="I1" s="8" t="inlineStr">
        <is>
          <t>Confidence</t>
        </is>
      </c>
      <c r="J1" s="8" t="inlineStr">
        <is>
          <t>Curative needed</t>
        </is>
      </c>
    </row>
    <row r="2">
      <c r="A2" s="10" t="inlineStr">
        <is>
          <t>Gena Williams Moore (a/k/a Gena Mitchell / Gena Williams)</t>
        </is>
      </c>
      <c r="B2" s="12" t="inlineStr">
        <is>
          <t>1</t>
        </is>
      </c>
      <c r="C2" s="12" t="n">
        <v>80</v>
      </c>
      <c r="D2" s="12" t="n">
        <v>1</v>
      </c>
      <c r="E2" s="12" t="n">
        <v>0.125</v>
      </c>
      <c r="F2" s="12">
        <f>C2*D2*E2</f>
        <v/>
      </c>
      <c r="G2" s="12" t="n">
        <v>10</v>
      </c>
      <c r="H2" s="10" t="inlineStr">
        <is>
          <t>Reconciled Mitchell 4-heir split; Silver Oak lease 2702/0505</t>
        </is>
      </c>
      <c r="I2" s="12" t="inlineStr">
        <is>
          <t>Low-Medium</t>
        </is>
      </c>
      <c r="J2" s="10" t="inlineStr">
        <is>
          <t>Probate/heirship; full deed</t>
        </is>
      </c>
    </row>
    <row r="3">
      <c r="A3" s="10" t="inlineStr">
        <is>
          <t>Mitchell-Buonaccorsi Living Trust (Carrie Leeann Mitchell, Trustee)</t>
        </is>
      </c>
      <c r="B3" s="12" t="inlineStr">
        <is>
          <t>1</t>
        </is>
      </c>
      <c r="C3" s="12" t="n">
        <v>80</v>
      </c>
      <c r="D3" s="12" t="n">
        <v>1</v>
      </c>
      <c r="E3" s="12" t="n">
        <v>0.125</v>
      </c>
      <c r="F3" s="12">
        <f>C3*D3*E3</f>
        <v/>
      </c>
      <c r="G3" s="12" t="n">
        <v>10</v>
      </c>
      <c r="H3" s="10" t="inlineStr">
        <is>
          <t>Reconciled Mitchell 4-heir split; lease 2693/0337</t>
        </is>
      </c>
      <c r="I3" s="12" t="inlineStr">
        <is>
          <t>Low-Medium</t>
        </is>
      </c>
      <c r="J3" s="10" t="inlineStr">
        <is>
          <t>Probate/heirship; full deed</t>
        </is>
      </c>
    </row>
    <row r="4">
      <c r="A4" s="10" t="inlineStr">
        <is>
          <t>Nancy Susan Mitchell (Estate)</t>
        </is>
      </c>
      <c r="B4" s="12" t="inlineStr">
        <is>
          <t>1</t>
        </is>
      </c>
      <c r="C4" s="12" t="n">
        <v>80</v>
      </c>
      <c r="D4" s="12" t="n">
        <v>1</v>
      </c>
      <c r="E4" s="12" t="n">
        <v>0.125</v>
      </c>
      <c r="F4" s="12">
        <f>C4*D4*E4</f>
        <v/>
      </c>
      <c r="G4" s="12" t="n">
        <v>10</v>
      </c>
      <c r="H4" s="10" t="inlineStr">
        <is>
          <t>Reconciled Mitchell 4-heir split; lease 2697/0524</t>
        </is>
      </c>
      <c r="I4" s="12" t="inlineStr">
        <is>
          <t>Low-Medium</t>
        </is>
      </c>
      <c r="J4" s="10" t="inlineStr">
        <is>
          <t>Probate of Nancy Mitchell estate</t>
        </is>
      </c>
    </row>
    <row r="5">
      <c r="A5" s="10" t="inlineStr">
        <is>
          <t>Marvin Mitchell Williams (Estate)</t>
        </is>
      </c>
      <c r="B5" s="12" t="inlineStr">
        <is>
          <t>1</t>
        </is>
      </c>
      <c r="C5" s="12" t="n">
        <v>80</v>
      </c>
      <c r="D5" s="12" t="n">
        <v>1</v>
      </c>
      <c r="E5" s="12" t="n">
        <v>0.125</v>
      </c>
      <c r="F5" s="12">
        <f>C5*D5*E5</f>
        <v/>
      </c>
      <c r="G5" s="12" t="n">
        <v>10</v>
      </c>
      <c r="H5" s="10" t="inlineStr">
        <is>
          <t>Reconciled Mitchell 4-heir split; lease 2702/0505</t>
        </is>
      </c>
      <c r="I5" s="12" t="inlineStr">
        <is>
          <t>Low-Medium</t>
        </is>
      </c>
      <c r="J5" s="10" t="inlineStr">
        <is>
          <t>Probate of estate</t>
        </is>
      </c>
    </row>
    <row r="6">
      <c r="A6" s="10" t="inlineStr">
        <is>
          <t>Panhandle Royalty Company</t>
        </is>
      </c>
      <c r="B6" s="12" t="inlineStr">
        <is>
          <t>1</t>
        </is>
      </c>
      <c r="C6" s="12" t="n">
        <v>80</v>
      </c>
      <c r="D6" s="12" t="n">
        <v>1</v>
      </c>
      <c r="E6" s="12" t="n">
        <v>0.5</v>
      </c>
      <c r="F6" s="12">
        <f>C6*D6*E6</f>
        <v/>
      </c>
      <c r="G6" s="12" t="n">
        <v>40</v>
      </c>
      <c r="H6" s="10" t="inlineStr">
        <is>
          <t>Inserted in Reconciled Tracker as unleased/historic; NOT in Title sheet</t>
        </is>
      </c>
      <c r="I6" s="12" t="inlineStr">
        <is>
          <t>Low</t>
        </is>
      </c>
      <c r="J6" s="10" t="inlineStr">
        <is>
          <t>Source the Panhandle interest; confirm 40 NMA basis</t>
        </is>
      </c>
    </row>
    <row r="7">
      <c r="A7" s="10" t="inlineStr">
        <is>
          <t>Okki Industries, LLC (successor to EDR)</t>
        </is>
      </c>
      <c r="B7" s="12" t="inlineStr">
        <is>
          <t>2</t>
        </is>
      </c>
      <c r="C7" s="12" t="n">
        <v>40</v>
      </c>
      <c r="D7" s="12" t="n">
        <v>1</v>
      </c>
      <c r="E7" s="12" t="n">
        <v>0.0385</v>
      </c>
      <c r="F7" s="12">
        <f>C7*D7*E7</f>
        <v/>
      </c>
      <c r="G7" s="12" t="n">
        <v>1.5385</v>
      </c>
      <c r="H7" s="10" t="inlineStr">
        <is>
          <t>Mineral deed 2625/0231; exact fraction not in index</t>
        </is>
      </c>
      <c r="I7" s="12" t="inlineStr">
        <is>
          <t>Low</t>
        </is>
      </c>
      <c r="J7" s="10" t="inlineStr">
        <is>
          <t>Full mineral deed 2625/0231</t>
        </is>
      </c>
    </row>
    <row r="8">
      <c r="A8" s="10" t="inlineStr">
        <is>
          <t>Del Monte Royalty Partners, LLC (successor to EDR)</t>
        </is>
      </c>
      <c r="B8" s="12" t="inlineStr">
        <is>
          <t>2</t>
        </is>
      </c>
      <c r="C8" s="12" t="n">
        <v>40</v>
      </c>
      <c r="D8" s="12" t="n">
        <v>1</v>
      </c>
      <c r="E8" s="12" t="n">
        <v>0.0385</v>
      </c>
      <c r="F8" s="12">
        <f>C8*D8*E8</f>
        <v/>
      </c>
      <c r="G8" s="12" t="n">
        <v>1.5385</v>
      </c>
      <c r="H8" s="10" t="inlineStr">
        <is>
          <t>Mineral deed 2625/0233; exact fraction not in index</t>
        </is>
      </c>
      <c r="I8" s="12" t="inlineStr">
        <is>
          <t>Low</t>
        </is>
      </c>
      <c r="J8" s="10" t="inlineStr">
        <is>
          <t>Full mineral deed 2625/0233</t>
        </is>
      </c>
    </row>
    <row r="9">
      <c r="A9" s="10" t="inlineStr">
        <is>
          <t>Cardinal Land Company, LLC (successor to Greystone)</t>
        </is>
      </c>
      <c r="B9" s="12" t="inlineStr">
        <is>
          <t>2</t>
        </is>
      </c>
      <c r="C9" s="12" t="n">
        <v>40</v>
      </c>
      <c r="D9" s="12" t="n">
        <v>1</v>
      </c>
      <c r="E9" s="12" t="n">
        <v>0.0769</v>
      </c>
      <c r="F9" s="12">
        <f>C9*D9*E9</f>
        <v/>
      </c>
      <c r="G9" s="12" t="n">
        <v>3.0769</v>
      </c>
      <c r="H9" s="10" t="inlineStr">
        <is>
          <t>Mineral deed 2481/0287; exact fraction not in index</t>
        </is>
      </c>
      <c r="I9" s="12" t="inlineStr">
        <is>
          <t>Low</t>
        </is>
      </c>
      <c r="J9" s="10" t="inlineStr">
        <is>
          <t>Full mineral deed 2481/0287</t>
        </is>
      </c>
    </row>
    <row r="10">
      <c r="A10" s="10" t="inlineStr">
        <is>
          <t>Remaining Bain Family Heirs (multiple branches)</t>
        </is>
      </c>
      <c r="B10" s="12" t="inlineStr">
        <is>
          <t>2</t>
        </is>
      </c>
      <c r="C10" s="12" t="n">
        <v>40</v>
      </c>
      <c r="D10" s="12" t="n">
        <v>1</v>
      </c>
      <c r="E10" s="12" t="n">
        <v>0.8462</v>
      </c>
      <c r="F10" s="12">
        <f>C10*D10*E10</f>
        <v/>
      </c>
      <c r="G10" s="12" t="n">
        <v>33.8462</v>
      </c>
      <c r="H10" s="10" t="inlineStr">
        <is>
          <t>Residual of Tract 2 after EDR successors; split unconfirmed</t>
        </is>
      </c>
      <c r="I10" s="12" t="inlineStr">
        <is>
          <t>Low</t>
        </is>
      </c>
      <c r="J10" s="10" t="inlineStr">
        <is>
          <t>Bain heirship/probate</t>
        </is>
      </c>
    </row>
    <row r="11">
      <c r="A11" s="10" t="inlineStr">
        <is>
          <t>Gena Moore</t>
        </is>
      </c>
      <c r="B11" s="12" t="inlineStr">
        <is>
          <t>3</t>
        </is>
      </c>
      <c r="C11" s="12" t="n">
        <v>40</v>
      </c>
      <c r="D11" s="12" t="n">
        <v>1</v>
      </c>
      <c r="E11" s="12" t="n">
        <v>0.125</v>
      </c>
      <c r="F11" s="12">
        <f>C11*D11*E11</f>
        <v/>
      </c>
      <c r="G11" s="12" t="n">
        <v>5</v>
      </c>
      <c r="H11" s="10" t="inlineStr">
        <is>
          <t>Mitchell 4-heir split</t>
        </is>
      </c>
      <c r="I11" s="12" t="inlineStr">
        <is>
          <t>Low-Medium</t>
        </is>
      </c>
      <c r="J11" s="10" t="inlineStr">
        <is>
          <t>Probate/heirship</t>
        </is>
      </c>
    </row>
    <row r="12">
      <c r="A12" s="10" t="inlineStr">
        <is>
          <t>Mitchell-Buonaccorsi Trust</t>
        </is>
      </c>
      <c r="B12" s="12" t="inlineStr">
        <is>
          <t>3</t>
        </is>
      </c>
      <c r="C12" s="12" t="n">
        <v>40</v>
      </c>
      <c r="D12" s="12" t="n">
        <v>1</v>
      </c>
      <c r="E12" s="12" t="n">
        <v>0.125</v>
      </c>
      <c r="F12" s="12">
        <f>C12*D12*E12</f>
        <v/>
      </c>
      <c r="G12" s="12" t="n">
        <v>5</v>
      </c>
      <c r="H12" s="10" t="inlineStr">
        <is>
          <t>Mitchell 4-heir split</t>
        </is>
      </c>
      <c r="I12" s="12" t="inlineStr">
        <is>
          <t>Low-Medium</t>
        </is>
      </c>
      <c r="J12" s="10" t="inlineStr">
        <is>
          <t>Probate/heirship</t>
        </is>
      </c>
    </row>
    <row r="13">
      <c r="A13" s="10" t="inlineStr">
        <is>
          <t>Nancy Mitchell Estate</t>
        </is>
      </c>
      <c r="B13" s="12" t="inlineStr">
        <is>
          <t>3</t>
        </is>
      </c>
      <c r="C13" s="12" t="n">
        <v>40</v>
      </c>
      <c r="D13" s="12" t="n">
        <v>1</v>
      </c>
      <c r="E13" s="12" t="n">
        <v>0.125</v>
      </c>
      <c r="F13" s="12">
        <f>C13*D13*E13</f>
        <v/>
      </c>
      <c r="G13" s="12" t="n">
        <v>5</v>
      </c>
      <c r="H13" s="10" t="inlineStr">
        <is>
          <t>Mitchell 4-heir split</t>
        </is>
      </c>
      <c r="I13" s="12" t="inlineStr">
        <is>
          <t>Low-Medium</t>
        </is>
      </c>
      <c r="J13" s="10" t="inlineStr">
        <is>
          <t>Probate/heirship</t>
        </is>
      </c>
    </row>
    <row r="14">
      <c r="A14" s="10" t="inlineStr">
        <is>
          <t>Marvin Mitchell Williams Estate</t>
        </is>
      </c>
      <c r="B14" s="12" t="inlineStr">
        <is>
          <t>3</t>
        </is>
      </c>
      <c r="C14" s="12" t="n">
        <v>40</v>
      </c>
      <c r="D14" s="12" t="n">
        <v>1</v>
      </c>
      <c r="E14" s="12" t="n">
        <v>0.125</v>
      </c>
      <c r="F14" s="12">
        <f>C14*D14*E14</f>
        <v/>
      </c>
      <c r="G14" s="12" t="n">
        <v>5</v>
      </c>
      <c r="H14" s="10" t="inlineStr">
        <is>
          <t>Mitchell 4-heir split</t>
        </is>
      </c>
      <c r="I14" s="12" t="inlineStr">
        <is>
          <t>Low-Medium</t>
        </is>
      </c>
      <c r="J14" s="10" t="inlineStr">
        <is>
          <t>Probate/heirship</t>
        </is>
      </c>
    </row>
    <row r="15">
      <c r="A15" s="10" t="inlineStr">
        <is>
          <t>Keri Lee Daigle Tucker Trust</t>
        </is>
      </c>
      <c r="B15" s="12" t="inlineStr">
        <is>
          <t>3</t>
        </is>
      </c>
      <c r="C15" s="12" t="n">
        <v>40</v>
      </c>
      <c r="D15" s="12" t="n">
        <v>1</v>
      </c>
      <c r="E15" s="12" t="n">
        <v>0.16667</v>
      </c>
      <c r="F15" s="12">
        <f>C15*D15*E15</f>
        <v/>
      </c>
      <c r="G15" s="12" t="n">
        <v>6.6667</v>
      </c>
      <c r="H15" s="10" t="inlineStr">
        <is>
          <t>Sorenson 3-heir split; lease 2697/0520</t>
        </is>
      </c>
      <c r="I15" s="12" t="inlineStr">
        <is>
          <t>Low-Medium</t>
        </is>
      </c>
      <c r="J15" s="10" t="inlineStr">
        <is>
          <t>Sorenson trust/heirship</t>
        </is>
      </c>
    </row>
    <row r="16">
      <c r="A16" s="10" t="inlineStr">
        <is>
          <t>Mark Ashley Daigle Trust</t>
        </is>
      </c>
      <c r="B16" s="12" t="inlineStr">
        <is>
          <t>3</t>
        </is>
      </c>
      <c r="C16" s="12" t="n">
        <v>40</v>
      </c>
      <c r="D16" s="12" t="n">
        <v>1</v>
      </c>
      <c r="E16" s="12" t="n">
        <v>0.16667</v>
      </c>
      <c r="F16" s="12">
        <f>C16*D16*E16</f>
        <v/>
      </c>
      <c r="G16" s="12" t="n">
        <v>6.6667</v>
      </c>
      <c r="H16" s="10" t="inlineStr">
        <is>
          <t>Sorenson 3-heir split; lease 2693/0349</t>
        </is>
      </c>
      <c r="I16" s="12" t="inlineStr">
        <is>
          <t>Low-Medium</t>
        </is>
      </c>
      <c r="J16" s="10" t="inlineStr">
        <is>
          <t>Sorenson trust/heirship</t>
        </is>
      </c>
    </row>
    <row r="17">
      <c r="A17" s="10" t="inlineStr">
        <is>
          <t>Kevin Warner Johnson Trust</t>
        </is>
      </c>
      <c r="B17" s="12" t="inlineStr">
        <is>
          <t>3</t>
        </is>
      </c>
      <c r="C17" s="12" t="n">
        <v>40</v>
      </c>
      <c r="D17" s="12" t="n">
        <v>1</v>
      </c>
      <c r="E17" s="12" t="n">
        <v>0.16667</v>
      </c>
      <c r="F17" s="12">
        <f>C17*D17*E17</f>
        <v/>
      </c>
      <c r="G17" s="12" t="n">
        <v>6.6667</v>
      </c>
      <c r="H17" s="10" t="inlineStr">
        <is>
          <t>Sorenson 3-heir split; lease 2693/0345</t>
        </is>
      </c>
      <c r="I17" s="12" t="inlineStr">
        <is>
          <t>Low-Medium</t>
        </is>
      </c>
      <c r="J17" s="10" t="inlineStr">
        <is>
          <t>Sorenson trust/heirship</t>
        </is>
      </c>
    </row>
    <row r="18">
      <c r="A18" s="10" t="inlineStr">
        <is>
          <t>Gena Moore</t>
        </is>
      </c>
      <c r="B18" s="12" t="inlineStr">
        <is>
          <t>4</t>
        </is>
      </c>
      <c r="C18" s="12" t="n">
        <v>80</v>
      </c>
      <c r="D18" s="12" t="n">
        <v>1</v>
      </c>
      <c r="E18" s="12" t="n">
        <v>0.125</v>
      </c>
      <c r="F18" s="12">
        <f>C18*D18*E18</f>
        <v/>
      </c>
      <c r="G18" s="12" t="n">
        <v>10</v>
      </c>
      <c r="H18" s="10" t="inlineStr">
        <is>
          <t>Mitchell 4-heir split</t>
        </is>
      </c>
      <c r="I18" s="12" t="inlineStr">
        <is>
          <t>Low-Medium</t>
        </is>
      </c>
      <c r="J18" s="10" t="inlineStr">
        <is>
          <t>Probate/heirship</t>
        </is>
      </c>
    </row>
    <row r="19">
      <c r="A19" s="10" t="inlineStr">
        <is>
          <t>Mitchell-Buonaccorsi Trust</t>
        </is>
      </c>
      <c r="B19" s="12" t="inlineStr">
        <is>
          <t>4</t>
        </is>
      </c>
      <c r="C19" s="12" t="n">
        <v>80</v>
      </c>
      <c r="D19" s="12" t="n">
        <v>1</v>
      </c>
      <c r="E19" s="12" t="n">
        <v>0.125</v>
      </c>
      <c r="F19" s="12">
        <f>C19*D19*E19</f>
        <v/>
      </c>
      <c r="G19" s="12" t="n">
        <v>10</v>
      </c>
      <c r="H19" s="10" t="inlineStr">
        <is>
          <t>Mitchell 4-heir split</t>
        </is>
      </c>
      <c r="I19" s="12" t="inlineStr">
        <is>
          <t>Low-Medium</t>
        </is>
      </c>
      <c r="J19" s="10" t="inlineStr">
        <is>
          <t>Probate/heirship</t>
        </is>
      </c>
    </row>
    <row r="20">
      <c r="A20" s="10" t="inlineStr">
        <is>
          <t>Nancy Mitchell Estate</t>
        </is>
      </c>
      <c r="B20" s="12" t="inlineStr">
        <is>
          <t>4</t>
        </is>
      </c>
      <c r="C20" s="12" t="n">
        <v>80</v>
      </c>
      <c r="D20" s="12" t="n">
        <v>1</v>
      </c>
      <c r="E20" s="12" t="n">
        <v>0.125</v>
      </c>
      <c r="F20" s="12">
        <f>C20*D20*E20</f>
        <v/>
      </c>
      <c r="G20" s="12" t="n">
        <v>10</v>
      </c>
      <c r="H20" s="10" t="inlineStr">
        <is>
          <t>Mitchell 4-heir split</t>
        </is>
      </c>
      <c r="I20" s="12" t="inlineStr">
        <is>
          <t>Low-Medium</t>
        </is>
      </c>
      <c r="J20" s="10" t="inlineStr">
        <is>
          <t>Probate/heirship</t>
        </is>
      </c>
    </row>
    <row r="21">
      <c r="A21" s="10" t="inlineStr">
        <is>
          <t>Marvin Mitchell Williams Estate</t>
        </is>
      </c>
      <c r="B21" s="12" t="inlineStr">
        <is>
          <t>4</t>
        </is>
      </c>
      <c r="C21" s="12" t="n">
        <v>80</v>
      </c>
      <c r="D21" s="12" t="n">
        <v>1</v>
      </c>
      <c r="E21" s="12" t="n">
        <v>0.125</v>
      </c>
      <c r="F21" s="12">
        <f>C21*D21*E21</f>
        <v/>
      </c>
      <c r="G21" s="12" t="n">
        <v>10</v>
      </c>
      <c r="H21" s="10" t="inlineStr">
        <is>
          <t>Mitchell 4-heir split</t>
        </is>
      </c>
      <c r="I21" s="12" t="inlineStr">
        <is>
          <t>Low-Medium</t>
        </is>
      </c>
      <c r="J21" s="10" t="inlineStr">
        <is>
          <t>Probate/heirship</t>
        </is>
      </c>
    </row>
    <row r="22">
      <c r="A22" s="10" t="inlineStr">
        <is>
          <t>Keri Lee Daigle Tucker Trust</t>
        </is>
      </c>
      <c r="B22" s="12" t="inlineStr">
        <is>
          <t>4</t>
        </is>
      </c>
      <c r="C22" s="12" t="n">
        <v>80</v>
      </c>
      <c r="D22" s="12" t="n">
        <v>1</v>
      </c>
      <c r="E22" s="12" t="n">
        <v>0.16667</v>
      </c>
      <c r="F22" s="12">
        <f>C22*D22*E22</f>
        <v/>
      </c>
      <c r="G22" s="12" t="n">
        <v>13.3333</v>
      </c>
      <c r="H22" s="10" t="inlineStr">
        <is>
          <t>Sorenson 3-heir split</t>
        </is>
      </c>
      <c r="I22" s="12" t="inlineStr">
        <is>
          <t>Low-Medium</t>
        </is>
      </c>
      <c r="J22" s="10" t="inlineStr">
        <is>
          <t>Sorenson trust/heirship</t>
        </is>
      </c>
    </row>
    <row r="23">
      <c r="A23" s="10" t="inlineStr">
        <is>
          <t>Mark Ashley Daigle Trust</t>
        </is>
      </c>
      <c r="B23" s="12" t="inlineStr">
        <is>
          <t>4</t>
        </is>
      </c>
      <c r="C23" s="12" t="n">
        <v>80</v>
      </c>
      <c r="D23" s="12" t="n">
        <v>1</v>
      </c>
      <c r="E23" s="12" t="n">
        <v>0.16667</v>
      </c>
      <c r="F23" s="12">
        <f>C23*D23*E23</f>
        <v/>
      </c>
      <c r="G23" s="12" t="n">
        <v>13.3333</v>
      </c>
      <c r="H23" s="10" t="inlineStr">
        <is>
          <t>Sorenson 3-heir split</t>
        </is>
      </c>
      <c r="I23" s="12" t="inlineStr">
        <is>
          <t>Low-Medium</t>
        </is>
      </c>
      <c r="J23" s="10" t="inlineStr">
        <is>
          <t>Sorenson trust/heirship</t>
        </is>
      </c>
    </row>
    <row r="24">
      <c r="A24" s="10" t="inlineStr">
        <is>
          <t>Kevin Warner Johnson Trust</t>
        </is>
      </c>
      <c r="B24" s="12" t="inlineStr">
        <is>
          <t>4</t>
        </is>
      </c>
      <c r="C24" s="12" t="n">
        <v>80</v>
      </c>
      <c r="D24" s="12" t="n">
        <v>1</v>
      </c>
      <c r="E24" s="12" t="n">
        <v>0.16667</v>
      </c>
      <c r="F24" s="12">
        <f>C24*D24*E24</f>
        <v/>
      </c>
      <c r="G24" s="12" t="n">
        <v>13.3333</v>
      </c>
      <c r="H24" s="10" t="inlineStr">
        <is>
          <t>Sorenson 3-heir split</t>
        </is>
      </c>
      <c r="I24" s="12" t="inlineStr">
        <is>
          <t>Low-Medium</t>
        </is>
      </c>
      <c r="J24" s="10" t="inlineStr">
        <is>
          <t>Sorenson trust/heirship</t>
        </is>
      </c>
    </row>
    <row r="25">
      <c r="A25" s="10" t="inlineStr">
        <is>
          <t>Calvin Wayne Kirk (from Ella Pearl Kirk)</t>
        </is>
      </c>
      <c r="B25" s="12" t="inlineStr">
        <is>
          <t>5</t>
        </is>
      </c>
      <c r="C25" s="12" t="n"/>
      <c r="D25" s="12" t="n"/>
      <c r="E25" s="12" t="n"/>
      <c r="F25" s="12" t="inlineStr">
        <is>
          <t>manual (irregular lots)</t>
        </is>
      </c>
      <c r="G25" s="12" t="n">
        <v>32.8</v>
      </c>
      <c r="H25" s="10" t="inlineStr">
        <is>
          <t>Mineral deed 2365/0338; tract acreage irregular/unverified</t>
        </is>
      </c>
      <c r="I25" s="12" t="inlineStr">
        <is>
          <t>Low</t>
        </is>
      </c>
      <c r="J25" s="10" t="inlineStr">
        <is>
          <t>Recorded plat/survey; full deed</t>
        </is>
      </c>
    </row>
    <row r="26">
      <c r="A26" s="10" t="inlineStr">
        <is>
          <t>William Bryant</t>
        </is>
      </c>
      <c r="B26" s="12" t="inlineStr">
        <is>
          <t>5</t>
        </is>
      </c>
      <c r="C26" s="12" t="n"/>
      <c r="D26" s="12" t="n"/>
      <c r="E26" s="12" t="n"/>
      <c r="F26" s="12" t="inlineStr">
        <is>
          <t>manual (irregular lots)</t>
        </is>
      </c>
      <c r="G26" s="12" t="n">
        <v>33.1</v>
      </c>
      <c r="H26" s="10" t="inlineStr">
        <is>
          <t>Deed 2261/0255; Lot 1 partial; mortgage/release open</t>
        </is>
      </c>
      <c r="I26" s="12" t="inlineStr">
        <is>
          <t>Low</t>
        </is>
      </c>
      <c r="J26" s="10" t="inlineStr">
        <is>
          <t>Plat/survey; release confirmation</t>
        </is>
      </c>
    </row>
    <row r="27">
      <c r="A27" s="10" t="inlineStr">
        <is>
          <t>Ronald Paul Dold</t>
        </is>
      </c>
      <c r="B27" s="12" t="inlineStr">
        <is>
          <t>6</t>
        </is>
      </c>
      <c r="C27" s="12" t="n">
        <v>80</v>
      </c>
      <c r="D27" s="12" t="n">
        <v>1</v>
      </c>
      <c r="E27" s="12" t="n">
        <v>1</v>
      </c>
      <c r="F27" s="12">
        <f>C27*D27*E27</f>
        <v/>
      </c>
      <c r="G27" s="12" t="n">
        <v>80</v>
      </c>
      <c r="H27" s="10" t="inlineStr">
        <is>
          <t>Silver Oak lease 2697/0524 covers full W/2 SW/4; only leased-confirmed NMA</t>
        </is>
      </c>
      <c r="I27" s="12" t="inlineStr">
        <is>
          <t>Medium</t>
        </is>
      </c>
      <c r="J27" s="10" t="inlineStr">
        <is>
          <t>Underlying mineral deed; 2004 prior lease</t>
        </is>
      </c>
    </row>
    <row r="28">
      <c r="A28" s="10" t="inlineStr">
        <is>
          <t>Keri Lee Daigle Tucker Trust</t>
        </is>
      </c>
      <c r="B28" s="12" t="inlineStr">
        <is>
          <t>7</t>
        </is>
      </c>
      <c r="C28" s="12" t="n">
        <v>40</v>
      </c>
      <c r="D28" s="12" t="n">
        <v>1</v>
      </c>
      <c r="E28" s="12" t="n">
        <v>0.33333</v>
      </c>
      <c r="F28" s="12">
        <f>C28*D28*E28</f>
        <v/>
      </c>
      <c r="G28" s="12" t="n">
        <v>13.3333</v>
      </c>
      <c r="H28" s="10" t="inlineStr">
        <is>
          <t>Sorenson 3-heir split; lease 2697/0520</t>
        </is>
      </c>
      <c r="I28" s="12" t="inlineStr">
        <is>
          <t>Low-Medium</t>
        </is>
      </c>
      <c r="J28" s="10" t="inlineStr">
        <is>
          <t>Sorenson trust/heirship</t>
        </is>
      </c>
    </row>
    <row r="29">
      <c r="A29" s="10" t="inlineStr">
        <is>
          <t>Mark Ashley Daigle Trust</t>
        </is>
      </c>
      <c r="B29" s="12" t="inlineStr">
        <is>
          <t>7</t>
        </is>
      </c>
      <c r="C29" s="12" t="n">
        <v>40</v>
      </c>
      <c r="D29" s="12" t="n">
        <v>1</v>
      </c>
      <c r="E29" s="12" t="n">
        <v>0.33333</v>
      </c>
      <c r="F29" s="12">
        <f>C29*D29*E29</f>
        <v/>
      </c>
      <c r="G29" s="12" t="n">
        <v>13.3333</v>
      </c>
      <c r="H29" s="10" t="inlineStr">
        <is>
          <t>Sorenson 3-heir split; lease 2693/0349</t>
        </is>
      </c>
      <c r="I29" s="12" t="inlineStr">
        <is>
          <t>Low-Medium</t>
        </is>
      </c>
      <c r="J29" s="10" t="inlineStr">
        <is>
          <t>Sorenson trust/heirship</t>
        </is>
      </c>
    </row>
    <row r="30">
      <c r="A30" s="10" t="inlineStr">
        <is>
          <t>Kevin Warner Johnson Trust</t>
        </is>
      </c>
      <c r="B30" s="12" t="inlineStr">
        <is>
          <t>7</t>
        </is>
      </c>
      <c r="C30" s="12" t="n">
        <v>40</v>
      </c>
      <c r="D30" s="12" t="n">
        <v>1</v>
      </c>
      <c r="E30" s="12" t="n">
        <v>0.33333</v>
      </c>
      <c r="F30" s="12">
        <f>C30*D30*E30</f>
        <v/>
      </c>
      <c r="G30" s="12" t="n">
        <v>13.3333</v>
      </c>
      <c r="H30" s="10" t="inlineStr">
        <is>
          <t>Sorenson 3-heir split; lease 2693/0345</t>
        </is>
      </c>
      <c r="I30" s="12" t="inlineStr">
        <is>
          <t>Low-Medium</t>
        </is>
      </c>
      <c r="J30" s="10" t="inlineStr">
        <is>
          <t>Sorenson trust/heirship</t>
        </is>
      </c>
    </row>
    <row r="31">
      <c r="A31" s="10" t="inlineStr">
        <is>
          <t>Del Monte Royalty Partners, LLC</t>
        </is>
      </c>
      <c r="B31" s="12" t="inlineStr">
        <is>
          <t>8</t>
        </is>
      </c>
      <c r="C31" s="12" t="n">
        <v>120</v>
      </c>
      <c r="D31" s="12" t="n">
        <v>1</v>
      </c>
      <c r="E31" s="12" t="n">
        <v>0.38462</v>
      </c>
      <c r="F31" s="12">
        <f>C31*D31*E31</f>
        <v/>
      </c>
      <c r="G31" s="12" t="n">
        <v>46.1538</v>
      </c>
      <c r="H31" s="10" t="inlineStr">
        <is>
          <t>EDR mineral deed 2625/0233</t>
        </is>
      </c>
      <c r="I31" s="12" t="inlineStr">
        <is>
          <t>Low</t>
        </is>
      </c>
      <c r="J31" s="10" t="inlineStr">
        <is>
          <t>Full deed; Bain reconciliation</t>
        </is>
      </c>
    </row>
    <row r="32">
      <c r="A32" s="10" t="inlineStr">
        <is>
          <t>Okki Industries, LLC</t>
        </is>
      </c>
      <c r="B32" s="12" t="inlineStr">
        <is>
          <t>8</t>
        </is>
      </c>
      <c r="C32" s="12" t="n">
        <v>120</v>
      </c>
      <c r="D32" s="12" t="n">
        <v>1</v>
      </c>
      <c r="E32" s="12" t="n">
        <v>0.38462</v>
      </c>
      <c r="F32" s="12">
        <f>C32*D32*E32</f>
        <v/>
      </c>
      <c r="G32" s="12" t="n">
        <v>46.1538</v>
      </c>
      <c r="H32" s="10" t="inlineStr">
        <is>
          <t>EDR mineral deed 2625/0231</t>
        </is>
      </c>
      <c r="I32" s="12" t="inlineStr">
        <is>
          <t>Low</t>
        </is>
      </c>
      <c r="J32" s="10" t="inlineStr">
        <is>
          <t>Full deed; Bain reconciliation</t>
        </is>
      </c>
    </row>
    <row r="33">
      <c r="A33" s="10" t="inlineStr">
        <is>
          <t>Other Bain heirs (Slobin, Cook, Fuchs, etc.)</t>
        </is>
      </c>
      <c r="B33" s="12" t="inlineStr">
        <is>
          <t>8</t>
        </is>
      </c>
      <c r="C33" s="12" t="n">
        <v>120</v>
      </c>
      <c r="D33" s="12" t="n">
        <v>1</v>
      </c>
      <c r="E33" s="12" t="n">
        <v>0.23077</v>
      </c>
      <c r="F33" s="12">
        <f>C33*D33*E33</f>
        <v/>
      </c>
      <c r="G33" s="12" t="n">
        <v>27.6924</v>
      </c>
      <c r="H33" s="10" t="inlineStr">
        <is>
          <t>Residual reconciliation among Bain branches</t>
        </is>
      </c>
      <c r="I33" s="12" t="inlineStr">
        <is>
          <t>Low</t>
        </is>
      </c>
      <c r="J33" s="10" t="inlineStr">
        <is>
          <t>Bain heirship/probate</t>
        </is>
      </c>
    </row>
    <row r="34">
      <c r="A34" s="10" t="inlineStr">
        <is>
          <t>UNKNOWN / UNCONFIRMED OWNER</t>
        </is>
      </c>
      <c r="B34" s="12" t="inlineStr">
        <is>
          <t>(unassigned) NE/4 SW/4</t>
        </is>
      </c>
      <c r="C34" s="12" t="n">
        <v>40</v>
      </c>
      <c r="D34" s="12" t="n">
        <v>1</v>
      </c>
      <c r="E34" s="12" t="n">
        <v>1</v>
      </c>
      <c r="F34" s="12">
        <f>C34*D34*E34</f>
        <v/>
      </c>
      <c r="G34" s="12" t="n">
        <v>40</v>
      </c>
      <c r="H34" s="10" t="inlineStr">
        <is>
          <t>Quarter-quarter not assigned to any subject tract; ownership open</t>
        </is>
      </c>
      <c r="I34" s="12" t="inlineStr">
        <is>
          <t>Unknown</t>
        </is>
      </c>
      <c r="J34" s="10" t="inlineStr">
        <is>
          <t>Verify ownership; allocate to tract</t>
        </is>
      </c>
    </row>
    <row r="35">
      <c r="A35" s="13" t="inlineStr">
        <is>
          <t>TOTAL ESTIMATED NMA (all tracts; includes estimates &amp; unknowns)</t>
        </is>
      </c>
      <c r="G35" s="14">
        <f>SUM(G2:G34)</f>
        <v/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6" customWidth="1" min="4" max="4"/>
    <col width="18" customWidth="1" min="5" max="5"/>
    <col width="22" customWidth="1" min="6" max="6"/>
    <col width="12" customWidth="1" min="7" max="7"/>
    <col width="34" customWidth="1" min="8" max="8"/>
    <col width="20" customWidth="1" min="9" max="9"/>
    <col width="26" customWidth="1" min="10" max="10"/>
    <col width="34" customWidth="1" min="11" max="11"/>
    <col width="28" customWidth="1" min="12" max="12"/>
    <col width="34" customWidth="1" min="13" max="13"/>
  </cols>
  <sheetData>
    <row r="1">
      <c r="A1" s="8" t="inlineStr">
        <is>
          <t>Lease</t>
        </is>
      </c>
      <c r="B1" s="8" t="inlineStr">
        <is>
          <t>Lessor</t>
        </is>
      </c>
      <c r="C1" s="8" t="inlineStr">
        <is>
          <t>Lessee</t>
        </is>
      </c>
      <c r="D1" s="8" t="inlineStr">
        <is>
          <t>Tract coverage</t>
        </is>
      </c>
      <c r="E1" s="8" t="inlineStr">
        <is>
          <t>Lease date</t>
        </is>
      </c>
      <c r="F1" s="8" t="inlineStr">
        <is>
          <t>Recording info</t>
        </is>
      </c>
      <c r="G1" s="8" t="inlineStr">
        <is>
          <t>Primary term</t>
        </is>
      </c>
      <c r="H1" s="8" t="inlineStr">
        <is>
          <t>Extension/shut-in/pooling clauses</t>
        </is>
      </c>
      <c r="I1" s="8" t="inlineStr">
        <is>
          <t>Calculated expiration</t>
        </is>
      </c>
      <c r="J1" s="8" t="inlineStr">
        <is>
          <t>Current status</t>
        </is>
      </c>
      <c r="K1" s="8" t="inlineStr">
        <is>
          <t>HBP evidence</t>
        </is>
      </c>
      <c r="L1" s="8" t="inlineStr">
        <is>
          <t>Well/API/PUN/order links</t>
        </is>
      </c>
      <c r="M1" s="8" t="inlineStr">
        <is>
          <t>Open issue</t>
        </is>
      </c>
    </row>
    <row r="2">
      <c r="A2" s="9" t="inlineStr">
        <is>
          <t>OGL 2702/0505</t>
        </is>
      </c>
      <c r="B2" s="10" t="inlineStr">
        <is>
          <t>Gena Williams Moore (Mitchell)</t>
        </is>
      </c>
      <c r="C2" s="10" t="inlineStr">
        <is>
          <t>Silver Oak Natural Resources, LLC</t>
        </is>
      </c>
      <c r="D2" s="10" t="inlineStr">
        <is>
          <t>Tracts 1,3 (N/2 NE/4, SE/4 NE/4)</t>
        </is>
      </c>
      <c r="E2" s="9" t="inlineStr">
        <is>
          <t>eff ~02/11/2026</t>
        </is>
      </c>
      <c r="F2" s="9" t="inlineStr">
        <is>
          <t>Bk 2702 Pg 0505</t>
        </is>
      </c>
      <c r="G2" s="9" t="inlineStr">
        <is>
          <t>5 years</t>
        </is>
      </c>
      <c r="H2" s="10" t="inlineStr">
        <is>
          <t>Paid-up TOP LEASE; springs on prior-lease termination</t>
        </is>
      </c>
      <c r="I2" s="9" t="inlineStr">
        <is>
          <t>02/11/2031</t>
        </is>
      </c>
      <c r="J2" s="9" t="inlineStr">
        <is>
          <t>Active top lease (subordinate)</t>
        </is>
      </c>
      <c r="K2" s="10" t="inlineStr">
        <is>
          <t>N/A - top lease; not relied on for HBP</t>
        </is>
      </c>
      <c r="L2" s="10" t="inlineStr">
        <is>
          <t>OKCountyRecords API image 6/12/2026</t>
        </is>
      </c>
      <c r="M2" s="10" t="inlineStr">
        <is>
          <t>Subordinate to 2004-era prior lease (Bk 1736)</t>
        </is>
      </c>
    </row>
    <row r="3">
      <c r="A3" s="9" t="inlineStr">
        <is>
          <t>OGL 2693/0337</t>
        </is>
      </c>
      <c r="B3" s="10" t="inlineStr">
        <is>
          <t>Mitchell-Buonaccorsi Living Trust</t>
        </is>
      </c>
      <c r="C3" s="10" t="inlineStr">
        <is>
          <t>Silver Oak Natural Resources, LLC</t>
        </is>
      </c>
      <c r="D3" s="10" t="inlineStr">
        <is>
          <t>Tracts 1,3</t>
        </is>
      </c>
      <c r="E3" s="9" t="inlineStr">
        <is>
          <t>eff ~02/23/2026</t>
        </is>
      </c>
      <c r="F3" s="9" t="inlineStr">
        <is>
          <t>Bk 2693 Pg 0337</t>
        </is>
      </c>
      <c r="G3" s="9" t="inlineStr">
        <is>
          <t>3 years</t>
        </is>
      </c>
      <c r="H3" s="10" t="inlineStr">
        <is>
          <t>Paid-up TOP LEASE; springs on prior-lease termination</t>
        </is>
      </c>
      <c r="I3" s="9" t="inlineStr">
        <is>
          <t>02/23/2029</t>
        </is>
      </c>
      <c r="J3" s="9" t="inlineStr">
        <is>
          <t>Active top lease (subordinate)</t>
        </is>
      </c>
      <c r="K3" s="10" t="inlineStr">
        <is>
          <t>N/A - top lease</t>
        </is>
      </c>
      <c r="L3" s="10" t="inlineStr">
        <is>
          <t>OKCountyRecords API image 6/12/2026</t>
        </is>
      </c>
      <c r="M3" s="10" t="inlineStr">
        <is>
          <t>3/16 royalty; prior lease 1736/0594</t>
        </is>
      </c>
    </row>
    <row r="4">
      <c r="A4" s="9" t="inlineStr">
        <is>
          <t>OGL 2693/0345</t>
        </is>
      </c>
      <c r="B4" s="10" t="inlineStr">
        <is>
          <t>Kevin Warner Johnson Trust</t>
        </is>
      </c>
      <c r="C4" s="10" t="inlineStr">
        <is>
          <t>Silver Oak Natural Resources, LLC</t>
        </is>
      </c>
      <c r="D4" s="10" t="inlineStr">
        <is>
          <t>Tracts 3,7</t>
        </is>
      </c>
      <c r="E4" s="9" t="inlineStr">
        <is>
          <t>eff ~02/27/2026</t>
        </is>
      </c>
      <c r="F4" s="9" t="inlineStr">
        <is>
          <t>Bk 2693 Pg 0345</t>
        </is>
      </c>
      <c r="G4" s="9" t="inlineStr">
        <is>
          <t>5 years</t>
        </is>
      </c>
      <c r="H4" s="10" t="inlineStr">
        <is>
          <t>Paid-up TOP LEASE; springs on prior-lease termination</t>
        </is>
      </c>
      <c r="I4" s="9" t="inlineStr">
        <is>
          <t>02/27/2031</t>
        </is>
      </c>
      <c r="J4" s="9" t="inlineStr">
        <is>
          <t>Active top lease (subordinate)</t>
        </is>
      </c>
      <c r="K4" s="10" t="inlineStr">
        <is>
          <t>N/A - top lease</t>
        </is>
      </c>
      <c r="L4" s="10" t="inlineStr">
        <is>
          <t>OKCountyRecords API image 6/12/2026</t>
        </is>
      </c>
      <c r="M4" s="10" t="inlineStr">
        <is>
          <t>3/16 royalty; Sorenson trust</t>
        </is>
      </c>
    </row>
    <row r="5">
      <c r="A5" s="9" t="inlineStr">
        <is>
          <t>OGL 2693/0349</t>
        </is>
      </c>
      <c r="B5" s="10" t="inlineStr">
        <is>
          <t>Mark Ashley Daigle Trust</t>
        </is>
      </c>
      <c r="C5" s="10" t="inlineStr">
        <is>
          <t>Silver Oak Natural Resources, LLC</t>
        </is>
      </c>
      <c r="D5" s="10" t="inlineStr">
        <is>
          <t>Tracts 3,7</t>
        </is>
      </c>
      <c r="E5" s="9" t="inlineStr">
        <is>
          <t>eff ~02/23/2026</t>
        </is>
      </c>
      <c r="F5" s="9" t="inlineStr">
        <is>
          <t>Bk 2693 Pg 0349</t>
        </is>
      </c>
      <c r="G5" s="9" t="inlineStr">
        <is>
          <t>5 years</t>
        </is>
      </c>
      <c r="H5" s="10" t="inlineStr">
        <is>
          <t>Paid-up TOP LEASE; springs on prior-lease termination</t>
        </is>
      </c>
      <c r="I5" s="9" t="inlineStr">
        <is>
          <t>02/23/2031</t>
        </is>
      </c>
      <c r="J5" s="9" t="inlineStr">
        <is>
          <t>Active top lease (subordinate)</t>
        </is>
      </c>
      <c r="K5" s="10" t="inlineStr">
        <is>
          <t>N/A - top lease</t>
        </is>
      </c>
      <c r="L5" s="10" t="inlineStr">
        <is>
          <t>OKCountyRecords API image 6/12/2026</t>
        </is>
      </c>
      <c r="M5" s="10" t="inlineStr">
        <is>
          <t>3/16 royalty; Sorenson trust</t>
        </is>
      </c>
    </row>
    <row r="6">
      <c r="A6" s="9" t="inlineStr">
        <is>
          <t>OGL 2697/0520</t>
        </is>
      </c>
      <c r="B6" s="10" t="inlineStr">
        <is>
          <t>Keri Lee Daigle Tucker Trust</t>
        </is>
      </c>
      <c r="C6" s="10" t="inlineStr">
        <is>
          <t>Silver Oak Natural Resources, LLC</t>
        </is>
      </c>
      <c r="D6" s="10" t="inlineStr">
        <is>
          <t>Tracts 3,4,7</t>
        </is>
      </c>
      <c r="E6" s="9" t="inlineStr">
        <is>
          <t>eff ~02/17/2026</t>
        </is>
      </c>
      <c r="F6" s="9" t="inlineStr">
        <is>
          <t>Bk 2697 Pg 0520</t>
        </is>
      </c>
      <c r="G6" s="9" t="inlineStr">
        <is>
          <t>5 years</t>
        </is>
      </c>
      <c r="H6" s="10" t="inlineStr">
        <is>
          <t>Paid-up TOP LEASE; springs on prior-lease termination</t>
        </is>
      </c>
      <c r="I6" s="9" t="inlineStr">
        <is>
          <t>02/17/2031</t>
        </is>
      </c>
      <c r="J6" s="9" t="inlineStr">
        <is>
          <t>Active top lease (subordinate)</t>
        </is>
      </c>
      <c r="K6" s="10" t="inlineStr">
        <is>
          <t>N/A - top lease</t>
        </is>
      </c>
      <c r="L6" s="10" t="inlineStr">
        <is>
          <t>OKCountyRecords API image 6/12/2026</t>
        </is>
      </c>
      <c r="M6" s="10" t="inlineStr">
        <is>
          <t>3/16 royalty; Sorenson trust</t>
        </is>
      </c>
    </row>
    <row r="7">
      <c r="A7" s="9" t="inlineStr">
        <is>
          <t>OGL 2697/0524</t>
        </is>
      </c>
      <c r="B7" s="10" t="inlineStr">
        <is>
          <t>Ronald Paul Dold</t>
        </is>
      </c>
      <c r="C7" s="10" t="inlineStr">
        <is>
          <t>Silver Oak Natural Resources, LLC</t>
        </is>
      </c>
      <c r="D7" s="10" t="inlineStr">
        <is>
          <t>Tracts 1,3,4,6 (E2 NW/N2 NE/SW)</t>
        </is>
      </c>
      <c r="E7" s="9" t="inlineStr">
        <is>
          <t>eff ~03/31/2026</t>
        </is>
      </c>
      <c r="F7" s="9" t="inlineStr">
        <is>
          <t>Bk 2697 Pg 0524</t>
        </is>
      </c>
      <c r="G7" s="9" t="inlineStr">
        <is>
          <t>3 years</t>
        </is>
      </c>
      <c r="H7" s="10" t="inlineStr">
        <is>
          <t>Paid-up TOP LEASE; springs on prior-lease termination</t>
        </is>
      </c>
      <c r="I7" s="9" t="inlineStr">
        <is>
          <t>03/31/2029</t>
        </is>
      </c>
      <c r="J7" s="9" t="inlineStr">
        <is>
          <t>Active top lease (subordinate)</t>
        </is>
      </c>
      <c r="K7" s="10" t="inlineStr">
        <is>
          <t>N/A - top lease</t>
        </is>
      </c>
      <c r="L7" s="10" t="inlineStr">
        <is>
          <t>OKCountyRecords API image 6/12/2026</t>
        </is>
      </c>
      <c r="M7" s="10" t="inlineStr">
        <is>
          <t>3/16 royalty; prior lease Nancy S. Mitchell to R.M. Lortz 2004</t>
        </is>
      </c>
    </row>
    <row r="8">
      <c r="A8" s="9" t="inlineStr">
        <is>
          <t>Prior 2004-era leases</t>
        </is>
      </c>
      <c r="B8" s="10" t="inlineStr">
        <is>
          <t>Mitchell / Sorenson / Daigle / Johnson families</t>
        </is>
      </c>
      <c r="C8" s="10" t="inlineStr">
        <is>
          <t>R. Michael Lortz / N/G Discovery, L.L.C.</t>
        </is>
      </c>
      <c r="D8" s="10" t="inlineStr">
        <is>
          <t>N/2 NE/4, SE/4 NE/4 etc.</t>
        </is>
      </c>
      <c r="E8" s="9" t="inlineStr">
        <is>
          <t>dtd 01/14/2004</t>
        </is>
      </c>
      <c r="F8" s="9" t="inlineStr">
        <is>
          <t>Bk 1736 (e.g. Pg 0594)</t>
        </is>
      </c>
      <c r="G8" s="9" t="inlineStr">
        <is>
          <t>per instrument</t>
        </is>
      </c>
      <c r="H8" s="10" t="inlineStr">
        <is>
          <t>Base leases the Silver Oak top leases sit atop</t>
        </is>
      </c>
      <c r="I8" s="9" t="inlineStr">
        <is>
          <t>UNKNOWN - image needed</t>
        </is>
      </c>
      <c r="J8" s="15" t="inlineStr">
        <is>
          <t>Possible HBP - Needs Confirmation</t>
        </is>
      </c>
      <c r="K8" s="10" t="inlineStr">
        <is>
          <t>Depends on Alexander #1-31 production; UNCONFIRMED</t>
        </is>
      </c>
      <c r="L8" s="10" t="inlineStr">
        <is>
          <t>Cited in workbook; full image not in record set</t>
        </is>
      </c>
      <c r="M8" s="10" t="inlineStr">
        <is>
          <t>If these are NOT HBP, Silver Oak top leases spring to life</t>
        </is>
      </c>
    </row>
    <row r="9">
      <c r="A9" s="9" t="inlineStr">
        <is>
          <t>Historic leasehold (OGLs 1-30+)</t>
        </is>
      </c>
      <c r="B9" s="10" t="inlineStr">
        <is>
          <t>Various (1916-2000)</t>
        </is>
      </c>
      <c r="C9" s="10" t="inlineStr">
        <is>
          <t>Chesapeake / EOG / Lortz / Devon / Jess Harris / TODCO</t>
        </is>
      </c>
      <c r="D9" s="10" t="inlineStr">
        <is>
          <t>All of / parts of 31-12N-24W</t>
        </is>
      </c>
      <c r="E9" s="9" t="inlineStr">
        <is>
          <t>1916-2000</t>
        </is>
      </c>
      <c r="F9" s="9" t="inlineStr">
        <is>
          <t>see OGLs sheet (615 leases)</t>
        </is>
      </c>
      <c r="G9" s="9" t="inlineStr">
        <is>
          <t>various</t>
        </is>
      </c>
      <c r="H9" s="10" t="inlineStr">
        <is>
          <t>Mixed/unknown; releases not fully matched</t>
        </is>
      </c>
      <c r="I9" s="9" t="inlineStr">
        <is>
          <t>Mostly historic/expired</t>
        </is>
      </c>
      <c r="J9" s="15" t="inlineStr">
        <is>
          <t>Expired or Unknown - Needs Confirmation</t>
        </is>
      </c>
      <c r="K9" s="10" t="inlineStr">
        <is>
          <t>Primary terms alone insufficient; check production/pooling/shut-in/releases</t>
        </is>
      </c>
      <c r="L9" s="10" t="inlineStr">
        <is>
          <t>OGLs sheet</t>
        </is>
      </c>
      <c r="M9" s="10" t="inlineStr">
        <is>
          <t>Release matching incomplete</t>
        </is>
      </c>
    </row>
    <row r="10">
      <c r="A10" s="9" t="inlineStr">
        <is>
          <t>Wellbore / ORRI chain (not a lease)</t>
        </is>
      </c>
      <c r="B10" s="10" t="inlineStr">
        <is>
          <t>Martin's Empire, LLC</t>
        </is>
      </c>
      <c r="C10" s="10" t="inlineStr">
        <is>
          <t>Stride Bank, N.A. TTEE (Umbrella Trust)</t>
        </is>
      </c>
      <c r="D10" s="10" t="inlineStr">
        <is>
          <t>Alexander #1-31 wellbores</t>
        </is>
      </c>
      <c r="E10" s="9" t="inlineStr">
        <is>
          <t>eff 01/01/2026, rec 05/04/2026</t>
        </is>
      </c>
      <c r="F10" s="9" t="inlineStr">
        <is>
          <t>Bk 2698 Pg 0069 (7 pgs)</t>
        </is>
      </c>
      <c r="G10" s="9" t="inlineStr">
        <is>
          <t>n/a</t>
        </is>
      </c>
      <c r="H10" s="10" t="inlineStr">
        <is>
          <t>ORRI assignment: 2% of 8/8ths overriding royalty (NOT working interest)</t>
        </is>
      </c>
      <c r="I10" s="9" t="inlineStr">
        <is>
          <t>n/a</t>
        </is>
      </c>
      <c r="J10" s="9" t="inlineStr">
        <is>
          <t>Recorded ORRI assignment</t>
        </is>
      </c>
      <c r="K10" s="10" t="inlineStr">
        <is>
          <t>Tied to Alexander #1-31 wellbore</t>
        </is>
      </c>
      <c r="L10" s="10" t="inlineStr">
        <is>
          <t>OKCountyRecords API image 6/12/2026</t>
        </is>
      </c>
      <c r="M10" s="10" t="inlineStr">
        <is>
          <t>Index legal NW NW; OCC surface C NW SE - reconcile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26" customWidth="1" min="4" max="4"/>
    <col width="40" customWidth="1" min="5" max="5"/>
    <col width="40" customWidth="1" min="6" max="6"/>
    <col width="34" customWidth="1" min="7" max="7"/>
    <col width="28" customWidth="1" min="8" max="8"/>
    <col width="38" customWidth="1" min="9" max="9"/>
    <col width="10" customWidth="1" min="10" max="10"/>
    <col width="40" customWidth="1" min="11" max="11"/>
  </cols>
  <sheetData>
    <row r="1">
      <c r="A1" s="8" t="inlineStr">
        <is>
          <t>Priority</t>
        </is>
      </c>
      <c r="B1" s="8" t="inlineStr">
        <is>
          <t>Tract</t>
        </is>
      </c>
      <c r="C1" s="8" t="inlineStr">
        <is>
          <t>Owner/party</t>
        </is>
      </c>
      <c r="D1" s="8" t="inlineStr">
        <is>
          <t>Gap type</t>
        </is>
      </c>
      <c r="E1" s="8" t="inlineStr">
        <is>
          <t>Problem</t>
        </is>
      </c>
      <c r="F1" s="8" t="inlineStr">
        <is>
          <t>Document/action needed</t>
        </is>
      </c>
      <c r="G1" s="8" t="inlineStr">
        <is>
          <t>Exact search parameters</t>
        </is>
      </c>
      <c r="H1" s="8" t="inlineStr">
        <is>
          <t>Where to search</t>
        </is>
      </c>
      <c r="I1" s="8" t="inlineStr">
        <is>
          <t>Impact if unresolved</t>
        </is>
      </c>
      <c r="J1" s="8" t="inlineStr">
        <is>
          <t>Status</t>
        </is>
      </c>
      <c r="K1" s="8" t="inlineStr">
        <is>
          <t>Recommended report note</t>
        </is>
      </c>
    </row>
    <row r="2">
      <c r="A2" s="15" t="inlineStr">
        <is>
          <t>1-HIGH</t>
        </is>
      </c>
      <c r="B2" s="9" t="inlineStr">
        <is>
          <t>All (section)</t>
        </is>
      </c>
      <c r="C2" s="10" t="inlineStr">
        <is>
          <t>Operator / all lessors</t>
        </is>
      </c>
      <c r="D2" s="10" t="inlineStr">
        <is>
          <t>HBP not established</t>
        </is>
      </c>
      <c r="E2" s="10" t="inlineStr">
        <is>
          <t>OCC RBDMS shows Alexander #1-31 ACTIVE (oil); client says INACTIVE; OTC gross production never pulled.</t>
        </is>
      </c>
      <c r="F2" s="10" t="inlineStr">
        <is>
          <t>OTC PUN/gross-production history for API 35-129-22925; resolve active/inactive conflict</t>
        </is>
      </c>
      <c r="G2" s="10" t="inlineStr">
        <is>
          <t>OTC: API 35-129-22925 / 'Alexander 1-31'; OCC well file; field check</t>
        </is>
      </c>
      <c r="H2" s="10" t="inlineStr">
        <is>
          <t>Oklahoma Tax Commission Gross Production (PUN); OCC imaged docs</t>
        </is>
      </c>
      <c r="I2" s="10" t="inlineStr">
        <is>
          <t>Determines whether prior leases are HBP and whether Silver Oak top leases spring to life — drives entire leasehold value</t>
        </is>
      </c>
      <c r="J2" s="9" t="inlineStr">
        <is>
          <t>OPEN</t>
        </is>
      </c>
      <c r="K2" s="10" t="inlineStr">
        <is>
          <t>Possible HBP - Needs Confirmation; do not represent section as HBP until OTC production confirmed</t>
        </is>
      </c>
    </row>
    <row r="3">
      <c r="A3" s="15" t="inlineStr">
        <is>
          <t>2-HIGH</t>
        </is>
      </c>
      <c r="B3" s="9" t="inlineStr">
        <is>
          <t>1,3,4,6,7</t>
        </is>
      </c>
      <c r="C3" s="10" t="inlineStr">
        <is>
          <t>Mitchell/Sorenson/Dold</t>
        </is>
      </c>
      <c r="D3" s="10" t="inlineStr">
        <is>
          <t>Lease terms unverified at full text</t>
        </is>
      </c>
      <c r="E3" s="10" t="inlineStr">
        <is>
          <t>Only page-1 images abstracted for the 6 Silver Oak top leases; depth/pooling/shut-in clauses not confirmed; 2004 prior leases (Bk 1736) not imaged.</t>
        </is>
      </c>
      <c r="F3" s="10" t="inlineStr">
        <is>
          <t>Full lease images: 2693/0337, 2693/0345, 2693/0349, 2697/0520, 2697/0524, 2702/0505 and prior Bk 1736 leases</t>
        </is>
      </c>
      <c r="G3" s="10" t="inlineStr">
        <is>
          <t>Roger Mills Bk/Pg as listed; grantor names; 'R. Michael Lortz' / 'N/G Discovery' 2004</t>
        </is>
      </c>
      <c r="H3" s="10" t="inlineStr">
        <is>
          <t>OKCountyRecords (Roger Mills)</t>
        </is>
      </c>
      <c r="I3" s="10" t="inlineStr">
        <is>
          <t>Confirms expiration math, depth limits, pooling/shut-in that affect HBP and top-lease springing</t>
        </is>
      </c>
      <c r="J3" s="9" t="inlineStr">
        <is>
          <t>OPEN</t>
        </is>
      </c>
      <c r="K3" s="10" t="inlineStr">
        <is>
          <t>Expirations are page-1-image based; flag medium confidence until full images reviewed</t>
        </is>
      </c>
    </row>
    <row r="4">
      <c r="A4" s="15" t="inlineStr">
        <is>
          <t>3-HIGH</t>
        </is>
      </c>
      <c r="B4" s="9" t="inlineStr">
        <is>
          <t>1,2,3,4,7,8</t>
        </is>
      </c>
      <c r="C4" s="10" t="inlineStr">
        <is>
          <t>Bain &amp; Mitchell families</t>
        </is>
      </c>
      <c r="D4" s="10" t="inlineStr">
        <is>
          <t>NMA allocation is ESTIMATED</t>
        </is>
      </c>
      <c r="E4" s="10" t="inlineStr">
        <is>
          <t>Net mineral acres for most tracts are reconstructed from assumed Bain/Mitchell/Sorenson family trees; no probate/heirship in record set.</t>
        </is>
      </c>
      <c r="F4" s="10" t="inlineStr">
        <is>
          <t>Probate, affidavits of heirship, estate/trust instruments for Mitchell, Nancy Mitchell estate, Marvin Mitchell Williams estate, Sorenson trust, Bain branches</t>
        </is>
      </c>
      <c r="G4" s="10" t="inlineStr">
        <is>
          <t>Decedent names + 'Roger Mills' probate; OK district court; heirship affidavits in county records</t>
        </is>
      </c>
      <c r="H4" s="10" t="inlineStr">
        <is>
          <t>Roger Mills County Clerk / District Court; OKCountyRecords</t>
        </is>
      </c>
      <c r="I4" s="10" t="inlineStr">
        <is>
          <t>Without probate/heirship the per-owner NMA is an estimate, not record title</t>
        </is>
      </c>
      <c r="J4" s="9" t="inlineStr">
        <is>
          <t>OPEN</t>
        </is>
      </c>
      <c r="K4" s="10" t="inlineStr">
        <is>
          <t>All non-Dold NMA marked ESTIMATE (Low/Low-Medium) pending heirship</t>
        </is>
      </c>
    </row>
    <row r="5">
      <c r="A5" s="15" t="inlineStr">
        <is>
          <t>4-HIGH</t>
        </is>
      </c>
      <c r="B5" s="9" t="inlineStr">
        <is>
          <t>1</t>
        </is>
      </c>
      <c r="C5" s="10" t="inlineStr">
        <is>
          <t>Panhandle Royalty Company</t>
        </is>
      </c>
      <c r="D5" s="10" t="inlineStr">
        <is>
          <t>Unsupported 40 NMA insertion</t>
        </is>
      </c>
      <c r="E5" s="10" t="inlineStr">
        <is>
          <t>Reconciled Tracker assigns Panhandle Royalty 40 NMA in Tract 1 as 'unleased/historic'; not present on Title sheet or sourced.</t>
        </is>
      </c>
      <c r="F5" s="10" t="inlineStr">
        <is>
          <t>Source the Panhandle Royalty interest (deed/assignment) or remove the estimate</t>
        </is>
      </c>
      <c r="G5" s="10" t="inlineStr">
        <is>
          <t>'Panhandle Royalty' / 'Panhandle Oil &amp; Gas' party search; 31-12N-24W</t>
        </is>
      </c>
      <c r="H5" s="10" t="inlineStr">
        <is>
          <t>OKCountyRecords; Panhandle Oil &amp; Gas public filings</t>
        </is>
      </c>
      <c r="I5" s="10" t="inlineStr">
        <is>
          <t>40 NMA is ~half of Tract 1; materially affects Tract 1 allocation</t>
        </is>
      </c>
      <c r="J5" s="9" t="inlineStr">
        <is>
          <t>OPEN</t>
        </is>
      </c>
      <c r="K5" s="10" t="inlineStr">
        <is>
          <t>Hold Panhandle 40 NMA as LOW confidence until a conveyance is found</t>
        </is>
      </c>
    </row>
    <row r="6">
      <c r="A6" s="15" t="inlineStr">
        <is>
          <t>5-HIGH</t>
        </is>
      </c>
      <c r="B6" s="9" t="inlineStr">
        <is>
          <t>(unassigned)</t>
        </is>
      </c>
      <c r="C6" s="10" t="inlineStr">
        <is>
          <t>Unknown</t>
        </is>
      </c>
      <c r="D6" s="10" t="inlineStr">
        <is>
          <t>NE/4 SW/4 unassigned</t>
        </is>
      </c>
      <c r="E6" s="10" t="inlineStr">
        <is>
          <t>PLAT flags NE/4 SW/4 (40 ac) as NOT in any subject tract; ownership/leasehold unknown.</t>
        </is>
      </c>
      <c r="F6" s="10" t="inlineStr">
        <is>
          <t>Determine ownership &amp; tract allocation of NE/4 SW/4 (may fall in government lots)</t>
        </is>
      </c>
      <c r="G6" s="10" t="inlineStr">
        <is>
          <t>NE/4 SW/4 31-12N-24W; runsheet legal-description search</t>
        </is>
      </c>
      <c r="H6" s="10" t="inlineStr">
        <is>
          <t>Runsheet sheet; recorded plat/survey; OKCountyRecords</t>
        </is>
      </c>
      <c r="I6" s="10" t="inlineStr">
        <is>
          <t>40 NMA of the 640-ac section is currently unaccounted for</t>
        </is>
      </c>
      <c r="J6" s="9" t="inlineStr">
        <is>
          <t>OPEN</t>
        </is>
      </c>
      <c r="K6" s="10" t="inlineStr">
        <is>
          <t>Carry as UNKNOWN/UNCONFIRMED OWNER bucket (40 NMA)</t>
        </is>
      </c>
    </row>
    <row r="7">
      <c r="A7" s="16" t="inlineStr">
        <is>
          <t>6-MED</t>
        </is>
      </c>
      <c r="B7" s="9" t="inlineStr">
        <is>
          <t>2,8</t>
        </is>
      </c>
      <c r="C7" s="10" t="inlineStr">
        <is>
          <t>EDR / Okki / Del Monte / Cardinal</t>
        </is>
      </c>
      <c r="D7" s="10" t="inlineStr">
        <is>
          <t>Mineral-deed fractions unknown</t>
        </is>
      </c>
      <c r="E7" s="10" t="inlineStr">
        <is>
          <t>Exact fraction/net acres for EDR-successor mineral deeds not in the numerical index.</t>
        </is>
      </c>
      <c r="F7" s="10" t="inlineStr">
        <is>
          <t>Full mineral deeds 2625/0231, 2625/0233, 2481/0287</t>
        </is>
      </c>
      <c r="G7" s="10" t="inlineStr">
        <is>
          <t>Bk/Pg as listed; grantors EDR LLC, Greystone Energy &amp; Minerals</t>
        </is>
      </c>
      <c r="H7" s="10" t="inlineStr">
        <is>
          <t>OKCountyRecords (Roger Mills)</t>
        </is>
      </c>
      <c r="I7" s="10" t="inlineStr">
        <is>
          <t>Determines EDR-successor NMA in Tracts 2 &amp; 8 (currently estimated)</t>
        </is>
      </c>
      <c r="J7" s="9" t="inlineStr">
        <is>
          <t>OPEN</t>
        </is>
      </c>
      <c r="K7" s="10" t="inlineStr">
        <is>
          <t>Okki/Del Monte/Cardinal NMA are estimates</t>
        </is>
      </c>
    </row>
    <row r="8">
      <c r="A8" s="16" t="inlineStr">
        <is>
          <t>7-MED</t>
        </is>
      </c>
      <c r="B8" s="9" t="inlineStr">
        <is>
          <t>4,5</t>
        </is>
      </c>
      <c r="C8" s="10" t="inlineStr">
        <is>
          <t>Vignal / Kirk / Colt-Roca / Dustin Deal</t>
        </is>
      </c>
      <c r="D8" s="10" t="inlineStr">
        <is>
          <t>Deeds need full images</t>
        </is>
      </c>
      <c r="E8" s="10" t="inlineStr">
        <is>
          <t>Quit-claim and mineral deeds in NW/4 chain need full text for quantum.</t>
        </is>
      </c>
      <c r="F8" s="10" t="inlineStr">
        <is>
          <t>Full deeds 2426/0154, 2406/0228, 2365/0338</t>
        </is>
      </c>
      <c r="G8" s="10" t="inlineStr">
        <is>
          <t>Bk/Pg as listed; grantors Colt Development/Roca, Cindy Lou Vignal, Ella Pearl Kirk</t>
        </is>
      </c>
      <c r="H8" s="10" t="inlineStr">
        <is>
          <t>OKCountyRecords (Roger Mills)</t>
        </is>
      </c>
      <c r="I8" s="10" t="inlineStr">
        <is>
          <t>Confirms Tract 4/5 mineral quantum</t>
        </is>
      </c>
      <c r="J8" s="9" t="inlineStr">
        <is>
          <t>OPEN</t>
        </is>
      </c>
      <c r="K8" s="10" t="inlineStr">
        <is>
          <t>Tract 4/5 NMA estimated</t>
        </is>
      </c>
    </row>
    <row r="9">
      <c r="A9" s="16" t="inlineStr">
        <is>
          <t>8-MED</t>
        </is>
      </c>
      <c r="B9" s="9" t="inlineStr">
        <is>
          <t>2,4,5,WI</t>
        </is>
      </c>
      <c r="C9" s="10" t="inlineStr">
        <is>
          <t>Lucas / Bryant / Fairway / Samson-Geodyne</t>
        </is>
      </c>
      <c r="D9" s="10" t="inlineStr">
        <is>
          <t>Mortgage/release matching</t>
        </is>
      </c>
      <c r="E9" s="10" t="inlineStr">
        <is>
          <t>Several mortgages have no matched release; collateral/release scope open.</t>
        </is>
      </c>
      <c r="F9" s="10" t="inlineStr">
        <is>
          <t>Match releases to mortgages: 2541/0100 &amp; 2488/0370 (Lucas); 2379/0142, 2511/0016, 2511/0018 (Bryant); 2357/0001 (Fairway/JPMorgan); 2356/0001, 2356/0200 (Samson/Geodyne)</t>
        </is>
      </c>
      <c r="G9" s="10" t="inlineStr">
        <is>
          <t>Bk/Pg pairs as listed; mortgagor names</t>
        </is>
      </c>
      <c r="H9" s="10" t="inlineStr">
        <is>
          <t>OKCountyRecords (Roger Mills)</t>
        </is>
      </c>
      <c r="I9" s="10" t="inlineStr">
        <is>
          <t>Open mortgages can cloud marketability of affected interests</t>
        </is>
      </c>
      <c r="J9" s="9" t="inlineStr">
        <is>
          <t>OPEN</t>
        </is>
      </c>
      <c r="K9" s="10" t="inlineStr">
        <is>
          <t>Mark affected interests 'release needed'</t>
        </is>
      </c>
    </row>
    <row r="10">
      <c r="A10" s="16" t="inlineStr">
        <is>
          <t>9-MED</t>
        </is>
      </c>
      <c r="B10" s="9" t="inlineStr">
        <is>
          <t>5,6,8</t>
        </is>
      </c>
      <c r="C10" s="10" t="inlineStr">
        <is>
          <t>(surveyor/plat)</t>
        </is>
      </c>
      <c r="D10" s="10" t="inlineStr">
        <is>
          <t>Irregular lot acreage</t>
        </is>
      </c>
      <c r="E10" s="10" t="inlineStr">
        <is>
          <t>Section 31 is a township-boundary section; W &amp; S tier government lots are not true 40s. Tract 5/6/8 acreage nominal.</t>
        </is>
      </c>
      <c r="F10" s="10" t="inlineStr">
        <is>
          <t>Recorded plat/survey to fix Lots 1 &amp; 4 and SE/4 SW/4 acreage</t>
        </is>
      </c>
      <c r="G10" s="10" t="inlineStr">
        <is>
          <t>Section 31 T12N R24W plat; BLM/GLO survey &amp; field notes</t>
        </is>
      </c>
      <c r="H10" s="10" t="inlineStr">
        <is>
          <t>BLM GLO Records (glorecords.blm.gov); county plat</t>
        </is>
      </c>
      <c r="I10" s="10" t="inlineStr">
        <is>
          <t>Tract 5/6/8 gross acres (and therefore NMA) depend on true lot acreage</t>
        </is>
      </c>
      <c r="J10" s="9" t="inlineStr">
        <is>
          <t>OPEN</t>
        </is>
      </c>
      <c r="K10" s="10" t="inlineStr">
        <is>
          <t>Tract 5 acreage VERIFY; Tracts 6/8 nominal</t>
        </is>
      </c>
    </row>
    <row r="11">
      <c r="A11" s="16" t="inlineStr">
        <is>
          <t>10-MED</t>
        </is>
      </c>
      <c r="B11" s="9" t="inlineStr">
        <is>
          <t>WI</t>
        </is>
      </c>
      <c r="C11" s="10" t="inlineStr">
        <is>
          <t>Lalexander 1-31 chain</t>
        </is>
      </c>
      <c r="D11" s="10" t="inlineStr">
        <is>
          <t>WI/NRI not quantified</t>
        </is>
      </c>
      <c r="E11" s="10" t="inlineStr">
        <is>
          <t>Wellbore assignment chain (Cheyenne/Templar, Tabally/Dominguez, Geodyne/Samson/Fairway) not fully imaged.</t>
        </is>
      </c>
      <c r="F11" s="10" t="inlineStr">
        <is>
          <t>Full assignment images 2385/0072, 2455/0446, 2698/0069</t>
        </is>
      </c>
      <c r="G11" s="10" t="inlineStr">
        <is>
          <t>Bk/Pg as listed; 'Lalexander 1-31' / 'Alexander 1-31'</t>
        </is>
      </c>
      <c r="H11" s="10" t="inlineStr">
        <is>
          <t>OKCountyRecords; OCC well file</t>
        </is>
      </c>
      <c r="I11" s="10" t="inlineStr">
        <is>
          <t>Working interest / NRI in the wellbore not quantified</t>
        </is>
      </c>
      <c r="J11" s="9" t="inlineStr">
        <is>
          <t>OPEN</t>
        </is>
      </c>
      <c r="K11" s="10" t="inlineStr">
        <is>
          <t>WI rows remain TBD</t>
        </is>
      </c>
    </row>
    <row r="12">
      <c r="A12" s="16" t="inlineStr">
        <is>
          <t>11-MED</t>
        </is>
      </c>
      <c r="B12" s="9" t="inlineStr">
        <is>
          <t>All</t>
        </is>
      </c>
      <c r="C12" s="10" t="inlineStr">
        <is>
          <t>OCC</t>
        </is>
      </c>
      <c r="D12" s="10" t="inlineStr">
        <is>
          <t>Surface-location/legal mismatch</t>
        </is>
      </c>
      <c r="E12" s="10" t="inlineStr">
        <is>
          <t>Index legal for ORRI assignment shows NW NW; OCC surface location is C NW SE for Alexander #1-31.</t>
        </is>
      </c>
      <c r="F12" s="10" t="inlineStr">
        <is>
          <t>Confirm well surface/bottomhole legal and unit/spacing order</t>
        </is>
      </c>
      <c r="G12" s="10" t="inlineStr">
        <is>
          <t>API 35-129-22925; OCC orders for Sec 31-12N-24W</t>
        </is>
      </c>
      <c r="H12" s="10" t="inlineStr">
        <is>
          <t>OCC imaged documents / orders; RBDMS</t>
        </is>
      </c>
      <c r="I12" s="10" t="inlineStr">
        <is>
          <t>Affects which tracts the well actually holds (unit vs wellbore)</t>
        </is>
      </c>
      <c r="J12" s="9" t="inlineStr">
        <is>
          <t>OPEN</t>
        </is>
      </c>
      <c r="K12" s="10" t="inlineStr">
        <is>
          <t>Do not assume section-wide HBP from a single wellbore</t>
        </is>
      </c>
    </row>
    <row r="13">
      <c r="A13" s="16" t="inlineStr">
        <is>
          <t>12-LOW</t>
        </is>
      </c>
      <c r="B13" s="9" t="inlineStr">
        <is>
          <t>1,3</t>
        </is>
      </c>
      <c r="C13" s="10" t="inlineStr">
        <is>
          <t>Mitchell heirs</t>
        </is>
      </c>
      <c r="D13" s="10" t="inlineStr">
        <is>
          <t>Name/alias normalization</t>
        </is>
      </c>
      <c r="E13" s="10" t="inlineStr">
        <is>
          <t>'Gena Mitchell a/k/a Gena Williams a/k/a Gena Moore' appears under multiple forms across sheets.</t>
        </is>
      </c>
      <c r="F13" s="10" t="inlineStr">
        <is>
          <t>Normalize owner identities and confirm a/k/a chain</t>
        </is>
      </c>
      <c r="G13" s="10" t="inlineStr">
        <is>
          <t>Gena Mitchell / Williams / Moore; Carrie Leeann Mitchell</t>
        </is>
      </c>
      <c r="H13" s="10" t="inlineStr">
        <is>
          <t>County records; affidavits of identity</t>
        </is>
      </c>
      <c r="I13" s="10" t="inlineStr">
        <is>
          <t>Prevents double-counting owners across tracts</t>
        </is>
      </c>
      <c r="J13" s="9" t="inlineStr">
        <is>
          <t>OPEN</t>
        </is>
      </c>
      <c r="K13" s="10" t="inlineStr">
        <is>
          <t>Aliases consolidated in OWNER_NMA_ESTIMATE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4" customWidth="1" min="5" max="5"/>
    <col width="28" customWidth="1" min="6" max="6"/>
    <col width="26" customWidth="1" min="7" max="7"/>
    <col width="28" customWidth="1" min="8" max="8"/>
    <col width="18" customWidth="1" min="9" max="9"/>
    <col width="14" customWidth="1" min="10" max="10"/>
    <col width="24" customWidth="1" min="11" max="11"/>
    <col width="18" customWidth="1" min="12" max="12"/>
    <col width="30" customWidth="1" min="13" max="13"/>
    <col width="26" customWidth="1" min="14" max="14"/>
  </cols>
  <sheetData>
    <row r="1">
      <c r="A1" s="8" t="inlineStr">
        <is>
          <t>Tract</t>
        </is>
      </c>
      <c r="B1" s="8" t="inlineStr">
        <is>
          <t>Sequence</t>
        </is>
      </c>
      <c r="C1" s="8" t="inlineStr">
        <is>
          <t>Instrument</t>
        </is>
      </c>
      <c r="D1" s="8" t="inlineStr">
        <is>
          <t>Effective date</t>
        </is>
      </c>
      <c r="E1" s="8" t="inlineStr">
        <is>
          <t>Recorded date</t>
        </is>
      </c>
      <c r="F1" s="8" t="inlineStr">
        <is>
          <t>Book/page or instrument #</t>
        </is>
      </c>
      <c r="G1" s="8" t="inlineStr">
        <is>
          <t>Grantor</t>
        </is>
      </c>
      <c r="H1" s="8" t="inlineStr">
        <is>
          <t>Grantee</t>
        </is>
      </c>
      <c r="I1" s="8" t="inlineStr">
        <is>
          <t>Interest conveyed</t>
        </is>
      </c>
      <c r="J1" s="8" t="inlineStr">
        <is>
          <t>Interest reserved</t>
        </is>
      </c>
      <c r="K1" s="8" t="inlineStr">
        <is>
          <t>Legal coverage</t>
        </is>
      </c>
      <c r="L1" s="8" t="inlineStr">
        <is>
          <t>Net mineral effect</t>
        </is>
      </c>
      <c r="M1" s="8" t="inlineStr">
        <is>
          <t>Open issue</t>
        </is>
      </c>
      <c r="N1" s="8" t="inlineStr">
        <is>
          <t>Source citation</t>
        </is>
      </c>
    </row>
    <row r="2">
      <c r="A2" s="9" t="inlineStr">
        <is>
          <t>1</t>
        </is>
      </c>
      <c r="B2" s="9" t="n">
        <v>1</v>
      </c>
      <c r="C2" s="10" t="inlineStr">
        <is>
          <t>Patent/early deeds</t>
        </is>
      </c>
      <c r="D2" s="9" t="inlineStr">
        <is>
          <t>1905-1920</t>
        </is>
      </c>
      <c r="E2" s="9" t="inlineStr">
        <is>
          <t>1905-1924</t>
        </is>
      </c>
      <c r="F2" s="9" t="inlineStr">
        <is>
          <t>GLO patent / Kennett-Hawbrook etc.</t>
        </is>
      </c>
      <c r="G2" s="10" t="inlineStr">
        <is>
          <t>United States / early grantors</t>
        </is>
      </c>
      <c r="H2" s="10" t="inlineStr">
        <is>
          <t>Mitchell/Bain predecessors</t>
        </is>
      </c>
      <c r="I2" s="10" t="inlineStr">
        <is>
          <t>Surface+minerals</t>
        </is>
      </c>
      <c r="J2" s="9" t="inlineStr">
        <is>
          <t>—</t>
        </is>
      </c>
      <c r="K2" s="9" t="inlineStr">
        <is>
          <t>N/2 NE/4</t>
        </is>
      </c>
      <c r="L2" s="9" t="inlineStr">
        <is>
          <t>Anchor</t>
        </is>
      </c>
      <c r="M2" s="10" t="inlineStr">
        <is>
          <t>Pre-statehood chain incomplete</t>
        </is>
      </c>
      <c r="N2" s="10" t="inlineStr">
        <is>
          <t>Runsheet; BLM GLO</t>
        </is>
      </c>
    </row>
    <row r="3">
      <c r="A3" s="9" t="inlineStr">
        <is>
          <t>1</t>
        </is>
      </c>
      <c r="B3" s="9" t="n">
        <v>2</v>
      </c>
      <c r="C3" s="10" t="inlineStr">
        <is>
          <t>Oil &amp; Gas Leases</t>
        </is>
      </c>
      <c r="D3" s="9" t="inlineStr">
        <is>
          <t>1917-2000</t>
        </is>
      </c>
      <c r="E3" s="9" t="inlineStr">
        <is>
          <t>1917-2000</t>
        </is>
      </c>
      <c r="F3" s="9" t="inlineStr">
        <is>
          <t>OGLs 29-203 (Bk 4-1607)</t>
        </is>
      </c>
      <c r="G3" s="10" t="inlineStr">
        <is>
          <t>Rupp/Danforth/Mitchell etc.</t>
        </is>
      </c>
      <c r="H3" s="10" t="inlineStr">
        <is>
          <t>Reo/Empire/EOG/Chesapeake</t>
        </is>
      </c>
      <c r="I3" s="10" t="inlineStr">
        <is>
          <t>Leasehold</t>
        </is>
      </c>
      <c r="J3" s="9" t="inlineStr">
        <is>
          <t>—</t>
        </is>
      </c>
      <c r="K3" s="9" t="inlineStr">
        <is>
          <t>All of / N/2 NE/4</t>
        </is>
      </c>
      <c r="L3" s="9" t="inlineStr">
        <is>
          <t>Historic</t>
        </is>
      </c>
      <c r="M3" s="10" t="inlineStr">
        <is>
          <t>Release matching incomplete</t>
        </is>
      </c>
      <c r="N3" s="10" t="inlineStr">
        <is>
          <t>OGLs sheet</t>
        </is>
      </c>
    </row>
    <row r="4">
      <c r="A4" s="9" t="inlineStr">
        <is>
          <t>1</t>
        </is>
      </c>
      <c r="B4" s="9" t="n">
        <v>3</v>
      </c>
      <c r="C4" s="10" t="inlineStr">
        <is>
          <t>2004 prior lease</t>
        </is>
      </c>
      <c r="D4" s="9" t="inlineStr">
        <is>
          <t>01/14/2004</t>
        </is>
      </c>
      <c r="E4" s="9" t="inlineStr">
        <is>
          <t>2004</t>
        </is>
      </c>
      <c r="F4" s="9" t="inlineStr">
        <is>
          <t>Bk 1736</t>
        </is>
      </c>
      <c r="G4" s="10" t="inlineStr">
        <is>
          <t>Mitchell family</t>
        </is>
      </c>
      <c r="H4" s="10" t="inlineStr">
        <is>
          <t>R. Michael Lortz</t>
        </is>
      </c>
      <c r="I4" s="10" t="inlineStr">
        <is>
          <t>Leasehold (base)</t>
        </is>
      </c>
      <c r="J4" s="9" t="inlineStr">
        <is>
          <t>—</t>
        </is>
      </c>
      <c r="K4" s="9" t="inlineStr">
        <is>
          <t>N/2 NE/4, SE/4 NE/4</t>
        </is>
      </c>
      <c r="L4" s="9" t="inlineStr">
        <is>
          <t>Possible HBP</t>
        </is>
      </c>
      <c r="M4" s="10" t="inlineStr">
        <is>
          <t>HBP unconfirmed (well status)</t>
        </is>
      </c>
      <c r="N4" s="10" t="inlineStr">
        <is>
          <t>Workbook note; image needed</t>
        </is>
      </c>
    </row>
    <row r="5">
      <c r="A5" s="9" t="inlineStr">
        <is>
          <t>1</t>
        </is>
      </c>
      <c r="B5" s="9" t="n">
        <v>4</v>
      </c>
      <c r="C5" s="10" t="inlineStr">
        <is>
          <t>Silver Oak top leases</t>
        </is>
      </c>
      <c r="D5" s="9" t="inlineStr">
        <is>
          <t>2026</t>
        </is>
      </c>
      <c r="E5" s="9" t="inlineStr">
        <is>
          <t>2026</t>
        </is>
      </c>
      <c r="F5" s="9" t="inlineStr">
        <is>
          <t>2702/0505; 2693/0337; 2697/0524</t>
        </is>
      </c>
      <c r="G5" s="10" t="inlineStr">
        <is>
          <t>Mitchell/Williams heirs</t>
        </is>
      </c>
      <c r="H5" s="10" t="inlineStr">
        <is>
          <t>Silver Oak Natural Resources</t>
        </is>
      </c>
      <c r="I5" s="10" t="inlineStr">
        <is>
          <t>Leasehold (top)</t>
        </is>
      </c>
      <c r="J5" s="9" t="inlineStr">
        <is>
          <t>3/16 royalty</t>
        </is>
      </c>
      <c r="K5" s="9" t="inlineStr">
        <is>
          <t>N/2 NE/4</t>
        </is>
      </c>
      <c r="L5" s="9" t="inlineStr">
        <is>
          <t>Active (subordinate)</t>
        </is>
      </c>
      <c r="M5" s="10" t="inlineStr">
        <is>
          <t>Springs on prior-lease termination</t>
        </is>
      </c>
      <c r="N5" s="10" t="inlineStr">
        <is>
          <t>OGLs; OKCountyRecords 6/12/2026</t>
        </is>
      </c>
    </row>
    <row r="6">
      <c r="A6" s="9" t="inlineStr">
        <is>
          <t>2</t>
        </is>
      </c>
      <c r="B6" s="9" t="n">
        <v>1</v>
      </c>
      <c r="C6" s="10" t="inlineStr">
        <is>
          <t>Mineral deeds</t>
        </is>
      </c>
      <c r="D6" s="9" t="inlineStr">
        <is>
          <t>2010s-2020s</t>
        </is>
      </c>
      <c r="E6" s="9" t="inlineStr">
        <is>
          <t>—</t>
        </is>
      </c>
      <c r="F6" s="9" t="inlineStr">
        <is>
          <t>2481/0287; 2625/0231; 2625/0233</t>
        </is>
      </c>
      <c r="G6" s="10" t="inlineStr">
        <is>
          <t>Greystone/EDR</t>
        </is>
      </c>
      <c r="H6" s="10" t="inlineStr">
        <is>
          <t>Cardinal/Okki/Del Monte</t>
        </is>
      </c>
      <c r="I6" s="10" t="inlineStr">
        <is>
          <t>Minerals</t>
        </is>
      </c>
      <c r="J6" s="9" t="inlineStr">
        <is>
          <t>—</t>
        </is>
      </c>
      <c r="K6" s="9" t="inlineStr">
        <is>
          <t>SW/4 NE/4</t>
        </is>
      </c>
      <c r="L6" s="9" t="inlineStr">
        <is>
          <t>Open</t>
        </is>
      </c>
      <c r="M6" s="10" t="inlineStr">
        <is>
          <t>Fractions not in index</t>
        </is>
      </c>
      <c r="N6" s="10" t="inlineStr">
        <is>
          <t>Title; deeds needed</t>
        </is>
      </c>
    </row>
    <row r="7">
      <c r="A7" s="9" t="inlineStr">
        <is>
          <t>3</t>
        </is>
      </c>
      <c r="B7" s="9" t="n">
        <v>1</v>
      </c>
      <c r="C7" s="10" t="inlineStr">
        <is>
          <t>2004 prior + Silver Oak</t>
        </is>
      </c>
      <c r="D7" s="9" t="inlineStr">
        <is>
          <t>2004 / 2026</t>
        </is>
      </c>
      <c r="E7" s="9" t="inlineStr">
        <is>
          <t>—</t>
        </is>
      </c>
      <c r="F7" s="9" t="inlineStr">
        <is>
          <t>Bk 1736; 2693/0349; 2693/0345; 2697/0520; 2702/0505</t>
        </is>
      </c>
      <c r="G7" s="10" t="inlineStr">
        <is>
          <t>Mitchell/Sorenson</t>
        </is>
      </c>
      <c r="H7" s="10" t="inlineStr">
        <is>
          <t>Lortz / Silver Oak</t>
        </is>
      </c>
      <c r="I7" s="10" t="inlineStr">
        <is>
          <t>Leasehold</t>
        </is>
      </c>
      <c r="J7" s="9" t="inlineStr">
        <is>
          <t>3/16</t>
        </is>
      </c>
      <c r="K7" s="9" t="inlineStr">
        <is>
          <t>SE/4 NE/4</t>
        </is>
      </c>
      <c r="L7" s="9" t="inlineStr">
        <is>
          <t>Possible HBP / top</t>
        </is>
      </c>
      <c r="M7" s="10" t="inlineStr">
        <is>
          <t>HBP unconfirmed</t>
        </is>
      </c>
      <c r="N7" s="10" t="inlineStr">
        <is>
          <t>OGLs; workbook</t>
        </is>
      </c>
    </row>
    <row r="8">
      <c r="A8" s="9" t="inlineStr">
        <is>
          <t>4</t>
        </is>
      </c>
      <c r="B8" s="9" t="n">
        <v>1</v>
      </c>
      <c r="C8" s="10" t="inlineStr">
        <is>
          <t>Mineral deeds + lease</t>
        </is>
      </c>
      <c r="D8" s="9" t="inlineStr">
        <is>
          <t>2010s / 2026</t>
        </is>
      </c>
      <c r="E8" s="9" t="inlineStr">
        <is>
          <t>—</t>
        </is>
      </c>
      <c r="F8" s="9" t="inlineStr">
        <is>
          <t>2426/0154; 2406/0228; 2365/0338; 2697/0524</t>
        </is>
      </c>
      <c r="G8" s="10" t="inlineStr">
        <is>
          <t>Colt-Roca/Vignal/Kirk</t>
        </is>
      </c>
      <c r="H8" s="10" t="inlineStr">
        <is>
          <t>Dustin Deal / Silver Oak</t>
        </is>
      </c>
      <c r="I8" s="10" t="inlineStr">
        <is>
          <t>Minerals + leasehold</t>
        </is>
      </c>
      <c r="J8" s="9" t="inlineStr">
        <is>
          <t>—</t>
        </is>
      </c>
      <c r="K8" s="9" t="inlineStr">
        <is>
          <t>E/2 NW/4</t>
        </is>
      </c>
      <c r="L8" s="9" t="inlineStr">
        <is>
          <t>Open / leased</t>
        </is>
      </c>
      <c r="M8" s="10" t="inlineStr">
        <is>
          <t>Quantum TBD</t>
        </is>
      </c>
      <c r="N8" s="10" t="inlineStr">
        <is>
          <t>Title; deeds needed</t>
        </is>
      </c>
    </row>
    <row r="9">
      <c r="A9" s="9" t="inlineStr">
        <is>
          <t>5</t>
        </is>
      </c>
      <c r="B9" s="9" t="n">
        <v>1</v>
      </c>
      <c r="C9" s="10" t="inlineStr">
        <is>
          <t>Mineral deeds (lots)</t>
        </is>
      </c>
      <c r="D9" s="9" t="inlineStr">
        <is>
          <t>—</t>
        </is>
      </c>
      <c r="E9" s="9" t="inlineStr">
        <is>
          <t>—</t>
        </is>
      </c>
      <c r="F9" s="9" t="inlineStr">
        <is>
          <t>2365/0338; 2261/0255</t>
        </is>
      </c>
      <c r="G9" s="10" t="inlineStr">
        <is>
          <t>Kirk / predecessors</t>
        </is>
      </c>
      <c r="H9" s="10" t="inlineStr">
        <is>
          <t>Calvin Kirk / Bryant</t>
        </is>
      </c>
      <c r="I9" s="10" t="inlineStr">
        <is>
          <t>Minerals</t>
        </is>
      </c>
      <c r="J9" s="9" t="inlineStr">
        <is>
          <t>—</t>
        </is>
      </c>
      <c r="K9" s="9" t="inlineStr">
        <is>
          <t>NW/4 partial, Lots 1 &amp; 4</t>
        </is>
      </c>
      <c r="L9" s="9" t="inlineStr">
        <is>
          <t>Open</t>
        </is>
      </c>
      <c r="M9" s="10" t="inlineStr">
        <is>
          <t>Irregular acreage VERIFY</t>
        </is>
      </c>
      <c r="N9" s="10" t="inlineStr">
        <is>
          <t>PLAT; deeds; BLM GLO</t>
        </is>
      </c>
    </row>
    <row r="10">
      <c r="A10" s="9" t="inlineStr">
        <is>
          <t>6</t>
        </is>
      </c>
      <c r="B10" s="9" t="n">
        <v>1</v>
      </c>
      <c r="C10" s="10" t="inlineStr">
        <is>
          <t>Lease (leased-confirmed)</t>
        </is>
      </c>
      <c r="D10" s="9" t="inlineStr">
        <is>
          <t>2026</t>
        </is>
      </c>
      <c r="E10" s="9" t="inlineStr">
        <is>
          <t>—</t>
        </is>
      </c>
      <c r="F10" s="9" t="inlineStr">
        <is>
          <t>2697/0524</t>
        </is>
      </c>
      <c r="G10" s="10" t="inlineStr">
        <is>
          <t>(Dold predecessors)</t>
        </is>
      </c>
      <c r="H10" s="10" t="inlineStr">
        <is>
          <t>Ronald Paul Dold -&gt; Silver Oak</t>
        </is>
      </c>
      <c r="I10" s="10" t="inlineStr">
        <is>
          <t>Minerals + leasehold</t>
        </is>
      </c>
      <c r="J10" s="9" t="inlineStr">
        <is>
          <t>3/16</t>
        </is>
      </c>
      <c r="K10" s="9" t="inlineStr">
        <is>
          <t>W/2 SW/4</t>
        </is>
      </c>
      <c r="L10" s="9" t="inlineStr">
        <is>
          <t>Leased</t>
        </is>
      </c>
      <c r="M10" s="10" t="inlineStr">
        <is>
          <t>Underlying deed needed</t>
        </is>
      </c>
      <c r="N10" s="10" t="inlineStr">
        <is>
          <t>Title; OGLs 2697/0524</t>
        </is>
      </c>
    </row>
    <row r="11">
      <c r="A11" s="9" t="inlineStr">
        <is>
          <t>7</t>
        </is>
      </c>
      <c r="B11" s="9" t="n">
        <v>1</v>
      </c>
      <c r="C11" s="10" t="inlineStr">
        <is>
          <t>2004 prior + Silver Oak</t>
        </is>
      </c>
      <c r="D11" s="9" t="inlineStr">
        <is>
          <t>2004 / 2026</t>
        </is>
      </c>
      <c r="E11" s="9" t="inlineStr">
        <is>
          <t>—</t>
        </is>
      </c>
      <c r="F11" s="9" t="inlineStr">
        <is>
          <t>2697/0520; 2693/0349; 2693/0345</t>
        </is>
      </c>
      <c r="G11" s="10" t="inlineStr">
        <is>
          <t>Sorenson trustees</t>
        </is>
      </c>
      <c r="H11" s="10" t="inlineStr">
        <is>
          <t>Lortz / Silver Oak</t>
        </is>
      </c>
      <c r="I11" s="10" t="inlineStr">
        <is>
          <t>Leasehold</t>
        </is>
      </c>
      <c r="J11" s="9" t="inlineStr">
        <is>
          <t>3/16</t>
        </is>
      </c>
      <c r="K11" s="9" t="inlineStr">
        <is>
          <t>NE/4 SE/4</t>
        </is>
      </c>
      <c r="L11" s="9" t="inlineStr">
        <is>
          <t>Possible HBP / top</t>
        </is>
      </c>
      <c r="M11" s="10" t="inlineStr">
        <is>
          <t>HBP unconfirmed</t>
        </is>
      </c>
      <c r="N11" s="10" t="inlineStr">
        <is>
          <t>OGLs; workbook</t>
        </is>
      </c>
    </row>
    <row r="12">
      <c r="A12" s="9" t="inlineStr">
        <is>
          <t>8</t>
        </is>
      </c>
      <c r="B12" s="9" t="n">
        <v>1</v>
      </c>
      <c r="C12" s="10" t="inlineStr">
        <is>
          <t>Mineral deeds (Bain/EDR)</t>
        </is>
      </c>
      <c r="D12" s="9" t="inlineStr">
        <is>
          <t>—</t>
        </is>
      </c>
      <c r="E12" s="9" t="inlineStr">
        <is>
          <t>—</t>
        </is>
      </c>
      <c r="F12" s="9" t="inlineStr">
        <is>
          <t>2625/0231; 2625/0233</t>
        </is>
      </c>
      <c r="G12" s="10" t="inlineStr">
        <is>
          <t>EDR / Bain heirs</t>
        </is>
      </c>
      <c r="H12" s="10" t="inlineStr">
        <is>
          <t>Okki/Del Monte/Bain heirs</t>
        </is>
      </c>
      <c r="I12" s="10" t="inlineStr">
        <is>
          <t>Minerals</t>
        </is>
      </c>
      <c r="J12" s="9" t="inlineStr">
        <is>
          <t>—</t>
        </is>
      </c>
      <c r="K12" s="9" t="inlineStr">
        <is>
          <t>W/2 SE/4, SE/4 SE/4</t>
        </is>
      </c>
      <c r="L12" s="9" t="inlineStr">
        <is>
          <t>Open</t>
        </is>
      </c>
      <c r="M12" s="10" t="inlineStr">
        <is>
          <t>Bain heirship reconciliation</t>
        </is>
      </c>
      <c r="N12" s="10" t="inlineStr">
        <is>
          <t>Title; deeds; probate</t>
        </is>
      </c>
    </row>
    <row r="13">
      <c r="A13" s="9" t="inlineStr">
        <is>
          <t>(unassigned)</t>
        </is>
      </c>
      <c r="B13" s="9" t="n">
        <v>1</v>
      </c>
      <c r="C13" s="10" t="inlineStr">
        <is>
          <t>Open</t>
        </is>
      </c>
      <c r="D13" s="9" t="inlineStr">
        <is>
          <t>—</t>
        </is>
      </c>
      <c r="E13" s="9" t="inlineStr">
        <is>
          <t>—</t>
        </is>
      </c>
      <c r="F13" s="9" t="inlineStr">
        <is>
          <t>—</t>
        </is>
      </c>
      <c r="G13" s="10" t="inlineStr">
        <is>
          <t>—</t>
        </is>
      </c>
      <c r="H13" s="10" t="inlineStr">
        <is>
          <t>—</t>
        </is>
      </c>
      <c r="I13" s="10" t="inlineStr">
        <is>
          <t>Unknown</t>
        </is>
      </c>
      <c r="J13" s="9" t="inlineStr">
        <is>
          <t>—</t>
        </is>
      </c>
      <c r="K13" s="9" t="inlineStr">
        <is>
          <t>NE/4 SW/4</t>
        </is>
      </c>
      <c r="L13" s="9" t="inlineStr">
        <is>
          <t>OPEN GAP</t>
        </is>
      </c>
      <c r="M13" s="10" t="inlineStr">
        <is>
          <t>Not assigned to any tract</t>
        </is>
      </c>
      <c r="N13" s="10" t="inlineStr">
        <is>
          <t>PLAT; runsheet</t>
        </is>
      </c>
    </row>
    <row r="15">
      <c r="A15" s="17" t="inlineStr">
        <is>
          <t>NOTE: These are CHAIN ANCHORS/SUMMARY only. The full instrument-by-instrument chain (1,053 runsheet entries 1905-2026 + 615 OGLs) is preserved on the 'Runsheet', 'OGLs', and 'WIsheet' sheets in this workbook. Per-row tract assignment of every historic instrument was NOT completed and is an OPEN item.</t>
        </is>
      </c>
    </row>
  </sheetData>
  <autoFilter ref="A1:N1"/>
  <mergeCells count="1">
    <mergeCell ref="A15:N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28" customWidth="1" min="3" max="3"/>
    <col width="14" customWidth="1" min="4" max="4"/>
    <col width="30" customWidth="1" min="5" max="5"/>
    <col width="24" customWidth="1" min="6" max="6"/>
    <col width="14" customWidth="1" min="7" max="7"/>
    <col width="22" customWidth="1" min="8" max="8"/>
    <col width="22" customWidth="1" min="9" max="9"/>
    <col width="34" customWidth="1" min="10" max="10"/>
  </cols>
  <sheetData>
    <row r="1">
      <c r="A1" s="8" t="inlineStr">
        <is>
          <t>Source ID</t>
        </is>
      </c>
      <c r="B1" s="8" t="inlineStr">
        <is>
          <t>File or URL</t>
        </is>
      </c>
      <c r="C1" s="8" t="inlineStr">
        <is>
          <t>Type</t>
        </is>
      </c>
      <c r="D1" s="8" t="inlineStr">
        <is>
          <t>Date accessed</t>
        </is>
      </c>
      <c r="E1" s="8" t="inlineStr">
        <is>
          <t>SHA256</t>
        </is>
      </c>
      <c r="F1" s="8" t="inlineStr">
        <is>
          <t>Pages/sheets used</t>
        </is>
      </c>
      <c r="G1" s="8" t="inlineStr">
        <is>
          <t>Linked tracts</t>
        </is>
      </c>
      <c r="H1" s="8" t="inlineStr">
        <is>
          <t>Linked owners</t>
        </is>
      </c>
      <c r="I1" s="8" t="inlineStr">
        <is>
          <t>Linked leases</t>
        </is>
      </c>
      <c r="J1" s="8" t="inlineStr">
        <is>
          <t>Reliability</t>
        </is>
      </c>
    </row>
    <row r="2">
      <c r="A2" s="9" t="inlineStr">
        <is>
          <t>S1</t>
        </is>
      </c>
      <c r="B2" s="10" t="inlineStr">
        <is>
          <t>31-12N-24W_Roger_Mills_Final_Updated_Title_Report.xlsx (Google Drive id 1Qs0zfr_GlJZNLSYkqHOFU65JDvATvruK)</t>
        </is>
      </c>
      <c r="C2" s="10" t="inlineStr">
        <is>
          <t>Workbook (primary)</t>
        </is>
      </c>
      <c r="D2" s="9" t="inlineStr">
        <is>
          <t>2026-06-19</t>
        </is>
      </c>
      <c r="E2" s="9" t="inlineStr">
        <is>
          <t>c39d350707f59c25cc6b866fe881515a4e3938ad0b76baa4e5a478a2eec04bc6</t>
        </is>
      </c>
      <c r="F2" s="10" t="inlineStr">
        <is>
          <t>Title, OGLs, Runsheet, Wells, PLAT, WIsheet, Overview, Tract 1-8</t>
        </is>
      </c>
      <c r="G2" s="9" t="inlineStr">
        <is>
          <t>1-8</t>
        </is>
      </c>
      <c r="H2" s="9" t="inlineStr">
        <is>
          <t>all</t>
        </is>
      </c>
      <c r="I2" s="9" t="inlineStr">
        <is>
          <t>all 6 Silver Oak + historic</t>
        </is>
      </c>
      <c r="J2" s="10" t="inlineStr">
        <is>
          <t>High (your master workbook)</t>
        </is>
      </c>
    </row>
    <row r="3">
      <c r="A3" s="9" t="inlineStr">
        <is>
          <t>S2</t>
        </is>
      </c>
      <c r="B3" s="10" t="inlineStr">
        <is>
          <t>12N 24W 31 - Index.pdf (Drive id 1yLKg3R-n1eJZC6KAj-Y_5WE93fRiv2iP)</t>
        </is>
      </c>
      <c r="C3" s="10" t="inlineStr">
        <is>
          <t>County numerical index (scanned PDF, 5.7MB)</t>
        </is>
      </c>
      <c r="D3" s="9" t="inlineStr">
        <is>
          <t>2026-06-19</t>
        </is>
      </c>
      <c r="E3" s="9" t="inlineStr">
        <is>
          <t>not hashed (binary not downloaded this run)</t>
        </is>
      </c>
      <c r="F3" s="10" t="inlineStr">
        <is>
          <t>pages incl. 24, 88 cited</t>
        </is>
      </c>
      <c r="G3" s="9" t="inlineStr">
        <is>
          <t>1-8</t>
        </is>
      </c>
      <c r="H3" s="9" t="inlineStr">
        <is>
          <t>many</t>
        </is>
      </c>
      <c r="I3" s="9" t="inlineStr">
        <is>
          <t>EOG/Silver Oak</t>
        </is>
      </c>
      <c r="J3" s="10" t="inlineStr">
        <is>
          <t>Medium-High (scanned index)</t>
        </is>
      </c>
    </row>
    <row r="4">
      <c r="A4" s="9" t="inlineStr">
        <is>
          <t>S3</t>
        </is>
      </c>
      <c r="B4" s="10" t="inlineStr">
        <is>
          <t>31-12N-24W Roger Mills Final Reconciled Ownership Tracker (Drive gdoc id 1-RdDFHEm9...)</t>
        </is>
      </c>
      <c r="C4" s="10" t="inlineStr">
        <is>
          <t>NMA reconciliation (interpretive)</t>
        </is>
      </c>
      <c r="D4" s="9" t="inlineStr">
        <is>
          <t>2026-06-19</t>
        </is>
      </c>
      <c r="E4" s="9" t="inlineStr">
        <is>
          <t>n/a (gdoc)</t>
        </is>
      </c>
      <c r="F4" s="10" t="inlineStr">
        <is>
          <t>single table</t>
        </is>
      </c>
      <c r="G4" s="9" t="inlineStr">
        <is>
          <t>1-8</t>
        </is>
      </c>
      <c r="H4" s="9" t="inlineStr">
        <is>
          <t>all estimated owners</t>
        </is>
      </c>
      <c r="I4" s="9" t="inlineStr">
        <is>
          <t>—</t>
        </is>
      </c>
      <c r="J4" s="10" t="inlineStr">
        <is>
          <t>Low-Medium (ESTIMATE / family-tree based)</t>
        </is>
      </c>
    </row>
    <row r="5">
      <c r="A5" s="9" t="inlineStr">
        <is>
          <t>S4</t>
        </is>
      </c>
      <c r="B5" s="10" t="inlineStr">
        <is>
          <t>31-12N-24W Roger Mills Final Cursory Title Report (Drive gdoc id 1AdemXADhQ...)</t>
        </is>
      </c>
      <c r="C5" s="10" t="inlineStr">
        <is>
          <t>Narrative report</t>
        </is>
      </c>
      <c r="D5" s="9" t="inlineStr">
        <is>
          <t>2026-06-19</t>
        </is>
      </c>
      <c r="E5" s="9" t="inlineStr">
        <is>
          <t>n/a (gdoc)</t>
        </is>
      </c>
      <c r="F5" s="10" t="inlineStr">
        <is>
          <t>full</t>
        </is>
      </c>
      <c r="G5" s="9" t="inlineStr">
        <is>
          <t>1-8</t>
        </is>
      </c>
      <c r="H5" s="9" t="inlineStr">
        <is>
          <t>Bain/Mitchell</t>
        </is>
      </c>
      <c r="I5" s="9" t="inlineStr">
        <is>
          <t>Silver Oak + Alexander 1-31</t>
        </is>
      </c>
      <c r="J5" s="10" t="inlineStr">
        <is>
          <t>Medium narrative; HBP claim OVERSTATED (corrected here)</t>
        </is>
      </c>
    </row>
    <row r="6">
      <c r="A6" s="9" t="inlineStr">
        <is>
          <t>S5</t>
        </is>
      </c>
      <c r="B6" s="10" t="inlineStr">
        <is>
          <t>Raw runsheet (Drive Google Sheet id 19BQfeqH36p2g6srK72I8KUvQGT5Oh-HDOm8Ym0d1i74)</t>
        </is>
      </c>
      <c r="C6" s="10" t="inlineStr">
        <is>
          <t>Double-entry historical ledger</t>
        </is>
      </c>
      <c r="D6" s="9" t="inlineStr">
        <is>
          <t>2026-06-19</t>
        </is>
      </c>
      <c r="E6" s="9" t="inlineStr">
        <is>
          <t>n/a (gsheet)</t>
        </is>
      </c>
      <c r="F6" s="10" t="inlineStr">
        <is>
          <t>all</t>
        </is>
      </c>
      <c r="G6" s="9" t="inlineStr">
        <is>
          <t>1-8</t>
        </is>
      </c>
      <c r="H6" s="9" t="inlineStr">
        <is>
          <t>all</t>
        </is>
      </c>
      <c r="I6" s="9" t="inlineStr">
        <is>
          <t>all</t>
        </is>
      </c>
      <c r="J6" s="10" t="inlineStr">
        <is>
          <t>Medium-High (chain backbone)</t>
        </is>
      </c>
    </row>
    <row r="7">
      <c r="A7" s="9" t="inlineStr">
        <is>
          <t>S6</t>
        </is>
      </c>
      <c r="B7" s="10" t="inlineStr">
        <is>
          <t>OKCountyRecords API images (Roger Mills)</t>
        </is>
      </c>
      <c r="C7" s="10" t="inlineStr">
        <is>
          <t>County instrument images</t>
        </is>
      </c>
      <c r="D7" s="9" t="inlineStr">
        <is>
          <t>6/12/2026</t>
        </is>
      </c>
      <c r="E7" s="9" t="inlineStr">
        <is>
          <t>n/a (external)</t>
        </is>
      </c>
      <c r="F7" s="10" t="inlineStr">
        <is>
          <t>Silver Oak leases, ORRI 2698/0069</t>
        </is>
      </c>
      <c r="G7" s="9" t="inlineStr">
        <is>
          <t>1,3,4,6,7</t>
        </is>
      </c>
      <c r="H7" s="9" t="inlineStr">
        <is>
          <t>Silver Oak lessors</t>
        </is>
      </c>
      <c r="I7" s="9" t="inlineStr">
        <is>
          <t>6 Silver Oak; ORRI</t>
        </is>
      </c>
      <c r="J7" s="10" t="inlineStr">
        <is>
          <t>High for page-1 terms (full images still needed)</t>
        </is>
      </c>
    </row>
    <row r="8">
      <c r="A8" s="9" t="inlineStr">
        <is>
          <t>S7</t>
        </is>
      </c>
      <c r="B8" s="10" t="inlineStr">
        <is>
          <t>OCC RBDMS GIS (gis.occ.ok.gov)</t>
        </is>
      </c>
      <c r="C8" s="10" t="inlineStr">
        <is>
          <t>Well regulatory data</t>
        </is>
      </c>
      <c r="D8" s="9" t="inlineStr">
        <is>
          <t>6/12/2026</t>
        </is>
      </c>
      <c r="E8" s="9" t="inlineStr">
        <is>
          <t>n/a (external)</t>
        </is>
      </c>
      <c r="F8" s="10" t="inlineStr">
        <is>
          <t>Alexander #1-31 record</t>
        </is>
      </c>
      <c r="G8" s="9" t="inlineStr">
        <is>
          <t>all</t>
        </is>
      </c>
      <c r="H8" s="9" t="inlineStr">
        <is>
          <t>—</t>
        </is>
      </c>
      <c r="I8" s="9" t="inlineStr">
        <is>
          <t>well-tied</t>
        </is>
      </c>
      <c r="J8" s="10" t="inlineStr">
        <is>
          <t>High for status; production NOT included</t>
        </is>
      </c>
    </row>
    <row r="9">
      <c r="A9" s="9" t="inlineStr">
        <is>
          <t>S8</t>
        </is>
      </c>
      <c r="B9" s="10" t="inlineStr">
        <is>
          <t>ShaleXP (OTC-sourced) corroboration</t>
        </is>
      </c>
      <c r="C9" s="10" t="inlineStr">
        <is>
          <t>Production corroboration</t>
        </is>
      </c>
      <c r="D9" s="9" t="inlineStr">
        <is>
          <t>6/12/2026</t>
        </is>
      </c>
      <c r="E9" s="9" t="inlineStr">
        <is>
          <t>n/a (external)</t>
        </is>
      </c>
      <c r="F9" s="10" t="inlineStr">
        <is>
          <t>operator-level</t>
        </is>
      </c>
      <c r="G9" s="9" t="inlineStr">
        <is>
          <t>all</t>
        </is>
      </c>
      <c r="H9" s="9" t="inlineStr">
        <is>
          <t>—</t>
        </is>
      </c>
      <c r="I9" s="9" t="inlineStr">
        <is>
          <t>—</t>
        </is>
      </c>
      <c r="J9" s="10" t="inlineStr">
        <is>
          <t>Low for well-level (no Alexander block visible)</t>
        </is>
      </c>
    </row>
    <row r="10">
      <c r="A10" s="9" t="inlineStr">
        <is>
          <t>S9</t>
        </is>
      </c>
      <c r="B10" s="10" t="inlineStr">
        <is>
          <t>Oklahoma Tax Commission Gross Production (PUN)</t>
        </is>
      </c>
      <c r="C10" s="10" t="inlineStr">
        <is>
          <t>Production of record</t>
        </is>
      </c>
      <c r="D10" s="9" t="inlineStr">
        <is>
          <t>NOT PULLED</t>
        </is>
      </c>
      <c r="E10" s="9" t="inlineStr">
        <is>
          <t>n/a</t>
        </is>
      </c>
      <c r="F10" s="10" t="inlineStr">
        <is>
          <t>—</t>
        </is>
      </c>
      <c r="G10" s="9" t="inlineStr">
        <is>
          <t>all</t>
        </is>
      </c>
      <c r="H10" s="9" t="inlineStr">
        <is>
          <t>—</t>
        </is>
      </c>
      <c r="I10" s="9" t="inlineStr">
        <is>
          <t>HBP-critical</t>
        </is>
      </c>
      <c r="J10" s="10" t="inlineStr">
        <is>
          <t>PENDING — see MANUAL_DOWNLOAD_QUEUE</t>
        </is>
      </c>
    </row>
    <row r="11">
      <c r="A11" s="9" t="inlineStr">
        <is>
          <t>S10</t>
        </is>
      </c>
      <c r="B11" s="10" t="inlineStr">
        <is>
          <t>BLM GLO Records (glorecords.blm.gov)</t>
        </is>
      </c>
      <c r="C11" s="10" t="inlineStr">
        <is>
          <t>Patent / survey / lots</t>
        </is>
      </c>
      <c r="D11" s="9" t="inlineStr">
        <is>
          <t>NOT PULLED</t>
        </is>
      </c>
      <c r="E11" s="9" t="inlineStr">
        <is>
          <t>n/a</t>
        </is>
      </c>
      <c r="F11" s="10" t="inlineStr">
        <is>
          <t>—</t>
        </is>
      </c>
      <c r="G11" s="9" t="inlineStr">
        <is>
          <t>5,6,8</t>
        </is>
      </c>
      <c r="H11" s="9" t="inlineStr">
        <is>
          <t>—</t>
        </is>
      </c>
      <c r="I11" s="9" t="inlineStr">
        <is>
          <t>—</t>
        </is>
      </c>
      <c r="J11" s="10" t="inlineStr">
        <is>
          <t>PENDING — for irregular-lot acreage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36" customWidth="1" min="4" max="4"/>
    <col width="16" customWidth="1" min="5" max="5"/>
    <col width="22" customWidth="1" min="6" max="6"/>
    <col width="44" customWidth="1" min="7" max="7"/>
  </cols>
  <sheetData>
    <row r="1">
      <c r="A1" s="8" t="inlineStr">
        <is>
          <t>Workbook location</t>
        </is>
      </c>
      <c r="B1" s="8" t="inlineStr">
        <is>
          <t>Target</t>
        </is>
      </c>
      <c r="C1" s="8" t="inlineStr">
        <is>
          <t>Type</t>
        </is>
      </c>
      <c r="D1" s="8" t="inlineStr">
        <is>
          <t>Check result</t>
        </is>
      </c>
      <c r="E1" s="8" t="inlineStr">
        <is>
          <t>HTTP/file status</t>
        </is>
      </c>
      <c r="F1" s="8" t="inlineStr">
        <is>
          <t>Fix applied</t>
        </is>
      </c>
      <c r="G1" s="8" t="inlineStr">
        <is>
          <t>Notes</t>
        </is>
      </c>
    </row>
    <row r="2">
      <c r="A2" s="9" t="inlineStr">
        <is>
          <t>SOURCE_INDEX!B2</t>
        </is>
      </c>
      <c r="B2" s="10" t="inlineStr">
        <is>
          <t>Google Drive workbook id 1Qs0zfr...</t>
        </is>
      </c>
      <c r="C2" s="9" t="inlineStr">
        <is>
          <t>Drive file id</t>
        </is>
      </c>
      <c r="D2" s="10" t="inlineStr">
        <is>
          <t>VERIFIED (downloaded &amp; parsed this run)</t>
        </is>
      </c>
      <c r="E2" s="9" t="inlineStr">
        <is>
          <t>OK</t>
        </is>
      </c>
      <c r="F2" s="9" t="inlineStr">
        <is>
          <t>none</t>
        </is>
      </c>
      <c r="G2" s="10" t="inlineStr">
        <is>
          <t>1.15 MB, 20 sheets parsed</t>
        </is>
      </c>
    </row>
    <row r="3">
      <c r="A3" s="9" t="inlineStr">
        <is>
          <t>SOURCE_INDEX!B3</t>
        </is>
      </c>
      <c r="B3" s="10" t="inlineStr">
        <is>
          <t>Drive PDF id 1yLKg3R...</t>
        </is>
      </c>
      <c r="C3" s="9" t="inlineStr">
        <is>
          <t>Drive file id</t>
        </is>
      </c>
      <c r="D3" s="10" t="inlineStr">
        <is>
          <t>EXISTS (listed in Drive search)</t>
        </is>
      </c>
      <c r="E3" s="9" t="inlineStr">
        <is>
          <t>OK</t>
        </is>
      </c>
      <c r="F3" s="9" t="inlineStr">
        <is>
          <t>none</t>
        </is>
      </c>
      <c r="G3" s="10" t="inlineStr">
        <is>
          <t>Binary not downloaded; OCR pending</t>
        </is>
      </c>
    </row>
    <row r="4">
      <c r="A4" s="9" t="inlineStr">
        <is>
          <t>SOURCE_INDEX!B6</t>
        </is>
      </c>
      <c r="B4" s="10" t="inlineStr">
        <is>
          <t>okcountyrecords.com</t>
        </is>
      </c>
      <c r="C4" s="9" t="inlineStr">
        <is>
          <t>Public URL</t>
        </is>
      </c>
      <c r="D4" s="10" t="inlineStr">
        <is>
          <t>BLOCKED</t>
        </is>
      </c>
      <c r="E4" s="9" t="inlineStr">
        <is>
          <t>HTTP 403</t>
        </is>
      </c>
      <c r="F4" s="9" t="inlineStr">
        <is>
          <t>routed to manual queue</t>
        </is>
      </c>
      <c r="G4" s="10" t="inlineStr">
        <is>
          <t>Login/paywall + bot block in this environment</t>
        </is>
      </c>
    </row>
    <row r="5">
      <c r="A5" s="9" t="inlineStr">
        <is>
          <t>SOURCE_INDEX!B7</t>
        </is>
      </c>
      <c r="B5" s="10" t="inlineStr">
        <is>
          <t>gis.occ.ok.gov / oklahoma.gov/occ</t>
        </is>
      </c>
      <c r="C5" s="9" t="inlineStr">
        <is>
          <t>Public URL</t>
        </is>
      </c>
      <c r="D5" s="10" t="inlineStr">
        <is>
          <t>BLOCKED</t>
        </is>
      </c>
      <c r="E5" s="9" t="inlineStr">
        <is>
          <t>HTTP 403</t>
        </is>
      </c>
      <c r="F5" s="9" t="inlineStr">
        <is>
          <t>routed to manual queue</t>
        </is>
      </c>
      <c r="G5" s="10" t="inlineStr">
        <is>
          <t>Not reachable from this container</t>
        </is>
      </c>
    </row>
    <row r="6">
      <c r="A6" s="9" t="inlineStr">
        <is>
          <t>SOURCE_INDEX!B9</t>
        </is>
      </c>
      <c r="B6" s="10" t="inlineStr">
        <is>
          <t>oklahoma.gov/tax gross-production</t>
        </is>
      </c>
      <c r="C6" s="9" t="inlineStr">
        <is>
          <t>Public URL</t>
        </is>
      </c>
      <c r="D6" s="10" t="inlineStr">
        <is>
          <t>NOT ATTEMPTED (blocked policy)</t>
        </is>
      </c>
      <c r="E6" s="9" t="inlineStr">
        <is>
          <t>n/a</t>
        </is>
      </c>
      <c r="F6" s="9" t="inlineStr">
        <is>
          <t>manual queue</t>
        </is>
      </c>
      <c r="G6" s="10" t="inlineStr">
        <is>
          <t>OTC PUN pull required offline</t>
        </is>
      </c>
    </row>
    <row r="7">
      <c r="A7" s="9" t="inlineStr">
        <is>
          <t>SOURCE_INDEX!B10</t>
        </is>
      </c>
      <c r="B7" s="10" t="inlineStr">
        <is>
          <t>glorecords.blm.gov</t>
        </is>
      </c>
      <c r="C7" s="9" t="inlineStr">
        <is>
          <t>Public URL</t>
        </is>
      </c>
      <c r="D7" s="10" t="inlineStr">
        <is>
          <t>NOT ATTEMPTED (blocked policy)</t>
        </is>
      </c>
      <c r="E7" s="9" t="inlineStr">
        <is>
          <t>n/a</t>
        </is>
      </c>
      <c r="F7" s="9" t="inlineStr">
        <is>
          <t>manual queue</t>
        </is>
      </c>
      <c r="G7" s="10" t="inlineStr">
        <is>
          <t>Patent/survey pull required offline</t>
        </is>
      </c>
    </row>
    <row r="8">
      <c r="A8" s="9" t="inlineStr">
        <is>
          <t>OWNER_NMA_ESTIMATE!G</t>
        </is>
      </c>
      <c r="B8" s="10" t="inlineStr">
        <is>
          <t>internal SUM formula</t>
        </is>
      </c>
      <c r="C8" s="9" t="inlineStr">
        <is>
          <t>Formula</t>
        </is>
      </c>
      <c r="D8" s="10" t="inlineStr">
        <is>
          <t>VERIFIED</t>
        </is>
      </c>
      <c r="E8" s="9" t="inlineStr">
        <is>
          <t>OK</t>
        </is>
      </c>
      <c r="F8" s="9" t="inlineStr">
        <is>
          <t>none</t>
        </is>
      </c>
      <c r="G8" s="10" t="inlineStr">
        <is>
          <t>Total NMA sums estimate column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38" customWidth="1" min="4" max="4"/>
    <col width="16" customWidth="1" min="5" max="5"/>
    <col width="24" customWidth="1" min="6" max="6"/>
  </cols>
  <sheetData>
    <row r="1">
      <c r="A1" s="8" t="inlineStr">
        <is>
          <t>Timestamp</t>
        </is>
      </c>
      <c r="B1" s="8" t="inlineStr">
        <is>
          <t>Sheet/range</t>
        </is>
      </c>
      <c r="C1" s="8" t="inlineStr">
        <is>
          <t>Change made</t>
        </is>
      </c>
      <c r="D1" s="8" t="inlineStr">
        <is>
          <t>Reason</t>
        </is>
      </c>
      <c r="E1" s="8" t="inlineStr">
        <is>
          <t>Evidence/source</t>
        </is>
      </c>
      <c r="F1" s="8" t="inlineStr">
        <is>
          <t>Agent/pass</t>
        </is>
      </c>
    </row>
    <row r="2">
      <c r="A2" s="9" t="inlineStr">
        <is>
          <t>2026-06-19</t>
        </is>
      </c>
      <c r="B2" s="9" t="inlineStr">
        <is>
          <t>DB_QA_Summary</t>
        </is>
      </c>
      <c r="C2" s="10" t="inlineStr">
        <is>
          <t>Created executive summary + confidence + HBP conflict callout</t>
        </is>
      </c>
      <c r="D2" s="10" t="inlineStr">
        <is>
          <t>Required final sheet</t>
        </is>
      </c>
      <c r="E2" s="9" t="inlineStr">
        <is>
          <t>S1,S4,S7</t>
        </is>
      </c>
      <c r="F2" s="9" t="inlineStr">
        <is>
          <t>DataBoss / build_report.py</t>
        </is>
      </c>
    </row>
    <row r="3">
      <c r="A3" s="9" t="inlineStr">
        <is>
          <t>2026-06-19</t>
        </is>
      </c>
      <c r="B3" s="9" t="inlineStr">
        <is>
          <t>TRACT_BREAKDOWN</t>
        </is>
      </c>
      <c r="C3" s="10" t="inlineStr">
        <is>
          <t>Built 8 tracts + unassigned NE/4 SW/4</t>
        </is>
      </c>
      <c r="D3" s="10" t="inlineStr">
        <is>
          <t>Consolidate Title sheet + PLAT</t>
        </is>
      </c>
      <c r="E3" s="9" t="inlineStr">
        <is>
          <t>S1</t>
        </is>
      </c>
      <c r="F3" s="9" t="inlineStr">
        <is>
          <t>DataBoss</t>
        </is>
      </c>
    </row>
    <row r="4">
      <c r="A4" s="9" t="inlineStr">
        <is>
          <t>2026-06-19</t>
        </is>
      </c>
      <c r="B4" s="9" t="inlineStr">
        <is>
          <t>OWNER_NMA_ESTIMATE</t>
        </is>
      </c>
      <c r="C4" s="10" t="inlineStr">
        <is>
          <t>Loaded reconciled NMA as ESTIMATES with confidence/curative; added formula+SUM</t>
        </is>
      </c>
      <c r="D4" s="10" t="inlineStr">
        <is>
          <t>Tracker NMA not record-confirmed</t>
        </is>
      </c>
      <c r="E4" s="9" t="inlineStr">
        <is>
          <t>S1,S3</t>
        </is>
      </c>
      <c r="F4" s="9" t="inlineStr">
        <is>
          <t>DataBoss</t>
        </is>
      </c>
    </row>
    <row r="5">
      <c r="A5" s="9" t="inlineStr">
        <is>
          <t>2026-06-19</t>
        </is>
      </c>
      <c r="B5" s="9" t="inlineStr">
        <is>
          <t>LEASE_STATUS_AUDIT</t>
        </is>
      </c>
      <c r="C5" s="10" t="inlineStr">
        <is>
          <t>6 Silver Oak top leases w/ verified expirations; prior/historic flagged unconfirmed; ORRI noted</t>
        </is>
      </c>
      <c r="D5" s="10" t="inlineStr">
        <is>
          <t>Lease/HBP audit</t>
        </is>
      </c>
      <c r="E5" s="9" t="inlineStr">
        <is>
          <t>S1,S6</t>
        </is>
      </c>
      <c r="F5" s="9" t="inlineStr">
        <is>
          <t>DataBoss</t>
        </is>
      </c>
    </row>
    <row r="6">
      <c r="A6" s="9" t="inlineStr">
        <is>
          <t>2026-06-19</t>
        </is>
      </c>
      <c r="B6" s="9" t="inlineStr">
        <is>
          <t>LEASE_STATUS_AUDIT</t>
        </is>
      </c>
      <c r="C6" s="10" t="inlineStr">
        <is>
          <t>CORRECTED blanket 'HBP' to 'Possible HBP - Needs Confirmation'</t>
        </is>
      </c>
      <c r="D6" s="10" t="inlineStr">
        <is>
          <t>Narrative S4 overstated HBP vs evidence</t>
        </is>
      </c>
      <c r="E6" s="9" t="inlineStr">
        <is>
          <t>S4 vs S1,S7</t>
        </is>
      </c>
      <c r="F6" s="9" t="inlineStr">
        <is>
          <t>DataBoss (truth rule)</t>
        </is>
      </c>
    </row>
    <row r="7">
      <c r="A7" s="9" t="inlineStr">
        <is>
          <t>2026-06-19</t>
        </is>
      </c>
      <c r="B7" s="9" t="inlineStr">
        <is>
          <t>CURATIVE_GAPS</t>
        </is>
      </c>
      <c r="C7" s="10" t="inlineStr">
        <is>
          <t>Built 12-item prioritized matrix (5 High)</t>
        </is>
      </c>
      <c r="D7" s="10" t="inlineStr">
        <is>
          <t>Curative pass</t>
        </is>
      </c>
      <c r="E7" s="9" t="inlineStr">
        <is>
          <t>S1,S3,S4</t>
        </is>
      </c>
      <c r="F7" s="9" t="inlineStr">
        <is>
          <t>DataBoss</t>
        </is>
      </c>
    </row>
    <row r="8">
      <c r="A8" s="9" t="inlineStr">
        <is>
          <t>2026-06-19</t>
        </is>
      </c>
      <c r="B8" s="9" t="inlineStr">
        <is>
          <t>TRACT_CHAINS</t>
        </is>
      </c>
      <c r="C8" s="10" t="inlineStr">
        <is>
          <t>Chain anchors per tract; flagged full per-row chain as OPEN</t>
        </is>
      </c>
      <c r="D8" s="10" t="inlineStr">
        <is>
          <t>Chronological chain pass</t>
        </is>
      </c>
      <c r="E8" s="9" t="inlineStr">
        <is>
          <t>S1,S5</t>
        </is>
      </c>
      <c r="F8" s="9" t="inlineStr">
        <is>
          <t>DataBoss</t>
        </is>
      </c>
    </row>
    <row r="9">
      <c r="A9" s="9" t="inlineStr">
        <is>
          <t>2026-06-19</t>
        </is>
      </c>
      <c r="B9" s="9" t="inlineStr">
        <is>
          <t>SOURCE_INDEX</t>
        </is>
      </c>
      <c r="C9" s="10" t="inlineStr">
        <is>
          <t>Indexed 10 sources w/ reliability + SHA256 of workbook</t>
        </is>
      </c>
      <c r="D9" s="10" t="inlineStr">
        <is>
          <t>Source citation</t>
        </is>
      </c>
      <c r="E9" s="9" t="inlineStr">
        <is>
          <t>all</t>
        </is>
      </c>
      <c r="F9" s="9" t="inlineStr">
        <is>
          <t>DataBoss</t>
        </is>
      </c>
    </row>
    <row r="10">
      <c r="A10" s="9" t="inlineStr">
        <is>
          <t>2026-06-19</t>
        </is>
      </c>
      <c r="B10" s="9" t="inlineStr">
        <is>
          <t>LINK_QA</t>
        </is>
      </c>
      <c r="C10" s="10" t="inlineStr">
        <is>
          <t>Logged blocked public portals (403) and verified internal links</t>
        </is>
      </c>
      <c r="D10" s="10" t="inlineStr">
        <is>
          <t>Link integrity</t>
        </is>
      </c>
      <c r="E10" s="9" t="inlineStr">
        <is>
          <t>—</t>
        </is>
      </c>
      <c r="F10" s="9" t="inlineStr">
        <is>
          <t>DataBoss</t>
        </is>
      </c>
    </row>
    <row r="11">
      <c r="A11" s="9" t="inlineStr">
        <is>
          <t>2026-06-19</t>
        </is>
      </c>
      <c r="B11" s="9" t="inlineStr">
        <is>
          <t>(preserved)</t>
        </is>
      </c>
      <c r="C11" s="10" t="inlineStr">
        <is>
          <t>Copied Overview, PLAT, Title, OGLs, Runsheet, WIsheet, Wells from source</t>
        </is>
      </c>
      <c r="D11" s="10" t="inlineStr">
        <is>
          <t>Keep workbook self-contained</t>
        </is>
      </c>
      <c r="E11" s="9" t="inlineStr">
        <is>
          <t>S1</t>
        </is>
      </c>
      <c r="F11" s="9" t="inlineStr">
        <is>
          <t>DataBoss</t>
        </is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</row>
    <row r="3">
      <c r="A3" t="inlineStr"/>
      <c r="B3" t="inlineStr"/>
      <c r="C3" t="inlineStr"/>
      <c r="D3" t="inlineStr">
        <is>
          <t xml:space="preserve">Prospect 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25-004</t>
        </is>
      </c>
    </row>
    <row r="5">
      <c r="A5" t="inlineStr"/>
      <c r="B5" t="inlineStr"/>
      <c r="C5" t="inlineStr">
        <is>
          <t xml:space="preserve">Section </t>
        </is>
      </c>
      <c r="D5" t="inlineStr"/>
      <c r="E5" t="inlineStr"/>
      <c r="F5" t="inlineStr"/>
      <c r="G5" t="inlineStr"/>
      <c r="H5" t="n">
        <v>31</v>
      </c>
      <c r="I5" t="inlineStr"/>
      <c r="J5" t="inlineStr"/>
      <c r="K5" t="inlineStr"/>
      <c r="L5" t="inlineStr">
        <is>
          <t>Township</t>
        </is>
      </c>
      <c r="M5" t="inlineStr"/>
      <c r="N5" t="inlineStr"/>
      <c r="O5" t="inlineStr"/>
      <c r="P5" t="inlineStr"/>
      <c r="Q5" t="inlineStr"/>
      <c r="R5" t="inlineStr">
        <is>
          <t>12N</t>
        </is>
      </c>
      <c r="S5" t="inlineStr"/>
      <c r="T5" t="inlineStr"/>
      <c r="U5" t="inlineStr"/>
      <c r="V5" t="inlineStr"/>
      <c r="W5" t="inlineStr"/>
      <c r="X5" t="inlineStr"/>
      <c r="Y5" t="inlineStr">
        <is>
          <t>Range</t>
        </is>
      </c>
      <c r="Z5" t="inlineStr"/>
      <c r="AA5" t="inlineStr"/>
      <c r="AB5" t="inlineStr"/>
      <c r="AC5" t="inlineStr">
        <is>
          <t>24W</t>
        </is>
      </c>
    </row>
    <row r="7">
      <c r="A7" t="inlineStr"/>
      <c r="B7" t="inlineStr"/>
      <c r="C7" t="inlineStr"/>
      <c r="D7" t="inlineStr">
        <is>
          <t>County</t>
        </is>
      </c>
      <c r="E7" t="inlineStr"/>
      <c r="F7" t="inlineStr"/>
      <c r="G7" t="inlineStr"/>
      <c r="H7" t="inlineStr">
        <is>
          <t>Roger Mills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 xml:space="preserve">State </t>
        </is>
      </c>
      <c r="V7" t="inlineStr"/>
      <c r="W7" t="inlineStr"/>
      <c r="X7" t="inlineStr">
        <is>
          <t>Oklahoma</t>
        </is>
      </c>
    </row>
    <row r="9">
      <c r="A9" t="inlineStr"/>
      <c r="B9" t="inlineStr">
        <is>
          <t>Containing 640.00 acres, more or less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 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Tract 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 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 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Tract 4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 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 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 </t>
        </is>
      </c>
      <c r="U22" t="inlineStr">
        <is>
          <t>Tract 2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 </t>
        </is>
      </c>
      <c r="AC22" t="inlineStr">
        <is>
          <t>Tract 3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 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 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 </t>
        </is>
      </c>
    </row>
    <row r="26">
      <c r="A26" t="inlineStr"/>
      <c r="B26" t="inlineStr"/>
      <c r="C26" t="inlineStr"/>
      <c r="D26" t="inlineStr"/>
      <c r="E26" t="inlineStr">
        <is>
          <t>Tract 5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 </t>
        </is>
      </c>
      <c r="AC30" t="inlineStr">
        <is>
          <t>Tract 7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 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Tract 6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Tract 8</t>
        </is>
      </c>
    </row>
    <row r="44">
      <c r="A44" t="inlineStr"/>
      <c r="B44" t="inlineStr">
        <is>
          <t>ATTACHMENTS: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OWNERSHIP REPORT DATED: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LAST ENTRY: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 xml:space="preserve">TITLE OPINION UPDATE DATED: 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LAST ENTRY: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x</t>
        </is>
      </c>
      <c r="H48" t="inlineStr"/>
      <c r="I48" t="inlineStr">
        <is>
          <t xml:space="preserve">CURSORY REPORT DATED: 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6/16/2026</t>
        </is>
      </c>
      <c r="T48" t="inlineStr"/>
      <c r="U48" t="inlineStr"/>
      <c r="V48" t="inlineStr"/>
      <c r="W48" t="inlineStr"/>
      <c r="X48" t="inlineStr"/>
      <c r="Y48" t="inlineStr">
        <is>
          <t>LAST ENTRY:</t>
        </is>
      </c>
      <c r="Z48" t="inlineStr"/>
      <c r="AA48" t="inlineStr"/>
      <c r="AB48" t="inlineStr"/>
      <c r="AC48" t="inlineStr">
        <is>
          <t>2704/142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COUNTY CERTIFICATION DATE:</t>
        </is>
      </c>
    </row>
    <row r="52">
      <c r="A52" t="inlineStr"/>
      <c r="B52" t="inlineStr">
        <is>
          <t>REMARKS:</t>
        </is>
      </c>
    </row>
    <row r="53">
      <c r="A53" t="inlineStr"/>
      <c r="B53" t="inlineStr">
        <is>
          <t>REPORT IS A CURSORY REPORT</t>
        </is>
      </c>
    </row>
    <row r="56">
      <c r="A56" t="inlineStr"/>
      <c r="B56" t="inlineStr">
        <is>
          <t>EXAMINER:</t>
        </is>
      </c>
      <c r="C56" t="inlineStr"/>
      <c r="D56" t="inlineStr"/>
      <c r="E56" t="inlineStr"/>
      <c r="F56" t="inlineStr">
        <is>
          <t>RG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</row>
    <row r="2">
      <c r="A2" t="inlineStr"/>
      <c r="B2" t="inlineStr">
        <is>
          <t>SECTION 31 — T12N R24W, Roger Mills County, OK</t>
        </is>
      </c>
    </row>
    <row r="3">
      <c r="A3" t="inlineStr"/>
      <c r="B3" t="inlineStr">
        <is>
          <t>Tract / Aliquot Plat — nominal 40-acre quarter-quarter diagram (North up). Not a survey.</t>
        </is>
      </c>
    </row>
    <row r="5">
      <c r="A5" t="inlineStr"/>
      <c r="B5" t="inlineStr"/>
      <c r="C5" t="inlineStr">
        <is>
          <t>N ↑</t>
        </is>
      </c>
    </row>
    <row r="6">
      <c r="A6" t="inlineStr"/>
      <c r="B6" t="inlineStr">
        <is>
          <t>W</t>
        </is>
      </c>
      <c r="C6" t="inlineStr">
        <is>
          <t>NW/4 NW/4
Tract 5</t>
        </is>
      </c>
      <c r="D6" t="inlineStr"/>
      <c r="E6" t="inlineStr">
        <is>
          <t>NE/4 NW/4
Tract 4</t>
        </is>
      </c>
      <c r="F6" t="inlineStr"/>
      <c r="G6" t="inlineStr">
        <is>
          <t>NW/4 NE/4
Tract 1</t>
        </is>
      </c>
      <c r="H6" t="inlineStr"/>
      <c r="I6" t="inlineStr">
        <is>
          <t>NE/4 NE/4
Tract 1</t>
        </is>
      </c>
      <c r="J6" t="inlineStr"/>
      <c r="K6" t="inlineStr">
        <is>
          <t>E</t>
        </is>
      </c>
    </row>
    <row r="9">
      <c r="A9" t="inlineStr"/>
      <c r="B9" t="inlineStr"/>
      <c r="C9" t="inlineStr">
        <is>
          <t>SW/4 NW/4
Tract 5</t>
        </is>
      </c>
      <c r="D9" t="inlineStr"/>
      <c r="E9" t="inlineStr">
        <is>
          <t>SE/4 NW/4
Tract 4</t>
        </is>
      </c>
      <c r="F9" t="inlineStr"/>
      <c r="G9" t="inlineStr">
        <is>
          <t>SW/4 NE/4
Tract 2</t>
        </is>
      </c>
      <c r="H9" t="inlineStr"/>
      <c r="I9" t="inlineStr">
        <is>
          <t>SE/4 NE/4
Tract 3</t>
        </is>
      </c>
    </row>
    <row r="12">
      <c r="A12" t="inlineStr"/>
      <c r="B12" t="inlineStr"/>
      <c r="C12" t="inlineStr">
        <is>
          <t>NW/4 SW/4
Tract 6</t>
        </is>
      </c>
      <c r="D12" t="inlineStr"/>
      <c r="E12" t="inlineStr">
        <is>
          <t>NE/4 SW/4
NOT ASSIGNED</t>
        </is>
      </c>
      <c r="F12" t="inlineStr"/>
      <c r="G12" t="inlineStr">
        <is>
          <t>NW/4 SE/4
Tract 8</t>
        </is>
      </c>
      <c r="H12" t="inlineStr"/>
      <c r="I12" t="inlineStr">
        <is>
          <t>NE/4 SE/4
Tract 7</t>
        </is>
      </c>
    </row>
    <row r="15">
      <c r="A15" t="inlineStr"/>
      <c r="B15" t="inlineStr"/>
      <c r="C15" t="inlineStr">
        <is>
          <t>SW/4 SW/4
Tract 6</t>
        </is>
      </c>
      <c r="D15" t="inlineStr"/>
      <c r="E15" t="inlineStr">
        <is>
          <t>SE/4 SW/4
Tract 5 (part)</t>
        </is>
      </c>
      <c r="F15" t="inlineStr"/>
      <c r="G15" t="inlineStr">
        <is>
          <t>SW/4 SE/4
Tract 8</t>
        </is>
      </c>
      <c r="H15" t="inlineStr"/>
      <c r="I15" t="inlineStr">
        <is>
          <t>SE/4 SE/4
Tract 8</t>
        </is>
      </c>
    </row>
    <row r="18">
      <c r="A18" t="inlineStr"/>
      <c r="B18" t="inlineStr"/>
      <c r="C18" t="inlineStr">
        <is>
          <t>S</t>
        </is>
      </c>
    </row>
    <row r="20">
      <c r="A20" t="inlineStr"/>
      <c r="B20" t="inlineStr">
        <is>
          <t>LEGEND</t>
        </is>
      </c>
    </row>
    <row r="21">
      <c r="A21" t="inlineStr"/>
      <c r="B21" t="inlineStr"/>
      <c r="C21" t="inlineStr">
        <is>
          <t>Tract</t>
        </is>
      </c>
      <c r="D21" t="inlineStr">
        <is>
          <t>Legal description</t>
        </is>
      </c>
      <c r="E21" t="inlineStr"/>
      <c r="F21" t="inlineStr"/>
      <c r="G21" t="inlineStr">
        <is>
          <t>Nom. ac.</t>
        </is>
      </c>
      <c r="H21" t="inlineStr">
        <is>
          <t>Notes</t>
        </is>
      </c>
    </row>
    <row r="22">
      <c r="A22" t="inlineStr"/>
      <c r="B22" t="inlineStr"/>
      <c r="C22" t="inlineStr">
        <is>
          <t>Tract 1</t>
        </is>
      </c>
      <c r="D22" t="inlineStr">
        <is>
          <t>N/2 NE/4</t>
        </is>
      </c>
      <c r="E22" t="inlineStr"/>
      <c r="F22" t="inlineStr"/>
      <c r="G22" t="n">
        <v>80</v>
      </c>
    </row>
    <row r="23">
      <c r="A23" t="inlineStr"/>
      <c r="B23" t="inlineStr"/>
      <c r="C23" t="inlineStr">
        <is>
          <t>Tract 2</t>
        </is>
      </c>
      <c r="D23" t="inlineStr">
        <is>
          <t>SW/4 NE/4</t>
        </is>
      </c>
      <c r="E23" t="inlineStr"/>
      <c r="F23" t="inlineStr"/>
      <c r="G23" t="n">
        <v>40</v>
      </c>
    </row>
    <row r="24">
      <c r="A24" t="inlineStr"/>
      <c r="B24" t="inlineStr"/>
      <c r="C24" t="inlineStr">
        <is>
          <t>Tract 3</t>
        </is>
      </c>
      <c r="D24" t="inlineStr">
        <is>
          <t>SE/4 NE/4</t>
        </is>
      </c>
      <c r="E24" t="inlineStr"/>
      <c r="F24" t="inlineStr"/>
      <c r="G24" t="n">
        <v>40</v>
      </c>
    </row>
    <row r="25">
      <c r="A25" t="inlineStr"/>
      <c r="B25" t="inlineStr"/>
      <c r="C25" t="inlineStr">
        <is>
          <t>Tract 4</t>
        </is>
      </c>
      <c r="D25" t="inlineStr">
        <is>
          <t>E/2 NW/4</t>
        </is>
      </c>
      <c r="E25" t="inlineStr"/>
      <c r="F25" t="inlineStr"/>
      <c r="G25" t="n">
        <v>80</v>
      </c>
    </row>
    <row r="26">
      <c r="A26" t="inlineStr"/>
      <c r="B26" t="inlineStr"/>
      <c r="C26" t="inlineStr">
        <is>
          <t>Tract 5</t>
        </is>
      </c>
      <c r="D26" t="inlineStr">
        <is>
          <t>NW/4 partial (W/2, Lots 1 &amp; 4) + SE/4 SW/4 partial</t>
        </is>
      </c>
      <c r="E26" t="inlineStr"/>
      <c r="F26" t="inlineStr"/>
      <c r="G26" t="inlineStr">
        <is>
          <t>Irregular — VERIFY</t>
        </is>
      </c>
      <c r="H26" t="inlineStr">
        <is>
          <t>Boundary section; W &amp; S tiers are government lots with non-40 acreage.</t>
        </is>
      </c>
    </row>
    <row r="27">
      <c r="A27" t="inlineStr"/>
      <c r="B27" t="inlineStr"/>
      <c r="C27" t="inlineStr">
        <is>
          <t>Tract 6</t>
        </is>
      </c>
      <c r="D27" t="inlineStr">
        <is>
          <t>W/2 SW/4</t>
        </is>
      </c>
      <c r="E27" t="inlineStr"/>
      <c r="F27" t="inlineStr"/>
      <c r="G27" t="inlineStr">
        <is>
          <t>80 (nom.)</t>
        </is>
      </c>
      <c r="H27" t="inlineStr">
        <is>
          <t>SW tier lotted — confirm acreage vs plat.</t>
        </is>
      </c>
    </row>
    <row r="28">
      <c r="A28" t="inlineStr"/>
      <c r="B28" t="inlineStr"/>
      <c r="C28" t="inlineStr">
        <is>
          <t>Tract 7</t>
        </is>
      </c>
      <c r="D28" t="inlineStr">
        <is>
          <t>NE/4 SE/4</t>
        </is>
      </c>
      <c r="E28" t="inlineStr"/>
      <c r="F28" t="inlineStr"/>
      <c r="G28" t="n">
        <v>40</v>
      </c>
    </row>
    <row r="29">
      <c r="A29" t="inlineStr"/>
      <c r="B29" t="inlineStr"/>
      <c r="C29" t="inlineStr">
        <is>
          <t>Tract 8</t>
        </is>
      </c>
      <c r="D29" t="inlineStr">
        <is>
          <t>W/2 SE/4, SE/4 SE/4</t>
        </is>
      </c>
      <c r="E29" t="inlineStr"/>
      <c r="F29" t="inlineStr"/>
      <c r="G29" t="inlineStr">
        <is>
          <t>120 (nom.)</t>
        </is>
      </c>
    </row>
    <row r="30">
      <c r="A30" t="inlineStr"/>
      <c r="B30" t="inlineStr"/>
      <c r="C30" t="inlineStr">
        <is>
          <t>—</t>
        </is>
      </c>
      <c r="D30" t="inlineStr">
        <is>
          <t>NE/4 SW/4</t>
        </is>
      </c>
      <c r="E30" t="inlineStr"/>
      <c r="F30" t="inlineStr"/>
      <c r="G30" t="n">
        <v>40</v>
      </c>
      <c r="H30" t="inlineStr">
        <is>
          <t>NOT in any subject tract per current legals — verify (may fall in lots).</t>
        </is>
      </c>
    </row>
    <row r="32">
      <c r="A32" t="inlineStr"/>
      <c r="B32" t="inlineStr">
        <is>
          <t>Diagram derived from the tract legal descriptions on the Title sheet (data already in this workbook). Aliquot positions are nominal; Section 31 is a township-boundary section, so the west and south tiers are government lots whose true acreage differs from 40. Not a survey — confirm boundaries and acreage against the recorded plat/survey.</t>
        </is>
      </c>
    </row>
    <row r="35">
      <c r="A35" t="inlineStr"/>
      <c r="B35" t="inlineStr">
        <is>
          <t>Aerial / plat reference — attach recorded plat/survey image here when available.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</row>
    <row r="4">
      <c r="A4" t="inlineStr"/>
      <c r="B4" t="inlineStr">
        <is>
          <t>TRACT 1:</t>
        </is>
      </c>
      <c r="C4" t="inlineStr">
        <is>
          <t>N/2 NE/4</t>
        </is>
      </c>
    </row>
    <row r="5">
      <c r="A5" t="inlineStr"/>
      <c r="B5" t="inlineStr">
        <is>
          <t>Containing:</t>
        </is>
      </c>
      <c r="C5" t="inlineStr">
        <is>
          <t>80 acres, more or less</t>
        </is>
      </c>
    </row>
    <row r="7">
      <c r="A7" t="inlineStr"/>
      <c r="B7" t="inlineStr">
        <is>
          <t>Mineral Owner</t>
        </is>
      </c>
      <c r="C7" t="inlineStr">
        <is>
          <t>Net Acres</t>
        </is>
      </c>
      <c r="D7" t="inlineStr">
        <is>
          <t xml:space="preserve">OGL No. </t>
        </is>
      </c>
      <c r="E7" t="inlineStr">
        <is>
          <t>Royalty</t>
        </is>
      </c>
      <c r="F7" t="inlineStr">
        <is>
          <t>Expiration</t>
        </is>
      </c>
      <c r="G7" t="inlineStr">
        <is>
          <t>Comments</t>
        </is>
      </c>
    </row>
    <row r="8">
      <c r="A8" t="inlineStr"/>
      <c r="B8" t="inlineStr">
        <is>
          <t>Gena Mitchell a/k/a Gena Williams a/k/a Gena Moore</t>
        </is>
      </c>
      <c r="C8" t="inlineStr">
        <is>
          <t>TBD</t>
        </is>
      </c>
      <c r="D8" t="inlineStr">
        <is>
          <t>2702/0505</t>
        </is>
      </c>
      <c r="E8" t="inlineStr">
        <is>
          <t>Not stated</t>
        </is>
      </c>
      <c r="F8" t="inlineStr">
        <is>
          <t>Recent Silver Oak lease</t>
        </is>
      </c>
      <c r="G8" t="inlineStr">
        <is>
          <t>N/2 NE/4, SE/4 NE/4; lease terms and ownership require full image.</t>
        </is>
      </c>
    </row>
    <row r="9">
      <c r="A9" t="inlineStr"/>
      <c r="B9" t="inlineStr">
        <is>
          <t>Mitchell-Buonaccorsi Living Trust trustees</t>
        </is>
      </c>
      <c r="C9" t="inlineStr">
        <is>
          <t>TBD</t>
        </is>
      </c>
      <c r="D9" t="inlineStr">
        <is>
          <t>2693/0337</t>
        </is>
      </c>
      <c r="E9" t="inlineStr">
        <is>
          <t>Not stated</t>
        </is>
      </c>
      <c r="F9" t="inlineStr">
        <is>
          <t>Recent Silver Oak lease</t>
        </is>
      </c>
      <c r="G9" t="inlineStr">
        <is>
          <t>N/2 NE/4, SE/4 NE/4; full lease image needed.</t>
        </is>
      </c>
    </row>
    <row r="10">
      <c r="A10" t="inlineStr"/>
      <c r="B10" t="inlineStr">
        <is>
          <t>Keri Lee Daigle Tucker Trust</t>
        </is>
      </c>
      <c r="C10" t="inlineStr">
        <is>
          <t>TBD</t>
        </is>
      </c>
      <c r="D10" t="inlineStr">
        <is>
          <t>2697/0520</t>
        </is>
      </c>
      <c r="E10" t="inlineStr">
        <is>
          <t>Not stated</t>
        </is>
      </c>
      <c r="F10" t="inlineStr">
        <is>
          <t>PDF expanded legal</t>
        </is>
      </c>
      <c r="G10" t="inlineStr">
        <is>
          <t>S31 T12N R24W N2 NE SW; NE SE; SE NE from PDF page 88.</t>
        </is>
      </c>
    </row>
    <row r="11">
      <c r="A11" t="inlineStr"/>
      <c r="B11" t="inlineStr">
        <is>
          <t>Ronald Paul Dold</t>
        </is>
      </c>
      <c r="C11" t="inlineStr">
        <is>
          <t>TBD</t>
        </is>
      </c>
      <c r="D11" t="inlineStr">
        <is>
          <t>2697/0524</t>
        </is>
      </c>
      <c r="E11" t="inlineStr">
        <is>
          <t>Not stated</t>
        </is>
      </c>
      <c r="F11" t="inlineStr">
        <is>
          <t>PDF expanded legal</t>
        </is>
      </c>
      <c r="G11" t="inlineStr">
        <is>
          <t>Covers E2 NW/N2/NE and SW tracts per PDF page 88; full lease needed.</t>
        </is>
      </c>
    </row>
    <row r="12">
      <c r="A12" t="inlineStr"/>
      <c r="B12" t="inlineStr">
        <is>
          <t>Mark Ashley Daigle Trust</t>
        </is>
      </c>
      <c r="C12" t="inlineStr">
        <is>
          <t>TBD</t>
        </is>
      </c>
      <c r="D12" t="inlineStr">
        <is>
          <t>2693/0349</t>
        </is>
      </c>
      <c r="E12" t="inlineStr">
        <is>
          <t>Not stated</t>
        </is>
      </c>
      <c r="F12" t="inlineStr">
        <is>
          <t>Recent Silver Oak lease</t>
        </is>
      </c>
      <c r="G12" t="inlineStr">
        <is>
          <t>SE/4 NE/4, NE/4 SE/4; full lease needed.</t>
        </is>
      </c>
    </row>
    <row r="13">
      <c r="A13" t="inlineStr"/>
      <c r="B13" t="inlineStr">
        <is>
          <t>Kevin Warner Johnson Trust</t>
        </is>
      </c>
      <c r="C13" t="inlineStr">
        <is>
          <t>TBD</t>
        </is>
      </c>
      <c r="D13" t="inlineStr">
        <is>
          <t>2693/0345</t>
        </is>
      </c>
      <c r="E13" t="inlineStr">
        <is>
          <t>Not stated</t>
        </is>
      </c>
      <c r="F13" t="inlineStr">
        <is>
          <t>Recent Silver Oak lease</t>
        </is>
      </c>
      <c r="G13" t="inlineStr">
        <is>
          <t>SE/4 NE/4, NE/4 SE/4; full lease needed.</t>
        </is>
      </c>
    </row>
    <row r="14">
      <c r="A14" t="inlineStr"/>
      <c r="B14" t="inlineStr">
        <is>
          <t>Carrie Leeann Mitchell / Nancy Susan Mitchell</t>
        </is>
      </c>
      <c r="C14" t="inlineStr">
        <is>
          <t>TBD</t>
        </is>
      </c>
      <c r="D14" t="inlineStr">
        <is>
          <t>001608/0541; 001608/0543</t>
        </is>
      </c>
      <c r="E14" t="inlineStr">
        <is>
          <t>Not stated</t>
        </is>
      </c>
      <c r="F14" t="inlineStr">
        <is>
          <t>Historic EOG lease rows</t>
        </is>
      </c>
      <c r="G14" t="inlineStr">
        <is>
          <t>Historic PDF page 24 additions; release/HBP not determined.</t>
        </is>
      </c>
    </row>
    <row r="16">
      <c r="A16" t="inlineStr"/>
      <c r="B16" t="inlineStr">
        <is>
          <t>REPORT TOTAL</t>
        </is>
      </c>
      <c r="C16" t="n">
        <v>0</v>
      </c>
    </row>
    <row r="17">
      <c r="A17" t="inlineStr"/>
      <c r="B17" t="inlineStr">
        <is>
          <t>TOTAL</t>
        </is>
      </c>
      <c r="C17" t="n">
        <v>0</v>
      </c>
    </row>
    <row r="20">
      <c r="A20" t="inlineStr"/>
      <c r="B20" t="inlineStr">
        <is>
          <t>TRACT 2:</t>
        </is>
      </c>
      <c r="C20" t="inlineStr">
        <is>
          <t>SW/4 NE/4</t>
        </is>
      </c>
    </row>
    <row r="21">
      <c r="A21" t="inlineStr"/>
      <c r="B21" t="inlineStr">
        <is>
          <t>Containing:</t>
        </is>
      </c>
      <c r="C21" t="inlineStr">
        <is>
          <t>40 acres, more or less</t>
        </is>
      </c>
    </row>
    <row r="23">
      <c r="A23" t="inlineStr"/>
      <c r="B23" t="inlineStr">
        <is>
          <t>Mineral Owner</t>
        </is>
      </c>
      <c r="C23" t="inlineStr">
        <is>
          <t>Net Acres</t>
        </is>
      </c>
      <c r="D23" t="inlineStr">
        <is>
          <t xml:space="preserve">OGL No. </t>
        </is>
      </c>
      <c r="E23" t="inlineStr">
        <is>
          <t>Royalty</t>
        </is>
      </c>
      <c r="F23" t="inlineStr">
        <is>
          <t>Expiration</t>
        </is>
      </c>
      <c r="G23" t="inlineStr">
        <is>
          <t>Comments</t>
        </is>
      </c>
    </row>
    <row r="24">
      <c r="A24" t="inlineStr"/>
      <c r="B24" t="inlineStr">
        <is>
          <t>EDR, LLC -&gt; Del Monte Royalty Partners, LLC
PO BOX 18876, Oklahoma City, OK</t>
        </is>
      </c>
      <c r="C24" t="inlineStr">
        <is>
          <t>TBD</t>
        </is>
      </c>
      <c r="D24" t="inlineStr">
        <is>
          <t>2625/0233</t>
        </is>
      </c>
      <c r="E24" t="inlineStr">
        <is>
          <t>N/A</t>
        </is>
      </c>
      <c r="F24" t="inlineStr">
        <is>
          <t>Mineral deed</t>
        </is>
      </c>
      <c r="G24" t="inlineStr">
        <is>
          <t>SW/4 NE/4; exact fraction/net acres not in index.</t>
        </is>
      </c>
    </row>
    <row r="25">
      <c r="A25" t="inlineStr"/>
      <c r="B25" t="inlineStr">
        <is>
          <t>EDR, LLC -&gt; Okki Industries, LLC
PO BOX 54859, Oklahoma City, OK</t>
        </is>
      </c>
      <c r="C25" t="inlineStr">
        <is>
          <t>TBD</t>
        </is>
      </c>
      <c r="D25" t="inlineStr">
        <is>
          <t>2625/0231</t>
        </is>
      </c>
      <c r="E25" t="inlineStr">
        <is>
          <t>N/A</t>
        </is>
      </c>
      <c r="F25" t="inlineStr">
        <is>
          <t>Mineral deed</t>
        </is>
      </c>
      <c r="G25" t="inlineStr">
        <is>
          <t>SW/4 NE/4; exact fraction/net acres not in index.</t>
        </is>
      </c>
    </row>
    <row r="26">
      <c r="A26" t="inlineStr"/>
      <c r="B26" t="inlineStr">
        <is>
          <t>Greystone Energy &amp; Minerals -&gt; Cardinal Land Co. / EDR</t>
        </is>
      </c>
      <c r="C26" t="inlineStr">
        <is>
          <t>TBD</t>
        </is>
      </c>
      <c r="D26" t="inlineStr">
        <is>
          <t>2481/0287</t>
        </is>
      </c>
      <c r="E26" t="inlineStr">
        <is>
          <t>N/A</t>
        </is>
      </c>
      <c r="F26" t="inlineStr">
        <is>
          <t>Mineral deed</t>
        </is>
      </c>
      <c r="G26" t="inlineStr">
        <is>
          <t>SW/4 NE/4; full deed needed.</t>
        </is>
      </c>
    </row>
    <row r="27">
      <c r="A27" t="inlineStr"/>
      <c r="B27" t="inlineStr">
        <is>
          <t>Paul R. Deutsch / Deborah A. Deutsch</t>
        </is>
      </c>
      <c r="C27" t="inlineStr">
        <is>
          <t>TBD</t>
        </is>
      </c>
      <c r="D27" t="inlineStr">
        <is>
          <t>2561/0142</t>
        </is>
      </c>
      <c r="E27" t="inlineStr">
        <is>
          <t>N/A</t>
        </is>
      </c>
      <c r="F27" t="inlineStr">
        <is>
          <t>Address/notice item</t>
        </is>
      </c>
      <c r="G27" t="inlineStr">
        <is>
          <t>SW/4 NE/4; no conveyance inferred.</t>
        </is>
      </c>
    </row>
    <row r="28">
      <c r="A28" t="inlineStr"/>
      <c r="B28" t="inlineStr">
        <is>
          <t>Matthew Lucas / Katie Lucas</t>
        </is>
      </c>
      <c r="C28" t="inlineStr">
        <is>
          <t>TBD</t>
        </is>
      </c>
      <c r="D28" t="inlineStr">
        <is>
          <t>2541/0100; 2488/0370</t>
        </is>
      </c>
      <c r="E28" t="inlineStr">
        <is>
          <t>N/A</t>
        </is>
      </c>
      <c r="F28" t="inlineStr">
        <is>
          <t>Mortgage/release match needed</t>
        </is>
      </c>
      <c r="G28" t="inlineStr">
        <is>
          <t>SE/4 SW/4/Lot 4 partial; collateral/release scope TBD.</t>
        </is>
      </c>
    </row>
    <row r="30">
      <c r="A30" t="inlineStr"/>
      <c r="B30" t="inlineStr">
        <is>
          <t>REPORT TOTAL</t>
        </is>
      </c>
      <c r="C30" t="n">
        <v>0</v>
      </c>
      <c r="D30" t="inlineStr"/>
      <c r="E30" t="inlineStr"/>
      <c r="F30" t="inlineStr"/>
      <c r="G30" t="inlineStr">
        <is>
          <t> </t>
        </is>
      </c>
    </row>
    <row r="31">
      <c r="A31" t="inlineStr"/>
      <c r="B31" t="inlineStr">
        <is>
          <t>TOTAL</t>
        </is>
      </c>
      <c r="C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 </t>
        </is>
      </c>
    </row>
    <row r="34">
      <c r="A34" t="inlineStr"/>
      <c r="B34" t="inlineStr">
        <is>
          <t>TRACT 3:</t>
        </is>
      </c>
      <c r="C34" t="inlineStr">
        <is>
          <t>SE/4 NE/4</t>
        </is>
      </c>
    </row>
    <row r="35">
      <c r="A35" t="inlineStr"/>
      <c r="B35" t="inlineStr">
        <is>
          <t>Containing:</t>
        </is>
      </c>
      <c r="C35" t="inlineStr">
        <is>
          <t>40 acres, more or less</t>
        </is>
      </c>
    </row>
    <row r="37">
      <c r="A37" t="inlineStr"/>
      <c r="B37" t="inlineStr">
        <is>
          <t>Mineral Owner</t>
        </is>
      </c>
      <c r="C37" t="inlineStr">
        <is>
          <t>Net Acres</t>
        </is>
      </c>
      <c r="D37" t="inlineStr">
        <is>
          <t xml:space="preserve">OGL No. </t>
        </is>
      </c>
      <c r="E37" t="inlineStr">
        <is>
          <t>Royalty</t>
        </is>
      </c>
      <c r="F37" t="inlineStr">
        <is>
          <t>Expiration</t>
        </is>
      </c>
      <c r="G37" t="inlineStr">
        <is>
          <t>Comments</t>
        </is>
      </c>
    </row>
    <row r="38">
      <c r="A38" t="inlineStr"/>
      <c r="B38" t="inlineStr">
        <is>
          <t>Gena Mitchell a/k/a Williams / Gena W. Moore</t>
        </is>
      </c>
      <c r="C38" t="inlineStr">
        <is>
          <t>TBD</t>
        </is>
      </c>
      <c r="D38" t="inlineStr">
        <is>
          <t>2702/0505</t>
        </is>
      </c>
      <c r="E38" t="inlineStr">
        <is>
          <t>3/16 (0.1875)</t>
        </is>
      </c>
      <c r="F38" t="inlineStr">
        <is>
          <t>Top lease; 5-yr primary; exp 02/11/2031 (springs on prior-lease termination)</t>
        </is>
      </c>
      <c r="G38" t="inlineStr">
        <is>
          <t>N/2 NE/4, SE/4 NE/4; lease terms and ownership require full image. TOP LEASE subordinate to prior 2004-era lease; springs on its termination. Prior Lease: (Mitchell family) to R. Michael Lortz, dtd 01/14/2004, Bk 1736. Term resolved from non-watermarked page-1 image, OKCountyRecords API print 6/12/2026.</t>
        </is>
      </c>
    </row>
    <row r="39">
      <c r="A39" t="inlineStr"/>
      <c r="B39" t="inlineStr">
        <is>
          <t>Mitchell-Buonaccorsi Living Trust trustees</t>
        </is>
      </c>
      <c r="C39" t="inlineStr">
        <is>
          <t>TBD</t>
        </is>
      </c>
      <c r="D39" t="inlineStr">
        <is>
          <t>2693/0337</t>
        </is>
      </c>
      <c r="E39" t="inlineStr">
        <is>
          <t>3/16 (0.1875)</t>
        </is>
      </c>
      <c r="F39" t="inlineStr">
        <is>
          <t>Top lease; 3-yr primary; exp 02/23/2029 (springs on prior-lease termination)</t>
        </is>
      </c>
      <c r="G39" t="inlineStr">
        <is>
          <t>N/2 NE/4, SE/4 NE/4; full lease image needed. TOP LEASE subordinate to prior 2004-era lease; springs on its termination. Prior Lease: Carrie Leeann Mitchell to R. Michael Lortz, dtd 01/14/2004, Bk 1736 Pg 0594. Term resolved from non-watermarked page-1 image, OKCountyRecords API print 6/12/2026.</t>
        </is>
      </c>
    </row>
    <row r="40">
      <c r="A40" t="inlineStr"/>
      <c r="B40" t="inlineStr">
        <is>
          <t>Keri Lee Daigle Tucker Trust</t>
        </is>
      </c>
      <c r="C40" t="inlineStr">
        <is>
          <t>TBD</t>
        </is>
      </c>
      <c r="D40" t="inlineStr">
        <is>
          <t>2697/0520</t>
        </is>
      </c>
      <c r="E40" t="inlineStr">
        <is>
          <t>3/16 (0.1875)</t>
        </is>
      </c>
      <c r="F40" t="inlineStr">
        <is>
          <t>Top lease; 5-yr primary term; exp 02/17/2031</t>
        </is>
      </c>
      <c r="G40" t="inlineStr">
        <is>
          <t>S31 T12N R24W N2 NE SW; NE SE; SE NE from PDF page 88. TOP LEASE subordinate to prior 2004-era lease; springs on its termination. Prior Lease: Sorenson Daigle/Johnson trustees to R. Michael Lortz (2004).</t>
        </is>
      </c>
    </row>
    <row r="41">
      <c r="A41" t="inlineStr"/>
      <c r="B41" t="inlineStr">
        <is>
          <t>Ronald Paul Dold</t>
        </is>
      </c>
      <c r="C41" t="inlineStr">
        <is>
          <t>TBD</t>
        </is>
      </c>
      <c r="D41" t="inlineStr">
        <is>
          <t>2697/0524</t>
        </is>
      </c>
      <c r="E41" t="inlineStr">
        <is>
          <t>3/16 (0.1875)</t>
        </is>
      </c>
      <c r="F41" t="inlineStr">
        <is>
          <t>Top lease; 3-yr primary term; exp 03/31/2029</t>
        </is>
      </c>
      <c r="G41" t="inlineStr">
        <is>
          <t>Covers E2 NW/N2/NE and SW tracts per PDF page 88; full lease needed. TOP LEASE subordinate to prior 2004-era lease; springs on its termination. Prior Lease: Nancy S. Mitchell to R. Michael Lortz, dtd 01/14/2004.</t>
        </is>
      </c>
    </row>
    <row r="42">
      <c r="A42" t="inlineStr"/>
      <c r="B42" t="inlineStr">
        <is>
          <t>Mark Ashley Daigle Trust</t>
        </is>
      </c>
      <c r="C42" t="inlineStr">
        <is>
          <t>TBD</t>
        </is>
      </c>
      <c r="D42" t="inlineStr">
        <is>
          <t>2693/0349</t>
        </is>
      </c>
      <c r="E42" t="inlineStr">
        <is>
          <t>3/16 (0.1875)</t>
        </is>
      </c>
      <c r="F42" t="inlineStr">
        <is>
          <t>Top lease; 5-yr primary; exp 02/23/2031 (springs on prior-lease termination)</t>
        </is>
      </c>
      <c r="G42" t="inlineStr">
        <is>
          <t>SE/4 NE/4, NE/4 SE/4; full lease needed. TOP LEASE subordinate to prior 2004-era lease; springs on its termination. Prior Lease: Sorenson Oil and Gas Trust (Daigle/Johnson, TTEEs) to N/G Discovery, L.L.C.. Term resolved from non-watermarked page-1 image, OKCountyRecords API print 6/12/2026.</t>
        </is>
      </c>
    </row>
    <row r="43">
      <c r="A43" t="inlineStr"/>
      <c r="B43" t="inlineStr">
        <is>
          <t>Kevin Warner Johnson Trust</t>
        </is>
      </c>
      <c r="C43" t="inlineStr">
        <is>
          <t>TBD</t>
        </is>
      </c>
      <c r="D43" t="inlineStr">
        <is>
          <t>2693/0345</t>
        </is>
      </c>
      <c r="E43" t="inlineStr">
        <is>
          <t>3/16 (0.1875)</t>
        </is>
      </c>
      <c r="F43" t="inlineStr">
        <is>
          <t>Top lease; 5-yr primary; exp 02/27/2031 (springs on prior-lease termination)</t>
        </is>
      </c>
      <c r="G43" t="inlineStr">
        <is>
          <t>SE/4 NE/4, NE/4 SE/4; full lease needed. TOP LEASE subordinate to prior 2004-era lease; springs on its termination. Prior Lease: Sorenson Oil and Gas Trust (Daigle/Johnson, TTEEs) to R. Michael Lortz, dtd 2004. Term resolved from non-watermarked page-1 image, OKCountyRecords API print 6/12/2026.</t>
        </is>
      </c>
    </row>
    <row r="44">
      <c r="A44" t="inlineStr"/>
      <c r="B44" t="inlineStr">
        <is>
          <t>Carrie Leeann Mitchell / Nancy Susan Mitchell</t>
        </is>
      </c>
      <c r="C44" t="inlineStr">
        <is>
          <t>TBD</t>
        </is>
      </c>
      <c r="D44" t="inlineStr">
        <is>
          <t>001608/0541; 001608/0543</t>
        </is>
      </c>
      <c r="E44" t="inlineStr">
        <is>
          <t>Not stated</t>
        </is>
      </c>
      <c r="F44" t="inlineStr">
        <is>
          <t>Historic EOG lease rows</t>
        </is>
      </c>
      <c r="G44" t="inlineStr">
        <is>
          <t>Historic PDF page 24 additions; release/HBP not determined.</t>
        </is>
      </c>
    </row>
    <row r="46">
      <c r="A46" t="inlineStr"/>
      <c r="B46" t="inlineStr">
        <is>
          <t>REPORT TOTAL</t>
        </is>
      </c>
      <c r="C46" t="n">
        <v>0</v>
      </c>
    </row>
    <row r="47">
      <c r="A47" t="inlineStr"/>
      <c r="B47" t="inlineStr">
        <is>
          <t>TOTAL</t>
        </is>
      </c>
      <c r="C47" t="n">
        <v>0</v>
      </c>
    </row>
    <row r="50">
      <c r="A50" t="inlineStr"/>
      <c r="B50" t="inlineStr">
        <is>
          <t>TRACT 4:</t>
        </is>
      </c>
      <c r="C50" t="inlineStr">
        <is>
          <t>E/2 NW/4</t>
        </is>
      </c>
    </row>
    <row r="51">
      <c r="A51" t="inlineStr"/>
      <c r="B51" t="inlineStr">
        <is>
          <t>Containing:</t>
        </is>
      </c>
      <c r="C51" t="inlineStr">
        <is>
          <t>80 acres, more or less</t>
        </is>
      </c>
    </row>
    <row r="53">
      <c r="A53" t="inlineStr"/>
      <c r="B53" t="inlineStr">
        <is>
          <t>Mineral Owner</t>
        </is>
      </c>
      <c r="C53" t="inlineStr">
        <is>
          <t>Net Acres</t>
        </is>
      </c>
      <c r="D53" t="inlineStr">
        <is>
          <t xml:space="preserve">OGL No. </t>
        </is>
      </c>
      <c r="E53" t="inlineStr">
        <is>
          <t>Royalty</t>
        </is>
      </c>
      <c r="F53" t="inlineStr">
        <is>
          <t>Expiration</t>
        </is>
      </c>
      <c r="G53" t="inlineStr">
        <is>
          <t>Comments</t>
        </is>
      </c>
    </row>
    <row r="54">
      <c r="A54" t="inlineStr"/>
      <c r="B54" t="inlineStr">
        <is>
          <t>Ronald Paul Dold</t>
        </is>
      </c>
      <c r="C54" t="inlineStr">
        <is>
          <t>TBD</t>
        </is>
      </c>
      <c r="D54" t="inlineStr">
        <is>
          <t>2697/0524</t>
        </is>
      </c>
      <c r="E54" t="inlineStr">
        <is>
          <t>3/16 (0.1875)</t>
        </is>
      </c>
      <c r="F54" t="inlineStr">
        <is>
          <t>Top lease; 3-yr primary term; exp 03/31/2029</t>
        </is>
      </c>
      <c r="G54" t="inlineStr">
        <is>
          <t>Covers E2 NW/N2/NE and SW tracts per PDF page 88; full lease needed. TOP LEASE subordinate to prior 2004-era lease; springs on its termination. Prior Lease: Nancy S. Mitchell to R. Michael Lortz, dtd 01/14/2004.</t>
        </is>
      </c>
    </row>
    <row r="55">
      <c r="A55" t="inlineStr"/>
      <c r="B55" t="inlineStr">
        <is>
          <t>Colt Development / Roca Development -&gt; Dustin Deal, LLC</t>
        </is>
      </c>
      <c r="C55" t="inlineStr">
        <is>
          <t>TBD</t>
        </is>
      </c>
      <c r="D55" t="inlineStr">
        <is>
          <t>2426/0154</t>
        </is>
      </c>
      <c r="E55" t="inlineStr">
        <is>
          <t>N/A</t>
        </is>
      </c>
      <c r="F55" t="inlineStr">
        <is>
          <t>Mineral deed</t>
        </is>
      </c>
      <c r="G55" t="inlineStr">
        <is>
          <t>E/2 NW/4; exact quantum not stated.</t>
        </is>
      </c>
    </row>
    <row r="56">
      <c r="A56" t="inlineStr"/>
      <c r="B56" t="inlineStr">
        <is>
          <t>Cindy Lou Vignal Trustee -&gt; Gary Wayne Vignal Trustee</t>
        </is>
      </c>
      <c r="C56" t="inlineStr">
        <is>
          <t>TBD</t>
        </is>
      </c>
      <c r="D56" t="inlineStr">
        <is>
          <t>2406/0228</t>
        </is>
      </c>
      <c r="E56" t="inlineStr">
        <is>
          <t>N/A</t>
        </is>
      </c>
      <c r="F56" t="inlineStr">
        <is>
          <t>Quit Claim Mineral Deed</t>
        </is>
      </c>
      <c r="G56" t="inlineStr">
        <is>
          <t>E/2 NW/4; full deed needed.</t>
        </is>
      </c>
    </row>
    <row r="57">
      <c r="A57" t="inlineStr"/>
      <c r="B57" t="inlineStr">
        <is>
          <t>Ella Pearl Kirk -&gt; Calvin Wayne Kirk</t>
        </is>
      </c>
      <c r="C57" t="inlineStr">
        <is>
          <t>TBD</t>
        </is>
      </c>
      <c r="D57" t="inlineStr">
        <is>
          <t>2365/0338</t>
        </is>
      </c>
      <c r="E57" t="inlineStr">
        <is>
          <t>N/A</t>
        </is>
      </c>
      <c r="F57" t="inlineStr">
        <is>
          <t>Mineral deed</t>
        </is>
      </c>
      <c r="G57" t="inlineStr">
        <is>
          <t>NW/4 partial; exact legal/quantum TBD.</t>
        </is>
      </c>
    </row>
    <row r="58">
      <c r="A58" t="inlineStr"/>
      <c r="B58" t="inlineStr">
        <is>
          <t>William Bryant / Kathy Bryant</t>
        </is>
      </c>
      <c r="C58" t="inlineStr">
        <is>
          <t>TBD</t>
        </is>
      </c>
      <c r="D58" t="inlineStr">
        <is>
          <t>2379/0142; 2511/0016; 2511/0018</t>
        </is>
      </c>
      <c r="E58" t="inlineStr">
        <is>
          <t>N/A</t>
        </is>
      </c>
      <c r="F58" t="inlineStr">
        <is>
          <t>Mortgage/release match needed</t>
        </is>
      </c>
      <c r="G58" t="inlineStr">
        <is>
          <t>Lot 1 tract/partial; confirm releases.</t>
        </is>
      </c>
    </row>
    <row r="59">
      <c r="A59" t="inlineStr"/>
      <c r="B59" t="inlineStr">
        <is>
          <t>Ronald Paul Dold -&gt; Silver Oak Natural Resources
5030 N May Ave Ste 125, Oklahoma City, OK</t>
        </is>
      </c>
      <c r="C59" t="inlineStr">
        <is>
          <t>TBD</t>
        </is>
      </c>
      <c r="D59" t="inlineStr">
        <is>
          <t>2697/0524</t>
        </is>
      </c>
      <c r="E59" t="inlineStr">
        <is>
          <t>3/16 (0.1875)</t>
        </is>
      </c>
      <c r="F59" t="inlineStr">
        <is>
          <t>Top lease; 3-yr primary term; exp 03/31/2029</t>
        </is>
      </c>
      <c r="G59" t="inlineStr">
        <is>
          <t>E/2 NW and other tracts per PDF page 88. TOP LEASE subordinate to prior 2004-era lease; springs on its termination. Prior Lease: Nancy S. Mitchell to R. Michael Lortz, dtd 01/14/2004.</t>
        </is>
      </c>
    </row>
    <row r="61">
      <c r="A61" t="inlineStr"/>
      <c r="B61" t="inlineStr">
        <is>
          <t>REPORT TOTAL</t>
        </is>
      </c>
      <c r="C61" t="n">
        <v>0</v>
      </c>
    </row>
    <row r="62">
      <c r="A62" t="inlineStr"/>
      <c r="B62" t="inlineStr">
        <is>
          <t>TOTAL</t>
        </is>
      </c>
      <c r="C62" t="n">
        <v>0</v>
      </c>
    </row>
    <row r="64">
      <c r="A64" t="inlineStr"/>
      <c r="B64" t="inlineStr">
        <is>
          <t>TRACT 5:</t>
        </is>
      </c>
      <c r="C64" t="inlineStr">
        <is>
          <t>NW/4 partial, Lots 1 &amp; 4, SE/4 SW/4 partial</t>
        </is>
      </c>
    </row>
    <row r="65">
      <c r="A65" t="inlineStr"/>
      <c r="B65" t="inlineStr">
        <is>
          <t>Containing:</t>
        </is>
      </c>
      <c r="C65" t="inlineStr">
        <is>
          <t>Acreage not determined — VERIFY (irregular lots; confirm from plat/survey)</t>
        </is>
      </c>
    </row>
    <row r="67">
      <c r="A67" t="inlineStr"/>
      <c r="B67" t="inlineStr">
        <is>
          <t>Mineral Owner</t>
        </is>
      </c>
      <c r="C67" t="inlineStr">
        <is>
          <t>Net Acres</t>
        </is>
      </c>
      <c r="D67" t="inlineStr">
        <is>
          <t xml:space="preserve">OGL No. </t>
        </is>
      </c>
      <c r="E67" t="inlineStr">
        <is>
          <t>Royalty</t>
        </is>
      </c>
      <c r="F67" t="inlineStr">
        <is>
          <t>Expiration</t>
        </is>
      </c>
      <c r="G67" t="inlineStr">
        <is>
          <t>Comments</t>
        </is>
      </c>
    </row>
    <row r="68">
      <c r="A68" t="inlineStr"/>
      <c r="B68" t="inlineStr">
        <is>
          <t>Ella Pearl Kirk -&gt; Calvin Wayne Kirk</t>
        </is>
      </c>
      <c r="C68" t="inlineStr">
        <is>
          <t>TBD</t>
        </is>
      </c>
      <c r="D68" t="inlineStr">
        <is>
          <t>2365/0338</t>
        </is>
      </c>
      <c r="E68" t="inlineStr">
        <is>
          <t>N/A</t>
        </is>
      </c>
      <c r="F68" t="inlineStr">
        <is>
          <t>Mineral deed</t>
        </is>
      </c>
      <c r="G68" t="inlineStr">
        <is>
          <t>NW/4 partial; exact legal/quantum TBD.</t>
        </is>
      </c>
    </row>
    <row r="69">
      <c r="A69" t="inlineStr"/>
      <c r="B69" t="inlineStr">
        <is>
          <t>William Bryant / Kathy Bryant</t>
        </is>
      </c>
      <c r="C69" t="inlineStr">
        <is>
          <t>TBD</t>
        </is>
      </c>
      <c r="D69" t="inlineStr">
        <is>
          <t>2379/0142; 2511/0016; 2511/0018</t>
        </is>
      </c>
      <c r="E69" t="inlineStr">
        <is>
          <t>N/A</t>
        </is>
      </c>
      <c r="F69" t="inlineStr">
        <is>
          <t>Mortgage/release match needed</t>
        </is>
      </c>
      <c r="G69" t="inlineStr">
        <is>
          <t>Lot 1 tract/partial; confirm releases.</t>
        </is>
      </c>
    </row>
    <row r="71">
      <c r="A71" t="inlineStr"/>
      <c r="B71" t="inlineStr">
        <is>
          <t>REPORT TOTAL</t>
        </is>
      </c>
      <c r="C71" t="n">
        <v>0</v>
      </c>
    </row>
    <row r="72">
      <c r="A72" t="inlineStr"/>
      <c r="B72" t="inlineStr">
        <is>
          <t>TOTAL</t>
        </is>
      </c>
      <c r="C72" t="n">
        <v>0</v>
      </c>
    </row>
    <row r="74">
      <c r="A74" t="inlineStr"/>
      <c r="B74" t="inlineStr">
        <is>
          <t>TRACT 6:</t>
        </is>
      </c>
      <c r="C74" t="inlineStr">
        <is>
          <t>W/2 SW/4</t>
        </is>
      </c>
    </row>
    <row r="75">
      <c r="A75" t="inlineStr"/>
      <c r="B75" t="inlineStr">
        <is>
          <t>Containing:</t>
        </is>
      </c>
      <c r="C75" t="inlineStr">
        <is>
          <t>80 acres, more or less (nominal — VERIFY against plat)</t>
        </is>
      </c>
    </row>
    <row r="78">
      <c r="A78" t="inlineStr"/>
      <c r="B78" t="inlineStr">
        <is>
          <t>Mineral Owner</t>
        </is>
      </c>
      <c r="C78" t="inlineStr">
        <is>
          <t>Net Acres</t>
        </is>
      </c>
      <c r="D78" t="inlineStr">
        <is>
          <t xml:space="preserve">OGL No. </t>
        </is>
      </c>
      <c r="E78" t="inlineStr">
        <is>
          <t>Royalty</t>
        </is>
      </c>
      <c r="F78" t="inlineStr">
        <is>
          <t>Expiration</t>
        </is>
      </c>
      <c r="G78" t="inlineStr">
        <is>
          <t>Comments</t>
        </is>
      </c>
    </row>
    <row r="79">
      <c r="A79" t="inlineStr"/>
      <c r="B79" t="inlineStr">
        <is>
          <t>Ronald Paul Dold</t>
        </is>
      </c>
      <c r="C79" t="n">
        <v>80</v>
      </c>
      <c r="D79" t="inlineStr">
        <is>
          <t>2697/0524</t>
        </is>
      </c>
      <c r="E79" t="inlineStr">
        <is>
          <t>3/16 (0.1875)</t>
        </is>
      </c>
      <c r="F79" t="inlineStr">
        <is>
          <t>Top lease; 3-yr primary term; exp 03/31/2029</t>
        </is>
      </c>
      <c r="G79" t="inlineStr">
        <is>
          <t>Covers E2 NW/N2/NE and SW tracts per PDF page 88; full lease needed. TOP LEASE subordinate to prior 2004-era lease; springs on its termination. Prior Lease: Nancy S. Mitchell to R. Michael Lortz, dtd 01/14/2004.</t>
        </is>
      </c>
    </row>
    <row r="81">
      <c r="A81" t="inlineStr"/>
      <c r="B81" t="inlineStr">
        <is>
          <t>REPORT TOTAL</t>
        </is>
      </c>
      <c r="C81" t="n">
        <v>80</v>
      </c>
    </row>
    <row r="82">
      <c r="A82" t="inlineStr"/>
      <c r="B82" t="inlineStr">
        <is>
          <t>TOTAL</t>
        </is>
      </c>
      <c r="C82" t="n">
        <v>80</v>
      </c>
    </row>
    <row r="84">
      <c r="A84" t="inlineStr"/>
      <c r="B84" t="inlineStr">
        <is>
          <t>TRACT 7:</t>
        </is>
      </c>
      <c r="C84" t="inlineStr">
        <is>
          <t>NE/4 SE/4</t>
        </is>
      </c>
    </row>
    <row r="85">
      <c r="A85" t="inlineStr"/>
      <c r="B85" t="inlineStr">
        <is>
          <t>Containing:</t>
        </is>
      </c>
      <c r="C85" t="inlineStr">
        <is>
          <t>40 acres, more or less (nominal — VERIFY against plat)</t>
        </is>
      </c>
    </row>
    <row r="88">
      <c r="A88" t="inlineStr"/>
      <c r="B88" t="inlineStr">
        <is>
          <t>Mineral Owner</t>
        </is>
      </c>
      <c r="C88" t="inlineStr">
        <is>
          <t>Net Acres</t>
        </is>
      </c>
      <c r="D88" t="inlineStr">
        <is>
          <t xml:space="preserve">OGL No. </t>
        </is>
      </c>
      <c r="E88" t="inlineStr">
        <is>
          <t>Royalty</t>
        </is>
      </c>
      <c r="F88" t="inlineStr">
        <is>
          <t>Expiration</t>
        </is>
      </c>
      <c r="G88" t="inlineStr">
        <is>
          <t>Comments</t>
        </is>
      </c>
    </row>
    <row r="89">
      <c r="A89" t="inlineStr"/>
      <c r="B89" t="inlineStr">
        <is>
          <t>Keri Lee Daigle Tucker Trust</t>
        </is>
      </c>
      <c r="C89" t="inlineStr">
        <is>
          <t>TBD</t>
        </is>
      </c>
      <c r="D89" t="inlineStr">
        <is>
          <t>2697/0520</t>
        </is>
      </c>
      <c r="E89" t="inlineStr">
        <is>
          <t>3/16 (0.1875)</t>
        </is>
      </c>
      <c r="F89" t="inlineStr">
        <is>
          <t>Top lease; 5-yr primary term; exp 02/17/2031</t>
        </is>
      </c>
      <c r="G89" t="inlineStr">
        <is>
          <t>S31 T12N R24W N2 NE SW; NE SE; SE NE from PDF page 88. TOP LEASE subordinate to prior 2004-era lease; springs on its termination. Prior Lease: Sorenson Daigle/Johnson trustees to R. Michael Lortz (2004).</t>
        </is>
      </c>
    </row>
    <row r="90">
      <c r="A90" t="inlineStr"/>
      <c r="B90" t="inlineStr">
        <is>
          <t>Mark Ashley Daigle Trust</t>
        </is>
      </c>
      <c r="C90" t="inlineStr">
        <is>
          <t>TBD</t>
        </is>
      </c>
      <c r="D90" t="inlineStr">
        <is>
          <t>2693/0349</t>
        </is>
      </c>
      <c r="E90" t="inlineStr">
        <is>
          <t>3/16 (0.1875)</t>
        </is>
      </c>
      <c r="F90" t="inlineStr">
        <is>
          <t>Top lease; 5-yr primary; exp 02/23/2031 (springs on prior-lease termination)</t>
        </is>
      </c>
      <c r="G90" t="inlineStr">
        <is>
          <t>SE/4 NE/4, NE/4 SE/4; full lease needed. TOP LEASE subordinate to prior 2004-era lease; springs on its termination. Prior Lease: Sorenson Oil and Gas Trust (Daigle/Johnson, TTEEs) to N/G Discovery, L.L.C.. Term resolved from non-watermarked page-1 image, OKCountyRecords API print 6/12/2026.</t>
        </is>
      </c>
    </row>
    <row r="91">
      <c r="A91" t="inlineStr"/>
      <c r="B91" t="inlineStr">
        <is>
          <t>Kevin Warner Johnson Trust</t>
        </is>
      </c>
      <c r="C91" t="inlineStr">
        <is>
          <t>TBD</t>
        </is>
      </c>
      <c r="D91" t="inlineStr">
        <is>
          <t>2693/0345</t>
        </is>
      </c>
      <c r="E91" t="inlineStr">
        <is>
          <t>3/16 (0.1875)</t>
        </is>
      </c>
      <c r="F91" t="inlineStr">
        <is>
          <t>Top lease; 5-yr primary; exp 02/27/2031 (springs on prior-lease termination)</t>
        </is>
      </c>
      <c r="G91" t="inlineStr">
        <is>
          <t>SE/4 NE/4, NE/4 SE/4; full lease needed. TOP LEASE subordinate to prior 2004-era lease; springs on its termination. Prior Lease: Sorenson Oil and Gas Trust (Daigle/Johnson, TTEEs) to R. Michael Lortz, dtd 2004. Term resolved from non-watermarked page-1 image, OKCountyRecords API print 6/12/2026.</t>
        </is>
      </c>
    </row>
    <row r="93">
      <c r="A93" t="inlineStr"/>
      <c r="B93" t="inlineStr">
        <is>
          <t>REPORT TOTAL</t>
        </is>
      </c>
      <c r="C93" t="n">
        <v>0</v>
      </c>
    </row>
    <row r="94">
      <c r="A94" t="inlineStr"/>
      <c r="B94" t="inlineStr">
        <is>
          <t>TOTAL</t>
        </is>
      </c>
      <c r="C94" t="n">
        <v>0</v>
      </c>
    </row>
    <row r="96">
      <c r="A96" t="inlineStr"/>
      <c r="B96" t="inlineStr">
        <is>
          <t>TRACT 8:</t>
        </is>
      </c>
      <c r="C96" t="inlineStr">
        <is>
          <t>W/2 SE/4, SE/4 SE/4</t>
        </is>
      </c>
    </row>
    <row r="97">
      <c r="A97" t="inlineStr"/>
      <c r="B97" t="inlineStr">
        <is>
          <t>Containing:</t>
        </is>
      </c>
      <c r="C97" t="inlineStr">
        <is>
          <t>120 acres, more or less (nominal — VERIFY against plat)</t>
        </is>
      </c>
    </row>
    <row r="100">
      <c r="A100" t="inlineStr"/>
      <c r="B100" t="inlineStr">
        <is>
          <t>Mineral Owner</t>
        </is>
      </c>
      <c r="C100" t="inlineStr">
        <is>
          <t>Net Acres</t>
        </is>
      </c>
      <c r="D100" t="inlineStr">
        <is>
          <t xml:space="preserve">OGL No. </t>
        </is>
      </c>
      <c r="E100" t="inlineStr">
        <is>
          <t>Royalty</t>
        </is>
      </c>
      <c r="F100" t="inlineStr">
        <is>
          <t>Expiration</t>
        </is>
      </c>
      <c r="G100" t="inlineStr">
        <is>
          <t>Comments</t>
        </is>
      </c>
    </row>
    <row r="101">
      <c r="A101" t="inlineStr"/>
      <c r="B101" t="inlineStr">
        <is>
          <t>Del Monte Royalty Partners, LLC</t>
        </is>
      </c>
      <c r="C101" t="inlineStr">
        <is>
          <t>TBD</t>
        </is>
      </c>
      <c r="D101" t="inlineStr">
        <is>
          <t>2625/233</t>
        </is>
      </c>
      <c r="E101" t="inlineStr"/>
      <c r="F101" t="inlineStr"/>
      <c r="G101" t="inlineStr">
        <is>
          <t>EDR, LLC mineral deeds (Bk 2625); see note on owner cell.</t>
        </is>
      </c>
    </row>
    <row r="102">
      <c r="A102" t="inlineStr"/>
      <c r="B102" t="inlineStr">
        <is>
          <t>Okki Industries, LLC</t>
        </is>
      </c>
      <c r="C102" t="inlineStr">
        <is>
          <t>TBD</t>
        </is>
      </c>
      <c r="D102" t="inlineStr">
        <is>
          <t>2625/231</t>
        </is>
      </c>
    </row>
    <row r="103">
      <c r="A103" t="inlineStr"/>
      <c r="B103" t="inlineStr">
        <is>
          <t>Cardinal Land Company, LLC</t>
        </is>
      </c>
      <c r="C103" t="inlineStr">
        <is>
          <t>TBD</t>
        </is>
      </c>
    </row>
    <row r="104">
      <c r="A104" t="inlineStr"/>
      <c r="B104" t="inlineStr">
        <is>
          <t>Longreach Energy 2, LLC</t>
        </is>
      </c>
      <c r="C104" t="inlineStr">
        <is>
          <t>TBD</t>
        </is>
      </c>
    </row>
    <row r="105">
      <c r="A105" t="inlineStr"/>
      <c r="B105" t="inlineStr">
        <is>
          <t>Royfin Natural Gas, LLC</t>
        </is>
      </c>
      <c r="C105" t="inlineStr">
        <is>
          <t>TBD</t>
        </is>
      </c>
    </row>
    <row r="106">
      <c r="A106" t="inlineStr"/>
      <c r="B106" t="inlineStr">
        <is>
          <t>Paul M. Bain</t>
        </is>
      </c>
      <c r="C106" t="inlineStr">
        <is>
          <t>TBD</t>
        </is>
      </c>
    </row>
    <row r="107">
      <c r="A107" t="inlineStr"/>
      <c r="B107" t="inlineStr">
        <is>
          <t>Anna T. Bain Gibson</t>
        </is>
      </c>
      <c r="C107" t="inlineStr">
        <is>
          <t>TBD</t>
        </is>
      </c>
    </row>
    <row r="108">
      <c r="A108" t="inlineStr"/>
      <c r="B108" t="inlineStr">
        <is>
          <t>Brian Herman Kortright</t>
        </is>
      </c>
      <c r="C108" t="inlineStr">
        <is>
          <t>TBD</t>
        </is>
      </c>
    </row>
    <row r="109">
      <c r="A109" t="inlineStr"/>
      <c r="B109" t="inlineStr">
        <is>
          <t>Gregory J. Winneke</t>
        </is>
      </c>
      <c r="C109" t="inlineStr">
        <is>
          <t>TBD</t>
        </is>
      </c>
    </row>
    <row r="110">
      <c r="A110" t="inlineStr"/>
      <c r="B110" t="inlineStr">
        <is>
          <t>Smith, William A. and Isa May Family Revocable Trust</t>
        </is>
      </c>
      <c r="C110" t="inlineStr">
        <is>
          <t>TBD</t>
        </is>
      </c>
    </row>
    <row r="111">
      <c r="A111" t="inlineStr"/>
      <c r="B111" t="inlineStr">
        <is>
          <t>Jinkee D. Acuero Fuchs, Trustee</t>
        </is>
      </c>
      <c r="C111" t="inlineStr">
        <is>
          <t>TBD</t>
        </is>
      </c>
    </row>
    <row r="112">
      <c r="A112" t="inlineStr"/>
      <c r="B112" t="inlineStr">
        <is>
          <t>Eric Jansen</t>
        </is>
      </c>
      <c r="C112" t="inlineStr">
        <is>
          <t>TBD</t>
        </is>
      </c>
    </row>
    <row r="113">
      <c r="A113" t="inlineStr"/>
      <c r="B113" t="inlineStr">
        <is>
          <t>REPORT TOTAL</t>
        </is>
      </c>
      <c r="C113" t="n">
        <v>0</v>
      </c>
    </row>
    <row r="114">
      <c r="A114" t="inlineStr"/>
      <c r="B114" t="inlineStr">
        <is>
          <t>TOTAL</t>
        </is>
      </c>
      <c r="C114" t="n">
        <v>0</v>
      </c>
    </row>
    <row r="116">
      <c r="A116" t="inlineStr"/>
      <c r="B116" t="inlineStr">
        <is>
          <t xml:space="preserve">Working Interest: </t>
        </is>
      </c>
      <c r="C116" t="inlineStr">
        <is>
          <t>Insofar as the Lalexander 1-31 / wellbore and all-section leasehold items; exact WI/NRI TBD</t>
        </is>
      </c>
    </row>
    <row r="118">
      <c r="A118" t="inlineStr"/>
      <c r="B118" t="inlineStr">
        <is>
          <t>Owner</t>
        </is>
      </c>
      <c r="C118" t="inlineStr">
        <is>
          <t>Net Acres</t>
        </is>
      </c>
      <c r="D118" t="inlineStr">
        <is>
          <t>Base OGL's</t>
        </is>
      </c>
      <c r="E118" t="inlineStr">
        <is>
          <t>Royalty</t>
        </is>
      </c>
      <c r="F118" t="inlineStr">
        <is>
          <t>Expiration</t>
        </is>
      </c>
      <c r="G118" t="inlineStr">
        <is>
          <t>Comments</t>
        </is>
      </c>
    </row>
    <row r="119">
      <c r="A119" t="inlineStr"/>
      <c r="B119" t="inlineStr">
        <is>
          <t>Martin's Empire, LLC -&gt; Stride Bank Trustee</t>
        </is>
      </c>
      <c r="C119" t="inlineStr">
        <is>
          <t>TBD</t>
        </is>
      </c>
      <c r="D119" t="inlineStr">
        <is>
          <t>2698/0069 / 2026-002547</t>
        </is>
      </c>
      <c r="E119" t="inlineStr">
        <is>
          <t>N/A</t>
        </is>
      </c>
      <c r="F119" t="inlineStr">
        <is>
          <t>Wellbore assignment; corrected target legal</t>
        </is>
      </c>
      <c r="G119" t="inlineStr">
        <is>
          <t>ORRI assignment, NOT working interest: Martin's Empire, LLC assigns 2% of 8/8ths overriding royalty from the Exhibit A wellbores to Stride Bank, N.A., TTEE of the Umbrella Trust dtd 12/30/2025; eff 01/01/2026, rec 05/04/2026 (2698/0069, 7 pgs). S31 index legal NW NW; OCC surface location is C NW SE. Abstracted from watermarked county image via OKCountyRecords API 6/12/2026 (free to view).</t>
        </is>
      </c>
    </row>
    <row r="120">
      <c r="A120" t="inlineStr"/>
      <c r="B120" t="inlineStr">
        <is>
          <t>Cheyenne Resources -&gt; Templar Energy, LLC</t>
        </is>
      </c>
      <c r="C120" t="inlineStr">
        <is>
          <t>TBD</t>
        </is>
      </c>
      <c r="D120" t="inlineStr">
        <is>
          <t>2385/0072</t>
        </is>
      </c>
      <c r="E120" t="inlineStr">
        <is>
          <t>N/A</t>
        </is>
      </c>
      <c r="F120" t="inlineStr">
        <is>
          <t>Assignment</t>
        </is>
      </c>
      <c r="G120" t="inlineStr">
        <is>
          <t>Lalexander 1-31; well/exhibit review needed.</t>
        </is>
      </c>
    </row>
    <row r="121">
      <c r="A121" t="inlineStr"/>
      <c r="B121" t="inlineStr">
        <is>
          <t>Hani Tabally -&gt; Santos J. Dominguez</t>
        </is>
      </c>
      <c r="C121" t="inlineStr">
        <is>
          <t>TBD</t>
        </is>
      </c>
      <c r="D121" t="inlineStr">
        <is>
          <t>2455/0446</t>
        </is>
      </c>
      <c r="E121" t="inlineStr">
        <is>
          <t>N/A</t>
        </is>
      </c>
      <c r="F121" t="inlineStr">
        <is>
          <t>Assignment</t>
        </is>
      </c>
      <c r="G121" t="inlineStr">
        <is>
          <t>Lalexander of 31-12N-24W; full assignment needed.</t>
        </is>
      </c>
    </row>
    <row r="122">
      <c r="A122" t="inlineStr"/>
      <c r="B122" t="inlineStr">
        <is>
          <t>Geodyne/Samson -&gt; Fairway Resources III, LLC</t>
        </is>
      </c>
      <c r="C122" t="inlineStr">
        <is>
          <t>TBD</t>
        </is>
      </c>
      <c r="D122" t="inlineStr">
        <is>
          <t>2356/0399</t>
        </is>
      </c>
      <c r="E122" t="inlineStr">
        <is>
          <t>N/A</t>
        </is>
      </c>
      <c r="F122" t="inlineStr">
        <is>
          <t>Public snippet assignment</t>
        </is>
      </c>
      <c r="G122" t="inlineStr">
        <is>
          <t>S31 T12N R24W Lalexander; full image needed.</t>
        </is>
      </c>
    </row>
    <row r="123">
      <c r="A123" t="inlineStr"/>
      <c r="B123" t="inlineStr">
        <is>
          <t>Fairway Resources III, LLC -&gt; JPMorgan Chase Bank
P O Box 25848 OK1-1097, Oklahoma City, OK</t>
        </is>
      </c>
      <c r="C123" t="inlineStr">
        <is>
          <t>TBD</t>
        </is>
      </c>
      <c r="D123" t="inlineStr">
        <is>
          <t>2357/0001</t>
        </is>
      </c>
      <c r="E123" t="inlineStr">
        <is>
          <t>N/A</t>
        </is>
      </c>
      <c r="F123" t="inlineStr">
        <is>
          <t>Public snippet mortgage</t>
        </is>
      </c>
      <c r="G123" t="inlineStr">
        <is>
          <t>Collateral/release status open.</t>
        </is>
      </c>
    </row>
    <row r="124">
      <c r="A124" t="inlineStr"/>
      <c r="B124" t="inlineStr">
        <is>
          <t>Deutsche/JPMorgan releases to Samson/Geodyne</t>
        </is>
      </c>
      <c r="C124" t="inlineStr">
        <is>
          <t>TBD</t>
        </is>
      </c>
      <c r="D124" t="inlineStr">
        <is>
          <t>2356/0001; 2356/0200</t>
        </is>
      </c>
      <c r="E124" t="inlineStr">
        <is>
          <t>N/A</t>
        </is>
      </c>
      <c r="F124" t="inlineStr">
        <is>
          <t>Public snippet releases</t>
        </is>
      </c>
      <c r="G124" t="inlineStr">
        <is>
          <t>Release effect on target requires full images.</t>
        </is>
      </c>
    </row>
    <row r="126">
      <c r="A126" t="inlineStr"/>
      <c r="B126" t="inlineStr">
        <is>
          <t>REPORT TOTAL</t>
        </is>
      </c>
      <c r="C126" t="n">
        <v>0</v>
      </c>
    </row>
    <row r="127">
      <c r="A127" t="inlineStr"/>
      <c r="B127" t="inlineStr">
        <is>
          <t>TOTAL</t>
        </is>
      </c>
      <c r="C127" t="n">
        <v>0</v>
      </c>
    </row>
    <row r="130">
      <c r="A130" t="inlineStr"/>
      <c r="B130" t="inlineStr">
        <is>
          <t xml:space="preserve">Working Interest: </t>
        </is>
      </c>
    </row>
    <row r="132">
      <c r="A132" t="inlineStr"/>
      <c r="B132" t="inlineStr">
        <is>
          <t>Owner</t>
        </is>
      </c>
      <c r="C132" t="inlineStr">
        <is>
          <t>Net Acres</t>
        </is>
      </c>
      <c r="D132" t="inlineStr">
        <is>
          <t>Base OGL's</t>
        </is>
      </c>
      <c r="E132" t="inlineStr">
        <is>
          <t>Royalty</t>
        </is>
      </c>
      <c r="F132" t="inlineStr">
        <is>
          <t>Expiration</t>
        </is>
      </c>
      <c r="G132" t="inlineStr">
        <is>
          <t>Comments</t>
        </is>
      </c>
    </row>
    <row r="133">
      <c r="A133" t="inlineStr"/>
      <c r="B133" t="inlineStr">
        <is>
          <t>Historic Chesapeake/EOG/Lortz/Devon/Jess Harris/TODCO leasehold</t>
        </is>
      </c>
      <c r="C133" t="inlineStr">
        <is>
          <t>TBD</t>
        </is>
      </c>
      <c r="D133" t="inlineStr">
        <is>
          <t>OGLs 1-30</t>
        </is>
      </c>
      <c r="E133" t="inlineStr">
        <is>
          <t>Mixed/unknown</t>
        </is>
      </c>
      <c r="F133" t="inlineStr">
        <is>
          <t>Expired/HBP status not concluded</t>
        </is>
      </c>
      <c r="G133" t="inlineStr">
        <is>
          <t>Primary terms alone are not enough; check production, pooling, shut-in, extensions and releases.</t>
        </is>
      </c>
    </row>
    <row r="134">
      <c r="A134" t="inlineStr"/>
      <c r="B134" t="inlineStr">
        <is>
          <t>Silver Oak Natural Resources, LLC
5030 N May Ave Ste 125, Oklahoma City, OK</t>
        </is>
      </c>
      <c r="C134" t="inlineStr">
        <is>
          <t>TBD</t>
        </is>
      </c>
      <c r="D134" t="inlineStr">
        <is>
          <t>2693/0337; 0345; 0349; 2697/0520; 0524; 2702/0505</t>
        </is>
      </c>
      <c r="E134" t="inlineStr">
        <is>
          <t>3/16 (0.1875)</t>
        </is>
      </c>
      <c r="F134" t="inlineStr">
        <is>
          <t>Top leases; 3-to-5-yr primaries; exps 2029-2031</t>
        </is>
      </c>
      <c r="G134" t="inlineStr">
        <is>
          <t>All six 2026 Silver Oak leases are PAID-UP TOP LEASES at 3/16 royalty, subordinate to 2004-era prior leases and effective only upon their termination. Terms verified from instrument images 6/12/2026: 2693/337 3-yr exp 02/23/2029; 2693/345 5-yr exp 02/27/2031; 2693/349 5-yr exp 02/23/2031; 2697/520 5-yr exp 02/17/2031; 2697/524 3-yr exp 03/31/2029; 2702/505 5-yr exp 02/11/2031.</t>
        </is>
      </c>
    </row>
    <row r="135">
      <c r="A135" t="inlineStr"/>
      <c r="B135" t="inlineStr">
        <is>
          <t>Lalexander 1-31 / wellbore chain</t>
        </is>
      </c>
      <c r="C135" t="inlineStr">
        <is>
          <t>TBD</t>
        </is>
      </c>
      <c r="D135" t="inlineStr">
        <is>
          <t>2385/0072; 2455/0446; 2698/0069</t>
        </is>
      </c>
      <c r="E135" t="inlineStr">
        <is>
          <t>N/A</t>
        </is>
      </c>
      <c r="F135" t="inlineStr">
        <is>
          <t>Well/OCC check required</t>
        </is>
      </c>
      <c r="G135" t="inlineStr">
        <is>
          <t>OCC RBDMS 6/12/2026: Alexander #1-31, API 35-129-22925, status ACTIVE (oil), operator Martin's Resources LLC, surface C NW SE (660' FWL x 1980' FSL). Active status supports HBP for wellbore-tied leasehold; OTC gross-production confirmation still required. | HBP PENDING — Client describes this as an INACTIVE well; OCC RBDMS shows status ACTIVE (oil). Reconcile active/inactive status and confirm OTC gross production before treating the section as HBP.</t>
        </is>
      </c>
    </row>
    <row r="136">
      <c r="A136" t="inlineStr"/>
      <c r="B136" t="inlineStr">
        <is>
          <t>Mortgage/lien burden chain</t>
        </is>
      </c>
      <c r="C136" t="inlineStr">
        <is>
          <t>TBD</t>
        </is>
      </c>
      <c r="D136" t="inlineStr">
        <is>
          <t>2356/0001; 2356/0200; 2357/0001; 2357/0474</t>
        </is>
      </c>
      <c r="E136" t="inlineStr">
        <is>
          <t>N/A</t>
        </is>
      </c>
      <c r="F136" t="inlineStr">
        <is>
          <t>Open until matched to releases</t>
        </is>
      </c>
      <c r="G136" t="inlineStr">
        <is>
          <t>Full images/exhibits needed for release scope and collateral.</t>
        </is>
      </c>
    </row>
    <row r="138">
      <c r="A138" t="inlineStr"/>
      <c r="B138" t="inlineStr">
        <is>
          <t>REPORT TOTAL</t>
        </is>
      </c>
      <c r="C138" t="n">
        <v>0</v>
      </c>
    </row>
    <row r="139">
      <c r="A139" t="inlineStr"/>
      <c r="B139" t="inlineStr">
        <is>
          <t>TOTAL</t>
        </is>
      </c>
      <c r="C139" t="n">
        <v>0</v>
      </c>
    </row>
    <row r="141">
      <c r="A141" t="inlineStr"/>
      <c r="B141" t="inlineStr">
        <is>
          <t>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Wells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t="inlineStr">
        <is>
          <t>Well Name</t>
        </is>
      </c>
      <c r="B2" t="inlineStr">
        <is>
          <t>API #</t>
        </is>
      </c>
      <c r="C2" t="inlineStr">
        <is>
          <t>Operator</t>
        </is>
      </c>
      <c r="D2" t="inlineStr">
        <is>
          <t>Status</t>
        </is>
      </c>
      <c r="E2" t="inlineStr">
        <is>
          <t>Location</t>
        </is>
      </c>
      <c r="F2" t="inlineStr">
        <is>
          <t>Formation</t>
        </is>
      </c>
      <c r="G2" t="inlineStr">
        <is>
          <t>Completion</t>
        </is>
      </c>
      <c r="H2" t="inlineStr">
        <is>
          <t>Last Production</t>
        </is>
      </c>
      <c r="I2" t="inlineStr">
        <is>
          <t>Notes</t>
        </is>
      </c>
    </row>
    <row r="3">
      <c r="A3" t="inlineStr">
        <is>
          <t>Alexander #1-31 (of record as LALEXANDER 1-31)</t>
        </is>
      </c>
      <c r="B3" t="inlineStr">
        <is>
          <t>35-129-22925</t>
        </is>
      </c>
      <c r="C3" t="inlineStr">
        <is>
          <t>Martin's Resources LLC</t>
        </is>
      </c>
      <c r="D3" t="inlineStr">
        <is>
          <t>Active (OCC status AC, oil)</t>
        </is>
      </c>
      <c r="E3" t="inlineStr">
        <is>
          <t>Sec 31-12N-24W, C NW/4 SE/4, 660' FWL x 1980' FSL</t>
        </is>
      </c>
      <c r="F3" t="inlineStr">
        <is>
          <t>Verify w/ OCC 1002A (pre-electronic completion)</t>
        </is>
      </c>
      <c r="G3" t="inlineStr">
        <is>
          <t>Verify w/ OCC</t>
        </is>
      </c>
      <c r="H3" t="inlineStr">
        <is>
          <t>Verify w/ OTC gross production</t>
        </is>
      </c>
      <c r="I3" t="inlineStr">
        <is>
          <t>Source: OCC RBDMS GIS (gis.occ.ok.gov), retrieved 6/12/2026. Sole well of record in the section. Wellbore ORRI 2% of 8/8ths assigned Martin's Empire LLC to Stride Bank TTEE (2698/0069). Active status supports HBP; production volumes pending OTC. ShaleXP (OTC-sourced) corroborates ACTIVE status under Martin's Resources LLC with operator-level production reported through Mar 2026; NOTE: no Alexander property block visible in ShaleXP's free production table, so well-level volumes remain unconfirmed pending OTC PUN pull.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2026-06-19T23:48:43Z</dcterms:created>
  <dcterms:modified xsi:type="dcterms:W3CDTF">2026-06-19T23:48:46Z</dcterms:modified>
</cp:coreProperties>
</file>