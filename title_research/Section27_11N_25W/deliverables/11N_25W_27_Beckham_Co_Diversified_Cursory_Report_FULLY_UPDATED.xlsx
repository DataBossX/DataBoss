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Overview" sheetId="1" state="visible" r:id="rId1"/>
    <sheet name="Title " sheetId="2" state="visible" r:id="rId2"/>
    <sheet name="PLAT" sheetId="3" state="visible" r:id="rId3"/>
    <sheet name="Runsheet" sheetId="4" state="visible" r:id="rId4"/>
    <sheet name="OGLs" sheetId="5" state="visible" r:id="rId5"/>
    <sheet name="WI" sheetId="6" state="visible" r:id="rId6"/>
    <sheet name="Tract 1 (NE4)" sheetId="7" state="visible" r:id="rId7"/>
    <sheet name="Tract 2 (NW4)" sheetId="8" state="visible" r:id="rId8"/>
    <sheet name="Tract 3 (SE4)" sheetId="9" state="visible" r:id="rId9"/>
    <sheet name="Tract 4 (SW4)" sheetId="10" state="visible" r:id="rId10"/>
    <sheet name="Tract 5 (Church)" sheetId="11" state="visible" r:id="rId11"/>
    <sheet name="Wells" sheetId="12" state="visible" r:id="rId12"/>
    <sheet name="Instrument Index" sheetId="13" state="visible" r:id="rId13"/>
    <sheet name="NRI Depth Matrix" sheetId="14" state="visible" r:id="rId14"/>
    <sheet name="Gap List" sheetId="15" state="visible" r:id="rId15"/>
    <sheet name="Assumptions" sheetId="16" state="visible" r:id="rId16"/>
    <sheet name="Source Index" sheetId="17" state="visible" r:id="rId17"/>
    <sheet name="QA Audit" sheetId="18" state="visible" r:id="rId18"/>
    <sheet name="Change Log" sheetId="19" state="visible" r:id="rId19"/>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0000000"/>
    <numFmt numFmtId="165" formatCode="0.000000"/>
    <numFmt numFmtId="166" formatCode="# ???/???"/>
    <numFmt numFmtId="167" formatCode="yyyy-mm-dd h:mm:ss"/>
    <numFmt numFmtId="168" formatCode="mm/dd/yyyy"/>
  </numFmts>
  <fonts count="38">
    <font>
      <name val="Calibri"/>
      <charset val="1"/>
      <family val="2"/>
      <color theme="1"/>
      <sz val="11"/>
    </font>
    <font>
      <name val="Arial"/>
      <family val="0"/>
      <sz val="10"/>
    </font>
    <font>
      <name val="Arial"/>
      <family val="0"/>
      <sz val="10"/>
    </font>
    <font>
      <name val="Arial"/>
      <family val="0"/>
      <sz val="10"/>
    </font>
    <font>
      <name val="Arial"/>
      <charset val="1"/>
      <family val="0"/>
      <b val="1"/>
      <color rgb="FF000000"/>
      <sz val="10"/>
    </font>
    <font>
      <name val="Arial"/>
      <charset val="1"/>
      <family val="0"/>
      <i val="1"/>
      <color rgb="FF000000"/>
      <sz val="9"/>
    </font>
    <font>
      <name val="Arial"/>
      <charset val="1"/>
      <family val="0"/>
      <color rgb="FF000000"/>
      <sz val="9"/>
    </font>
    <font>
      <name val="Arial"/>
      <charset val="1"/>
      <family val="0"/>
      <b val="1"/>
      <color rgb="FF1F3864"/>
      <sz val="11"/>
    </font>
    <font>
      <name val="Arial"/>
      <charset val="1"/>
      <family val="0"/>
      <i val="1"/>
      <color rgb="FF595959"/>
      <sz val="9"/>
    </font>
    <font>
      <name val="Arial"/>
      <charset val="1"/>
      <family val="0"/>
      <color rgb="FF000000"/>
      <sz val="10"/>
    </font>
    <font>
      <name val="Arial"/>
      <charset val="1"/>
      <family val="0"/>
      <b val="1"/>
      <color rgb="FFFFFFFF"/>
      <sz val="10"/>
    </font>
    <font>
      <name val="Arial"/>
      <charset val="1"/>
      <family val="0"/>
      <i val="1"/>
      <color rgb="FF595959"/>
      <sz val="8"/>
    </font>
    <font>
      <name val="Arial"/>
      <charset val="1"/>
      <family val="0"/>
      <b val="1"/>
      <color rgb="FF1F3864"/>
      <sz val="12"/>
    </font>
    <font>
      <name val="Arial"/>
      <charset val="1"/>
      <family val="0"/>
      <i val="1"/>
      <color rgb="FF000000"/>
      <sz val="10"/>
    </font>
    <font>
      <name val="Arial"/>
      <charset val="1"/>
      <family val="0"/>
      <color rgb="FF595959"/>
      <sz val="9"/>
    </font>
    <font>
      <name val="Arial"/>
      <charset val="1"/>
      <family val="0"/>
      <b val="1"/>
      <color rgb="FF000000"/>
      <sz val="9"/>
    </font>
    <font>
      <name val="Arial"/>
      <charset val="1"/>
      <family val="0"/>
      <b val="1"/>
      <color rgb="FF000000"/>
      <sz val="36"/>
    </font>
    <font>
      <name val="Arial"/>
      <charset val="1"/>
      <family val="0"/>
      <color rgb="FF000000"/>
      <sz val="8"/>
    </font>
    <font>
      <name val="Arial"/>
      <charset val="1"/>
      <family val="0"/>
      <b val="1"/>
      <color rgb="FF000000"/>
      <sz val="8"/>
    </font>
    <font>
      <name val="Arial"/>
      <charset val="1"/>
      <family val="0"/>
      <b val="1"/>
      <color rgb="FFC00000"/>
      <sz val="8"/>
    </font>
    <font>
      <name val="Arial"/>
      <charset val="1"/>
      <family val="0"/>
      <i val="1"/>
      <color rgb="FF808080"/>
      <sz val="8"/>
    </font>
    <font>
      <name val="Arial"/>
      <charset val="1"/>
      <family val="0"/>
      <b val="1"/>
      <color rgb="FFFFFFFF"/>
      <sz val="9"/>
    </font>
    <font>
      <name val="Calibri"/>
      <charset val="1"/>
      <b val="1"/>
      <color rgb="FFFFFFFF"/>
      <sz val="11"/>
    </font>
    <font>
      <name val="Calibri"/>
      <charset val="1"/>
      <family val="2"/>
      <sz val="10"/>
    </font>
    <font>
      <name val="Calibri"/>
      <charset val="1"/>
      <family val="2"/>
      <color rgb="FF0000FF"/>
      <sz val="11"/>
      <u val="single"/>
    </font>
    <font>
      <name val="Calibri"/>
      <charset val="1"/>
      <sz val="10"/>
    </font>
    <font>
      <name val="Calibri"/>
      <charset val="1"/>
      <color rgb="FF0563C1"/>
      <sz val="11"/>
      <u val="single"/>
    </font>
    <font>
      <name val="Calibri"/>
      <family val="2"/>
      <sz val="10"/>
    </font>
    <font>
      <name val="Calibri"/>
      <charset val="1"/>
      <color theme="10"/>
      <sz val="11"/>
      <u val="single"/>
    </font>
    <font>
      <name val="Calibri"/>
      <charset val="1"/>
      <family val="2"/>
      <color rgb="FF000000"/>
      <sz val="10"/>
    </font>
    <font>
      <name val="Calibri"/>
      <charset val="1"/>
      <color theme="1"/>
      <sz val="11"/>
    </font>
    <font>
      <name val="Calibri"/>
      <charset val="1"/>
      <sz val="11"/>
    </font>
    <font>
      <name val="Calibri"/>
      <b val="1"/>
      <color theme="1"/>
      <sz val="11"/>
    </font>
    <font>
      <name val="Calibri"/>
      <sz val="9"/>
    </font>
    <font>
      <name val="Calibri"/>
      <charset val="1"/>
      <i val="1"/>
      <color rgb="FF9C5700"/>
      <sz val="8"/>
    </font>
    <font>
      <i val="1"/>
      <color rgb="00555555"/>
      <sz val="9"/>
    </font>
    <font>
      <name val="Calibri"/>
      <b val="1"/>
      <color rgb="00FFFFFF"/>
      <sz val="11"/>
    </font>
    <font>
      <sz val="10"/>
    </font>
  </fonts>
  <fills count="11">
    <fill>
      <patternFill/>
    </fill>
    <fill>
      <patternFill patternType="gray125"/>
    </fill>
    <fill>
      <patternFill patternType="solid">
        <fgColor rgb="FF1F3864"/>
        <bgColor rgb="FF333333"/>
      </patternFill>
    </fill>
    <fill>
      <patternFill patternType="solid">
        <fgColor rgb="FFDDEBF7"/>
        <bgColor rgb="FFD9D9D9"/>
      </patternFill>
    </fill>
    <fill>
      <patternFill patternType="solid">
        <fgColor rgb="FFD9D9D9"/>
        <bgColor rgb="FFDDEBF7"/>
      </patternFill>
    </fill>
    <fill>
      <patternFill patternType="solid">
        <fgColor rgb="FFCCFFFF"/>
        <bgColor rgb="FFCCFFCC"/>
      </patternFill>
    </fill>
    <fill>
      <patternFill patternType="solid">
        <fgColor rgb="FF1F4E78"/>
        <bgColor rgb="FF1F3864"/>
      </patternFill>
    </fill>
    <fill>
      <patternFill patternType="solid">
        <fgColor rgb="FFE2EFDA"/>
      </patternFill>
    </fill>
    <fill>
      <patternFill patternType="solid">
        <fgColor rgb="FFFCE4D6"/>
      </patternFill>
    </fill>
    <fill>
      <patternFill patternType="solid">
        <fgColor rgb="FFFFF2CC"/>
        <bgColor rgb="FFFCE4D6"/>
      </patternFill>
    </fill>
    <fill>
      <patternFill patternType="solid">
        <fgColor rgb="001F4E78"/>
      </patternFill>
    </fill>
  </fills>
  <borders count="1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center" vertical="center" wrapText="1"/>
    </xf>
    <xf numFmtId="0" fontId="6" fillId="0" borderId="1" applyAlignment="1" pivotButton="0" quotePrefix="0" xfId="0">
      <alignment horizontal="left" vertical="top" wrapText="1"/>
    </xf>
    <xf numFmtId="0" fontId="6" fillId="0" borderId="1" applyAlignment="1" pivotButton="0" quotePrefix="0" xfId="0">
      <alignment horizontal="right" vertical="bottom"/>
    </xf>
    <xf numFmtId="0" fontId="6" fillId="0" borderId="1" applyAlignment="1" pivotButton="0" quotePrefix="0" xfId="0">
      <alignment horizontal="center" vertical="bottom"/>
    </xf>
    <xf numFmtId="0" fontId="4" fillId="0" borderId="1" applyAlignment="1" pivotButton="0" quotePrefix="0" xfId="0">
      <alignment horizontal="general" vertical="bottom"/>
    </xf>
    <xf numFmtId="0" fontId="4" fillId="0" borderId="1" applyAlignment="1" pivotButton="0" quotePrefix="0" xfId="0">
      <alignment horizontal="right" vertical="bottom"/>
    </xf>
    <xf numFmtId="0" fontId="11" fillId="0" borderId="0" applyAlignment="1" pivotButton="0" quotePrefix="0" xfId="0">
      <alignment horizontal="general" vertical="bottom"/>
    </xf>
    <xf numFmtId="0" fontId="11" fillId="0" borderId="0" applyAlignment="1" pivotButton="0" quotePrefix="0" xfId="0">
      <alignment horizontal="general" vertical="top" wrapText="1"/>
    </xf>
    <xf numFmtId="0" fontId="12" fillId="0" borderId="0" applyAlignment="1" pivotButton="0" quotePrefix="0" xfId="0">
      <alignment horizontal="general" vertical="bottom"/>
    </xf>
    <xf numFmtId="0" fontId="4" fillId="3" borderId="1" applyAlignment="1" pivotButton="0" quotePrefix="0" xfId="0">
      <alignment horizontal="center" vertical="center"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4" fillId="0" borderId="0" applyAlignment="1" pivotButton="0" quotePrefix="0" xfId="0">
      <alignment horizontal="right" vertical="bottom"/>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17" fillId="0" borderId="0" applyAlignment="1" pivotButton="0" quotePrefix="0" xfId="0">
      <alignment horizontal="general" vertical="top" wrapText="1"/>
    </xf>
    <xf numFmtId="2" fontId="4" fillId="4" borderId="0" applyAlignment="1" pivotButton="0" quotePrefix="0" xfId="0">
      <alignment horizontal="center" vertical="bottom"/>
    </xf>
    <xf numFmtId="164" fontId="4" fillId="4" borderId="0" applyAlignment="1" pivotButton="0" quotePrefix="0" xfId="0">
      <alignment horizontal="center" vertical="bottom"/>
    </xf>
    <xf numFmtId="0" fontId="18" fillId="5" borderId="0" applyAlignment="1" pivotButton="0" quotePrefix="0" xfId="0">
      <alignment horizontal="center" vertical="center" wrapText="1"/>
    </xf>
    <xf numFmtId="0" fontId="19" fillId="0" borderId="0" applyAlignment="1" pivotButton="0" quotePrefix="0" xfId="0">
      <alignment horizontal="center" vertical="bottom"/>
    </xf>
    <xf numFmtId="165" fontId="20" fillId="0" borderId="0" applyAlignment="1" pivotButton="0" quotePrefix="0" xfId="0">
      <alignment horizontal="center" vertical="bottom"/>
    </xf>
    <xf numFmtId="0" fontId="4" fillId="5" borderId="0" applyAlignment="1" pivotButton="0" quotePrefix="0" xfId="0">
      <alignment horizontal="left" vertical="bottom" wrapText="1"/>
    </xf>
    <xf numFmtId="0" fontId="4" fillId="5" borderId="0" applyAlignment="1" pivotButton="0" quotePrefix="0" xfId="0">
      <alignment horizontal="right" vertical="bottom" wrapText="1"/>
    </xf>
    <xf numFmtId="0" fontId="4" fillId="5" borderId="0" applyAlignment="1" pivotButton="0" quotePrefix="0" xfId="0">
      <alignment horizontal="center" vertical="bottom" wrapText="1"/>
    </xf>
    <xf numFmtId="2" fontId="0" fillId="5" borderId="0" applyAlignment="1" pivotButton="0" quotePrefix="0" xfId="0">
      <alignment horizontal="right" vertical="bottom"/>
    </xf>
    <xf numFmtId="164" fontId="0" fillId="5" borderId="0" applyAlignment="1" pivotButton="0" quotePrefix="0" xfId="0">
      <alignment horizontal="right" vertical="bottom"/>
    </xf>
    <xf numFmtId="166" fontId="0" fillId="0" borderId="0" applyAlignment="1" pivotButton="0" quotePrefix="0" xfId="0">
      <alignment horizontal="center" vertical="bottom"/>
    </xf>
    <xf numFmtId="165" fontId="0" fillId="0" borderId="0" applyAlignment="1" pivotButton="0" quotePrefix="0" xfId="0">
      <alignment horizontal="right" vertical="bottom"/>
    </xf>
    <xf numFmtId="0" fontId="21" fillId="2" borderId="0" applyAlignment="1" pivotButton="0" quotePrefix="0" xfId="0">
      <alignment horizontal="center" vertical="center"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center" vertical="center" wrapText="1"/>
    </xf>
    <xf numFmtId="0" fontId="6" fillId="0" borderId="1" applyAlignment="1" pivotButton="0" quotePrefix="0" xfId="0">
      <alignment horizontal="left" vertical="top" wrapText="1"/>
    </xf>
    <xf numFmtId="0" fontId="6" fillId="0" borderId="1" applyAlignment="1" pivotButton="0" quotePrefix="0" xfId="0">
      <alignment horizontal="right" vertical="bottom"/>
    </xf>
    <xf numFmtId="0" fontId="6" fillId="0" borderId="1" applyAlignment="1" pivotButton="0" quotePrefix="0" xfId="0">
      <alignment horizontal="center" vertical="bottom"/>
    </xf>
    <xf numFmtId="0" fontId="4" fillId="0" borderId="1" applyAlignment="1" pivotButton="0" quotePrefix="0" xfId="0">
      <alignment horizontal="general" vertical="bottom"/>
    </xf>
    <xf numFmtId="0" fontId="4" fillId="0" borderId="1" applyAlignment="1" pivotButton="0" quotePrefix="0" xfId="0">
      <alignment horizontal="right" vertical="bottom"/>
    </xf>
    <xf numFmtId="0" fontId="11" fillId="0" borderId="0" applyAlignment="1" pivotButton="0" quotePrefix="0" xfId="0">
      <alignment horizontal="general" vertical="bottom"/>
    </xf>
    <xf numFmtId="0" fontId="11" fillId="0" borderId="0" applyAlignment="1" pivotButton="0" quotePrefix="0" xfId="0">
      <alignment horizontal="general" vertical="top" wrapText="1"/>
    </xf>
    <xf numFmtId="0" fontId="12" fillId="0" borderId="0" applyAlignment="1" pivotButton="0" quotePrefix="0" xfId="0">
      <alignment horizontal="general" vertical="bottom"/>
    </xf>
    <xf numFmtId="0" fontId="4" fillId="3"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22" fillId="6" borderId="9" applyAlignment="1" pivotButton="0" quotePrefix="0" xfId="0">
      <alignment horizontal="center" vertical="top" wrapText="1"/>
    </xf>
    <xf numFmtId="0" fontId="23" fillId="0" borderId="9" applyAlignment="1" pivotButton="0" quotePrefix="0" xfId="0">
      <alignment horizontal="center" vertical="top" wrapText="1"/>
    </xf>
    <xf numFmtId="49" fontId="23" fillId="0" borderId="9" applyAlignment="1" pivotButton="0" quotePrefix="0" xfId="0">
      <alignment horizontal="center" vertical="top" wrapText="1"/>
    </xf>
    <xf numFmtId="168" fontId="23" fillId="0" borderId="9" applyAlignment="1" pivotButton="0" quotePrefix="0" xfId="0">
      <alignment horizontal="center" vertical="top" wrapText="1"/>
    </xf>
    <xf numFmtId="0" fontId="23" fillId="0" borderId="9" applyAlignment="1" pivotButton="0" quotePrefix="0" xfId="0">
      <alignment vertical="top" wrapText="1"/>
    </xf>
    <xf numFmtId="0" fontId="24" fillId="0" borderId="9" applyAlignment="1" pivotButton="0" quotePrefix="0" xfId="0">
      <alignment horizontal="center" vertical="top"/>
    </xf>
    <xf numFmtId="0" fontId="25" fillId="0" borderId="9" applyAlignment="1" pivotButton="0" quotePrefix="0" xfId="0">
      <alignment horizontal="center" vertical="top" wrapText="1"/>
    </xf>
    <xf numFmtId="49" fontId="25" fillId="0" borderId="9" applyAlignment="1" pivotButton="0" quotePrefix="0" xfId="0">
      <alignment horizontal="center" vertical="top" wrapText="1"/>
    </xf>
    <xf numFmtId="168" fontId="25" fillId="0" borderId="9" applyAlignment="1" pivotButton="0" quotePrefix="0" xfId="0">
      <alignment horizontal="center" vertical="top" wrapText="1"/>
    </xf>
    <xf numFmtId="0" fontId="25" fillId="0" borderId="9" applyAlignment="1" pivotButton="0" quotePrefix="0" xfId="0">
      <alignment vertical="top" wrapText="1"/>
    </xf>
    <xf numFmtId="0" fontId="26" fillId="0" borderId="9" applyAlignment="1" pivotButton="0" quotePrefix="0" xfId="0">
      <alignment horizontal="center" vertical="top"/>
    </xf>
    <xf numFmtId="0" fontId="27" fillId="0" borderId="9" applyAlignment="1" pivotButton="0" quotePrefix="0" xfId="0">
      <alignment vertical="top" wrapText="1"/>
    </xf>
    <xf numFmtId="0" fontId="28" fillId="0" borderId="9" applyAlignment="1" pivotButton="0" quotePrefix="0" xfId="0">
      <alignment horizontal="center" vertical="top"/>
    </xf>
    <xf numFmtId="0" fontId="29" fillId="0" borderId="9" applyAlignment="1" pivotButton="0" quotePrefix="0" xfId="0">
      <alignment horizontal="center" vertical="top" wrapText="1"/>
    </xf>
    <xf numFmtId="168" fontId="29" fillId="0" borderId="9" applyAlignment="1" pivotButton="0" quotePrefix="0" xfId="0">
      <alignment horizontal="center" vertical="top" wrapText="1"/>
    </xf>
    <xf numFmtId="0" fontId="29" fillId="0" borderId="9" applyAlignment="1" pivotButton="0" quotePrefix="0" xfId="0">
      <alignment vertical="top" wrapText="1"/>
    </xf>
    <xf numFmtId="0" fontId="28" fillId="0" borderId="9" applyAlignment="1" pivotButton="0" quotePrefix="0" xfId="0">
      <alignment horizontal="center" vertical="top" wrapText="1"/>
    </xf>
    <xf numFmtId="14" fontId="29" fillId="0" borderId="9" applyAlignment="1" pivotButton="0" quotePrefix="0" xfId="0">
      <alignment horizontal="center" vertical="top" wrapText="1"/>
    </xf>
    <xf numFmtId="0" fontId="22" fillId="6" borderId="9" applyAlignment="1" pivotButton="0" quotePrefix="0" xfId="0">
      <alignment horizontal="center" vertical="center" wrapText="1"/>
    </xf>
    <xf numFmtId="168" fontId="22" fillId="6" borderId="9" applyAlignment="1" pivotButton="0" quotePrefix="0" xfId="0">
      <alignment horizontal="center" vertical="center" wrapText="1"/>
    </xf>
    <xf numFmtId="165" fontId="22" fillId="6" borderId="9" applyAlignment="1" pivotButton="0" quotePrefix="0" xfId="0">
      <alignment horizontal="center" vertical="center" wrapText="1"/>
    </xf>
    <xf numFmtId="0" fontId="22" fillId="6" borderId="10" applyAlignment="1" pivotButton="0" quotePrefix="0" xfId="0">
      <alignment horizontal="center" vertical="center" wrapText="1"/>
    </xf>
    <xf numFmtId="0" fontId="22" fillId="6" borderId="11" applyAlignment="1" pivotButton="0" quotePrefix="0" xfId="0">
      <alignment horizontal="center" vertical="center" wrapText="1"/>
    </xf>
    <xf numFmtId="0" fontId="22" fillId="6" borderId="12"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9" applyAlignment="1" pivotButton="0" quotePrefix="0" xfId="0">
      <alignment horizontal="center" vertical="top" wrapText="1"/>
    </xf>
    <xf numFmtId="0" fontId="31" fillId="0" borderId="9" applyAlignment="1" pivotButton="0" quotePrefix="0" xfId="0">
      <alignment horizontal="center" vertical="top" wrapText="1"/>
    </xf>
    <xf numFmtId="49" fontId="31" fillId="0" borderId="9" applyAlignment="1" pivotButton="0" quotePrefix="0" xfId="0">
      <alignment horizontal="center" vertical="top" wrapText="1"/>
    </xf>
    <xf numFmtId="14" fontId="31" fillId="0" borderId="9" applyAlignment="1" pivotButton="0" quotePrefix="0" xfId="0">
      <alignment horizontal="center" vertical="top" wrapText="1"/>
    </xf>
    <xf numFmtId="14" fontId="30" fillId="0" borderId="9" applyAlignment="1" pivotButton="0" quotePrefix="0" xfId="0">
      <alignment horizontal="center" vertical="top" wrapText="1"/>
    </xf>
    <xf numFmtId="165" fontId="30" fillId="0" borderId="9" applyAlignment="1" pivotButton="0" quotePrefix="0" xfId="0">
      <alignment horizontal="center" vertical="top" wrapText="1"/>
    </xf>
    <xf numFmtId="49" fontId="30" fillId="0" borderId="9" applyAlignment="1" pivotButton="0" quotePrefix="0" xfId="0">
      <alignment horizontal="center" vertical="top" wrapText="1"/>
    </xf>
    <xf numFmtId="0" fontId="30" fillId="0" borderId="0" applyAlignment="1" pivotButton="0" quotePrefix="0" xfId="0">
      <alignment horizontal="center" vertical="top" wrapText="1"/>
    </xf>
    <xf numFmtId="0" fontId="26" fillId="0" borderId="9" applyAlignment="1" pivotButton="0" quotePrefix="0" xfId="0">
      <alignment horizontal="center" vertical="top" wrapText="1"/>
    </xf>
    <xf numFmtId="0" fontId="30" fillId="0" borderId="0" applyAlignment="1" pivotButton="0" quotePrefix="0" xfId="0">
      <alignment vertical="top" wrapText="1"/>
    </xf>
    <xf numFmtId="165" fontId="26" fillId="0" borderId="9" applyAlignment="1" pivotButton="0" quotePrefix="0" xfId="0">
      <alignment horizontal="center" vertical="top" wrapText="1"/>
    </xf>
    <xf numFmtId="10" fontId="30" fillId="0" borderId="9" applyAlignment="1" pivotButton="0" quotePrefix="0" xfId="0">
      <alignment horizontal="center" vertical="top" wrapText="1"/>
    </xf>
    <xf numFmtId="0" fontId="4" fillId="0" borderId="0" applyAlignment="1" pivotButton="0" quotePrefix="0" xfId="0">
      <alignment horizontal="right" vertical="bottom"/>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general" vertical="top" wrapText="1"/>
    </xf>
    <xf numFmtId="0" fontId="17" fillId="0" borderId="0" applyAlignment="1" pivotButton="0" quotePrefix="0" xfId="0">
      <alignment horizontal="general" vertical="top" wrapText="1"/>
    </xf>
    <xf numFmtId="2" fontId="4" fillId="4" borderId="0" applyAlignment="1" pivotButton="0" quotePrefix="0" xfId="0">
      <alignment horizontal="center" vertical="bottom"/>
    </xf>
    <xf numFmtId="164" fontId="4" fillId="4" borderId="0" applyAlignment="1" pivotButton="0" quotePrefix="0" xfId="0">
      <alignment horizontal="center" vertical="bottom"/>
    </xf>
    <xf numFmtId="0" fontId="18" fillId="5" borderId="0" applyAlignment="1" pivotButton="0" quotePrefix="0" xfId="0">
      <alignment horizontal="center" vertical="center" wrapText="1"/>
    </xf>
    <xf numFmtId="0" fontId="19" fillId="0" borderId="0" applyAlignment="1" pivotButton="0" quotePrefix="0" xfId="0">
      <alignment horizontal="center" vertical="bottom"/>
    </xf>
    <xf numFmtId="165" fontId="20" fillId="0" borderId="0" applyAlignment="1" pivotButton="0" quotePrefix="0" xfId="0">
      <alignment horizontal="center" vertical="bottom"/>
    </xf>
    <xf numFmtId="0" fontId="4" fillId="5" borderId="0" applyAlignment="1" pivotButton="0" quotePrefix="0" xfId="0">
      <alignment horizontal="left" vertical="bottom" wrapText="1"/>
    </xf>
    <xf numFmtId="0" fontId="4" fillId="5" borderId="0" applyAlignment="1" pivotButton="0" quotePrefix="0" xfId="0">
      <alignment horizontal="right" vertical="bottom" wrapText="1"/>
    </xf>
    <xf numFmtId="0" fontId="4" fillId="5" borderId="0" applyAlignment="1" pivotButton="0" quotePrefix="0" xfId="0">
      <alignment horizontal="center" vertical="bottom" wrapText="1"/>
    </xf>
    <xf numFmtId="2" fontId="0" fillId="5" borderId="0" applyAlignment="1" pivotButton="0" quotePrefix="0" xfId="0">
      <alignment horizontal="right" vertical="bottom"/>
    </xf>
    <xf numFmtId="164" fontId="0" fillId="5" borderId="0" applyAlignment="1" pivotButton="0" quotePrefix="0" xfId="0">
      <alignment horizontal="right" vertical="bottom"/>
    </xf>
    <xf numFmtId="166" fontId="0" fillId="0" borderId="0" applyAlignment="1" pivotButton="0" quotePrefix="0" xfId="0">
      <alignment horizontal="center" vertical="bottom"/>
    </xf>
    <xf numFmtId="165" fontId="0" fillId="0" borderId="0" applyAlignment="1" pivotButton="0" quotePrefix="0" xfId="0">
      <alignment horizontal="right" vertical="bottom"/>
    </xf>
    <xf numFmtId="0" fontId="30" fillId="0" borderId="0" applyAlignment="1" pivotButton="0" quotePrefix="0" xfId="0">
      <alignment horizontal="left"/>
    </xf>
    <xf numFmtId="0" fontId="30" fillId="0" borderId="0" applyAlignment="1" pivotButton="0" quotePrefix="0" xfId="0">
      <alignment horizontal="center"/>
    </xf>
    <xf numFmtId="0" fontId="30" fillId="0" borderId="0" pivotButton="0" quotePrefix="0" xfId="0"/>
    <xf numFmtId="0" fontId="32" fillId="0" borderId="0" applyAlignment="1" pivotButton="0" quotePrefix="0" xfId="0">
      <alignment horizontal="left"/>
    </xf>
    <xf numFmtId="0" fontId="32" fillId="0" borderId="0" applyAlignment="1" pivotButton="0" quotePrefix="0" xfId="0">
      <alignment horizontal="center"/>
    </xf>
    <xf numFmtId="0" fontId="33" fillId="0" borderId="1" applyAlignment="1" pivotButton="0" quotePrefix="0" xfId="0">
      <alignment vertical="top" wrapText="1"/>
    </xf>
    <xf numFmtId="14" fontId="33" fillId="0" borderId="1" applyAlignment="1" pivotButton="0" quotePrefix="0" xfId="0">
      <alignment vertical="top" wrapText="1"/>
    </xf>
    <xf numFmtId="49" fontId="33" fillId="0" borderId="1" applyAlignment="1" pivotButton="0" quotePrefix="0" xfId="0">
      <alignment vertical="top" wrapText="1"/>
    </xf>
    <xf numFmtId="0" fontId="33" fillId="7" borderId="1" applyAlignment="1" pivotButton="0" quotePrefix="0" xfId="0">
      <alignment vertical="top" wrapText="1"/>
    </xf>
    <xf numFmtId="17" fontId="33" fillId="0" borderId="1" applyAlignment="1" pivotButton="0" quotePrefix="0" xfId="0">
      <alignment vertical="top" wrapText="1"/>
    </xf>
    <xf numFmtId="14" fontId="33" fillId="7" borderId="1" applyAlignment="1" pivotButton="0" quotePrefix="0" xfId="0">
      <alignment vertical="top" wrapText="1"/>
    </xf>
    <xf numFmtId="0" fontId="33" fillId="8" borderId="1" applyAlignment="1" pivotButton="0" quotePrefix="0" xfId="0">
      <alignment vertical="top" wrapText="1"/>
    </xf>
    <xf numFmtId="0" fontId="0" fillId="0" borderId="0" applyAlignment="1" pivotButton="0" quotePrefix="0" xfId="0">
      <alignment horizontal="center"/>
    </xf>
    <xf numFmtId="0" fontId="34" fillId="9" borderId="0" applyAlignment="1" pivotButton="0" quotePrefix="0" xfId="0">
      <alignment vertical="top" wrapText="1"/>
    </xf>
    <xf numFmtId="14" fontId="0" fillId="0" borderId="0" pivotButton="0" quotePrefix="0" xfId="0"/>
    <xf numFmtId="0" fontId="35" fillId="0" borderId="0" pivotButton="0" quotePrefix="0" xfId="0"/>
    <xf numFmtId="0" fontId="36" fillId="10" borderId="13" applyAlignment="1" pivotButton="0" quotePrefix="0" xfId="0">
      <alignment horizontal="center" vertical="center" wrapText="1"/>
    </xf>
    <xf numFmtId="0" fontId="37" fillId="0" borderId="13" applyAlignment="1" pivotButton="0" quotePrefix="0" xfId="0">
      <alignment vertical="top" wrapText="1"/>
    </xf>
    <xf numFmtId="0" fontId="6" fillId="0" borderId="1" applyAlignment="1" pivotButton="0" quotePrefix="0" xfId="0">
      <alignment horizontal="general" vertical="top" wrapText="1"/>
    </xf>
    <xf numFmtId="0" fontId="37"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001F4E78"/>
    <outlinePr summaryBelow="1" summaryRight="1"/>
    <pageSetUpPr fitToPage="0"/>
  </sheetPr>
  <dimension ref="B2:T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41" min="1" max="1"/>
    <col width="14" customWidth="1" style="41" min="2" max="2"/>
    <col width="9" customWidth="1" style="41" min="3" max="19"/>
  </cols>
  <sheetData>
    <row r="2" ht="15" customHeight="1" s="42">
      <c r="D2" s="43" t="inlineStr">
        <is>
          <t>Prospect Name/Number:</t>
        </is>
      </c>
      <c r="N2" s="43" t="inlineStr">
        <is>
          <t>26-005</t>
        </is>
      </c>
    </row>
    <row r="4" ht="15" customHeight="1" s="42">
      <c r="B4" s="43" t="inlineStr">
        <is>
          <t>Section</t>
        </is>
      </c>
      <c r="E4" s="44" t="inlineStr">
        <is>
          <t>27</t>
        </is>
      </c>
      <c r="H4" s="43" t="inlineStr">
        <is>
          <t>Township</t>
        </is>
      </c>
      <c r="L4" s="44" t="inlineStr">
        <is>
          <t>11 North</t>
        </is>
      </c>
      <c r="O4" s="43" t="inlineStr">
        <is>
          <t>Range</t>
        </is>
      </c>
      <c r="R4" s="44" t="inlineStr">
        <is>
          <t>25 West</t>
        </is>
      </c>
    </row>
    <row r="6" ht="15" customHeight="1" s="42">
      <c r="B6" s="43" t="inlineStr">
        <is>
          <t>County</t>
        </is>
      </c>
      <c r="E6" s="43" t="inlineStr">
        <is>
          <t>Beckham</t>
        </is>
      </c>
      <c r="M6" s="43" t="inlineStr">
        <is>
          <t>State</t>
        </is>
      </c>
      <c r="P6" s="43" t="inlineStr">
        <is>
          <t>Oklahoma</t>
        </is>
      </c>
    </row>
    <row r="8" ht="15" customHeight="1" s="42">
      <c r="B8" s="43" t="inlineStr">
        <is>
          <t>Containing 640.00 acres, more or less</t>
        </is>
      </c>
    </row>
    <row r="11" ht="15" customHeight="1" s="42">
      <c r="B11" s="43" t="inlineStr">
        <is>
          <t>Tract 2 - NW/4</t>
        </is>
      </c>
      <c r="L11" s="43" t="inlineStr">
        <is>
          <t>Tract 1 - NE/4</t>
        </is>
      </c>
    </row>
    <row r="17" ht="15" customHeight="1" s="42">
      <c r="B17" s="43" t="inlineStr">
        <is>
          <t>Tract 4 - SW/4 (less 1.00-ac Tract 5)</t>
        </is>
      </c>
      <c r="L17" s="43" t="inlineStr">
        <is>
          <t>Tract 3 - SE/4</t>
        </is>
      </c>
    </row>
    <row r="20" ht="15" customHeight="1" s="42">
      <c r="B20" s="45" t="inlineStr">
        <is>
          <t>Tract 5 - 1.00-acre Buffalo Missionary Baptist Church tract (in SW/4)</t>
        </is>
      </c>
    </row>
    <row r="24" ht="15" customHeight="1" s="42">
      <c r="B24" s="43" t="inlineStr">
        <is>
          <t>ATTACHMENTS:</t>
        </is>
      </c>
      <c r="G24" s="43" t="inlineStr">
        <is>
          <t>OWNERSHIP REPORT DATED:</t>
        </is>
      </c>
      <c r="Q24" s="43" t="inlineStr">
        <is>
          <t>LAST ENTRY:</t>
        </is>
      </c>
    </row>
    <row r="26" ht="15" customHeight="1" s="42">
      <c r="G26" s="43" t="inlineStr">
        <is>
          <t>TITLE OPINION UPDATE DATED:</t>
        </is>
      </c>
      <c r="Q26" s="43" t="inlineStr">
        <is>
          <t>LAST ENTRY:</t>
        </is>
      </c>
    </row>
    <row r="28" ht="15" customHeight="1" s="42">
      <c r="F28" s="44" t="inlineStr">
        <is>
          <t>X</t>
        </is>
      </c>
      <c r="G28" s="43" t="inlineStr">
        <is>
          <t>CURSORY REPORT DATED:</t>
        </is>
      </c>
      <c r="M28" s="43" t="inlineStr">
        <is>
          <t>6/8/2026</t>
        </is>
      </c>
      <c r="Q28" s="43" t="inlineStr">
        <is>
          <t>LAST ENTRY:</t>
        </is>
      </c>
      <c r="T28" s="43" t="inlineStr">
        <is>
          <t>2486/716</t>
        </is>
      </c>
    </row>
    <row r="30" ht="15" customHeight="1" s="42">
      <c r="G30" s="43" t="inlineStr">
        <is>
          <t>COUNTY CERTIFICATION DATE:</t>
        </is>
      </c>
    </row>
    <row r="32" ht="15" customHeight="1" s="42">
      <c r="B32" s="43" t="inlineStr">
        <is>
          <t>REMARKS:</t>
        </is>
      </c>
    </row>
    <row r="33" ht="15" customHeight="1" s="42">
      <c r="B33" s="46" t="inlineStr">
        <is>
          <t>Cursory review only insofar as Diversified's apparent leasehold (working) interest in the Sec-27 pooled unit. Depth-limited; see Title and WI.</t>
        </is>
      </c>
    </row>
    <row r="36" ht="15" customHeight="1" s="42">
      <c r="B36" s="43" t="inlineStr">
        <is>
          <t>EXAMINER:</t>
        </is>
      </c>
      <c r="F36" s="43" t="inlineStr">
        <is>
          <t>RG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002E75B6"/>
    <outlinePr summaryBelow="1" summaryRight="1"/>
    <pageSetUpPr fitToPage="0"/>
  </sheetPr>
  <dimension ref="B2:G9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41" min="1" max="1"/>
    <col width="46" customWidth="1" style="41" min="2" max="2"/>
    <col width="12" customWidth="1" style="41" min="3" max="3"/>
    <col width="11" customWidth="1" style="41" min="4" max="4"/>
    <col width="9" customWidth="1" style="41" min="5" max="5"/>
    <col width="11" customWidth="1" style="41" min="6" max="6"/>
    <col width="64" customWidth="1" style="41" min="7" max="7"/>
  </cols>
  <sheetData>
    <row r="2" ht="15" customHeight="1" s="42">
      <c r="B2" s="47" t="inlineStr">
        <is>
          <t>CURSORY REVIEW ONLY INSOFAR AS DIVERSIFIED'S APPARENT LEASEHOLD INTEREST</t>
        </is>
      </c>
    </row>
    <row r="3" ht="15" customHeight="1" s="42">
      <c r="B3" s="48" t="inlineStr">
        <is>
          <t>Section 27, Township 11 North, Range 25 West, I.M., Beckham County, Oklahoma  -  640-ac pooled unit (OCC Order 429172 / CD 980004527)</t>
        </is>
      </c>
    </row>
    <row r="5" ht="15" customHeight="1" s="42">
      <c r="B5" s="43" t="inlineStr">
        <is>
          <t>TRACT 1:</t>
        </is>
      </c>
      <c r="C5" s="43" t="inlineStr">
        <is>
          <t>NE/4 Section 27-11N-25W</t>
        </is>
      </c>
    </row>
    <row r="6" ht="15" customHeight="1" s="42">
      <c r="B6" s="49" t="inlineStr">
        <is>
          <t>Containing:</t>
        </is>
      </c>
      <c r="C6" s="49" t="inlineStr">
        <is>
          <t>160.00 acres, more or less</t>
        </is>
      </c>
    </row>
    <row r="8" ht="23.85" customHeight="1" s="42">
      <c r="B8" s="50" t="inlineStr">
        <is>
          <t>Lessor / Mineral Owner</t>
        </is>
      </c>
      <c r="C8" s="50" t="inlineStr">
        <is>
          <t>Net Acres</t>
        </is>
      </c>
      <c r="D8" s="50" t="inlineStr">
        <is>
          <t>OGL / Book-Page</t>
        </is>
      </c>
      <c r="E8" s="50" t="inlineStr">
        <is>
          <t>Royalty</t>
        </is>
      </c>
      <c r="F8" s="50" t="inlineStr">
        <is>
          <t>Expiration</t>
        </is>
      </c>
      <c r="G8" s="50" t="inlineStr">
        <is>
          <t>Comments (Lessee / depth / status)</t>
        </is>
      </c>
    </row>
    <row r="9" ht="43.25" customHeight="1" s="42">
      <c r="B9" s="51" t="inlineStr">
        <is>
          <t>Chloe E. Davis Revocable Living Trust</t>
        </is>
      </c>
      <c r="C9" s="52" t="inlineStr">
        <is>
          <t>Unknown</t>
        </is>
      </c>
      <c r="D9" s="53" t="inlineStr">
        <is>
          <t>1717/509</t>
        </is>
      </c>
      <c r="E9" s="53" t="inlineStr">
        <is>
          <t>Verified - Beckham County index + OCR extract</t>
        </is>
      </c>
      <c r="F9" s="53" t="inlineStr">
        <is>
          <t>HBP</t>
        </is>
      </c>
      <c r="G9"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10" ht="43.25" customHeight="1" s="42">
      <c r="B10" s="51" t="inlineStr">
        <is>
          <t>Donald E. Gordon</t>
        </is>
      </c>
      <c r="C10" s="52" t="inlineStr">
        <is>
          <t>Unknown</t>
        </is>
      </c>
      <c r="D10" s="53" t="inlineStr">
        <is>
          <t>1717/497</t>
        </is>
      </c>
      <c r="E10" s="53" t="inlineStr">
        <is>
          <t>Verified - Beckham County index + OCR extract</t>
        </is>
      </c>
      <c r="F10" s="53" t="inlineStr">
        <is>
          <t>HBP</t>
        </is>
      </c>
      <c r="G10"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11" ht="32.8" customHeight="1" s="42">
      <c r="B11" s="51" t="inlineStr">
        <is>
          <t>Chloe E. Davis Revocable Living Trust</t>
        </is>
      </c>
      <c r="C11" s="52" t="inlineStr">
        <is>
          <t>Unknown</t>
        </is>
      </c>
      <c r="D11" s="53" t="inlineStr">
        <is>
          <t>1672/130</t>
        </is>
      </c>
      <c r="E11" s="53" t="inlineStr">
        <is>
          <t>Verified - Beckham County index + OCR extract</t>
        </is>
      </c>
      <c r="F11" s="53" t="inlineStr">
        <is>
          <t>HBP</t>
        </is>
      </c>
      <c r="G11" s="51" t="inlineStr">
        <is>
          <t>Lessee: Sanguine, Ltd.. Term: 160. Depth: Lease covers only rights beneath 100 feet below the total depth drilled (17,860 feet) in the Sanguine, Ltd. Mandrell #2-27 well located in the W/2 SE/4 of Section 27-11N-25W.</t>
        </is>
      </c>
    </row>
    <row r="12" ht="15" customHeight="1" s="42">
      <c r="B12" s="51" t="inlineStr">
        <is>
          <t>Donald E. Gordon</t>
        </is>
      </c>
      <c r="C12" s="52" t="inlineStr">
        <is>
          <t>Unknown</t>
        </is>
      </c>
      <c r="D12" s="53" t="inlineStr">
        <is>
          <t>1580/111</t>
        </is>
      </c>
      <c r="E12" s="53" t="inlineStr">
        <is>
          <t>PDF image reviewed / related form pattern checked - key terms normalized</t>
        </is>
      </c>
      <c r="F12" s="53" t="inlineStr">
        <is>
          <t>HBP</t>
        </is>
      </c>
      <c r="G12" s="51" t="inlineStr">
        <is>
          <t>Lessee: French Energy, Inc.. Term: 160. Depth: none stated on reviewed page.</t>
        </is>
      </c>
    </row>
    <row r="13" ht="22.35" customHeight="1" s="42">
      <c r="B13" s="51" t="inlineStr">
        <is>
          <t>Chloe E. Davis Revocable Living Trust</t>
        </is>
      </c>
      <c r="C13" s="52" t="inlineStr">
        <is>
          <t>Unknown</t>
        </is>
      </c>
      <c r="D13" s="53" t="inlineStr">
        <is>
          <t>1574/272</t>
        </is>
      </c>
      <c r="E13" s="53" t="inlineStr">
        <is>
          <t>PDF image reviewed / related form pattern checked - key terms normalized</t>
        </is>
      </c>
      <c r="F13" s="53" t="inlineStr">
        <is>
          <t>HBP</t>
        </is>
      </c>
      <c r="G13" s="51" t="inlineStr">
        <is>
          <t>Lessee: Arrowhead Resources, Inc.. Term: 160. Depth: none stated on reviewed page.</t>
        </is>
      </c>
    </row>
    <row r="14" ht="22.35" customHeight="1" s="42">
      <c r="B14" s="51" t="inlineStr">
        <is>
          <t>Chloe E. Davis Revocable Living Trust</t>
        </is>
      </c>
      <c r="C14" s="52" t="inlineStr">
        <is>
          <t>Unknown</t>
        </is>
      </c>
      <c r="D14" s="53" t="inlineStr">
        <is>
          <t>1432/24</t>
        </is>
      </c>
      <c r="E14" s="53" t="inlineStr">
        <is>
          <t>PDF image reviewed / related top-lease form checked - key terms normalized</t>
        </is>
      </c>
      <c r="F14" s="53" t="inlineStr">
        <is>
          <t>HBP</t>
        </is>
      </c>
      <c r="G14" s="51" t="inlineStr">
        <is>
          <t>Lessee: French Energy, Inc.. Term: 160. Depth: Top/reversionary form, depth clause not fully abstracted from reviewed page.</t>
        </is>
      </c>
    </row>
    <row r="15" ht="22.35" customHeight="1" s="42">
      <c r="B15" s="51" t="inlineStr">
        <is>
          <t>Donald E. Gordon</t>
        </is>
      </c>
      <c r="C15" s="52" t="inlineStr">
        <is>
          <t>Unknown</t>
        </is>
      </c>
      <c r="D15" s="53" t="inlineStr">
        <is>
          <t>1432/20</t>
        </is>
      </c>
      <c r="E15" s="53" t="inlineStr">
        <is>
          <t>PDF image reviewed / related top-lease form checked - key terms normalized</t>
        </is>
      </c>
      <c r="F15" s="53" t="inlineStr">
        <is>
          <t>HBP</t>
        </is>
      </c>
      <c r="G15" s="51" t="inlineStr">
        <is>
          <t>Lessee: French Energy, Inc.. Term: 160. Depth: Top/reversionary form, depth clause not fully abstracted from reviewed page.</t>
        </is>
      </c>
    </row>
    <row r="16" ht="15" customHeight="1" s="42">
      <c r="B16" s="54" t="inlineStr">
        <is>
          <t>TOTAL</t>
        </is>
      </c>
      <c r="C16" s="55" t="inlineStr">
        <is>
          <t>160.00 gross</t>
        </is>
      </c>
      <c r="G16" s="56" t="inlineStr">
        <is>
          <t>Per-lessor net mineral acres NOT derivable from index (cursory) - run-of-title / division orders required.</t>
        </is>
      </c>
    </row>
    <row r="18" ht="15" customHeight="1" s="42">
      <c r="B18" s="43" t="inlineStr">
        <is>
          <t>TRACT 2:</t>
        </is>
      </c>
      <c r="C18" s="43" t="inlineStr">
        <is>
          <t>NW/4 Section 27-11N-25W</t>
        </is>
      </c>
    </row>
    <row r="19" ht="15" customHeight="1" s="42">
      <c r="B19" s="49" t="inlineStr">
        <is>
          <t>Containing:</t>
        </is>
      </c>
      <c r="C19" s="49" t="inlineStr">
        <is>
          <t>160.00 acres, more or less</t>
        </is>
      </c>
    </row>
    <row r="21" ht="23.85" customHeight="1" s="42">
      <c r="B21" s="50" t="inlineStr">
        <is>
          <t>Lessor / Mineral Owner</t>
        </is>
      </c>
      <c r="C21" s="50" t="inlineStr">
        <is>
          <t>Net Acres</t>
        </is>
      </c>
      <c r="D21" s="50" t="inlineStr">
        <is>
          <t>OGL / Book-Page</t>
        </is>
      </c>
      <c r="E21" s="50" t="inlineStr">
        <is>
          <t>Royalty</t>
        </is>
      </c>
      <c r="F21" s="50" t="inlineStr">
        <is>
          <t>Expiration</t>
        </is>
      </c>
      <c r="G21" s="50" t="inlineStr">
        <is>
          <t>Comments (Lessee / depth / status)</t>
        </is>
      </c>
    </row>
    <row r="22" ht="43.25" customHeight="1" s="42">
      <c r="B22" s="51" t="inlineStr">
        <is>
          <t>Michael Ray Sites</t>
        </is>
      </c>
      <c r="C22" s="52" t="inlineStr">
        <is>
          <t>Unknown</t>
        </is>
      </c>
      <c r="D22" s="53" t="inlineStr">
        <is>
          <t>1717/501</t>
        </is>
      </c>
      <c r="E22" s="53" t="inlineStr">
        <is>
          <t>Verified - Beckham County index + OCR extract</t>
        </is>
      </c>
      <c r="F22" s="53" t="inlineStr">
        <is>
          <t>HBP</t>
        </is>
      </c>
      <c r="G22"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23" ht="43.25" customHeight="1" s="42">
      <c r="B23" s="51" t="inlineStr">
        <is>
          <t>Gary Kent Benton</t>
        </is>
      </c>
      <c r="C23" s="52" t="inlineStr">
        <is>
          <t>Unknown</t>
        </is>
      </c>
      <c r="D23" s="53" t="inlineStr">
        <is>
          <t>1717/485</t>
        </is>
      </c>
      <c r="E23" s="53" t="inlineStr">
        <is>
          <t>Verified - Beckham County index + OCR extract</t>
        </is>
      </c>
      <c r="F23" s="53" t="inlineStr">
        <is>
          <t>HBP</t>
        </is>
      </c>
      <c r="G23"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24" ht="43.25" customHeight="1" s="42">
      <c r="B24" s="51" t="inlineStr">
        <is>
          <t>Steven Ernest Benton</t>
        </is>
      </c>
      <c r="C24" s="52" t="inlineStr">
        <is>
          <t>Unknown</t>
        </is>
      </c>
      <c r="D24" s="53" t="inlineStr">
        <is>
          <t>1717/481</t>
        </is>
      </c>
      <c r="E24" s="53" t="inlineStr">
        <is>
          <t>Verified - Beckham County index + OCR extract</t>
        </is>
      </c>
      <c r="F24" s="53" t="inlineStr">
        <is>
          <t>HBP</t>
        </is>
      </c>
      <c r="G24"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25" ht="43.25" customHeight="1" s="42">
      <c r="B25" s="51" t="inlineStr">
        <is>
          <t>Betty Sites</t>
        </is>
      </c>
      <c r="C25" s="52" t="inlineStr">
        <is>
          <t>Unknown</t>
        </is>
      </c>
      <c r="D25" s="53" t="inlineStr">
        <is>
          <t>1717/477</t>
        </is>
      </c>
      <c r="E25" s="53" t="inlineStr">
        <is>
          <t>Verified - Beckham County index + OCR extract</t>
        </is>
      </c>
      <c r="F25" s="53" t="inlineStr">
        <is>
          <t>HBP</t>
        </is>
      </c>
      <c r="G25"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26" ht="43.25" customHeight="1" s="42">
      <c r="B26" s="51" t="inlineStr">
        <is>
          <t>Marshall E. Benton,
Nell G. Benton</t>
        </is>
      </c>
      <c r="C26" s="52" t="inlineStr">
        <is>
          <t>Unknown</t>
        </is>
      </c>
      <c r="D26" s="53" t="inlineStr">
        <is>
          <t>1717/473</t>
        </is>
      </c>
      <c r="E26" s="53" t="inlineStr">
        <is>
          <t>Verified - Beckham County index + OCR extract</t>
        </is>
      </c>
      <c r="F26" s="53" t="inlineStr">
        <is>
          <t>HBP</t>
        </is>
      </c>
      <c r="G26"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27" ht="43.25" customHeight="1" s="42">
      <c r="B27" s="51" t="inlineStr">
        <is>
          <t>Melody Denise Harbor</t>
        </is>
      </c>
      <c r="C27" s="52" t="inlineStr">
        <is>
          <t>Unknown</t>
        </is>
      </c>
      <c r="D27" s="53" t="inlineStr">
        <is>
          <t>1717/469</t>
        </is>
      </c>
      <c r="E27" s="53" t="inlineStr">
        <is>
          <t>Verified - Beckham County index + OCR extract</t>
        </is>
      </c>
      <c r="F27" s="53" t="inlineStr">
        <is>
          <t>HBP</t>
        </is>
      </c>
      <c r="G27"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28" ht="43.25" customHeight="1" s="42">
      <c r="B28" s="51" t="inlineStr">
        <is>
          <t>Robert A. Edwards</t>
        </is>
      </c>
      <c r="C28" s="52" t="inlineStr">
        <is>
          <t>Unknown</t>
        </is>
      </c>
      <c r="D28" s="53" t="inlineStr">
        <is>
          <t>1717/464</t>
        </is>
      </c>
      <c r="E28" s="53" t="inlineStr">
        <is>
          <t>Verified - Beckham County index + OCR extract</t>
        </is>
      </c>
      <c r="F28" s="53" t="inlineStr">
        <is>
          <t>HBP</t>
        </is>
      </c>
      <c r="G28"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29" ht="43.25" customHeight="1" s="42">
      <c r="B29" s="51" t="inlineStr">
        <is>
          <t>Larry D. Edwards Living Trust</t>
        </is>
      </c>
      <c r="C29" s="52" t="inlineStr">
        <is>
          <t>Unknown</t>
        </is>
      </c>
      <c r="D29" s="53" t="inlineStr">
        <is>
          <t>1717/460</t>
        </is>
      </c>
      <c r="E29" s="53" t="inlineStr">
        <is>
          <t>Verified - Beckham County index + OCR extract</t>
        </is>
      </c>
      <c r="F29" s="53" t="inlineStr">
        <is>
          <t>HBP</t>
        </is>
      </c>
      <c r="G29"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30" ht="43.25" customHeight="1" s="42">
      <c r="B30" s="51" t="inlineStr">
        <is>
          <t>Radonna Kay Christopher</t>
        </is>
      </c>
      <c r="C30" s="52" t="inlineStr">
        <is>
          <t>Unknown</t>
        </is>
      </c>
      <c r="D30" s="53" t="inlineStr">
        <is>
          <t>1717/456</t>
        </is>
      </c>
      <c r="E30" s="53" t="inlineStr">
        <is>
          <t>Verified - Beckham County index + OCR extract</t>
        </is>
      </c>
      <c r="F30" s="53" t="inlineStr">
        <is>
          <t>HBP</t>
        </is>
      </c>
      <c r="G30"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31" ht="22.35" customHeight="1" s="42">
      <c r="B31" s="51" t="inlineStr">
        <is>
          <t>Clyde &amp; Sharon Pine 1990 Irrevocable Trust</t>
        </is>
      </c>
      <c r="C31" s="52" t="inlineStr">
        <is>
          <t>Unknown</t>
        </is>
      </c>
      <c r="D31" s="53" t="inlineStr">
        <is>
          <t>1608/63</t>
        </is>
      </c>
      <c r="E31" s="53" t="inlineStr">
        <is>
          <t>Verified - Beckham County index + OCR extract</t>
        </is>
      </c>
      <c r="F31" s="53" t="inlineStr">
        <is>
          <t>HBP</t>
        </is>
      </c>
      <c r="G31" s="51" t="inlineStr">
        <is>
          <t>Lessee: Clyde &amp; Sharon Pine 1990 Irrevocable Trust. Term: 160. Depth: none stated on reviewed page.</t>
        </is>
      </c>
    </row>
    <row r="32" ht="15" customHeight="1" s="42">
      <c r="B32" s="51" t="inlineStr">
        <is>
          <t>Colt Development, LLC</t>
        </is>
      </c>
      <c r="C32" s="52" t="inlineStr">
        <is>
          <t>Unknown</t>
        </is>
      </c>
      <c r="D32" s="53" t="inlineStr">
        <is>
          <t>1605/598</t>
        </is>
      </c>
      <c r="E32" s="53" t="inlineStr">
        <is>
          <t>Verified - Beckham County index + OCR extract</t>
        </is>
      </c>
      <c r="F32" s="53" t="inlineStr">
        <is>
          <t>HBP</t>
        </is>
      </c>
      <c r="G32" s="51" t="inlineStr">
        <is>
          <t>Lessee: Colt Development, LLC. Term: 160. Depth: none stated on reviewed page.</t>
        </is>
      </c>
    </row>
    <row r="33" ht="22.35" customHeight="1" s="42">
      <c r="B33" s="51" t="inlineStr">
        <is>
          <t>Angela K. Allen</t>
        </is>
      </c>
      <c r="C33" s="52" t="inlineStr">
        <is>
          <t>Unknown</t>
        </is>
      </c>
      <c r="D33" s="53" t="inlineStr">
        <is>
          <t>1592/350</t>
        </is>
      </c>
      <c r="E33" s="53" t="inlineStr">
        <is>
          <t>Verified - Beckham County index + OCR extract</t>
        </is>
      </c>
      <c r="F33" s="53" t="inlineStr">
        <is>
          <t>HBP</t>
        </is>
      </c>
      <c r="G33" s="51" t="inlineStr">
        <is>
          <t>Lessee: Sanguine, Ltd.. Term: 160. Depth: Limited to rights from the surface to the base of the Morrow Formation only.</t>
        </is>
      </c>
    </row>
    <row r="34" ht="15" customHeight="1" s="42">
      <c r="B34" s="51" t="inlineStr">
        <is>
          <t>Betty Sites</t>
        </is>
      </c>
      <c r="C34" s="52" t="inlineStr">
        <is>
          <t>Unknown</t>
        </is>
      </c>
      <c r="D34" s="53" t="inlineStr">
        <is>
          <t>1580/115</t>
        </is>
      </c>
      <c r="E34" s="53" t="inlineStr">
        <is>
          <t>PDF image reviewed / related form pattern checked - key terms normalized</t>
        </is>
      </c>
      <c r="F34" s="53" t="inlineStr">
        <is>
          <t>HBP</t>
        </is>
      </c>
      <c r="G34" s="51" t="inlineStr">
        <is>
          <t>Lessee: French Energy, Inc.. Term: 160. Depth: none stated on reviewed page.</t>
        </is>
      </c>
    </row>
    <row r="35" ht="15" customHeight="1" s="42">
      <c r="B35" s="51" t="inlineStr">
        <is>
          <t>Michael Ray Sites</t>
        </is>
      </c>
      <c r="C35" s="52" t="inlineStr">
        <is>
          <t>Unknown</t>
        </is>
      </c>
      <c r="D35" s="53" t="inlineStr">
        <is>
          <t>1580/107</t>
        </is>
      </c>
      <c r="E35" s="53" t="inlineStr">
        <is>
          <t>PDF image reviewed / related form pattern checked - key terms normalized</t>
        </is>
      </c>
      <c r="F35" s="53" t="inlineStr">
        <is>
          <t>HBP</t>
        </is>
      </c>
      <c r="G35" s="51" t="inlineStr">
        <is>
          <t>Lessee: French Energy, Inc.. Term: 160. Depth: none stated on reviewed page.</t>
        </is>
      </c>
    </row>
    <row r="36" ht="15" customHeight="1" s="42">
      <c r="B36" s="51" t="inlineStr">
        <is>
          <t>Marshall E. Benton</t>
        </is>
      </c>
      <c r="C36" s="52" t="inlineStr">
        <is>
          <t>Unknown</t>
        </is>
      </c>
      <c r="D36" s="53" t="inlineStr">
        <is>
          <t>1580/103</t>
        </is>
      </c>
      <c r="E36" s="53" t="inlineStr">
        <is>
          <t>PDF image reviewed / related form pattern checked - key terms normalized</t>
        </is>
      </c>
      <c r="F36" s="53" t="inlineStr">
        <is>
          <t>HBP</t>
        </is>
      </c>
      <c r="G36" s="51" t="inlineStr">
        <is>
          <t>Lessee: French Energy, Inc.. Term: 160. Depth: none stated on reviewed page.</t>
        </is>
      </c>
    </row>
    <row r="37" ht="15" customHeight="1" s="42">
      <c r="B37" s="51" t="inlineStr">
        <is>
          <t>Gary Kent Benton</t>
        </is>
      </c>
      <c r="C37" s="52" t="inlineStr">
        <is>
          <t>Unknown</t>
        </is>
      </c>
      <c r="D37" s="53" t="inlineStr">
        <is>
          <t>1580/99</t>
        </is>
      </c>
      <c r="E37" s="53" t="inlineStr">
        <is>
          <t>PDF image reviewed / related form pattern checked - key terms normalized</t>
        </is>
      </c>
      <c r="F37" s="53" t="inlineStr">
        <is>
          <t>HBP</t>
        </is>
      </c>
      <c r="G37" s="51" t="inlineStr">
        <is>
          <t>Lessee: French Energy, Inc.. Term: 160. Depth: none stated on reviewed page.</t>
        </is>
      </c>
    </row>
    <row r="38" ht="15" customHeight="1" s="42">
      <c r="B38" s="51" t="inlineStr">
        <is>
          <t>Radonna Kay Christopher</t>
        </is>
      </c>
      <c r="C38" s="52" t="inlineStr">
        <is>
          <t>Unknown</t>
        </is>
      </c>
      <c r="D38" s="53" t="inlineStr">
        <is>
          <t>1580/95</t>
        </is>
      </c>
      <c r="E38" s="53" t="inlineStr">
        <is>
          <t>PDF image reviewed / related form pattern checked - key terms normalized</t>
        </is>
      </c>
      <c r="F38" s="53" t="inlineStr">
        <is>
          <t>HBP</t>
        </is>
      </c>
      <c r="G38" s="51" t="inlineStr">
        <is>
          <t>Lessee: French Energy, Inc.. Term: 160. Depth: none stated on reviewed page.</t>
        </is>
      </c>
    </row>
    <row r="39" ht="15" customHeight="1" s="42">
      <c r="B39" s="51" t="inlineStr">
        <is>
          <t>Steven Ernest Benton</t>
        </is>
      </c>
      <c r="C39" s="52" t="inlineStr">
        <is>
          <t>Unknown</t>
        </is>
      </c>
      <c r="D39" s="53" t="inlineStr">
        <is>
          <t>1580/91</t>
        </is>
      </c>
      <c r="E39" s="53" t="inlineStr">
        <is>
          <t>PDF image reviewed / related form pattern checked - key terms normalized</t>
        </is>
      </c>
      <c r="F39" s="53" t="inlineStr">
        <is>
          <t>HBP</t>
        </is>
      </c>
      <c r="G39" s="51" t="inlineStr">
        <is>
          <t>Lessee: French Energy, Inc.. Term: 160. Depth: none stated on reviewed page.</t>
        </is>
      </c>
    </row>
    <row r="40" ht="15" customHeight="1" s="42">
      <c r="B40" s="51" t="inlineStr">
        <is>
          <t>Melody Denise Harbor</t>
        </is>
      </c>
      <c r="C40" s="52" t="inlineStr">
        <is>
          <t>Unknown</t>
        </is>
      </c>
      <c r="D40" s="53" t="inlineStr">
        <is>
          <t>1580/87</t>
        </is>
      </c>
      <c r="E40" s="53" t="inlineStr">
        <is>
          <t>PDF image reviewed / related form pattern checked - key terms normalized</t>
        </is>
      </c>
      <c r="F40" s="53" t="inlineStr">
        <is>
          <t>HBP</t>
        </is>
      </c>
      <c r="G40" s="51" t="inlineStr">
        <is>
          <t>Lessee: French Energy, Inc.. Term: 160. Depth: none stated on reviewed page.</t>
        </is>
      </c>
    </row>
    <row r="41" ht="15" customHeight="1" s="42">
      <c r="B41" s="51" t="inlineStr">
        <is>
          <t>Robert A. Edwards</t>
        </is>
      </c>
      <c r="C41" s="52" t="inlineStr">
        <is>
          <t>Unknown</t>
        </is>
      </c>
      <c r="D41" s="53" t="inlineStr">
        <is>
          <t>1580/83</t>
        </is>
      </c>
      <c r="E41" s="53" t="inlineStr">
        <is>
          <t>PDF image reviewed / related form pattern checked - key terms normalized</t>
        </is>
      </c>
      <c r="F41" s="53" t="inlineStr">
        <is>
          <t>HBP</t>
        </is>
      </c>
      <c r="G41" s="51" t="inlineStr">
        <is>
          <t>Lessee: French Energy, Inc.. Term: 160. Depth: none stated on reviewed page.</t>
        </is>
      </c>
    </row>
    <row r="42" ht="15" customHeight="1" s="42">
      <c r="B42" s="51" t="inlineStr">
        <is>
          <t>Larry D. Edwards</t>
        </is>
      </c>
      <c r="C42" s="52" t="inlineStr">
        <is>
          <t>Unknown</t>
        </is>
      </c>
      <c r="D42" s="53" t="inlineStr">
        <is>
          <t>1580/79</t>
        </is>
      </c>
      <c r="E42" s="53" t="inlineStr">
        <is>
          <t>PDF image reviewed / related form pattern checked - key terms normalized</t>
        </is>
      </c>
      <c r="F42" s="53" t="inlineStr">
        <is>
          <t>HBP</t>
        </is>
      </c>
      <c r="G42" s="51" t="inlineStr">
        <is>
          <t>Lessee: French Energy, Inc.. Term: 160. Depth: none stated on reviewed page.</t>
        </is>
      </c>
    </row>
    <row r="43" ht="22.35" customHeight="1" s="42">
      <c r="B43" s="51" t="inlineStr">
        <is>
          <t>Larry D. Edwards</t>
        </is>
      </c>
      <c r="C43" s="52" t="inlineStr">
        <is>
          <t>Unknown</t>
        </is>
      </c>
      <c r="D43" s="53" t="inlineStr">
        <is>
          <t>1435/159</t>
        </is>
      </c>
      <c r="E43" s="53" t="inlineStr">
        <is>
          <t>PDF image reviewed / related top-lease form checked - key terms normalized</t>
        </is>
      </c>
      <c r="F43" s="53" t="inlineStr">
        <is>
          <t>HBP</t>
        </is>
      </c>
      <c r="G43" s="51" t="inlineStr">
        <is>
          <t>Lessee: French Energy, Inc.. Term: 160. Depth: Top/reversionary form, depth clause not fully abstracted from reviewed page.</t>
        </is>
      </c>
    </row>
    <row r="44" ht="22.35" customHeight="1" s="42">
      <c r="B44" s="51" t="inlineStr">
        <is>
          <t>Steven Ernest Benton</t>
        </is>
      </c>
      <c r="C44" s="52" t="inlineStr">
        <is>
          <t>Unknown</t>
        </is>
      </c>
      <c r="D44" s="53" t="inlineStr">
        <is>
          <t>1432/68</t>
        </is>
      </c>
      <c r="E44" s="53" t="inlineStr">
        <is>
          <t>PDF image reviewed / related top-lease form checked - key terms normalized</t>
        </is>
      </c>
      <c r="F44" s="53" t="inlineStr">
        <is>
          <t>HBP</t>
        </is>
      </c>
      <c r="G44" s="51" t="inlineStr">
        <is>
          <t>Lessee: French Energy, Inc.. Term: 160. Depth: Top/reversionary form, depth clause not fully abstracted from reviewed page.</t>
        </is>
      </c>
    </row>
    <row r="45" ht="22.35" customHeight="1" s="42">
      <c r="B45" s="51" t="inlineStr">
        <is>
          <t>Robert A. Edwards</t>
        </is>
      </c>
      <c r="C45" s="52" t="inlineStr">
        <is>
          <t>Unknown</t>
        </is>
      </c>
      <c r="D45" s="53" t="inlineStr">
        <is>
          <t>1432/64</t>
        </is>
      </c>
      <c r="E45" s="53" t="inlineStr">
        <is>
          <t>PDF image reviewed / related top-lease form checked - key terms normalized</t>
        </is>
      </c>
      <c r="F45" s="53" t="inlineStr">
        <is>
          <t>HBP</t>
        </is>
      </c>
      <c r="G45" s="51" t="inlineStr">
        <is>
          <t>Lessee: French Energy, Inc.. Term: 160. Depth: Top/reversionary form, depth clause not fully abstracted from reviewed page.</t>
        </is>
      </c>
    </row>
    <row r="46" ht="22.35" customHeight="1" s="42">
      <c r="B46" s="51" t="inlineStr">
        <is>
          <t>Melody Denise Harbour</t>
        </is>
      </c>
      <c r="C46" s="52" t="inlineStr">
        <is>
          <t>Unknown</t>
        </is>
      </c>
      <c r="D46" s="53" t="inlineStr">
        <is>
          <t>1432/60</t>
        </is>
      </c>
      <c r="E46" s="53" t="inlineStr">
        <is>
          <t>PDF image reviewed / related top-lease form checked - key terms normalized</t>
        </is>
      </c>
      <c r="F46" s="53" t="inlineStr">
        <is>
          <t>HBP</t>
        </is>
      </c>
      <c r="G46" s="51" t="inlineStr">
        <is>
          <t>Lessee: French Energy, Inc.. Term: 160. Depth: Top/reversionary form, depth clause not fully abstracted from reviewed page.</t>
        </is>
      </c>
    </row>
    <row r="47" ht="22.35" customHeight="1" s="42">
      <c r="B47" s="51" t="inlineStr">
        <is>
          <t>Michael Ray Sites</t>
        </is>
      </c>
      <c r="C47" s="52" t="inlineStr">
        <is>
          <t>Unknown</t>
        </is>
      </c>
      <c r="D47" s="53" t="inlineStr">
        <is>
          <t>1432/56</t>
        </is>
      </c>
      <c r="E47" s="53" t="inlineStr">
        <is>
          <t>PDF image reviewed / related top-lease form checked - key terms normalized</t>
        </is>
      </c>
      <c r="F47" s="53" t="inlineStr">
        <is>
          <t>HBP</t>
        </is>
      </c>
      <c r="G47" s="51" t="inlineStr">
        <is>
          <t>Lessee: French Energy, Inc.. Term: 160. Depth: Top/reversionary form, depth clause not fully abstracted from reviewed page.</t>
        </is>
      </c>
    </row>
    <row r="48" ht="22.35" customHeight="1" s="42">
      <c r="B48" s="51" t="inlineStr">
        <is>
          <t>Radonna Kay Christopher</t>
        </is>
      </c>
      <c r="C48" s="52" t="inlineStr">
        <is>
          <t>Unknown</t>
        </is>
      </c>
      <c r="D48" s="53" t="inlineStr">
        <is>
          <t>1432/52</t>
        </is>
      </c>
      <c r="E48" s="53" t="inlineStr">
        <is>
          <t>PDF image reviewed / related top-lease form checked - key terms normalized</t>
        </is>
      </c>
      <c r="F48" s="53" t="inlineStr">
        <is>
          <t>HBP</t>
        </is>
      </c>
      <c r="G48" s="51" t="inlineStr">
        <is>
          <t>Lessee: French Energy, Inc.. Term: 160. Depth: Top/reversionary form, depth clause not fully abstracted from reviewed page.</t>
        </is>
      </c>
    </row>
    <row r="49" ht="22.35" customHeight="1" s="42">
      <c r="B49" s="51" t="inlineStr">
        <is>
          <t>Betty Sites</t>
        </is>
      </c>
      <c r="C49" s="52" t="inlineStr">
        <is>
          <t>Unknown</t>
        </is>
      </c>
      <c r="D49" s="53" t="inlineStr">
        <is>
          <t>1432/48</t>
        </is>
      </c>
      <c r="E49" s="53" t="inlineStr">
        <is>
          <t>PDF image reviewed / related top-lease form checked - key terms normalized</t>
        </is>
      </c>
      <c r="F49" s="53" t="inlineStr">
        <is>
          <t>HBP</t>
        </is>
      </c>
      <c r="G49" s="51" t="inlineStr">
        <is>
          <t>Lessee: French Energy, Inc.. Term: 160. Depth: Top/reversionary form, depth clause not fully abstracted from reviewed page.</t>
        </is>
      </c>
    </row>
    <row r="50" ht="22.35" customHeight="1" s="42">
      <c r="B50" s="51" t="inlineStr">
        <is>
          <t>Gary Kent Benton</t>
        </is>
      </c>
      <c r="C50" s="52" t="inlineStr">
        <is>
          <t>Unknown</t>
        </is>
      </c>
      <c r="D50" s="53" t="inlineStr">
        <is>
          <t>1432/44</t>
        </is>
      </c>
      <c r="E50" s="53" t="inlineStr">
        <is>
          <t>PDF image reviewed / related top-lease form checked - key terms normalized</t>
        </is>
      </c>
      <c r="F50" s="53" t="inlineStr">
        <is>
          <t>HBP</t>
        </is>
      </c>
      <c r="G50" s="51" t="inlineStr">
        <is>
          <t>Lessee: French Energy, Inc.. Term: 160. Depth: Top/reversionary form, depth clause not fully abstracted from reviewed page.</t>
        </is>
      </c>
    </row>
    <row r="51" ht="22.35" customHeight="1" s="42">
      <c r="B51" s="51" t="inlineStr">
        <is>
          <t>Marshall E. Benton,
Nell G. Benton</t>
        </is>
      </c>
      <c r="C51" s="52" t="inlineStr">
        <is>
          <t>Unknown</t>
        </is>
      </c>
      <c r="D51" s="53" t="inlineStr">
        <is>
          <t>1432/40</t>
        </is>
      </c>
      <c r="E51" s="53" t="inlineStr">
        <is>
          <t>PDF image reviewed / related top-lease form checked - key terms normalized</t>
        </is>
      </c>
      <c r="F51" s="53" t="inlineStr">
        <is>
          <t>HBP</t>
        </is>
      </c>
      <c r="G51" s="51" t="inlineStr">
        <is>
          <t>Lessee: French Energy, Inc.. Term: 160. Depth: Top/reversionary form, depth clause not fully abstracted from reviewed page.</t>
        </is>
      </c>
    </row>
    <row r="52" ht="15" customHeight="1" s="42">
      <c r="B52" s="54" t="inlineStr">
        <is>
          <t>TOTAL</t>
        </is>
      </c>
      <c r="C52" s="55" t="inlineStr">
        <is>
          <t>160.00 gross</t>
        </is>
      </c>
      <c r="G52" s="56" t="inlineStr">
        <is>
          <t>Per-lessor net mineral acres NOT derivable from index (cursory) - run-of-title / division orders required.</t>
        </is>
      </c>
    </row>
    <row r="54" ht="15" customHeight="1" s="42">
      <c r="B54" s="43" t="inlineStr">
        <is>
          <t>TRACT 3:</t>
        </is>
      </c>
      <c r="C54" s="43" t="inlineStr">
        <is>
          <t>SE/4 Section 27-11N-25W</t>
        </is>
      </c>
    </row>
    <row r="55" ht="15" customHeight="1" s="42">
      <c r="B55" s="49" t="inlineStr">
        <is>
          <t>Containing:</t>
        </is>
      </c>
      <c r="C55" s="49" t="inlineStr">
        <is>
          <t>160.00 acres, more or less</t>
        </is>
      </c>
    </row>
    <row r="57" ht="23.85" customHeight="1" s="42">
      <c r="B57" s="50" t="inlineStr">
        <is>
          <t>Lessor / Mineral Owner</t>
        </is>
      </c>
      <c r="C57" s="50" t="inlineStr">
        <is>
          <t>Net Acres</t>
        </is>
      </c>
      <c r="D57" s="50" t="inlineStr">
        <is>
          <t>OGL / Book-Page</t>
        </is>
      </c>
      <c r="E57" s="50" t="inlineStr">
        <is>
          <t>Royalty</t>
        </is>
      </c>
      <c r="F57" s="50" t="inlineStr">
        <is>
          <t>Expiration</t>
        </is>
      </c>
      <c r="G57" s="50" t="inlineStr">
        <is>
          <t>Comments (Lessee / depth / status)</t>
        </is>
      </c>
    </row>
    <row r="58" ht="43.25" customHeight="1" s="42">
      <c r="B58" s="51" t="inlineStr">
        <is>
          <t>Fuchs Properties, LLC</t>
        </is>
      </c>
      <c r="C58" s="52" t="inlineStr">
        <is>
          <t>Unknown</t>
        </is>
      </c>
      <c r="D58" s="53" t="inlineStr">
        <is>
          <t>1717/505</t>
        </is>
      </c>
      <c r="E58" s="53" t="inlineStr">
        <is>
          <t>Verified - Beckham County index + OCR extract</t>
        </is>
      </c>
      <c r="F58" s="53" t="inlineStr">
        <is>
          <t>HBP</t>
        </is>
      </c>
      <c r="G58"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59" ht="43.25" customHeight="1" s="42">
      <c r="B59" s="51" t="inlineStr">
        <is>
          <t>Calvin W. Fuchs Trust</t>
        </is>
      </c>
      <c r="C59" s="52" t="inlineStr">
        <is>
          <t>Unknown</t>
        </is>
      </c>
      <c r="D59" s="53" t="inlineStr">
        <is>
          <t>1717/493</t>
        </is>
      </c>
      <c r="E59" s="53" t="inlineStr">
        <is>
          <t>Verified - Beckham County index + OCR extract</t>
        </is>
      </c>
      <c r="F59" s="53" t="inlineStr">
        <is>
          <t>HBP</t>
        </is>
      </c>
      <c r="G59"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60" ht="43.25" customHeight="1" s="42">
      <c r="B60" s="51" t="inlineStr">
        <is>
          <t>Fuchs Family Revocable Trust</t>
        </is>
      </c>
      <c r="C60" s="52" t="inlineStr">
        <is>
          <t>Unknown</t>
        </is>
      </c>
      <c r="D60" s="53" t="inlineStr">
        <is>
          <t>1717/489</t>
        </is>
      </c>
      <c r="E60" s="53" t="inlineStr">
        <is>
          <t>Verified - Beckham County index + OCR extract</t>
        </is>
      </c>
      <c r="F60" s="53" t="inlineStr">
        <is>
          <t>HBP</t>
        </is>
      </c>
      <c r="G60" s="51" t="inlineStr">
        <is>
          <t>Lessee: Sanguine, Ltd.. Term: 160. Depth: Lease covers only rights below the stratigraphic equivalent of 17,960 feet, being total depth drilled plus 100 feet in the Sanguine, Ltd. Mandrell #2-27 well located in the W/2 SE/4 of Section 27-11N-25W, Beckham County, Oklahoma.</t>
        </is>
      </c>
    </row>
    <row r="61" ht="22.35" customHeight="1" s="42">
      <c r="B61" s="51" t="inlineStr">
        <is>
          <t>Laura Owens Bennett Trust</t>
        </is>
      </c>
      <c r="C61" s="52" t="inlineStr">
        <is>
          <t>Unknown</t>
        </is>
      </c>
      <c r="D61" s="53" t="inlineStr">
        <is>
          <t>1687/170</t>
        </is>
      </c>
      <c r="E61" s="53" t="inlineStr">
        <is>
          <t>Verified - Beckham County index + OCR extract</t>
        </is>
      </c>
      <c r="F61" s="53" t="inlineStr">
        <is>
          <t>HBP</t>
        </is>
      </c>
      <c r="G61" s="51" t="inlineStr">
        <is>
          <t>Lessee: Todco Properties, Inc.. Term: 160. Depth: SE/4 limited to all depths below 17,860 feet.</t>
        </is>
      </c>
    </row>
    <row r="62" ht="22.35" customHeight="1" s="42">
      <c r="B62" s="51" t="inlineStr">
        <is>
          <t>Darcy Ann Coale</t>
        </is>
      </c>
      <c r="C62" s="52" t="inlineStr">
        <is>
          <t>Unknown</t>
        </is>
      </c>
      <c r="D62" s="53" t="inlineStr">
        <is>
          <t>1687/165</t>
        </is>
      </c>
      <c r="E62" s="53" t="inlineStr">
        <is>
          <t>Verified - Beckham County index + OCR extract</t>
        </is>
      </c>
      <c r="F62" s="53" t="inlineStr">
        <is>
          <t>HBP</t>
        </is>
      </c>
      <c r="G62" s="51" t="inlineStr">
        <is>
          <t>Lessee: Todco Properties, Inc.. Term: 160. Depth: SE/4 limited to all depths below 17,860 feet.</t>
        </is>
      </c>
    </row>
    <row r="63" ht="22.35" customHeight="1" s="42">
      <c r="B63" s="51" t="inlineStr">
        <is>
          <t>Bennett Family Trust</t>
        </is>
      </c>
      <c r="C63" s="52" t="inlineStr">
        <is>
          <t>Unknown</t>
        </is>
      </c>
      <c r="D63" s="53" t="inlineStr">
        <is>
          <t>1687/160</t>
        </is>
      </c>
      <c r="E63" s="53" t="inlineStr">
        <is>
          <t>Verified - Beckham County index + OCR extract</t>
        </is>
      </c>
      <c r="F63" s="53" t="inlineStr">
        <is>
          <t>HBP</t>
        </is>
      </c>
      <c r="G63" s="51" t="inlineStr">
        <is>
          <t>Lessee: Todco Properties, Inc.. Term: 160. Depth: SE/4 limited to all depths below 17,860 feet.</t>
        </is>
      </c>
    </row>
    <row r="64" ht="32.8" customHeight="1" s="42">
      <c r="B64" s="51" t="inlineStr">
        <is>
          <t>Alfred R. Fuchs,
F. Jeanice Fuchs Aka Jeanice Fuchs</t>
        </is>
      </c>
      <c r="C64" s="52" t="inlineStr">
        <is>
          <t>Unknown</t>
        </is>
      </c>
      <c r="D64" s="53" t="inlineStr">
        <is>
          <t>1672/141</t>
        </is>
      </c>
      <c r="E64" s="53" t="inlineStr">
        <is>
          <t>Verified - Beckham County index + OCR extract</t>
        </is>
      </c>
      <c r="F64" s="53" t="inlineStr">
        <is>
          <t>HBP</t>
        </is>
      </c>
      <c r="G64" s="51" t="inlineStr">
        <is>
          <t>Lessee: Sanguine, Ltd.. Term: 160. Depth: Lease covers only rights beneath 100 feet below the total depth drilled (17,860 feet) in the Sanguine, Ltd. Mandrell #2-27 well located in the W/2 SE/4 of Section 27-11N-25W.</t>
        </is>
      </c>
    </row>
    <row r="65" ht="32.8" customHeight="1" s="42">
      <c r="B65" s="51" t="inlineStr">
        <is>
          <t>Howard G. Fuchs Trust</t>
        </is>
      </c>
      <c r="C65" s="52" t="inlineStr">
        <is>
          <t>Unknown</t>
        </is>
      </c>
      <c r="D65" s="53" t="inlineStr">
        <is>
          <t>1672/137</t>
        </is>
      </c>
      <c r="E65" s="53" t="inlineStr">
        <is>
          <t>Verified - Beckham County index + OCR extract</t>
        </is>
      </c>
      <c r="F65" s="53" t="inlineStr">
        <is>
          <t>HBP</t>
        </is>
      </c>
      <c r="G65" s="51" t="inlineStr">
        <is>
          <t>Lessee: Sanguine, Ltd.. Term: 160. Depth: Lease covers only rights beneath 100 feet below the total depth drilled (17,860 feet) in the Sanguine, Ltd. Mandrell #2-27 well located in the W/2 SE/4 of Section 27-11N-25W.</t>
        </is>
      </c>
    </row>
    <row r="66" ht="32.8" customHeight="1" s="42">
      <c r="B66" s="51" t="inlineStr">
        <is>
          <t>Calvin W. Fuchs Revocable Trust</t>
        </is>
      </c>
      <c r="C66" s="52" t="inlineStr">
        <is>
          <t>Unknown</t>
        </is>
      </c>
      <c r="D66" s="53" t="inlineStr">
        <is>
          <t>1672/134</t>
        </is>
      </c>
      <c r="E66" s="53" t="inlineStr">
        <is>
          <t>Verified - Beckham County index + OCR extract</t>
        </is>
      </c>
      <c r="F66" s="53" t="inlineStr">
        <is>
          <t>HBP</t>
        </is>
      </c>
      <c r="G66" s="51" t="inlineStr">
        <is>
          <t>Lessee: Sanguine, Ltd.. Term: 160. Depth: Lease covers only rights beneath 100 feet below the total depth drilled (17,860 feet) in the Sanguine, Ltd. Mandrell #2-27 well located in the W/2 SE/4 of Section 27-11N-25W.</t>
        </is>
      </c>
    </row>
    <row r="67" ht="15" customHeight="1" s="42">
      <c r="B67" s="51" t="inlineStr">
        <is>
          <t>Laura Owens Bennett Trust</t>
        </is>
      </c>
      <c r="C67" s="52" t="inlineStr">
        <is>
          <t>Unknown</t>
        </is>
      </c>
      <c r="D67" s="53" t="inlineStr">
        <is>
          <t>1592/52</t>
        </is>
      </c>
      <c r="E67" s="53" t="inlineStr">
        <is>
          <t>PDF image reviewed - key lease terms verified</t>
        </is>
      </c>
      <c r="F67" s="53" t="inlineStr">
        <is>
          <t>HBP</t>
        </is>
      </c>
      <c r="G67" s="51" t="inlineStr">
        <is>
          <t>Lessee: Todco Properties, Inc.. Term: 160. Depth: none stated on reviewed page.</t>
        </is>
      </c>
    </row>
    <row r="68" ht="15" customHeight="1" s="42">
      <c r="B68" s="51" t="inlineStr">
        <is>
          <t>Bennett Family Trust</t>
        </is>
      </c>
      <c r="C68" s="52" t="inlineStr">
        <is>
          <t>Unknown</t>
        </is>
      </c>
      <c r="D68" s="53" t="inlineStr">
        <is>
          <t>1592/47</t>
        </is>
      </c>
      <c r="E68" s="53" t="inlineStr">
        <is>
          <t>PDF image reviewed - key lease terms verified</t>
        </is>
      </c>
      <c r="F68" s="53" t="inlineStr">
        <is>
          <t>HBP</t>
        </is>
      </c>
      <c r="G68" s="51" t="inlineStr">
        <is>
          <t>Lessee: Todco Properties, Inc.. Term: 160. Depth: none stated on reviewed page.</t>
        </is>
      </c>
    </row>
    <row r="69" ht="15" customHeight="1" s="42">
      <c r="B69" s="51" t="inlineStr">
        <is>
          <t>Darcy Ann Coale</t>
        </is>
      </c>
      <c r="C69" s="52" t="inlineStr">
        <is>
          <t>Unknown</t>
        </is>
      </c>
      <c r="D69" s="53" t="inlineStr">
        <is>
          <t>1592/42</t>
        </is>
      </c>
      <c r="E69" s="53" t="inlineStr">
        <is>
          <t>PDF image reviewed - key lease terms verified</t>
        </is>
      </c>
      <c r="F69" s="53" t="inlineStr">
        <is>
          <t>HBP</t>
        </is>
      </c>
      <c r="G69" s="51" t="inlineStr">
        <is>
          <t>Lessee: Todco Properties, Inc.. Term: 160. Depth: none stated on reviewed page.</t>
        </is>
      </c>
    </row>
    <row r="70" ht="15" customHeight="1" s="42">
      <c r="B70" s="51" t="inlineStr">
        <is>
          <t>Boyd Mead</t>
        </is>
      </c>
      <c r="C70" s="52" t="inlineStr">
        <is>
          <t>Unknown</t>
        </is>
      </c>
      <c r="D70" s="53" t="inlineStr">
        <is>
          <t>1587/129</t>
        </is>
      </c>
      <c r="E70" s="53" t="inlineStr">
        <is>
          <t>PDF image reviewed - key lease terms verified</t>
        </is>
      </c>
      <c r="F70" s="53" t="inlineStr">
        <is>
          <t>HBP</t>
        </is>
      </c>
      <c r="G70" s="51" t="inlineStr">
        <is>
          <t>Lessee: Sanguine, Ltd.. Term: 160. Depth: none stated on reviewed page.</t>
        </is>
      </c>
    </row>
    <row r="71" ht="22.35" customHeight="1" s="42">
      <c r="B71" s="51" t="inlineStr">
        <is>
          <t>Alfred R. Fuchs,
F. Jeanice Fuchs Aka Jeanice Fuchs</t>
        </is>
      </c>
      <c r="C71" s="52" t="inlineStr">
        <is>
          <t>Unknown</t>
        </is>
      </c>
      <c r="D71" s="53" t="inlineStr">
        <is>
          <t>1574/284</t>
        </is>
      </c>
      <c r="E71" s="53" t="inlineStr">
        <is>
          <t>PDF image reviewed / related form pattern checked - key terms normalized</t>
        </is>
      </c>
      <c r="F71" s="53" t="inlineStr">
        <is>
          <t>HBP</t>
        </is>
      </c>
      <c r="G71" s="51" t="inlineStr">
        <is>
          <t>Lessee: Arrowhead Resources, Inc.. Term: 160. Depth: none stated on reviewed page.</t>
        </is>
      </c>
    </row>
    <row r="72" ht="22.35" customHeight="1" s="42">
      <c r="B72" s="51" t="inlineStr">
        <is>
          <t>Calvin W. Fuchs Revocable Trust</t>
        </is>
      </c>
      <c r="C72" s="52" t="inlineStr">
        <is>
          <t>Unknown</t>
        </is>
      </c>
      <c r="D72" s="53" t="inlineStr">
        <is>
          <t>1574/280</t>
        </is>
      </c>
      <c r="E72" s="53" t="inlineStr">
        <is>
          <t>PDF image reviewed / related form pattern checked - key terms normalized</t>
        </is>
      </c>
      <c r="F72" s="53" t="inlineStr">
        <is>
          <t>HBP</t>
        </is>
      </c>
      <c r="G72" s="51" t="inlineStr">
        <is>
          <t>Lessee: Arrowhead Resources, Inc.. Term: 160. Depth: none stated on reviewed page.</t>
        </is>
      </c>
    </row>
    <row r="73" ht="22.35" customHeight="1" s="42">
      <c r="B73" s="51" t="inlineStr">
        <is>
          <t>Howard G. Fuchs Trust</t>
        </is>
      </c>
      <c r="C73" s="52" t="inlineStr">
        <is>
          <t>Unknown</t>
        </is>
      </c>
      <c r="D73" s="53" t="inlineStr">
        <is>
          <t>1574/276</t>
        </is>
      </c>
      <c r="E73" s="53" t="inlineStr">
        <is>
          <t>PDF image reviewed / related form pattern checked - key terms normalized</t>
        </is>
      </c>
      <c r="F73" s="53" t="inlineStr">
        <is>
          <t>HBP</t>
        </is>
      </c>
      <c r="G73" s="51" t="inlineStr">
        <is>
          <t>Lessee: Arrowhead Resources, Inc.. Term: 160. Depth: none stated on reviewed page.</t>
        </is>
      </c>
    </row>
    <row r="74" ht="22.35" customHeight="1" s="42">
      <c r="B74" s="51" t="inlineStr">
        <is>
          <t>Calvin W. Fuchs Revocable Trust</t>
        </is>
      </c>
      <c r="C74" s="52" t="inlineStr">
        <is>
          <t>Unknown</t>
        </is>
      </c>
      <c r="D74" s="53" t="inlineStr">
        <is>
          <t>1433/213</t>
        </is>
      </c>
      <c r="E74" s="53" t="inlineStr">
        <is>
          <t>PDF image reviewed / related top-lease form checked - key terms normalized</t>
        </is>
      </c>
      <c r="F74" s="53" t="inlineStr">
        <is>
          <t>HBP</t>
        </is>
      </c>
      <c r="G74" s="51" t="inlineStr">
        <is>
          <t>Lessee: French Energy, Inc.. Term: 160. Depth: Top/reversionary form, depth clause not fully abstracted from reviewed page.</t>
        </is>
      </c>
    </row>
    <row r="75" ht="22.35" customHeight="1" s="42">
      <c r="B75" s="51" t="inlineStr">
        <is>
          <t>Boyd M. Mead</t>
        </is>
      </c>
      <c r="C75" s="52" t="inlineStr">
        <is>
          <t>Unknown</t>
        </is>
      </c>
      <c r="D75" s="53" t="inlineStr">
        <is>
          <t>1432/36</t>
        </is>
      </c>
      <c r="E75" s="53" t="inlineStr">
        <is>
          <t>PDF image reviewed / related top-lease form checked - key terms normalized</t>
        </is>
      </c>
      <c r="F75" s="53" t="inlineStr">
        <is>
          <t>HBP</t>
        </is>
      </c>
      <c r="G75" s="51" t="inlineStr">
        <is>
          <t>Lessee: French Energy, Inc.. Term: 160. Depth: Top/reversionary form, depth clause not fully abstracted from reviewed page.</t>
        </is>
      </c>
    </row>
    <row r="76" ht="22.35" customHeight="1" s="42">
      <c r="B76" s="51" t="inlineStr">
        <is>
          <t>Alfred R. Fuchs,
F. Jeanice Fuchs Aka Jeanice Fuchs</t>
        </is>
      </c>
      <c r="C76" s="52" t="inlineStr">
        <is>
          <t>Unknown</t>
        </is>
      </c>
      <c r="D76" s="53" t="inlineStr">
        <is>
          <t>1432/32</t>
        </is>
      </c>
      <c r="E76" s="53" t="inlineStr">
        <is>
          <t>PDF image reviewed / related top-lease form checked - key terms normalized</t>
        </is>
      </c>
      <c r="F76" s="53" t="inlineStr">
        <is>
          <t>HBP</t>
        </is>
      </c>
      <c r="G76" s="51" t="inlineStr">
        <is>
          <t>Lessee: French Energy, Inc.. Term: 160. Depth: Top/reversionary form, depth clause not fully abstracted from reviewed page.</t>
        </is>
      </c>
    </row>
    <row r="77" ht="22.35" customHeight="1" s="42">
      <c r="B77" s="51" t="inlineStr">
        <is>
          <t>Howard G. Fuchs Trust</t>
        </is>
      </c>
      <c r="C77" s="52" t="inlineStr">
        <is>
          <t>Unknown</t>
        </is>
      </c>
      <c r="D77" s="53" t="inlineStr">
        <is>
          <t>1432/28</t>
        </is>
      </c>
      <c r="E77" s="53" t="inlineStr">
        <is>
          <t>PDF image reviewed / related top-lease form checked - key terms normalized</t>
        </is>
      </c>
      <c r="F77" s="53" t="inlineStr">
        <is>
          <t>HBP</t>
        </is>
      </c>
      <c r="G77" s="51" t="inlineStr">
        <is>
          <t>Lessee: French Energy, Inc.. Term: 160. Depth: Top/reversionary form, depth clause not fully abstracted from reviewed page.</t>
        </is>
      </c>
    </row>
    <row r="78" ht="22.35" customHeight="1" s="42">
      <c r="B78" s="51" t="inlineStr">
        <is>
          <t>Laura O. Bennett Trust</t>
        </is>
      </c>
      <c r="C78" s="52" t="inlineStr">
        <is>
          <t>Unknown</t>
        </is>
      </c>
      <c r="D78" s="53" t="inlineStr">
        <is>
          <t>1419/244</t>
        </is>
      </c>
      <c r="E78" s="53" t="inlineStr">
        <is>
          <t>PDF image reviewed - key lease terms verified</t>
        </is>
      </c>
      <c r="F78" s="53" t="inlineStr">
        <is>
          <t>HBP</t>
        </is>
      </c>
      <c r="G78" s="51" t="inlineStr">
        <is>
          <t>Lessee: Arrowhead Resources, Inc.. Term: 160. Depth: none stated on reviewed page.</t>
        </is>
      </c>
    </row>
    <row r="79" ht="22.35" customHeight="1" s="42">
      <c r="B79" s="51" t="inlineStr">
        <is>
          <t>Darcy Coale</t>
        </is>
      </c>
      <c r="C79" s="52" t="inlineStr">
        <is>
          <t>Unknown</t>
        </is>
      </c>
      <c r="D79" s="53" t="inlineStr">
        <is>
          <t>1419/241</t>
        </is>
      </c>
      <c r="E79" s="53" t="inlineStr">
        <is>
          <t>PDF image reviewed - key lease terms verified</t>
        </is>
      </c>
      <c r="F79" s="53" t="inlineStr">
        <is>
          <t>HBP</t>
        </is>
      </c>
      <c r="G79" s="51" t="inlineStr">
        <is>
          <t>Lessee: Arrowhead Resources, Inc.. Term: 160. Depth: none stated on reviewed page.</t>
        </is>
      </c>
    </row>
    <row r="80" ht="22.35" customHeight="1" s="42">
      <c r="B80" s="51" t="inlineStr">
        <is>
          <t>Bennett Family Trust</t>
        </is>
      </c>
      <c r="C80" s="52" t="inlineStr">
        <is>
          <t>Unknown</t>
        </is>
      </c>
      <c r="D80" s="53" t="inlineStr">
        <is>
          <t>1419/238</t>
        </is>
      </c>
      <c r="E80" s="53" t="inlineStr">
        <is>
          <t>PDF image reviewed - key lease terms verified</t>
        </is>
      </c>
      <c r="F80" s="53" t="inlineStr">
        <is>
          <t>HBP</t>
        </is>
      </c>
      <c r="G80" s="51" t="inlineStr">
        <is>
          <t>Lessee: Arrowhead Resources, Inc.. Term: 160. Depth: none stated on reviewed page.</t>
        </is>
      </c>
    </row>
    <row r="81" ht="15" customHeight="1" s="42">
      <c r="B81" s="54" t="inlineStr">
        <is>
          <t>TOTAL</t>
        </is>
      </c>
      <c r="C81" s="55" t="inlineStr">
        <is>
          <t>160.00 gross</t>
        </is>
      </c>
      <c r="G81" s="56" t="inlineStr">
        <is>
          <t>Per-lessor net mineral acres NOT derivable from index (cursory) - run-of-title / division orders required.</t>
        </is>
      </c>
    </row>
    <row r="83" ht="15" customHeight="1" s="42">
      <c r="B83" s="43" t="inlineStr">
        <is>
          <t>TRACT 4:</t>
        </is>
      </c>
      <c r="C83" s="43" t="inlineStr">
        <is>
          <t>SW/4 Section 27-11N-25W, less 1.00-acre Buffalo Church tract</t>
        </is>
      </c>
    </row>
    <row r="84" ht="15" customHeight="1" s="42">
      <c r="B84" s="49" t="inlineStr">
        <is>
          <t>Containing:</t>
        </is>
      </c>
      <c r="C84" s="49" t="inlineStr">
        <is>
          <t>159.00 acres, more or less</t>
        </is>
      </c>
    </row>
    <row r="86" ht="23.85" customHeight="1" s="42">
      <c r="B86" s="50" t="inlineStr">
        <is>
          <t>Lessor / Mineral Owner</t>
        </is>
      </c>
      <c r="C86" s="50" t="inlineStr">
        <is>
          <t>Net Acres</t>
        </is>
      </c>
      <c r="D86" s="50" t="inlineStr">
        <is>
          <t>OGL / Book-Page</t>
        </is>
      </c>
      <c r="E86" s="50" t="inlineStr">
        <is>
          <t>Royalty</t>
        </is>
      </c>
      <c r="F86" s="50" t="inlineStr">
        <is>
          <t>Expiration</t>
        </is>
      </c>
      <c r="G86" s="50" t="inlineStr">
        <is>
          <t>Comments (Lessee / depth / status)</t>
        </is>
      </c>
    </row>
    <row r="87" ht="22.35" customHeight="1" s="42">
      <c r="B87" s="51" t="inlineStr">
        <is>
          <t>Mandrell Farms, Inc.</t>
        </is>
      </c>
      <c r="C87" s="52" t="inlineStr">
        <is>
          <t>Unknown</t>
        </is>
      </c>
      <c r="D87" s="53" t="inlineStr">
        <is>
          <t>1592/347</t>
        </is>
      </c>
      <c r="E87" s="53" t="inlineStr">
        <is>
          <t>Verified - Beckham County index + OCR extract</t>
        </is>
      </c>
      <c r="F87" s="53" t="inlineStr">
        <is>
          <t>HBP</t>
        </is>
      </c>
      <c r="G87" s="51" t="inlineStr">
        <is>
          <t>Lessee: Sanguine, Ltd.. Term: 159. Depth: No special depth limitation located on reviewed first page</t>
        </is>
      </c>
    </row>
    <row r="88" ht="22.35" customHeight="1" s="42">
      <c r="B88" s="51" t="inlineStr">
        <is>
          <t>Mandrell Farms, Inc.</t>
        </is>
      </c>
      <c r="C88" s="52" t="inlineStr">
        <is>
          <t>Unknown</t>
        </is>
      </c>
      <c r="D88" s="53" t="inlineStr">
        <is>
          <t>1387/232</t>
        </is>
      </c>
      <c r="E88" s="53" t="inlineStr">
        <is>
          <t>PDF image reviewed - key lease terms verified</t>
        </is>
      </c>
      <c r="F88" s="53" t="inlineStr">
        <is>
          <t>HBP</t>
        </is>
      </c>
      <c r="G88" s="51" t="inlineStr">
        <is>
          <t>Lessee: T. S. Dudley Land Company, Inc.. Term: 159. Depth: none stated on reviewed page.</t>
        </is>
      </c>
    </row>
    <row r="89" ht="15" customHeight="1" s="42">
      <c r="B89" s="54" t="inlineStr">
        <is>
          <t>TOTAL</t>
        </is>
      </c>
      <c r="C89" s="55" t="inlineStr">
        <is>
          <t>159.00 gross</t>
        </is>
      </c>
      <c r="G89" s="56" t="inlineStr">
        <is>
          <t>Per-lessor net mineral acres NOT derivable from index (cursory) - run-of-title / division orders required.</t>
        </is>
      </c>
    </row>
    <row r="91" ht="15" customHeight="1" s="42">
      <c r="B91" s="43" t="inlineStr">
        <is>
          <t>TRACT 5:</t>
        </is>
      </c>
      <c r="C91" s="43" t="inlineStr">
        <is>
          <t>1.00-acre tract in SW/4 Section 27-11N-25W (Buffalo Missionary Baptist Church)</t>
        </is>
      </c>
    </row>
    <row r="92" ht="15" customHeight="1" s="42">
      <c r="B92" s="49" t="inlineStr">
        <is>
          <t>Containing:</t>
        </is>
      </c>
      <c r="C92" s="49" t="inlineStr">
        <is>
          <t>1.00 acres, more or less</t>
        </is>
      </c>
    </row>
    <row r="94" ht="23.85" customHeight="1" s="42">
      <c r="B94" s="50" t="inlineStr">
        <is>
          <t>Lessor / Mineral Owner</t>
        </is>
      </c>
      <c r="C94" s="50" t="inlineStr">
        <is>
          <t>Net Acres</t>
        </is>
      </c>
      <c r="D94" s="50" t="inlineStr">
        <is>
          <t>OGL / Book-Page</t>
        </is>
      </c>
      <c r="E94" s="50" t="inlineStr">
        <is>
          <t>Royalty</t>
        </is>
      </c>
      <c r="F94" s="50" t="inlineStr">
        <is>
          <t>Expiration</t>
        </is>
      </c>
      <c r="G94" s="50" t="inlineStr">
        <is>
          <t>Comments (Lessee / depth / status)</t>
        </is>
      </c>
    </row>
    <row r="95" ht="15" customHeight="1" s="42">
      <c r="B95" s="51" t="inlineStr">
        <is>
          <t>Buffalo Missionary Baptist Church</t>
        </is>
      </c>
      <c r="C95" s="52" t="inlineStr">
        <is>
          <t>Unknown</t>
        </is>
      </c>
      <c r="D95" s="53" t="inlineStr">
        <is>
          <t>1588/245</t>
        </is>
      </c>
      <c r="E95" s="53" t="inlineStr">
        <is>
          <t>PDF image reviewed - key lease terms verified</t>
        </is>
      </c>
      <c r="F95" s="53" t="inlineStr">
        <is>
          <t>HBP</t>
        </is>
      </c>
      <c r="G95" s="51" t="inlineStr">
        <is>
          <t>Lessee: Todco Properties, Inc.. Term: 1. Depth: none stated on reviewed page.</t>
        </is>
      </c>
    </row>
    <row r="96" ht="15" customHeight="1" s="42">
      <c r="B96" s="54" t="inlineStr">
        <is>
          <t>TOTAL</t>
        </is>
      </c>
      <c r="C96" s="55" t="inlineStr">
        <is>
          <t>1.00 gross</t>
        </is>
      </c>
      <c r="G96" s="56" t="inlineStr">
        <is>
          <t>Per-lessor net mineral acres NOT derivable from index (cursory) - run-of-title / division orders required.</t>
        </is>
      </c>
    </row>
    <row r="98" ht="46.25" customHeight="1" s="42">
      <c r="B98" s="57" t="inlineStr">
        <is>
          <t>NOTE: This is a cursory leasehold reconstruction limited to Diversified's apparent interest - not a division-order, drilling, or acquisition-close title opinion. Net mineral acres per lessor are shown 'Unknown' because lessor mineral fractions are not derivable from the county index alone.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002E75B6"/>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41" min="1" max="8"/>
  </cols>
  <sheetData>
    <row r="1" ht="15" customHeight="1" s="42">
      <c r="A1" s="58" t="inlineStr">
        <is>
          <t>Section 27-11N-25W  -  Beckham County, Oklahoma  (640 acres)</t>
        </is>
      </c>
    </row>
    <row r="3" ht="15" customHeight="1" s="42">
      <c r="B3" s="59" t="inlineStr">
        <is>
          <t>Tract 2  -  NW/4  (160 ac)</t>
        </is>
      </c>
      <c r="C3" s="60" t="n"/>
      <c r="D3" s="61" t="n"/>
      <c r="E3" s="59" t="inlineStr">
        <is>
          <t>Tract 1  -  NE/4  (160 ac)</t>
        </is>
      </c>
      <c r="F3" s="60" t="n"/>
      <c r="G3" s="61" t="n"/>
    </row>
    <row r="4" ht="15" customHeight="1" s="42">
      <c r="B4" s="62" t="n"/>
      <c r="D4" s="63" t="n"/>
      <c r="E4" s="62" t="n"/>
      <c r="G4" s="63" t="n"/>
    </row>
    <row r="5" ht="15" customHeight="1" s="42">
      <c r="B5" s="62" t="n"/>
      <c r="D5" s="63" t="n"/>
      <c r="E5" s="62" t="n"/>
      <c r="G5" s="63" t="n"/>
    </row>
    <row r="6" ht="15" customHeight="1" s="42">
      <c r="B6" s="64" t="n"/>
      <c r="C6" s="65" t="n"/>
      <c r="D6" s="66" t="n"/>
      <c r="E6" s="64" t="n"/>
      <c r="F6" s="65" t="n"/>
      <c r="G6" s="66" t="n"/>
    </row>
    <row r="7" ht="15" customHeight="1" s="42">
      <c r="B7" s="59" t="inlineStr">
        <is>
          <t>Tract 4  -  SW/4 less 1 ac (159 ac)</t>
        </is>
      </c>
      <c r="C7" s="60" t="n"/>
      <c r="D7" s="61" t="n"/>
      <c r="E7" s="59" t="inlineStr">
        <is>
          <t>Tract 3  -  SE/4  (160 ac)</t>
        </is>
      </c>
      <c r="F7" s="60" t="n"/>
      <c r="G7" s="61" t="n"/>
    </row>
    <row r="8" ht="15" customHeight="1" s="42">
      <c r="B8" s="62" t="n"/>
      <c r="D8" s="63" t="n"/>
      <c r="E8" s="62" t="n"/>
      <c r="G8" s="63" t="n"/>
    </row>
    <row r="9" ht="15" customHeight="1" s="42">
      <c r="B9" s="62" t="n"/>
      <c r="D9" s="63" t="n"/>
      <c r="E9" s="62" t="n"/>
      <c r="G9" s="63" t="n"/>
    </row>
    <row r="10" ht="15" customHeight="1" s="42">
      <c r="B10" s="64" t="n"/>
      <c r="C10" s="65" t="n"/>
      <c r="D10" s="66" t="n"/>
      <c r="E10" s="64" t="n"/>
      <c r="F10" s="65" t="n"/>
      <c r="G10" s="66" t="n"/>
    </row>
    <row r="12" ht="15" customHeight="1" s="42">
      <c r="B12" s="67" t="inlineStr">
        <is>
          <t>Tract 5  -  1.00-acre Buffalo Missionary Baptist Church tract (carved out of SW/4)</t>
        </is>
      </c>
    </row>
    <row r="14" ht="15" customHeight="1" s="42">
      <c r="B14" s="68" t="inlineStr">
        <is>
          <t>Wells (see Wells sheet): Mandrell #2-27, Betty Sites #1-27, Sites #1H-2215 (active); Mandrell #1-27 (P&amp;A).</t>
        </is>
      </c>
    </row>
  </sheetData>
  <mergeCells count="4">
    <mergeCell ref="B7:D10"/>
    <mergeCell ref="E7:G10"/>
    <mergeCell ref="B3:D6"/>
    <mergeCell ref="E3:G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tabColor rgb="00548235"/>
    <outlinePr summaryBelow="1" summaryRight="1"/>
    <pageSetUpPr/>
  </sheetPr>
  <dimension ref="A1:J128"/>
  <sheetViews>
    <sheetView workbookViewId="0">
      <pane ySplit="112" topLeftCell="A113" activePane="bottomLeft" state="frozen"/>
      <selection pane="bottomLeft" activeCell="A1" sqref="A1"/>
    </sheetView>
  </sheetViews>
  <sheetFormatPr baseColWidth="8" defaultRowHeight="15"/>
  <cols>
    <col width="15" customWidth="1" style="42" min="1" max="1"/>
    <col width="14.5703125" customWidth="1" style="42" min="2" max="2"/>
    <col width="11.7109375" customWidth="1" style="42" min="3" max="3"/>
    <col width="11.140625" customWidth="1" style="42" min="4" max="4"/>
    <col width="12" customWidth="1" style="42" min="5" max="5"/>
    <col width="26.7109375" customWidth="1" style="42" min="6" max="6"/>
    <col width="29" customWidth="1" style="42" min="7" max="7"/>
    <col width="25.5703125" customWidth="1" style="42" min="8" max="8"/>
    <col width="60" customWidth="1" style="42" min="9" max="9"/>
    <col width="17.140625" customWidth="1" style="42" min="10" max="10"/>
  </cols>
  <sheetData>
    <row r="1">
      <c r="A1" s="69" t="inlineStr">
        <is>
          <t>Instrument #</t>
        </is>
      </c>
      <c r="B1" s="69" t="inlineStr">
        <is>
          <t>Doc Type</t>
        </is>
      </c>
      <c r="C1" s="69" t="inlineStr">
        <is>
          <t>Book/Page</t>
        </is>
      </c>
      <c r="D1" s="69" t="inlineStr">
        <is>
          <t>Document Date</t>
        </is>
      </c>
      <c r="E1" s="69" t="inlineStr">
        <is>
          <t>Recorded Date</t>
        </is>
      </c>
      <c r="F1" s="69" t="inlineStr">
        <is>
          <t>Grantor(s)</t>
        </is>
      </c>
      <c r="G1" s="69" t="inlineStr">
        <is>
          <t>Grantee(s)</t>
        </is>
      </c>
      <c r="H1" s="69" t="inlineStr">
        <is>
          <t>Legal Description</t>
        </is>
      </c>
      <c r="I1" s="69" t="inlineStr">
        <is>
          <t>Notes</t>
        </is>
      </c>
      <c r="J1" s="69" t="inlineStr">
        <is>
          <t>Image Link</t>
        </is>
      </c>
    </row>
    <row r="2">
      <c r="A2" s="70" t="inlineStr">
        <is>
          <t>1990-005458</t>
        </is>
      </c>
      <c r="B2" s="70" t="inlineStr">
        <is>
          <t>Sheriff Deed</t>
        </is>
      </c>
      <c r="C2" s="71" t="inlineStr">
        <is>
          <t>1168/324</t>
        </is>
      </c>
      <c r="D2" s="72" t="n">
        <v>33142</v>
      </c>
      <c r="E2" s="72" t="n">
        <v>33147</v>
      </c>
      <c r="F2" s="73" t="inlineStr">
        <is>
          <t>Beckham County Sheriff</t>
        </is>
      </c>
      <c r="G2" s="73" t="inlineStr">
        <is>
          <t>Diversified Financial Group, Inc.</t>
        </is>
      </c>
      <c r="H2" s="73" t="inlineStr">
        <is>
          <t>The Lots 25, 26, 27 and 28 in Block 9, Choctaw Townsite and
Improvement company's Subdivision of Blocks 9 to 14 both inclusive, of the Brooks Addition to the Brooks Addition to the Erick, Oklahoma, according to the recorded plat thereof</t>
        </is>
      </c>
      <c r="I2" s="73" t="inlineStr">
        <is>
          <t>Sheriff's deed - town lots. Surface only, minerals reserved.</t>
        </is>
      </c>
      <c r="J2" s="74" t="inlineStr">
        <is>
          <t>View Image</t>
        </is>
      </c>
    </row>
    <row r="3">
      <c r="A3" s="75" t="inlineStr">
        <is>
          <t>1991-000566</t>
        </is>
      </c>
      <c r="B3" s="75" t="inlineStr">
        <is>
          <t>QCD</t>
        </is>
      </c>
      <c r="C3" s="76" t="inlineStr">
        <is>
          <t>1189/20</t>
        </is>
      </c>
      <c r="D3" s="77" t="n">
        <v>33266</v>
      </c>
      <c r="E3" s="77" t="n">
        <v>33269</v>
      </c>
      <c r="F3" s="78" t="inlineStr">
        <is>
          <t>Diversified Financial Group, Inc.</t>
        </is>
      </c>
      <c r="G3" s="78" t="inlineStr">
        <is>
          <t>Marshall W. Nix,
Bobbi R. Nix</t>
        </is>
      </c>
      <c r="H3" s="78" t="inlineStr">
        <is>
          <t>Brooks Add Erick</t>
        </is>
      </c>
      <c r="I3" s="78" t="inlineStr">
        <is>
          <t>Quit claim deed. Check granting language for any mineral conveyance.</t>
        </is>
      </c>
      <c r="J3" s="79" t="inlineStr">
        <is>
          <t>View Image</t>
        </is>
      </c>
    </row>
    <row r="4">
      <c r="A4" s="75" t="inlineStr">
        <is>
          <t>1995-003582</t>
        </is>
      </c>
      <c r="B4" s="75" t="inlineStr">
        <is>
          <t>Warranty Deed</t>
        </is>
      </c>
      <c r="C4" s="76" t="inlineStr">
        <is>
          <t>1428/128</t>
        </is>
      </c>
      <c r="D4" s="77" t="n">
        <v>34397</v>
      </c>
      <c r="E4" s="77" t="n">
        <v>34899</v>
      </c>
      <c r="F4" s="78" t="inlineStr">
        <is>
          <t>Fred Donnell</t>
        </is>
      </c>
      <c r="G4" s="78" t="inlineStr">
        <is>
          <t>Diversified Financial Group, Inc.</t>
        </is>
      </c>
      <c r="H4" s="78" t="inlineStr">
        <is>
          <t>The West 62 feet of l.ots 11, 12, and 13 and the West 62 feet of the North 174 feet of Lot 14, all in Block 42 of the Original Town of Erick, Beckham County, Oklahoma 27-11N-25W</t>
        </is>
      </c>
      <c r="I4" s="78" t="inlineStr">
        <is>
          <t>Warranty Deed from Fred Donnell to Diversified Financial Group, Inc.</t>
        </is>
      </c>
      <c r="J4" s="79" t="inlineStr">
        <is>
          <t>View Image</t>
        </is>
      </c>
    </row>
    <row r="5">
      <c r="A5" s="75" t="inlineStr">
        <is>
          <t>1995-004023</t>
        </is>
      </c>
      <c r="B5" s="75" t="inlineStr">
        <is>
          <t>Oil and Gas Lease</t>
        </is>
      </c>
      <c r="C5" s="76" t="inlineStr">
        <is>
          <t>1432/20</t>
        </is>
      </c>
      <c r="D5" s="77" t="n">
        <v>34555</v>
      </c>
      <c r="E5" s="77" t="n">
        <v>34925</v>
      </c>
      <c r="F5" s="78" t="inlineStr">
        <is>
          <t>Donald E. Gordon</t>
        </is>
      </c>
      <c r="G5" s="78" t="inlineStr">
        <is>
          <t>French Energy, Inc.</t>
        </is>
      </c>
      <c r="H5" s="78" t="inlineStr">
        <is>
          <t>NE/4 Section 27-11N-25W</t>
        </is>
      </c>
      <c r="I5" s="78" t="inlineStr">
        <is>
          <t xml:space="preserve">Base OGL #59: French Energy, Inc.; NE/4 Section 27-11N-25W; term 3 years from 08/01/1995 (paid-up); royalty 3/16; Top/reversionary lease form.  </t>
        </is>
      </c>
      <c r="J5" s="79" t="inlineStr">
        <is>
          <t>View Image</t>
        </is>
      </c>
    </row>
    <row r="6">
      <c r="A6" s="75" t="inlineStr">
        <is>
          <t>1995-004024</t>
        </is>
      </c>
      <c r="B6" s="75" t="inlineStr">
        <is>
          <t>Oil and Gas Lease</t>
        </is>
      </c>
      <c r="C6" s="76" t="inlineStr">
        <is>
          <t>1432/24</t>
        </is>
      </c>
      <c r="D6" s="77" t="n">
        <v>34554</v>
      </c>
      <c r="E6" s="77" t="n">
        <v>34925</v>
      </c>
      <c r="F6" s="78" t="inlineStr">
        <is>
          <t>Chloe E. Davis Revocable Living Trust</t>
        </is>
      </c>
      <c r="G6" s="78" t="inlineStr">
        <is>
          <t>French Energy, Inc.</t>
        </is>
      </c>
      <c r="H6" s="78" t="inlineStr">
        <is>
          <t>NE/4 Section 27-11N-25W</t>
        </is>
      </c>
      <c r="I6" s="78" t="inlineStr">
        <is>
          <t xml:space="preserve">Base OGL #58: French Energy, Inc.; NE/4 Section 27-11N-25W; term 3 years from 08/01/1995 (paid-up); royalty 3/16; Top/reversionary lease form.  </t>
        </is>
      </c>
      <c r="J6" s="79" t="inlineStr">
        <is>
          <t>View Image</t>
        </is>
      </c>
    </row>
    <row r="7">
      <c r="A7" s="75" t="inlineStr">
        <is>
          <t>1995-004025</t>
        </is>
      </c>
      <c r="B7" s="75" t="inlineStr">
        <is>
          <t>Oil and Gas Lease</t>
        </is>
      </c>
      <c r="C7" s="76" t="inlineStr">
        <is>
          <t>1432/28</t>
        </is>
      </c>
      <c r="D7" s="77" t="n">
        <v>34554</v>
      </c>
      <c r="E7" s="77" t="n">
        <v>34925</v>
      </c>
      <c r="F7" s="78" t="inlineStr">
        <is>
          <t>Howard G. Fuchs Trust</t>
        </is>
      </c>
      <c r="G7" s="78" t="inlineStr">
        <is>
          <t>French Energy, Inc.</t>
        </is>
      </c>
      <c r="H7" s="78" t="inlineStr">
        <is>
          <t>SE/4 of Section 27-11N-25W</t>
        </is>
      </c>
      <c r="I7" s="78" t="inlineStr">
        <is>
          <t xml:space="preserve">Base OGL #57: French Energy, Inc.; SE/4 of Section 27-11N-25W; term 3 years from 08/01/1995 (paid-up); royalty 3/16; Top/reversionary lease form.  </t>
        </is>
      </c>
      <c r="J7" s="79" t="inlineStr">
        <is>
          <t>View Image</t>
        </is>
      </c>
    </row>
    <row r="8">
      <c r="A8" s="75" t="inlineStr">
        <is>
          <t>1995-004026</t>
        </is>
      </c>
      <c r="B8" s="75" t="inlineStr">
        <is>
          <t>Oil and Gas Lease</t>
        </is>
      </c>
      <c r="C8" s="76" t="inlineStr">
        <is>
          <t>1432/32</t>
        </is>
      </c>
      <c r="D8" s="77" t="n">
        <v>34554</v>
      </c>
      <c r="E8" s="77" t="n">
        <v>34925</v>
      </c>
      <c r="F8" s="78" t="inlineStr">
        <is>
          <t>F. Jeanice Fuchs,
Jeanice - a/k/a Fuchs,
Alfred R. Fuchs</t>
        </is>
      </c>
      <c r="G8" s="78" t="inlineStr">
        <is>
          <t>French Energy, Inc.</t>
        </is>
      </c>
      <c r="H8" s="78" t="inlineStr">
        <is>
          <t>SE/4 of Section 27-11N-25W</t>
        </is>
      </c>
      <c r="I8" s="78" t="inlineStr">
        <is>
          <t xml:space="preserve">Base OGL #56: French Energy, Inc.; SE/4 of Section 27-11N-25W; term 3 years from 08/01/1995 (paid-up); royalty 3/16; Top/reversionary lease form.  </t>
        </is>
      </c>
      <c r="J8" s="79" t="inlineStr">
        <is>
          <t>View Image</t>
        </is>
      </c>
    </row>
    <row r="9">
      <c r="A9" s="75" t="inlineStr">
        <is>
          <t>1995-004027</t>
        </is>
      </c>
      <c r="B9" s="75" t="inlineStr">
        <is>
          <t>Oil and Gas Lease</t>
        </is>
      </c>
      <c r="C9" s="76" t="inlineStr">
        <is>
          <t>1432/36</t>
        </is>
      </c>
      <c r="D9" s="77" t="n">
        <v>34570</v>
      </c>
      <c r="E9" s="77" t="n">
        <v>34925</v>
      </c>
      <c r="F9" s="78" t="inlineStr">
        <is>
          <t>Boyd M. Mead</t>
        </is>
      </c>
      <c r="G9" s="78" t="inlineStr">
        <is>
          <t>French Energy, Inc.</t>
        </is>
      </c>
      <c r="H9" s="78" t="inlineStr">
        <is>
          <t>SE/4 of Section 27-11N-25W</t>
        </is>
      </c>
      <c r="I9" s="78" t="inlineStr">
        <is>
          <t xml:space="preserve">Base OGL #55: French Energy, Inc.; SE/4 of Section 27-11N-25W; term 3 years from 08/01/1995 (paid-up); royalty 3/16; Top/reversionary lease form.  </t>
        </is>
      </c>
      <c r="J9" s="79" t="inlineStr">
        <is>
          <t>View Image</t>
        </is>
      </c>
    </row>
    <row r="10">
      <c r="A10" s="75" t="inlineStr">
        <is>
          <t>1995-004028</t>
        </is>
      </c>
      <c r="B10" s="75" t="inlineStr">
        <is>
          <t>Oil and Gas Lease</t>
        </is>
      </c>
      <c r="C10" s="76" t="inlineStr">
        <is>
          <t>1432/40</t>
        </is>
      </c>
      <c r="D10" s="77" t="n">
        <v>34569</v>
      </c>
      <c r="E10" s="77" t="n">
        <v>34925</v>
      </c>
      <c r="F10" s="78" t="inlineStr">
        <is>
          <t>Marshall E. Benton,
Nell G. Benton</t>
        </is>
      </c>
      <c r="G10" s="78" t="inlineStr">
        <is>
          <t>French Energy, Inc.</t>
        </is>
      </c>
      <c r="H10" s="78" t="inlineStr">
        <is>
          <t>NW/4 of Section 27-11N-25W</t>
        </is>
      </c>
      <c r="I10" s="78" t="inlineStr">
        <is>
          <t xml:space="preserve">Base OGL #54: French Energy, Inc.; NW/4 of Section 27-11N-25W; term 3 years from 08/01/1995 (paid-up); royalty 3/16; Top/reversionary lease form.  </t>
        </is>
      </c>
      <c r="J10" s="79" t="inlineStr">
        <is>
          <t>View Image</t>
        </is>
      </c>
    </row>
    <row r="11">
      <c r="A11" s="75" t="inlineStr">
        <is>
          <t>1995-004029</t>
        </is>
      </c>
      <c r="B11" s="75" t="inlineStr">
        <is>
          <t>Oil and Gas Lease</t>
        </is>
      </c>
      <c r="C11" s="76" t="inlineStr">
        <is>
          <t>1432/44</t>
        </is>
      </c>
      <c r="D11" s="77" t="n">
        <v>34569</v>
      </c>
      <c r="E11" s="77" t="n">
        <v>34925</v>
      </c>
      <c r="F11" s="78" t="inlineStr">
        <is>
          <t>Gary Kent Benton</t>
        </is>
      </c>
      <c r="G11" s="78" t="inlineStr">
        <is>
          <t>French Energy, Inc.</t>
        </is>
      </c>
      <c r="H11" s="78" t="inlineStr">
        <is>
          <t>NW/4 of Section 27-11N-25W</t>
        </is>
      </c>
      <c r="I11" s="78" t="inlineStr">
        <is>
          <t xml:space="preserve">Base OGL #53: French Energy, Inc.; NW/4 of Section 27-11N-25W; term 3 years from 08/01/1995 (paid-up); royalty 3/16; Top/reversionary lease form.  </t>
        </is>
      </c>
      <c r="J11" s="79" t="inlineStr">
        <is>
          <t>View Image</t>
        </is>
      </c>
    </row>
    <row r="12">
      <c r="A12" s="75" t="inlineStr">
        <is>
          <t>1995-004030</t>
        </is>
      </c>
      <c r="B12" s="75" t="inlineStr">
        <is>
          <t>Oil and Gas Lease</t>
        </is>
      </c>
      <c r="C12" s="76" t="inlineStr">
        <is>
          <t>1432/48</t>
        </is>
      </c>
      <c r="D12" s="77" t="n">
        <v>34569</v>
      </c>
      <c r="E12" s="77" t="n">
        <v>34925</v>
      </c>
      <c r="F12" s="78" t="inlineStr">
        <is>
          <t>Betty Sites</t>
        </is>
      </c>
      <c r="G12" s="78" t="inlineStr">
        <is>
          <t>French Energy, Inc.</t>
        </is>
      </c>
      <c r="H12" s="78" t="inlineStr">
        <is>
          <t>NW/4 of Section 27-11N-25W</t>
        </is>
      </c>
      <c r="I12" s="78" t="inlineStr">
        <is>
          <t xml:space="preserve">Base OGL #52: French Energy, Inc.; NW/4 of Section 27-11N-25W; term 3 years from 08/01/1995 (paid-up); royalty 3/16; Top/reversionary lease form.  </t>
        </is>
      </c>
      <c r="J12" s="79" t="inlineStr">
        <is>
          <t>View Image</t>
        </is>
      </c>
    </row>
    <row r="13">
      <c r="A13" s="75" t="inlineStr">
        <is>
          <t>1995-004031</t>
        </is>
      </c>
      <c r="B13" s="75" t="inlineStr">
        <is>
          <t>Oil and Gas Lease</t>
        </is>
      </c>
      <c r="C13" s="76" t="inlineStr">
        <is>
          <t>1432/52</t>
        </is>
      </c>
      <c r="D13" s="77" t="n">
        <v>34569</v>
      </c>
      <c r="E13" s="77" t="n">
        <v>34925</v>
      </c>
      <c r="F13" s="78" t="inlineStr">
        <is>
          <t>Radonna Kay Christopher</t>
        </is>
      </c>
      <c r="G13" s="78" t="inlineStr">
        <is>
          <t>French Energy, Inc.</t>
        </is>
      </c>
      <c r="H13" s="78" t="inlineStr">
        <is>
          <t>NW/4 of Section 27-11N-25W</t>
        </is>
      </c>
      <c r="I13" s="78" t="inlineStr">
        <is>
          <t xml:space="preserve">Base OGL #51: French Energy, Inc.; NW/4 of Section 27-11N-25W; term 3 years from 08/01/1995 (paid-up); royalty 3/16; Top/reversionary lease form.  </t>
        </is>
      </c>
      <c r="J13" s="79" t="inlineStr">
        <is>
          <t>View Image</t>
        </is>
      </c>
    </row>
    <row r="14">
      <c r="A14" s="75" t="inlineStr">
        <is>
          <t>1995-004032</t>
        </is>
      </c>
      <c r="B14" s="75" t="inlineStr">
        <is>
          <t>Oil and Gas Lease</t>
        </is>
      </c>
      <c r="C14" s="76" t="inlineStr">
        <is>
          <t>1432/56</t>
        </is>
      </c>
      <c r="D14" s="77" t="n">
        <v>34569</v>
      </c>
      <c r="E14" s="77" t="n">
        <v>34925</v>
      </c>
      <c r="F14" s="78" t="inlineStr">
        <is>
          <t>Michael Ray Sites</t>
        </is>
      </c>
      <c r="G14" s="78" t="inlineStr">
        <is>
          <t>French Energy, Inc.</t>
        </is>
      </c>
      <c r="H14" s="78" t="inlineStr">
        <is>
          <t>NW/4 of Section 27-11N-25W</t>
        </is>
      </c>
      <c r="I14" s="78" t="inlineStr">
        <is>
          <t xml:space="preserve">Base OGL #50: French Energy, Inc.; NW/4 of Section 27-11N-25W; term 3 years from 08/01/1995 (paid-up); royalty 3/16; Top/reversionary lease form.  </t>
        </is>
      </c>
      <c r="J14" s="79" t="inlineStr">
        <is>
          <t>View Image</t>
        </is>
      </c>
    </row>
    <row r="15">
      <c r="A15" s="75" t="inlineStr">
        <is>
          <t>1995-004033</t>
        </is>
      </c>
      <c r="B15" s="75" t="inlineStr">
        <is>
          <t>Oil and Gas Lease</t>
        </is>
      </c>
      <c r="C15" s="76" t="inlineStr">
        <is>
          <t>1432/60</t>
        </is>
      </c>
      <c r="D15" s="77" t="n">
        <v>34569</v>
      </c>
      <c r="E15" s="77" t="n">
        <v>34925</v>
      </c>
      <c r="F15" s="78" t="inlineStr">
        <is>
          <t>Melody Denise Harbour</t>
        </is>
      </c>
      <c r="G15" s="78" t="inlineStr">
        <is>
          <t>French Energy, Inc.</t>
        </is>
      </c>
      <c r="H15" s="78" t="inlineStr">
        <is>
          <t>NW/4 of Section 27-11N-25W</t>
        </is>
      </c>
      <c r="I15" s="78" t="inlineStr">
        <is>
          <t xml:space="preserve">Base OGL #49: French Energy, Inc.; NW/4 of Section 27-11N-25W; term 3 years from 08/01/1995 (paid-up); royalty 3/16; Top/reversionary lease form.  </t>
        </is>
      </c>
      <c r="J15" s="79" t="inlineStr">
        <is>
          <t>View Image</t>
        </is>
      </c>
    </row>
    <row r="16">
      <c r="A16" s="75" t="inlineStr">
        <is>
          <t>1995-004034</t>
        </is>
      </c>
      <c r="B16" s="75" t="inlineStr">
        <is>
          <t>Oil and Gas Lease</t>
        </is>
      </c>
      <c r="C16" s="76" t="inlineStr">
        <is>
          <t>1432/64</t>
        </is>
      </c>
      <c r="D16" s="77" t="n">
        <v>34569</v>
      </c>
      <c r="E16" s="77" t="n">
        <v>34925</v>
      </c>
      <c r="F16" s="78" t="inlineStr">
        <is>
          <t>Robert A. Edwards</t>
        </is>
      </c>
      <c r="G16" s="78" t="inlineStr">
        <is>
          <t>French Energy, Inc.</t>
        </is>
      </c>
      <c r="H16" s="78" t="inlineStr">
        <is>
          <t>NW/4 of Section 27-11N-25W</t>
        </is>
      </c>
      <c r="I16" s="78" t="inlineStr">
        <is>
          <t xml:space="preserve">Base OGL #48: French Energy, Inc.; NW/4 of Section 27-11N-25W; term 3 years from 08/01/1995 (paid-up); royalty 3/16; Top/reversionary lease form.  </t>
        </is>
      </c>
      <c r="J16" s="79" t="inlineStr">
        <is>
          <t>View Image</t>
        </is>
      </c>
    </row>
    <row r="17">
      <c r="A17" s="75" t="inlineStr">
        <is>
          <t>1995-004035</t>
        </is>
      </c>
      <c r="B17" s="75" t="inlineStr">
        <is>
          <t>Oil and Gas Lease</t>
        </is>
      </c>
      <c r="C17" s="76" t="inlineStr">
        <is>
          <t>1432/68</t>
        </is>
      </c>
      <c r="D17" s="77" t="n">
        <v>34569</v>
      </c>
      <c r="E17" s="77" t="n">
        <v>34925</v>
      </c>
      <c r="F17" s="78" t="inlineStr">
        <is>
          <t>Steven Ernest Benton</t>
        </is>
      </c>
      <c r="G17" s="78" t="inlineStr">
        <is>
          <t>French Energy, Inc.</t>
        </is>
      </c>
      <c r="H17" s="78" t="inlineStr">
        <is>
          <t>NW/4 of Section 27-11N-25W</t>
        </is>
      </c>
      <c r="I17" s="78" t="inlineStr">
        <is>
          <t xml:space="preserve">Base OGL #47: French Energy, Inc.; NW/4 of Section 27-11N-25W; term 3 years from 08/01/1995 (paid-up); royalty 3/16; Top/reversionary lease form.  </t>
        </is>
      </c>
      <c r="J17" s="79" t="inlineStr">
        <is>
          <t>View Image</t>
        </is>
      </c>
    </row>
    <row r="18">
      <c r="A18" s="75" t="inlineStr">
        <is>
          <t>1995-004178</t>
        </is>
      </c>
      <c r="B18" s="75" t="inlineStr">
        <is>
          <t>Oil and Gas Lease</t>
        </is>
      </c>
      <c r="C18" s="76" t="inlineStr">
        <is>
          <t>1433/213</t>
        </is>
      </c>
      <c r="D18" s="77" t="n">
        <v>34554</v>
      </c>
      <c r="E18" s="77" t="n">
        <v>34933</v>
      </c>
      <c r="F18" s="78" t="inlineStr">
        <is>
          <t>Calvin W. Fuchs Revocable Trust</t>
        </is>
      </c>
      <c r="G18" s="78" t="inlineStr">
        <is>
          <t>French Energy, Inc.</t>
        </is>
      </c>
      <c r="H18" s="78" t="inlineStr">
        <is>
          <t>SE/4 of Section 27-11N-25W</t>
        </is>
      </c>
      <c r="I18" s="78" t="inlineStr">
        <is>
          <t xml:space="preserve">Base OGL #46: French Energy, Inc.; SE/4 of Section 27-11N-25W; term 3 years from 08/01/1995 (paid-up); royalty 3/16; Top/reversionary lease form.  </t>
        </is>
      </c>
      <c r="J18" s="79" t="inlineStr">
        <is>
          <t>View Image</t>
        </is>
      </c>
    </row>
    <row r="19">
      <c r="A19" s="75" t="inlineStr">
        <is>
          <t>1995-004394</t>
        </is>
      </c>
      <c r="B19" s="75" t="inlineStr">
        <is>
          <t>Oil and Gas Lease</t>
        </is>
      </c>
      <c r="C19" s="76" t="inlineStr">
        <is>
          <t>1435/159</t>
        </is>
      </c>
      <c r="D19" s="77" t="n">
        <v>34576</v>
      </c>
      <c r="E19" s="77" t="n">
        <v>34947</v>
      </c>
      <c r="F19" s="78" t="inlineStr">
        <is>
          <t>Larry D. Edwards</t>
        </is>
      </c>
      <c r="G19" s="78" t="inlineStr">
        <is>
          <t>French Energy, Inc.</t>
        </is>
      </c>
      <c r="H19" s="78" t="inlineStr">
        <is>
          <t>NW/4 of Section 27-11N-25W</t>
        </is>
      </c>
      <c r="I19" s="78" t="inlineStr">
        <is>
          <t xml:space="preserve">Base OGL #45: French Energy, Inc.; NW/4 of Section 27-11N-25W; term 3 years from 08/01/1995 (paid-up); royalty 3/16; Top/reversionary lease form.  </t>
        </is>
      </c>
      <c r="J19" s="79" t="inlineStr">
        <is>
          <t>View Image</t>
        </is>
      </c>
    </row>
    <row r="20">
      <c r="A20" s="75" t="inlineStr">
        <is>
          <t>1997-001065</t>
        </is>
      </c>
      <c r="B20" s="75" t="inlineStr">
        <is>
          <t>Assignment of Oil and Gas Lease</t>
        </is>
      </c>
      <c r="C20" s="76" t="inlineStr">
        <is>
          <t>1504/11</t>
        </is>
      </c>
      <c r="D20" s="77" t="n">
        <v>35466</v>
      </c>
      <c r="E20" s="77" t="n">
        <v>35471</v>
      </c>
      <c r="F20" s="78" t="inlineStr">
        <is>
          <t>French Energy, Inc.</t>
        </is>
      </c>
      <c r="G20" s="78" t="inlineStr">
        <is>
          <t>Sanguine, Ltd.</t>
        </is>
      </c>
      <c r="H20" s="78" t="inlineStr">
        <is>
          <t>Section 27-11N-25W</t>
        </is>
      </c>
      <c r="I20" s="73" t="inlineStr">
        <is>
          <t>ARTI in OGLS at 1432/20, 1432/24, 1432/28, 1432/32, 1432/40, 1432/48, 1432/52, 1432/56, 1432/60, 1432/64, 1432/68, 1433/213, 1435/159</t>
        </is>
      </c>
      <c r="J20" s="79" t="inlineStr">
        <is>
          <t>View Image</t>
        </is>
      </c>
    </row>
    <row r="21">
      <c r="A21" s="75" t="inlineStr">
        <is>
          <t>1997-001267</t>
        </is>
      </c>
      <c r="B21" s="75" t="inlineStr">
        <is>
          <t>Assignment of Oil and Gas Lease</t>
        </is>
      </c>
      <c r="C21" s="76" t="inlineStr">
        <is>
          <t>1505/31</t>
        </is>
      </c>
      <c r="D21" s="77" t="n">
        <v>35473</v>
      </c>
      <c r="E21" s="77" t="n">
        <v>35475</v>
      </c>
      <c r="F21" s="78" t="inlineStr">
        <is>
          <t>Sanguine, Ltd.</t>
        </is>
      </c>
      <c r="G21" s="78" t="inlineStr">
        <is>
          <t>Karen Nelson, Co-Trustee of the Karen Nelson Revocable Inter Vivos Trust dated 5/4/89</t>
        </is>
      </c>
      <c r="H21" s="73" t="inlineStr">
        <is>
          <t xml:space="preserve">All of Section 27-11N-25W, less and except 1 acre </t>
        </is>
      </c>
      <c r="I21" s="73" t="inlineStr">
        <is>
          <t>An undividad 5.60425% of Assignor's right, title and interest in and to the oil, gas and mineral leases described in Exhibit "A", LESS AND EXCEPT
any and all overriding royalty interests owned by Assignor.
OGLS at  220/83, 1432/20, 1432/24, 1432/28, 1432/32, 1432/40, 1432/48, 1432/52, 1432/56, 1432/60, 1432/64, 1432/68, 1433/213, 1435/159</t>
        </is>
      </c>
      <c r="J21" s="79" t="inlineStr">
        <is>
          <t>View Image</t>
        </is>
      </c>
    </row>
    <row r="22">
      <c r="A22" s="75" t="inlineStr">
        <is>
          <t>1998-005858</t>
        </is>
      </c>
      <c r="B22" s="75" t="inlineStr">
        <is>
          <t>Oil and Gas Lease</t>
        </is>
      </c>
      <c r="C22" s="76" t="inlineStr">
        <is>
          <t>1574/272</t>
        </is>
      </c>
      <c r="D22" s="77" t="n">
        <v>36021</v>
      </c>
      <c r="E22" s="77" t="n">
        <v>36040</v>
      </c>
      <c r="F22" s="78" t="inlineStr">
        <is>
          <t>Chloe E. Davis Revocable Living Trust</t>
        </is>
      </c>
      <c r="G22" s="78" t="inlineStr">
        <is>
          <t>Arrowhead Resources, Inc.</t>
        </is>
      </c>
      <c r="H22" s="78" t="inlineStr">
        <is>
          <t>NE/4 Section 27-11N-25W</t>
        </is>
      </c>
      <c r="I22" s="78" t="inlineStr">
        <is>
          <t xml:space="preserve">Base OGL #44: Arrowhead Resources, Inc.; NE/4 Section 27-11N-25W; term 2 years (paid-up); royalty 3/16; top-lease offer notice/ROFR.  </t>
        </is>
      </c>
      <c r="J22" s="79" t="inlineStr">
        <is>
          <t>View Image</t>
        </is>
      </c>
    </row>
    <row r="23">
      <c r="A23" s="75" t="inlineStr">
        <is>
          <t>1998-005859</t>
        </is>
      </c>
      <c r="B23" s="75" t="inlineStr">
        <is>
          <t>Oil and Gas Lease</t>
        </is>
      </c>
      <c r="C23" s="76" t="inlineStr">
        <is>
          <t>1574/276</t>
        </is>
      </c>
      <c r="D23" s="77" t="n">
        <v>36024</v>
      </c>
      <c r="E23" s="77" t="n">
        <v>36040</v>
      </c>
      <c r="F23" s="78" t="inlineStr">
        <is>
          <t>Howard G.-Trust Fuchs</t>
        </is>
      </c>
      <c r="G23" s="78" t="inlineStr">
        <is>
          <t>Arrowhead Resources, Inc.</t>
        </is>
      </c>
      <c r="H23" s="78" t="inlineStr">
        <is>
          <t>SE/4 of Section 27-11N-25W</t>
        </is>
      </c>
      <c r="I23" s="78" t="inlineStr">
        <is>
          <t xml:space="preserve">Base OGL #43: Arrowhead Resources, Inc.; SE/4 of Section 27-11N-25W; term 2 years (paid-up); royalty 3/16; top-lease offer notice/ROFR.  </t>
        </is>
      </c>
      <c r="J23" s="79" t="inlineStr">
        <is>
          <t>View Image</t>
        </is>
      </c>
    </row>
    <row r="24">
      <c r="A24" s="75" t="inlineStr">
        <is>
          <t>1998-005860</t>
        </is>
      </c>
      <c r="B24" s="75" t="inlineStr">
        <is>
          <t>Oil and Gas Lease</t>
        </is>
      </c>
      <c r="C24" s="76" t="inlineStr">
        <is>
          <t>1574/280</t>
        </is>
      </c>
      <c r="D24" s="77" t="n">
        <v>36024</v>
      </c>
      <c r="E24" s="77" t="n">
        <v>36040</v>
      </c>
      <c r="F24" s="78" t="inlineStr">
        <is>
          <t>Calvin W. Fuchs Revocable Trust</t>
        </is>
      </c>
      <c r="G24" s="78" t="inlineStr">
        <is>
          <t>Arrowhead Resources, Inc.</t>
        </is>
      </c>
      <c r="H24" s="78" t="inlineStr">
        <is>
          <t>SE/4 of Section 27-11N-25W</t>
        </is>
      </c>
      <c r="I24" s="78" t="inlineStr">
        <is>
          <t xml:space="preserve">Base OGL #42: Arrowhead Resources, Inc.; SE/4 of Section 27-11N-25W; term 2 years (paid-up); royalty 3/16; top-lease offer notice/ROFR.  </t>
        </is>
      </c>
      <c r="J24" s="79" t="inlineStr">
        <is>
          <t>View Image</t>
        </is>
      </c>
    </row>
    <row r="25">
      <c r="A25" s="75" t="inlineStr">
        <is>
          <t>1998-005861</t>
        </is>
      </c>
      <c r="B25" s="75" t="inlineStr">
        <is>
          <t>Oil and Gas Lease</t>
        </is>
      </c>
      <c r="C25" s="76" t="inlineStr">
        <is>
          <t>1574/284</t>
        </is>
      </c>
      <c r="D25" s="77" t="n">
        <v>36024</v>
      </c>
      <c r="E25" s="77" t="n">
        <v>36040</v>
      </c>
      <c r="F25" s="78" t="inlineStr">
        <is>
          <t>Alfred R. Fuchs,
Jeanice F. Fuchs</t>
        </is>
      </c>
      <c r="G25" s="78" t="inlineStr">
        <is>
          <t>Arrowhead Resources, Inc.</t>
        </is>
      </c>
      <c r="H25" s="78" t="inlineStr">
        <is>
          <t>SE/4 of Section 27-11N-25W</t>
        </is>
      </c>
      <c r="I25" s="73" t="inlineStr">
        <is>
          <t xml:space="preserve">Base OGL #41: Arrowhead Resources, Inc.; SE/4 of Section 27-11N-25W; term 2 years (paid-up); royalty 3/16; top-lease offer notice/ROFR.  </t>
        </is>
      </c>
      <c r="J25" s="79" t="inlineStr">
        <is>
          <t>View Image</t>
        </is>
      </c>
    </row>
    <row r="26">
      <c r="A26" s="75" t="inlineStr">
        <is>
          <t>1998-006273</t>
        </is>
      </c>
      <c r="B26" s="75" t="inlineStr">
        <is>
          <t>Assignment of Oil and Gas Lease</t>
        </is>
      </c>
      <c r="C26" s="76" t="inlineStr">
        <is>
          <t>1576/302</t>
        </is>
      </c>
      <c r="D26" s="77" t="n">
        <v>36028</v>
      </c>
      <c r="E26" s="77" t="n">
        <v>36059</v>
      </c>
      <c r="F26" s="78" t="inlineStr">
        <is>
          <t>Arrowhead Resources, Inc.</t>
        </is>
      </c>
      <c r="G26" s="78" t="inlineStr">
        <is>
          <t>R. Michael Lortz</t>
        </is>
      </c>
      <c r="H26" s="78" t="inlineStr">
        <is>
          <t>E/2 of Section 27-11N-25W</t>
        </is>
      </c>
      <c r="I26" s="78" t="inlineStr">
        <is>
          <t>All right, title and interest in OGLs at 1574/272, 1574/276, 1574/280, 1574/284</t>
        </is>
      </c>
      <c r="J26" s="79" t="inlineStr">
        <is>
          <t>View Image</t>
        </is>
      </c>
    </row>
    <row r="27">
      <c r="A27" s="75" t="inlineStr">
        <is>
          <t>1998-006416</t>
        </is>
      </c>
      <c r="B27" s="75" t="inlineStr">
        <is>
          <t>Assignment of Oil and Gas Lease</t>
        </is>
      </c>
      <c r="C27" s="76" t="inlineStr">
        <is>
          <t>1577/102</t>
        </is>
      </c>
      <c r="D27" s="77" t="n">
        <v>36035</v>
      </c>
      <c r="E27" s="77" t="n">
        <v>36066</v>
      </c>
      <c r="F27" s="78" t="inlineStr">
        <is>
          <t>R. Michael Lortz</t>
        </is>
      </c>
      <c r="G27" s="78" t="inlineStr">
        <is>
          <t>St. Mary Land &amp; Exploration Co.</t>
        </is>
      </c>
      <c r="H27" s="78" t="inlineStr">
        <is>
          <t>E/2 of Section 27-11N-25W</t>
        </is>
      </c>
      <c r="I27" s="78" t="inlineStr">
        <is>
          <t>All right, title and interest in OGLs at 1574/272, 1574/276, 1574/280, 1574/284</t>
        </is>
      </c>
      <c r="J27" s="79" t="inlineStr">
        <is>
          <t>View Image</t>
        </is>
      </c>
    </row>
    <row r="28">
      <c r="A28" s="75" t="inlineStr">
        <is>
          <t>1998-007084</t>
        </is>
      </c>
      <c r="B28" s="75" t="inlineStr">
        <is>
          <t>Oil and Gas Lease</t>
        </is>
      </c>
      <c r="C28" s="76" t="inlineStr">
        <is>
          <t>1580/103</t>
        </is>
      </c>
      <c r="D28" s="77" t="n">
        <v>36027</v>
      </c>
      <c r="E28" s="77" t="n">
        <v>36094</v>
      </c>
      <c r="F28" s="78" t="inlineStr">
        <is>
          <t>Marshall E. Benton</t>
        </is>
      </c>
      <c r="G28" s="78" t="inlineStr">
        <is>
          <t>French Energy, Inc.</t>
        </is>
      </c>
      <c r="H28" s="78" t="inlineStr">
        <is>
          <t>NW/4 of Section 27-11N-25W</t>
        </is>
      </c>
      <c r="I28" s="78" t="inlineStr">
        <is>
          <t xml:space="preserve">Base OGL #34: French Energy, Inc.; NW/4 of Section 27-11N-25W; term 3 years (paid-up); royalty 3/16; top-lease offer notice/ROFR.  </t>
        </is>
      </c>
      <c r="J28" s="79" t="inlineStr">
        <is>
          <t>View Image</t>
        </is>
      </c>
    </row>
    <row r="29">
      <c r="A29" s="75" t="inlineStr">
        <is>
          <t>1998-007085</t>
        </is>
      </c>
      <c r="B29" s="75" t="inlineStr">
        <is>
          <t>Oil and Gas Lease</t>
        </is>
      </c>
      <c r="C29" s="76" t="inlineStr">
        <is>
          <t>1580/107</t>
        </is>
      </c>
      <c r="D29" s="77" t="n">
        <v>36027</v>
      </c>
      <c r="E29" s="77" t="n">
        <v>36094</v>
      </c>
      <c r="F29" s="78" t="inlineStr">
        <is>
          <t>Michael Ray Sites</t>
        </is>
      </c>
      <c r="G29" s="78" t="inlineStr">
        <is>
          <t>French Energy, Inc.</t>
        </is>
      </c>
      <c r="H29" s="78" t="inlineStr">
        <is>
          <t>NW/4 of Section 27-11N-25W</t>
        </is>
      </c>
      <c r="I29" s="78" t="inlineStr">
        <is>
          <t xml:space="preserve">Base OGL #33: French Energy, Inc.; NW/4 of Section 27-11N-25W; term 3 years (paid-up); royalty 3/16; top-lease offer notice/ROFR.  </t>
        </is>
      </c>
      <c r="J29" s="79" t="inlineStr">
        <is>
          <t>View Image</t>
        </is>
      </c>
    </row>
    <row r="30">
      <c r="A30" s="75" t="inlineStr">
        <is>
          <t>1998-007086</t>
        </is>
      </c>
      <c r="B30" s="75" t="inlineStr">
        <is>
          <t>Oil and Gas Lease</t>
        </is>
      </c>
      <c r="C30" s="76" t="inlineStr">
        <is>
          <t>1580/111</t>
        </is>
      </c>
      <c r="D30" s="77" t="n">
        <v>36027</v>
      </c>
      <c r="E30" s="77" t="n">
        <v>36094</v>
      </c>
      <c r="F30" s="78" t="inlineStr">
        <is>
          <t>Donald E. Gordon</t>
        </is>
      </c>
      <c r="G30" s="78" t="inlineStr">
        <is>
          <t>French Energy, Inc.</t>
        </is>
      </c>
      <c r="H30" s="73" t="inlineStr">
        <is>
          <t>NE/4 Section 27-11N-25W</t>
        </is>
      </c>
      <c r="I30" s="73" t="inlineStr">
        <is>
          <t xml:space="preserve">Base OGL #32: French Energy, Inc.; NE/4 Section 27-11N-25W; term 3 years (paid-up); royalty 3/16; top-lease offer notice/ROFR.  </t>
        </is>
      </c>
      <c r="J30" s="79" t="inlineStr">
        <is>
          <t>View Image</t>
        </is>
      </c>
    </row>
    <row r="31">
      <c r="A31" s="75" t="inlineStr">
        <is>
          <t>1998-007087</t>
        </is>
      </c>
      <c r="B31" s="75" t="inlineStr">
        <is>
          <t>Oil and Gas Lease</t>
        </is>
      </c>
      <c r="C31" s="76" t="inlineStr">
        <is>
          <t>1580/115</t>
        </is>
      </c>
      <c r="D31" s="77" t="n">
        <v>36027</v>
      </c>
      <c r="E31" s="77" t="n">
        <v>36094</v>
      </c>
      <c r="F31" s="78" t="inlineStr">
        <is>
          <t>Betty Sites</t>
        </is>
      </c>
      <c r="G31" s="78" t="inlineStr">
        <is>
          <t>French Energy, Inc.</t>
        </is>
      </c>
      <c r="H31" s="73" t="inlineStr">
        <is>
          <t>NW/4 of Section 27-11N-25W</t>
        </is>
      </c>
      <c r="I31" s="73" t="inlineStr">
        <is>
          <t xml:space="preserve">Base OGL #31: French Energy, Inc.; NW/4 of Section 27-11N-25W; term 3 years (paid-up); royalty 3/16; top-lease offer notice/ROFR.  </t>
        </is>
      </c>
      <c r="J31" s="79" t="inlineStr">
        <is>
          <t>View Image</t>
        </is>
      </c>
    </row>
    <row r="32">
      <c r="A32" s="75" t="inlineStr">
        <is>
          <t>1998-007078</t>
        </is>
      </c>
      <c r="B32" s="75" t="inlineStr">
        <is>
          <t>Oil and Gas Lease</t>
        </is>
      </c>
      <c r="C32" s="76" t="inlineStr">
        <is>
          <t>1580/79</t>
        </is>
      </c>
      <c r="D32" s="77" t="n">
        <v>36027</v>
      </c>
      <c r="E32" s="77" t="n">
        <v>36094</v>
      </c>
      <c r="F32" s="78" t="inlineStr">
        <is>
          <t>Larry D. Edwards</t>
        </is>
      </c>
      <c r="G32" s="78" t="inlineStr">
        <is>
          <t>French Energy, Inc.</t>
        </is>
      </c>
      <c r="H32" s="78" t="inlineStr">
        <is>
          <t>NW/4 of Section 27-11N-25W</t>
        </is>
      </c>
      <c r="I32" s="78" t="inlineStr">
        <is>
          <t xml:space="preserve">Base OGL #40: French Energy, Inc.; NW/4 of Section 27-11N-25W; term 3 years (paid-up); royalty 3/16; top-lease offer notice/ROFR.  </t>
        </is>
      </c>
      <c r="J32" s="79" t="inlineStr">
        <is>
          <t>View Image</t>
        </is>
      </c>
    </row>
    <row r="33">
      <c r="A33" s="75" t="inlineStr">
        <is>
          <t>1998-007079</t>
        </is>
      </c>
      <c r="B33" s="75" t="inlineStr">
        <is>
          <t>Oil and Gas Lease</t>
        </is>
      </c>
      <c r="C33" s="76" t="inlineStr">
        <is>
          <t>1580/83</t>
        </is>
      </c>
      <c r="D33" s="77" t="n">
        <v>36027</v>
      </c>
      <c r="E33" s="77" t="n">
        <v>36094</v>
      </c>
      <c r="F33" s="78" t="inlineStr">
        <is>
          <t>Robert A. Edwards</t>
        </is>
      </c>
      <c r="G33" s="78" t="inlineStr">
        <is>
          <t>French Energy, Inc.</t>
        </is>
      </c>
      <c r="H33" s="78" t="inlineStr">
        <is>
          <t>NW/4 of Section 27-11N-25W</t>
        </is>
      </c>
      <c r="I33" s="78" t="inlineStr">
        <is>
          <t xml:space="preserve">Base OGL #39: French Energy, Inc.; NW/4 of Section 27-11N-25W; term 3 years (paid-up); royalty 3/16; top-lease offer notice/ROFR.  </t>
        </is>
      </c>
      <c r="J33" s="79" t="inlineStr">
        <is>
          <t>View Image</t>
        </is>
      </c>
    </row>
    <row r="34">
      <c r="A34" s="75" t="inlineStr">
        <is>
          <t>1998-007080</t>
        </is>
      </c>
      <c r="B34" s="75" t="inlineStr">
        <is>
          <t>Oil and Gas Lease</t>
        </is>
      </c>
      <c r="C34" s="76" t="inlineStr">
        <is>
          <t>1580/87</t>
        </is>
      </c>
      <c r="D34" s="77" t="n">
        <v>36027</v>
      </c>
      <c r="E34" s="77" t="n">
        <v>36094</v>
      </c>
      <c r="F34" s="78" t="inlineStr">
        <is>
          <t>Melody Denise Harbor</t>
        </is>
      </c>
      <c r="G34" s="78" t="inlineStr">
        <is>
          <t>French Energy, Inc.</t>
        </is>
      </c>
      <c r="H34" s="78" t="inlineStr">
        <is>
          <t>NW/4 of Section 27-11N-25W</t>
        </is>
      </c>
      <c r="I34" s="78" t="inlineStr">
        <is>
          <t xml:space="preserve">Base OGL #38: French Energy, Inc.; NW/4 of Section 27-11N-25W; term 3 years (paid-up); royalty 3/16; top-lease offer notice/ROFR.  </t>
        </is>
      </c>
      <c r="J34" s="79" t="inlineStr">
        <is>
          <t>View Image</t>
        </is>
      </c>
    </row>
    <row r="35">
      <c r="A35" s="75" t="inlineStr">
        <is>
          <t>1998-007081</t>
        </is>
      </c>
      <c r="B35" s="75" t="inlineStr">
        <is>
          <t>Oil and Gas Lease</t>
        </is>
      </c>
      <c r="C35" s="76" t="inlineStr">
        <is>
          <t>1580/91</t>
        </is>
      </c>
      <c r="D35" s="77" t="n">
        <v>36027</v>
      </c>
      <c r="E35" s="77" t="n">
        <v>36094</v>
      </c>
      <c r="F35" s="78" t="inlineStr">
        <is>
          <t>Steven Ernest Benton</t>
        </is>
      </c>
      <c r="G35" s="78" t="inlineStr">
        <is>
          <t>French Energy, Inc.</t>
        </is>
      </c>
      <c r="H35" s="78" t="inlineStr">
        <is>
          <t>NW/4 of Section 27-11N-25W</t>
        </is>
      </c>
      <c r="I35" s="78" t="inlineStr">
        <is>
          <t xml:space="preserve">Base OGL #37: French Energy, Inc.; NW/4 of Section 27-11N-25W; term 3 years (paid-up); royalty 3/16; top-lease offer notice/ROFR.  </t>
        </is>
      </c>
      <c r="J35" s="79" t="inlineStr">
        <is>
          <t>View Image</t>
        </is>
      </c>
    </row>
    <row r="36">
      <c r="A36" s="75" t="inlineStr">
        <is>
          <t>1998-007082</t>
        </is>
      </c>
      <c r="B36" s="75" t="inlineStr">
        <is>
          <t>Oil and Gas Lease</t>
        </is>
      </c>
      <c r="C36" s="76" t="inlineStr">
        <is>
          <t>1580/95</t>
        </is>
      </c>
      <c r="D36" s="77" t="n">
        <v>36027</v>
      </c>
      <c r="E36" s="77" t="n">
        <v>36094</v>
      </c>
      <c r="F36" s="78" t="inlineStr">
        <is>
          <t>Radonna Kay Christopher</t>
        </is>
      </c>
      <c r="G36" s="78" t="inlineStr">
        <is>
          <t>French Energy, Inc.</t>
        </is>
      </c>
      <c r="H36" s="78" t="inlineStr">
        <is>
          <t>NW/4 of Section 27-11N-25W</t>
        </is>
      </c>
      <c r="I36" s="78" t="inlineStr">
        <is>
          <t xml:space="preserve">Base OGL #36: French Energy, Inc.; NW/4 of Section 27-11N-25W; term 3 years (paid-up); royalty 3/16; top-lease offer notice/ROFR.  </t>
        </is>
      </c>
      <c r="J36" s="79" t="inlineStr">
        <is>
          <t>View Image</t>
        </is>
      </c>
    </row>
    <row r="37">
      <c r="A37" s="75" t="inlineStr">
        <is>
          <t>1998-007083</t>
        </is>
      </c>
      <c r="B37" s="75" t="inlineStr">
        <is>
          <t>Oil and Gas Lease</t>
        </is>
      </c>
      <c r="C37" s="76" t="inlineStr">
        <is>
          <t>1580/99</t>
        </is>
      </c>
      <c r="D37" s="77" t="n">
        <v>36027</v>
      </c>
      <c r="E37" s="77" t="n">
        <v>36094</v>
      </c>
      <c r="F37" s="78" t="inlineStr">
        <is>
          <t>Gary Kent Benton</t>
        </is>
      </c>
      <c r="G37" s="78" t="inlineStr">
        <is>
          <t>French Energy, Inc.</t>
        </is>
      </c>
      <c r="H37" s="78" t="inlineStr">
        <is>
          <t>NW/4 of Section 27-11N-25W</t>
        </is>
      </c>
      <c r="I37" s="78" t="inlineStr">
        <is>
          <t xml:space="preserve">Base OGL #35: French Energy, Inc.; NW/4 of Section 27-11N-25W; term 3 years (paid-up); royalty 3/16; top-lease offer notice/ROFR.  </t>
        </is>
      </c>
      <c r="J37" s="79" t="inlineStr">
        <is>
          <t>View Image</t>
        </is>
      </c>
    </row>
    <row r="38">
      <c r="A38" s="75" t="inlineStr">
        <is>
          <t>1998-008577</t>
        </is>
      </c>
      <c r="B38" s="75" t="inlineStr">
        <is>
          <t>Oil and Gas Lease</t>
        </is>
      </c>
      <c r="C38" s="76" t="inlineStr">
        <is>
          <t>1587/129</t>
        </is>
      </c>
      <c r="D38" s="77" t="n">
        <v>36104</v>
      </c>
      <c r="E38" s="77" t="n">
        <v>36158</v>
      </c>
      <c r="F38" s="78" t="inlineStr">
        <is>
          <t>Boyd Mead</t>
        </is>
      </c>
      <c r="G38" s="78" t="inlineStr">
        <is>
          <t>Sanguine, Ltd.</t>
        </is>
      </c>
      <c r="H38" s="73" t="inlineStr">
        <is>
          <t>SE/4 of Section 27-11N-25W</t>
        </is>
      </c>
      <c r="I38" s="73" t="inlineStr">
        <is>
          <t xml:space="preserve">Base OGL #30: Sanguine, Ltd.; SE/4 of Section 27-11N-25W; term 2 years (paid-up); royalty 3/16; top-lease offer notice/ROFR.  </t>
        </is>
      </c>
      <c r="J38" s="79" t="inlineStr">
        <is>
          <t>View Image</t>
        </is>
      </c>
    </row>
    <row r="39">
      <c r="A39" s="75" t="inlineStr">
        <is>
          <t>1999-000193</t>
        </is>
      </c>
      <c r="B39" s="75" t="inlineStr">
        <is>
          <t>Oil and Gas Lease</t>
        </is>
      </c>
      <c r="C39" s="76" t="inlineStr">
        <is>
          <t>1588/245</t>
        </is>
      </c>
      <c r="D39" s="77" t="n">
        <v>36119</v>
      </c>
      <c r="E39" s="77" t="n">
        <v>36173</v>
      </c>
      <c r="F39" s="78" t="inlineStr">
        <is>
          <t>Missionary Baptist Church-Buffalo</t>
        </is>
      </c>
      <c r="G39" s="78" t="inlineStr">
        <is>
          <t>Todco Properties, Inc.</t>
        </is>
      </c>
      <c r="H39" s="78" t="inlineStr">
        <is>
          <t>1.00-acre tract in SW/4 Section 27-11N-25W (Buffalo Missionary Baptist Church tract)</t>
        </is>
      </c>
      <c r="I39" s="78" t="inlineStr">
        <is>
          <t>Base OGL #29: Todco Properties, Inc.; 1.00-acre tract in SW/4 Section 27-11N-25W (Buffalo Missionary Baptist Church tract); term 2 years (paid-up); royalty 26.00%; no top clause</t>
        </is>
      </c>
      <c r="J39" s="79" t="inlineStr">
        <is>
          <t>View Image</t>
        </is>
      </c>
    </row>
    <row r="40">
      <c r="A40" s="75" t="inlineStr">
        <is>
          <t>1999-000692</t>
        </is>
      </c>
      <c r="B40" s="75" t="inlineStr">
        <is>
          <t>Assignment of Oil and Gas Lease</t>
        </is>
      </c>
      <c r="C40" s="76" t="inlineStr">
        <is>
          <t>1590/497</t>
        </is>
      </c>
      <c r="D40" s="77" t="n">
        <v>36193</v>
      </c>
      <c r="E40" s="77" t="n">
        <v>36196</v>
      </c>
      <c r="F40" s="78" t="inlineStr">
        <is>
          <t>Tierra Trust Co.-Trustee</t>
        </is>
      </c>
      <c r="G40" s="78" t="inlineStr">
        <is>
          <t>Colt Development LLC</t>
        </is>
      </c>
      <c r="H40" s="78" t="inlineStr">
        <is>
          <t>SW/4 of Section 27-11N-25W, less 1 acre tract</t>
        </is>
      </c>
      <c r="I40" s="78" t="inlineStr">
        <is>
          <t xml:space="preserve">All right, title and interest in OGL at 220/83
</t>
        </is>
      </c>
      <c r="J40" s="79" t="inlineStr">
        <is>
          <t>View Image</t>
        </is>
      </c>
    </row>
    <row r="41">
      <c r="A41" s="75" t="inlineStr">
        <is>
          <t>1999-000945</t>
        </is>
      </c>
      <c r="B41" s="75" t="inlineStr">
        <is>
          <t>Oil and Gas Lease</t>
        </is>
      </c>
      <c r="C41" s="76" t="inlineStr">
        <is>
          <t>1592/347</t>
        </is>
      </c>
      <c r="D41" s="77" t="n">
        <v>36182</v>
      </c>
      <c r="E41" s="77" t="n">
        <v>36209</v>
      </c>
      <c r="F41" s="78" t="inlineStr">
        <is>
          <t>Mandrell Farms, Inc.</t>
        </is>
      </c>
      <c r="G41" s="78" t="inlineStr">
        <is>
          <t>Sanguine, Ltd.</t>
        </is>
      </c>
      <c r="H41" s="78" t="inlineStr">
        <is>
          <t>SW/4 Section 27-11N-25W, less 1.00-acre Buffalo Church tract; approx. 6.201 net acres presently unleased</t>
        </is>
      </c>
      <c r="I41" s="78" t="inlineStr">
        <is>
          <t>Base OGL #25: Sanguine, Ltd.; SW/4 Section 27-11N-25W, less 1.00-acre Buffalo Church tract; approx. 6.201 net acres presently unleased; term 6 months (paid-up); royalty 1/4; no top clause</t>
        </is>
      </c>
      <c r="J41" s="79" t="inlineStr">
        <is>
          <t>View Image</t>
        </is>
      </c>
    </row>
    <row r="42">
      <c r="A42" s="75" t="inlineStr">
        <is>
          <t>1999-000946</t>
        </is>
      </c>
      <c r="B42" s="75" t="inlineStr">
        <is>
          <t>Oil and Gas Lease</t>
        </is>
      </c>
      <c r="C42" s="76" t="inlineStr">
        <is>
          <t>1592/350</t>
        </is>
      </c>
      <c r="D42" s="77" t="n">
        <v>36166</v>
      </c>
      <c r="E42" s="77" t="n">
        <v>36209</v>
      </c>
      <c r="F42" s="78" t="inlineStr">
        <is>
          <t>Angela K. Allen</t>
        </is>
      </c>
      <c r="G42" s="78" t="inlineStr">
        <is>
          <t>Sanguine, Ltd.</t>
        </is>
      </c>
      <c r="H42" s="73" t="inlineStr">
        <is>
          <t>NW/4 of Section 27-11N-25W</t>
        </is>
      </c>
      <c r="I42" s="78" t="inlineStr">
        <is>
          <t>Base OGL #24: Sanguine, Ltd.; NW/4 of Section 27-11N-25W; term 6 months (paid-up); royalty 1/4; no top clause</t>
        </is>
      </c>
      <c r="J42" s="79" t="inlineStr">
        <is>
          <t>View Image</t>
        </is>
      </c>
    </row>
    <row r="43">
      <c r="A43" s="75" t="inlineStr">
        <is>
          <t>1999-000823</t>
        </is>
      </c>
      <c r="B43" s="75" t="inlineStr">
        <is>
          <t>Oil and Gas Lease</t>
        </is>
      </c>
      <c r="C43" s="76" t="inlineStr">
        <is>
          <t>1592/42</t>
        </is>
      </c>
      <c r="D43" s="77" t="n">
        <v>36129</v>
      </c>
      <c r="E43" s="77" t="n">
        <v>36203</v>
      </c>
      <c r="F43" s="78" t="inlineStr">
        <is>
          <t>Darcy Ann Coale</t>
        </is>
      </c>
      <c r="G43" s="78" t="inlineStr">
        <is>
          <t>Todco Properties, Inc.</t>
        </is>
      </c>
      <c r="H43" s="73" t="inlineStr">
        <is>
          <t>SE/4 of Section 27-11N-25W</t>
        </is>
      </c>
      <c r="I43" s="73" t="inlineStr">
        <is>
          <t>Base OGL #28: Todco Properties, Inc.; SE/4 of Section 27-11N-25W; term 1 year (paid-up); royalty 3/16; no top clause</t>
        </is>
      </c>
      <c r="J43" s="79" t="inlineStr">
        <is>
          <t>View Image</t>
        </is>
      </c>
    </row>
    <row r="44">
      <c r="A44" s="75" t="inlineStr">
        <is>
          <t>1999-000824</t>
        </is>
      </c>
      <c r="B44" s="75" t="inlineStr">
        <is>
          <t>Oil and Gas Lease</t>
        </is>
      </c>
      <c r="C44" s="76" t="inlineStr">
        <is>
          <t>1592/47</t>
        </is>
      </c>
      <c r="D44" s="77" t="n">
        <v>36129</v>
      </c>
      <c r="E44" s="77" t="n">
        <v>36203</v>
      </c>
      <c r="F44" s="78" t="inlineStr">
        <is>
          <t>Bennett Family Trust</t>
        </is>
      </c>
      <c r="G44" s="78" t="inlineStr">
        <is>
          <t>Todco Properties, Inc.</t>
        </is>
      </c>
      <c r="H44" s="78" t="inlineStr">
        <is>
          <t>SE/4 of Section 27-11N-25W</t>
        </is>
      </c>
      <c r="I44" s="78" t="inlineStr">
        <is>
          <t>Base OGL #27: Todco Properties, Inc.; SE/4 of Section 27-11N-25W; term 1 year (paid-up); royalty 3/16; no top clause</t>
        </is>
      </c>
      <c r="J44" s="79" t="inlineStr">
        <is>
          <t>View Image</t>
        </is>
      </c>
    </row>
    <row r="45">
      <c r="A45" s="75" t="inlineStr">
        <is>
          <t>1999-000825</t>
        </is>
      </c>
      <c r="B45" s="75" t="inlineStr">
        <is>
          <t>Oil and Gas Lease</t>
        </is>
      </c>
      <c r="C45" s="76" t="inlineStr">
        <is>
          <t>1592/52</t>
        </is>
      </c>
      <c r="D45" s="77" t="n">
        <v>36129</v>
      </c>
      <c r="E45" s="77" t="n">
        <v>36203</v>
      </c>
      <c r="F45" s="78" t="inlineStr">
        <is>
          <t>Laura Owens-Trust Bennett</t>
        </is>
      </c>
      <c r="G45" s="78" t="inlineStr">
        <is>
          <t>Todco Properties, Inc.</t>
        </is>
      </c>
      <c r="H45" s="78" t="inlineStr">
        <is>
          <t>SE/4 of Section 27-11N-25W</t>
        </is>
      </c>
      <c r="I45" s="78" t="inlineStr">
        <is>
          <t>Base OGL #26: Todco Properties, Inc.; SE/4 of Section 27-11N-25W; term 1 year (paid-up); royalty 3/16; no top clause</t>
        </is>
      </c>
      <c r="J45" s="79" t="inlineStr">
        <is>
          <t>View Image</t>
        </is>
      </c>
    </row>
    <row r="46">
      <c r="A46" s="75" t="inlineStr">
        <is>
          <t>1999-001533</t>
        </is>
      </c>
      <c r="B46" s="75" t="inlineStr">
        <is>
          <t>Assignment of Oil and Gas Lease</t>
        </is>
      </c>
      <c r="C46" s="76" t="inlineStr">
        <is>
          <t>1595/300</t>
        </is>
      </c>
      <c r="D46" s="77" t="n">
        <v>36167</v>
      </c>
      <c r="E46" s="77" t="n">
        <v>36234</v>
      </c>
      <c r="F46" s="78" t="inlineStr">
        <is>
          <t>Todco Properties, Inc.</t>
        </is>
      </c>
      <c r="G46" s="78" t="inlineStr">
        <is>
          <t>Kaiser-Francis Oil Co.</t>
        </is>
      </c>
      <c r="H46" s="73" t="inlineStr">
        <is>
          <t>SE/4 of Section 27-11N-25W</t>
        </is>
      </c>
      <c r="I46" s="78" t="inlineStr">
        <is>
          <t>All right, title and interest in OGLs at 1592/42, 1592/47, 1592/52</t>
        </is>
      </c>
      <c r="J46" s="79" t="inlineStr">
        <is>
          <t>View Image</t>
        </is>
      </c>
    </row>
    <row r="47">
      <c r="A47" s="75" t="inlineStr">
        <is>
          <t>1999-001451</t>
        </is>
      </c>
      <c r="B47" s="75" t="inlineStr">
        <is>
          <t>Assignment of Oil and Gas Lease</t>
        </is>
      </c>
      <c r="C47" s="76" t="inlineStr">
        <is>
          <t>1595/81</t>
        </is>
      </c>
      <c r="D47" s="77" t="n">
        <v>36196</v>
      </c>
      <c r="E47" s="77" t="n">
        <v>36231</v>
      </c>
      <c r="F47" s="78" t="inlineStr">
        <is>
          <t>St. Mary Land &amp; Exploration Co.</t>
        </is>
      </c>
      <c r="G47" s="78" t="inlineStr">
        <is>
          <t>Sanguine, Ltd.</t>
        </is>
      </c>
      <c r="H47" s="73" t="inlineStr">
        <is>
          <t>E/2 of Section 27-11N-25W</t>
        </is>
      </c>
      <c r="I47" s="73" t="inlineStr">
        <is>
          <t>an undivided 25.00% of Assignor's interest, in and to the oil and
gas leases at 1574/272, 1574/276, 1574/280, 1574/284</t>
        </is>
      </c>
      <c r="J47" s="79" t="inlineStr">
        <is>
          <t>View Image</t>
        </is>
      </c>
    </row>
    <row r="48">
      <c r="A48" s="75" t="inlineStr">
        <is>
          <t>1999-001977</t>
        </is>
      </c>
      <c r="B48" s="75" t="inlineStr">
        <is>
          <t>Assignment of Oil and Gas Lease</t>
        </is>
      </c>
      <c r="C48" s="76" t="inlineStr">
        <is>
          <t>1597/427</t>
        </is>
      </c>
      <c r="D48" s="77" t="n">
        <v>36101</v>
      </c>
      <c r="E48" s="77" t="n">
        <v>36255</v>
      </c>
      <c r="F48" s="78" t="inlineStr">
        <is>
          <t>French Energy, Inc.</t>
        </is>
      </c>
      <c r="G48" s="78" t="inlineStr">
        <is>
          <t>Sanguine, Ltd.</t>
        </is>
      </c>
      <c r="H48" s="73" t="inlineStr">
        <is>
          <t>N/2 of Section 27-11N-25W</t>
        </is>
      </c>
      <c r="I48" s="73" t="inlineStr">
        <is>
          <t>All right, title and interest in OGLs at 1580/79, 1580/83, 1580/87, 1580/91, 1580/99, 1580/103, 1580/107, 1580/111, 1580/115  [QC: duplicate index row removed]</t>
        </is>
      </c>
      <c r="J48" s="79" t="inlineStr">
        <is>
          <t>View Image</t>
        </is>
      </c>
    </row>
    <row r="49">
      <c r="A49" s="75" t="inlineStr">
        <is>
          <t>1999-002259</t>
        </is>
      </c>
      <c r="B49" s="75" t="inlineStr">
        <is>
          <t>Assignment of Oil and Gas Lease</t>
        </is>
      </c>
      <c r="C49" s="76" t="inlineStr">
        <is>
          <t>1599/227</t>
        </is>
      </c>
      <c r="D49" s="77" t="n">
        <v>36199</v>
      </c>
      <c r="E49" s="77" t="n">
        <v>36265</v>
      </c>
      <c r="F49" s="78" t="inlineStr">
        <is>
          <t>Todco Properties, Inc.</t>
        </is>
      </c>
      <c r="G49" s="78" t="inlineStr">
        <is>
          <t>Kaiser-Francis Oil Co.</t>
        </is>
      </c>
      <c r="H49" s="73" t="inlineStr">
        <is>
          <t>A 1 acre tract in the SW/4 of Section 27-11N-25W</t>
        </is>
      </c>
      <c r="I49" s="73" t="inlineStr">
        <is>
          <t>All right, title and interest in OGL at 1588/245</t>
        </is>
      </c>
      <c r="J49" s="79" t="inlineStr">
        <is>
          <t>View Image</t>
        </is>
      </c>
    </row>
    <row r="50">
      <c r="A50" s="75" t="inlineStr">
        <is>
          <t>1999-003760</t>
        </is>
      </c>
      <c r="B50" s="75" t="inlineStr">
        <is>
          <t>Oil and Gas Lease</t>
        </is>
      </c>
      <c r="C50" s="76" t="inlineStr">
        <is>
          <t>1605/598</t>
        </is>
      </c>
      <c r="D50" s="77" t="n">
        <v>36327</v>
      </c>
      <c r="E50" s="77" t="n">
        <v>36336</v>
      </c>
      <c r="F50" s="78" t="inlineStr">
        <is>
          <t>Colt Development, LLC</t>
        </is>
      </c>
      <c r="G50" s="78" t="inlineStr">
        <is>
          <t>Colt Development, LLC</t>
        </is>
      </c>
      <c r="H50" s="73" t="inlineStr">
        <is>
          <t>NW/4 of Section 27-11N-25W</t>
        </is>
      </c>
      <c r="I50" s="78" t="inlineStr">
        <is>
          <t>Base OGL #23: Colt Development, LLC; NW/4 of Section 27-11N-25W; term 1 year; royalty 1/4; no top clause</t>
        </is>
      </c>
      <c r="J50" s="79" t="inlineStr">
        <is>
          <t>View Image</t>
        </is>
      </c>
    </row>
    <row r="51">
      <c r="A51" s="75" t="inlineStr">
        <is>
          <t>1999-004222</t>
        </is>
      </c>
      <c r="B51" s="75" t="inlineStr">
        <is>
          <t>Oil and Gas Lease</t>
        </is>
      </c>
      <c r="C51" s="71" t="inlineStr">
        <is>
          <t>1608/63</t>
        </is>
      </c>
      <c r="D51" s="77" t="n">
        <v>36327</v>
      </c>
      <c r="E51" s="77" t="n">
        <v>36357</v>
      </c>
      <c r="F51" s="78" t="inlineStr">
        <is>
          <t>Clyde Pine 1990 Irrev Trust,
Sharon Pine1990 Irev Trust</t>
        </is>
      </c>
      <c r="G51" s="78" t="inlineStr">
        <is>
          <t>Colt Development, LLC</t>
        </is>
      </c>
      <c r="H51" s="78" t="inlineStr">
        <is>
          <t>NW/4 of Section 27-11N-25W</t>
        </is>
      </c>
      <c r="I51" s="78" t="inlineStr">
        <is>
          <t>Base OGL #22: Clyde &amp; Sharon Pine 1990 Irrevocable Trust; NW/4 of Section 27-11N-25W; term 1 year; royalty 1/4; no top clause</t>
        </is>
      </c>
      <c r="J51" s="79" t="inlineStr">
        <is>
          <t>View Image</t>
        </is>
      </c>
    </row>
    <row r="52">
      <c r="A52" s="75" t="inlineStr">
        <is>
          <t>1999-007881</t>
        </is>
      </c>
      <c r="B52" s="75" t="inlineStr">
        <is>
          <t>Lease</t>
        </is>
      </c>
      <c r="C52" s="76" t="inlineStr">
        <is>
          <t>1625/301</t>
        </is>
      </c>
      <c r="D52" s="77" t="n">
        <v>36464</v>
      </c>
      <c r="E52" s="77" t="n">
        <v>36524</v>
      </c>
      <c r="F52" s="78" t="inlineStr">
        <is>
          <t xml:space="preserve">Chloe E. Davis Rev Liv Trust </t>
        </is>
      </c>
      <c r="G52" s="78" t="inlineStr">
        <is>
          <t>Reliant Energy Gas Transmission Co.</t>
        </is>
      </c>
      <c r="H52" s="78" t="inlineStr">
        <is>
          <t>27-11N-25W</t>
        </is>
      </c>
      <c r="I52" s="78" t="inlineStr">
        <is>
          <t>Surface/pipeline lease.</t>
        </is>
      </c>
      <c r="J52" s="79" t="inlineStr">
        <is>
          <t>View Image</t>
        </is>
      </c>
    </row>
    <row r="53">
      <c r="A53" s="75" t="inlineStr">
        <is>
          <t>2000-000145</t>
        </is>
      </c>
      <c r="B53" s="75" t="inlineStr">
        <is>
          <t>Overriding Royalty Assignment</t>
        </is>
      </c>
      <c r="C53" s="76" t="inlineStr">
        <is>
          <t>1626/104</t>
        </is>
      </c>
      <c r="D53" s="77" t="n">
        <v>36524</v>
      </c>
      <c r="E53" s="77" t="n">
        <v>36535</v>
      </c>
      <c r="F53" s="78" t="inlineStr">
        <is>
          <t>Sanguine, Ltd.</t>
        </is>
      </c>
      <c r="G53" s="78" t="inlineStr">
        <is>
          <t>Richard L. Hauschild,  Jr., 1%,
Hal French, Inc., 1.625%,
Johnson Properties, LLC, 0.375%</t>
        </is>
      </c>
      <c r="H53" s="78" t="inlineStr">
        <is>
          <t>SW/4 of Section 27-11N-25W, less 1 acre tract</t>
        </is>
      </c>
      <c r="I53" s="78" t="inlineStr">
        <is>
          <t>ORRI in OGL at 220/83</t>
        </is>
      </c>
      <c r="J53" s="79" t="inlineStr">
        <is>
          <t>View Image</t>
        </is>
      </c>
    </row>
    <row r="54">
      <c r="A54" s="75" t="inlineStr">
        <is>
          <t>2000-000146</t>
        </is>
      </c>
      <c r="B54" s="75" t="inlineStr">
        <is>
          <t>Affidavit of Pooling</t>
        </is>
      </c>
      <c r="C54" s="76" t="inlineStr">
        <is>
          <t>1626/107</t>
        </is>
      </c>
      <c r="D54" s="77" t="n">
        <v>36523</v>
      </c>
      <c r="E54" s="77" t="n">
        <v>36535</v>
      </c>
      <c r="F54" s="78" t="inlineStr">
        <is>
          <t>Sanguine, Ltd.</t>
        </is>
      </c>
      <c r="G54" s="78" t="inlineStr">
        <is>
          <t>Public</t>
        </is>
      </c>
      <c r="H54" s="78" t="inlineStr">
        <is>
          <t>Section 27-11N-25W</t>
        </is>
      </c>
      <c r="I54" s="78" t="inlineStr">
        <is>
          <t>Pooling affidavit (Sec 27). HBP support.</t>
        </is>
      </c>
      <c r="J54" s="79" t="inlineStr">
        <is>
          <t>View Image</t>
        </is>
      </c>
    </row>
    <row r="55">
      <c r="A55" s="75" t="inlineStr">
        <is>
          <t>2000-001870</t>
        </is>
      </c>
      <c r="B55" s="75" t="inlineStr">
        <is>
          <t>Assignment of Oil and Gas Lease</t>
        </is>
      </c>
      <c r="C55" s="76" t="inlineStr">
        <is>
          <t>1634/250</t>
        </is>
      </c>
      <c r="D55" s="77" t="n">
        <v>36570</v>
      </c>
      <c r="E55" s="77" t="n">
        <v>36593</v>
      </c>
      <c r="F55" s="78" t="inlineStr">
        <is>
          <t>Colt Development, LLC</t>
        </is>
      </c>
      <c r="G55" s="78" t="inlineStr">
        <is>
          <t>Sanguine, Ltd.</t>
        </is>
      </c>
      <c r="H55" s="78" t="inlineStr">
        <is>
          <t>NW/4, SW/4 of Section 27-11N-25W, less 1 acre tract in the SW/4</t>
        </is>
      </c>
      <c r="I55" s="78" t="inlineStr">
        <is>
          <t>all of ASSIGNOR'S right, title and interest in and to the Oil and Gas Leases
described in Exhibit "A" attached hereto and made a part hereof insofar as said leases cover the lands in Beckham County, Oklahoma and the depth limitations set forth therein and the drilling and spacing unit for the Sanguine Ltd. Mandrell #2-27 Well (the "Well") located in the center of
the W/2 SE/4 of Section 27, Township 11 North, Range 25 West, Beckham County, Oklahoma; INSOFAR AND ONLY INSOFAR AS SAID LEASES COVER AND INCLUDE THE LANDS DESCRIBED ABOVE AND LIMITED TO THOSE DEPTHS FROM THE SURFACE OF THE EARTH DOWN TO THE STRATIGRAPHIC EQUIVALENT OF 17,860 FEET BEING THE DEEPEST DEPTH DRILLED IN THE MANDRELL #2-27 WELL LOCATED 1,320 FEET FROM THE SOUTH LINE AND 1,980 FEET FROM THE EAST LINE OF SECTION 27, TOWNSHIP 11 NORTH, RANGE 25 WEST, BECKHAM COUNTY, OKLAHOMA.
OGLs at 220/83, 1605/598</t>
        </is>
      </c>
      <c r="J55" s="79" t="inlineStr">
        <is>
          <t>View Image</t>
        </is>
      </c>
    </row>
    <row r="56">
      <c r="A56" s="75" t="inlineStr">
        <is>
          <t>2000-001871</t>
        </is>
      </c>
      <c r="B56" s="75" t="inlineStr">
        <is>
          <t>Assignment of Oil and Gas Lease</t>
        </is>
      </c>
      <c r="C56" s="76" t="inlineStr">
        <is>
          <t>1634/253</t>
        </is>
      </c>
      <c r="D56" s="77" t="n">
        <v>36570</v>
      </c>
      <c r="E56" s="77" t="n">
        <v>36593</v>
      </c>
      <c r="F56" s="78" t="inlineStr">
        <is>
          <t>Clyde Pine 1990 Irrev Trust,
Sharon Pine1990 Irev Trust</t>
        </is>
      </c>
      <c r="G56" s="73" t="inlineStr">
        <is>
          <t>Sanguine, Ltd.</t>
        </is>
      </c>
      <c r="H56" s="73" t="inlineStr">
        <is>
          <t>Section 27-11N-25W</t>
        </is>
      </c>
      <c r="I56" s="73" t="inlineStr">
        <is>
          <t>all of ASSIGNOR'S right, title and interest in and to the Oil and Gas Leases
described in Exhibit "A" attached hereto and made a part hereof insofar as said leases cover the lands in Beckham County, Oklahoma and the depth limitations set forth therein and the drilling and spacing unit for the Sanguine Ltd. Mandrell #2-27 Well (the "Well") located in the center of
the W/2 SE/4 of Section 27, Township 11 North, Range 25 West, Beckham County, Oklahoma; INSOFAR AND ONLY INSOFAR AS SAID LEASES COVER AND INCLUDE THE LANDS DESCRIBED ABOVE AND LIMITED TO THOSE DEPTHS FROM THE SURFACE OF THE EARTH DOWN TO THE STRATIGRAPHIC EQUIVALENT OF 17,860 FEET BEING THE DEEPEST DEPTH DRILLED IN THE MANDRELL #2-27 WELL LOCATED 1,320 FEET FROM THE SOUTH LINE AND 1,980 FEET FROM THE EAST LINE OF SECTION 27, TOWNSHIP 11 NORTH, RANGE 25 WEST, BECKHAM COUNTY, OKLAHOMA..
OGL at 1608/63</t>
        </is>
      </c>
      <c r="J56" s="79" t="inlineStr">
        <is>
          <t>View Image</t>
        </is>
      </c>
    </row>
    <row r="57">
      <c r="A57" s="75" t="inlineStr">
        <is>
          <t>2000-001894</t>
        </is>
      </c>
      <c r="B57" s="75" t="inlineStr">
        <is>
          <t>Corrected Assignment of Oil and Gas Lease</t>
        </is>
      </c>
      <c r="C57" s="76" t="inlineStr">
        <is>
          <t>1634/312</t>
        </is>
      </c>
      <c r="D57" s="77" t="n">
        <v>36574</v>
      </c>
      <c r="E57" s="77" t="n">
        <v>36594</v>
      </c>
      <c r="F57" s="78" t="inlineStr">
        <is>
          <t>Todco Properties, Inc.</t>
        </is>
      </c>
      <c r="G57" s="78" t="inlineStr">
        <is>
          <t>Kaiser-Francis Oil Co.</t>
        </is>
      </c>
      <c r="H57" s="73" t="inlineStr">
        <is>
          <t>A 1 acre tract in the SW/4 of Section 27-11N-25W</t>
        </is>
      </c>
      <c r="I57" s="73" t="inlineStr">
        <is>
          <t>Corrects Assn at 1599/227
All right, title and interest in OGL at 1588/245</t>
        </is>
      </c>
      <c r="J57" s="79" t="inlineStr">
        <is>
          <t>View Image</t>
        </is>
      </c>
    </row>
    <row r="58">
      <c r="A58" s="75" t="inlineStr">
        <is>
          <t>2000-002332</t>
        </is>
      </c>
      <c r="B58" s="75" t="inlineStr">
        <is>
          <t>Assignment of Overriding Royalty Interest</t>
        </is>
      </c>
      <c r="C58" s="76" t="inlineStr">
        <is>
          <t>1636/188</t>
        </is>
      </c>
      <c r="D58" s="77" t="n">
        <v>36451</v>
      </c>
      <c r="E58" s="77" t="n">
        <v>36609</v>
      </c>
      <c r="F58" s="73" t="inlineStr">
        <is>
          <t>Kaiser-Francis Oil Co.</t>
        </is>
      </c>
      <c r="G58" s="78" t="inlineStr">
        <is>
          <t>GBK Corporation</t>
        </is>
      </c>
      <c r="H58" s="78" t="inlineStr">
        <is>
          <t>Section 27-11N-25W</t>
        </is>
      </c>
      <c r="I58" s="73" t="inlineStr">
        <is>
          <t>3% ORRI assignment from Kaiser-Francis Oil Co. to GBK Corporation. [API instrument date 10/01/2000]  [QC: duplicate index row removed]</t>
        </is>
      </c>
      <c r="J58" s="79" t="inlineStr">
        <is>
          <t>View Image</t>
        </is>
      </c>
    </row>
    <row r="59">
      <c r="A59" s="75" t="inlineStr">
        <is>
          <t>2000-002333</t>
        </is>
      </c>
      <c r="B59" s="75" t="inlineStr">
        <is>
          <t>Assignment of Overriding Royalty Interest</t>
        </is>
      </c>
      <c r="C59" s="76" t="inlineStr">
        <is>
          <t>1636/190</t>
        </is>
      </c>
      <c r="D59" s="77" t="n">
        <v>36601</v>
      </c>
      <c r="E59" s="77" t="n">
        <v>36609</v>
      </c>
      <c r="F59" s="78" t="inlineStr">
        <is>
          <t>Kaiser-Francis Oil Co.</t>
        </is>
      </c>
      <c r="G59" s="78" t="inlineStr">
        <is>
          <t>Erick C. Lowe,
Brenda Lowe,
Craig M. Dolinsky,
Wayne A. Fields,
10 More…</t>
        </is>
      </c>
      <c r="H59" s="78" t="inlineStr">
        <is>
          <t>Section 27-11N-25W</t>
        </is>
      </c>
      <c r="I59" s="78" t="inlineStr">
        <is>
          <t>3% ORRI assignment from Kaiser-Francis Oil Co. to Erick C. Lowe + 4 others.</t>
        </is>
      </c>
      <c r="J59" s="79" t="inlineStr">
        <is>
          <t>View Image</t>
        </is>
      </c>
    </row>
    <row r="60">
      <c r="A60" s="75" t="inlineStr">
        <is>
          <t>2000-002754</t>
        </is>
      </c>
      <c r="B60" s="75" t="inlineStr">
        <is>
          <t>Assignment of Oil and Gas Lease</t>
        </is>
      </c>
      <c r="C60" s="76" t="inlineStr">
        <is>
          <t>1638/150</t>
        </is>
      </c>
      <c r="D60" s="77" t="n">
        <v>36619</v>
      </c>
      <c r="E60" s="77" t="n">
        <v>36623</v>
      </c>
      <c r="F60" s="78" t="inlineStr">
        <is>
          <t>Sanguine, Ltd.</t>
        </is>
      </c>
      <c r="G60" s="73" t="inlineStr">
        <is>
          <t>Vastar Resources, Inc., 50.00000%,
Enogex Exploration Corp., 12.50000%,
Palace Exploration Co., 17.50000%,
Sanguine, Ltd., 20.00000%</t>
        </is>
      </c>
      <c r="H60" s="73" t="inlineStr">
        <is>
          <t>SW/4 of Section 27-11N-25W, less 1 acre tract</t>
        </is>
      </c>
      <c r="I60" s="73" t="inlineStr">
        <is>
          <t>All right, title and interest in OGL at 220/83
The interests being assigned on this lease are to be on that certain interest only conveyed to Assignor in that certaln Assignment of Oll and Gas Leases dated February 14, 2000, from Colt Development, LL.C. and recorded In Book 1634, Page 250, of the records of Beckham County, Oklahoma.
Assignor excepts from this assignment and reserves unto itself, its
successors and assigns, a one percent (1%) overriding royalty interest.</t>
        </is>
      </c>
      <c r="J60" s="79" t="inlineStr">
        <is>
          <t>View Image</t>
        </is>
      </c>
    </row>
    <row r="61">
      <c r="A61" s="75" t="inlineStr">
        <is>
          <t>2000-002755</t>
        </is>
      </c>
      <c r="B61" s="75" t="inlineStr">
        <is>
          <t>Assignment of Oil and Gas Lease</t>
        </is>
      </c>
      <c r="C61" s="76" t="inlineStr">
        <is>
          <t>1638/153</t>
        </is>
      </c>
      <c r="D61" s="77" t="n">
        <v>36619</v>
      </c>
      <c r="E61" s="77" t="n">
        <v>36623</v>
      </c>
      <c r="F61" s="78" t="inlineStr">
        <is>
          <t>Sanguine, Ltd.</t>
        </is>
      </c>
      <c r="G61" s="73" t="inlineStr">
        <is>
          <t>Vastar Resources, Inc., 50.00000%,
Enogex Exploration Corp., 12.50000%,
Palace Exploration Co., 17.50000%,
Sanguine, Ltd., 20.00000%</t>
        </is>
      </c>
      <c r="H61" s="78" t="inlineStr">
        <is>
          <t>Section 27-11N-25W</t>
        </is>
      </c>
      <c r="I61" s="73" t="inlineStr">
        <is>
          <t>All right, title and interest in OGLs at 1605/598, 1608/63
*The Interests being assigned on these leases are from those certain interests only conveyed to Assignor by the following assignments, respectively: 1) Assignment of Oil and Gas Leases dated February 14, 2000, from Colt Development, L.L.C. and recorded in Book 1634, Page 250, and 2) Assignment of Oiland Gas Lease dated February 14, 2000, from Clyde &amp; Sharon Pine 1990 Irrevocable Trust and recorded In Book 1634, Page 253, all of the records of Beckham County, Oklahoma.</t>
        </is>
      </c>
      <c r="J61" s="79" t="inlineStr">
        <is>
          <t>View Image</t>
        </is>
      </c>
    </row>
    <row r="62">
      <c r="A62" s="75" t="inlineStr">
        <is>
          <t>2000-003520</t>
        </is>
      </c>
      <c r="B62" s="75" t="inlineStr">
        <is>
          <t>Overriding Royalty Assignment</t>
        </is>
      </c>
      <c r="C62" s="76" t="inlineStr">
        <is>
          <t>1641/318</t>
        </is>
      </c>
      <c r="D62" s="77" t="n">
        <v>36633</v>
      </c>
      <c r="E62" s="77" t="n">
        <v>36643</v>
      </c>
      <c r="F62" s="78" t="inlineStr">
        <is>
          <t>Sanguine, Ltd.</t>
        </is>
      </c>
      <c r="G62" s="78" t="inlineStr">
        <is>
          <t>Richard L. Jr. Hauschild,
Michael K. Barber,
Johnson Properties, LLC,
Hal French, Inc.</t>
        </is>
      </c>
      <c r="H62" s="78" t="inlineStr">
        <is>
          <t>Section 27-11N-25W</t>
        </is>
      </c>
      <c r="I62" s="78" t="inlineStr">
        <is>
          <t>ORRI assignment from Sanguine, Ltd. to Richard L. Jr. Hauschild + 3 others.</t>
        </is>
      </c>
      <c r="J62" s="79" t="inlineStr">
        <is>
          <t>View Image</t>
        </is>
      </c>
    </row>
    <row r="63">
      <c r="A63" s="75" t="inlineStr">
        <is>
          <t>2000-003521</t>
        </is>
      </c>
      <c r="B63" s="75" t="inlineStr">
        <is>
          <t>Assignment of Oil and Gas Lease</t>
        </is>
      </c>
      <c r="C63" s="76" t="inlineStr">
        <is>
          <t>1641/324</t>
        </is>
      </c>
      <c r="D63" s="77" t="n">
        <v>36634</v>
      </c>
      <c r="E63" s="77" t="n">
        <v>36643</v>
      </c>
      <c r="F63" s="78" t="inlineStr">
        <is>
          <t>Sanguine, Ltd.</t>
        </is>
      </c>
      <c r="G63" s="78" t="inlineStr">
        <is>
          <t>Don H. Nelson, 68.07430%,
Upland Resources, LLC, 2.52170%,
William J. Mayer, 7.70735,
Carol Adelson, 10.08675%,
Themistocles, Inc., 5.32795%,
Richard L. Hauschild, Jr., 3.99600%,
Barber Exploration Company, 1.33200%,
Tom Garner, 0.66600%,
Sanguine, Ltd. (Retains), 28795%</t>
        </is>
      </c>
      <c r="H63" s="78" t="inlineStr">
        <is>
          <t>SW/4, less a 1 acre tract of Section 27-11N-25W</t>
        </is>
      </c>
      <c r="I63" s="78" t="inlineStr">
        <is>
          <t>All right, title and interest in OGL at 220/83
The interests being assigned on this lease are to be on that certain leasehold Interest only retained by Assignor in that certain Assignment of Oill and Gas Leases dated April 3, 2000, to Vastar Resources, Inc., et al, and recorded in Book 1638, Page 150, of the records of Beckham County, Oklahoma.</t>
        </is>
      </c>
      <c r="J63" s="79" t="inlineStr">
        <is>
          <t>View Image</t>
        </is>
      </c>
    </row>
    <row r="64">
      <c r="A64" s="75" t="inlineStr">
        <is>
          <t>2000-003522</t>
        </is>
      </c>
      <c r="B64" s="75" t="inlineStr">
        <is>
          <t>Assignment of Oil and Gas Lease</t>
        </is>
      </c>
      <c r="C64" s="76" t="inlineStr">
        <is>
          <t>1641/327</t>
        </is>
      </c>
      <c r="D64" s="77" t="n">
        <v>36635</v>
      </c>
      <c r="E64" s="77" t="n">
        <v>36643</v>
      </c>
      <c r="F64" s="78" t="inlineStr">
        <is>
          <t>Sanguine, Ltd.</t>
        </is>
      </c>
      <c r="G64" s="78" t="inlineStr">
        <is>
          <t>Don H. Nelson, 68.07430%,
Upland Resources, LLC, 2.52170%,
William J. Mayer, 7.70735,
Carol Adelson, 10.08675%,
Themistocles, Inc., 5.32795%,
Richard L. Hauschild, Jr., 3.99600%,
Barber Exploration Company, 1.33200%,
Tom Garner, 0.66600%,
Sanguine, Ltd. (Retains), 28795%</t>
        </is>
      </c>
      <c r="H64" s="78" t="inlineStr">
        <is>
          <t>NW/4 of Section 27-11N-25W</t>
        </is>
      </c>
      <c r="I64" s="78" t="inlineStr">
        <is>
          <t>All right, title and interest in OGLs at 1605/598, 1608/63
The interests being assigned on this lease are to be on that certain leasehold Interest only retained by Assignor in that certain Assignment of Oill and Gas Leases dated April 3, 2000, to Vastar Resources, Inc., et al, and recorded in Book 1638, Page 150, of the records of Beckham County, Oklahoma.</t>
        </is>
      </c>
      <c r="J64" s="79" t="inlineStr">
        <is>
          <t>View Image</t>
        </is>
      </c>
    </row>
    <row r="65">
      <c r="A65" s="75" t="inlineStr">
        <is>
          <t>2000-003523</t>
        </is>
      </c>
      <c r="B65" s="75" t="inlineStr">
        <is>
          <t>Assignment</t>
        </is>
      </c>
      <c r="C65" s="76" t="inlineStr">
        <is>
          <t>1641/330</t>
        </is>
      </c>
      <c r="D65" s="77" t="n">
        <v>36636</v>
      </c>
      <c r="E65" s="77" t="n">
        <v>36643</v>
      </c>
      <c r="F65" s="78" t="inlineStr">
        <is>
          <t>Sanguine, Ltd.</t>
        </is>
      </c>
      <c r="G65" s="73" t="inlineStr">
        <is>
          <t>Don H. Nelson, 13.61486%,
Vastar Resources, Inc., 50.00000%,
Enogex Exploration Corporation, 12.50000%,
Palace Exploration Company, 17.50000%,
Upland Resources, L.L.C., 0.5043%,
William J. Mayer, 1.54147%,
Carol Adelson, 2.01735%,
Themistocles, Inc., 1.06559%,
Richard L. Hauschild, Jr., 0.79920%,
Barber Exploration Company, 0.26640%,
Tom Garner, 0.13320%,
Sanguine, Ltd. (Retains), 0.05759%</t>
        </is>
      </c>
      <c r="H65" s="78" t="inlineStr">
        <is>
          <t>Section 27-11N-25W</t>
        </is>
      </c>
      <c r="I65" s="73" t="inlineStr">
        <is>
          <t>All of Assignor's right, title and interest in and to those rights acquired ftrom Unlon Oil Company of California, MMB-America, Ltd., Robert J. Moody, Jr., Jay Balentine and The GHK Company under Oklahoma Corporation Commission Cause CD No. 980004527, Order No. 429172, dated December 28, 1998.
Assignor hereby excepts from this assignment and reserves unto itself, its
successors and assigns, a one percent (1%) overriding royalty interest.</t>
        </is>
      </c>
      <c r="J65" s="79" t="inlineStr">
        <is>
          <t>View Image</t>
        </is>
      </c>
    </row>
    <row r="66">
      <c r="A66" s="75" t="inlineStr">
        <is>
          <t>2000-003524</t>
        </is>
      </c>
      <c r="B66" s="75" t="inlineStr">
        <is>
          <t>Assignment of Oil and Gas Lease</t>
        </is>
      </c>
      <c r="C66" s="76" t="inlineStr">
        <is>
          <t>1641/332</t>
        </is>
      </c>
      <c r="D66" s="77" t="n">
        <v>36637</v>
      </c>
      <c r="E66" s="77" t="n">
        <v>36643</v>
      </c>
      <c r="F66" s="78" t="inlineStr">
        <is>
          <t>Sanguine, Ltd.</t>
        </is>
      </c>
      <c r="G66" s="73" t="inlineStr">
        <is>
          <t>Don H. Nelson, 13.61486%,
Vastar Resources, Inc., 50.00000%,
Enogex Exploration Corporation, 12.50000%,
Palace Exploration Company, 17.50000%,
Upland Resources, L.L.C., 0.5043%,
William J. Mayer, 1.54147%,
Carol Adelson, 2.01735%,
Themistocles, Inc., 1.06559%,
Richard L. Hauschild, Jr., 0.79920%,
Barber Exploration Company, 0.26640%,
Tom Garner, 0.13320%,
Sanguine, Ltd. (Retains), 0.05759%</t>
        </is>
      </c>
      <c r="H66" s="78" t="inlineStr">
        <is>
          <t>Section 27-11N-25W</t>
        </is>
      </c>
      <c r="I66" s="78" t="inlineStr">
        <is>
          <t>All right, title and interest in OGLs at 1574/272, 1574/276, 1574/280, 1574/284, 1580/79, 1580/83, 1580/87, 1580/91, 1580/99, 1580/103, 1580/107, 1580/111, 1580/115, 1580/129, 1592/350, ACREAGE ACQUIRED FROM UNIVERSAL RESOURCES CORPORATION UNDER OKLAHOMA CORPORATION
COMMISSION CAUSE CD NO. 980004527, ORDER NO. 429172, DATED DECEMBER 28, 1998, COVERING LANDS IN SECTION 27-11N-25W, BECKHAM COUNTY, OKLAHOMA.
**The interests being assigned on these leases are from that certain leasehold interest assigned to Assignor by that certain Assignment of Oll and Gas Leases dated February 5, 1999, from St. Mary Land &amp; Exploration
Company and recorded in Book 1595, Page 81, of the records of Beckham County, Oklahoma.</t>
        </is>
      </c>
      <c r="J66" s="79" t="inlineStr">
        <is>
          <t>View Image</t>
        </is>
      </c>
    </row>
    <row r="67">
      <c r="A67" s="75" t="inlineStr">
        <is>
          <t>2000-003525</t>
        </is>
      </c>
      <c r="B67" s="75" t="inlineStr">
        <is>
          <t>Assignment</t>
        </is>
      </c>
      <c r="C67" s="76" t="inlineStr">
        <is>
          <t>1641/337</t>
        </is>
      </c>
      <c r="D67" s="77" t="n">
        <v>36640</v>
      </c>
      <c r="E67" s="77" t="n">
        <v>36643</v>
      </c>
      <c r="F67" s="78" t="inlineStr">
        <is>
          <t>Sanguine, Ltd.</t>
        </is>
      </c>
      <c r="G67" s="78" t="inlineStr">
        <is>
          <t>Don H. Nelson, 65.28137%,
Palace Exploration Company, 17.50000%,
Upland Resources, L.L.C., 0.50434%,
William J. Mayer, 3.56336%,
Carol Adelson, 2.01735%,
Themistocles, Inc., 5.10938%,
Richard L. Hauschild, Jr., 3.83203%,
Barber Exploration Company, 1.27734%,
Tom Garner, 0.63867%,
Sanguine, Ltd. (Retains), .27616%</t>
        </is>
      </c>
      <c r="H67" s="78" t="inlineStr">
        <is>
          <t>Section 27-11N-25W</t>
        </is>
      </c>
      <c r="I67" s="78" t="inlineStr">
        <is>
          <t>All Assignor's right, title and interest in and to those rights acquired from St. Mary Land &amp; Exploration Company under Oklahoma Corporation Commisslon Cause CD No. 980004527, Order No. 429172, dated December 28, 1998, covering lands in Section 27-11N-25W, Beckham County, Oklahoma</t>
        </is>
      </c>
      <c r="J67" s="79" t="inlineStr">
        <is>
          <t>View Image</t>
        </is>
      </c>
    </row>
    <row r="68">
      <c r="A68" s="75" t="inlineStr">
        <is>
          <t>2000-003526</t>
        </is>
      </c>
      <c r="B68" s="75" t="inlineStr">
        <is>
          <t>Assignment of Oil and Gas Lease</t>
        </is>
      </c>
      <c r="C68" s="76" t="inlineStr">
        <is>
          <t>1641/339</t>
        </is>
      </c>
      <c r="D68" s="77" t="n">
        <v>36641</v>
      </c>
      <c r="E68" s="77" t="n">
        <v>36643</v>
      </c>
      <c r="F68" s="78" t="inlineStr">
        <is>
          <t>Sanguine, Ltd.</t>
        </is>
      </c>
      <c r="G68" s="78" t="inlineStr">
        <is>
          <t>Don H. Nelson, 23.94817%,
Vastar Resources, Inc., 50.00000%,
Palace Exploration Company, 17.50000%,
Upland Resources, L.L.C., .50434%,
William J. Mayer, 1.94585%,
Carol Adelson, 2.01735%,
Themistocies, Inc., 1.87435%,
Richard L. Hauschild, Jr., 1.40576%,
Barber Exploration Company, 0.46858%,
Tom Garner, 0.23429%,
Sanguine, Ltd. (Retalns), 0.10131%,</t>
        </is>
      </c>
      <c r="H68" s="78" t="inlineStr">
        <is>
          <t>SW/4, less a 1 acre tract of Section 27-11N-25W</t>
        </is>
      </c>
      <c r="I68" s="78" t="inlineStr">
        <is>
          <t>All right, title and interest in OGL at 1592/347
Assignor excepts from this assignment and reserves unto itself, its
successors and assigns, a one percent (1%) overriding royalty interest,</t>
        </is>
      </c>
      <c r="J68" s="79" t="inlineStr">
        <is>
          <t>View Image</t>
        </is>
      </c>
    </row>
    <row r="69">
      <c r="A69" s="75" t="inlineStr">
        <is>
          <t>2000-010162</t>
        </is>
      </c>
      <c r="B69" s="75" t="inlineStr">
        <is>
          <t>Oil and Gas Lease</t>
        </is>
      </c>
      <c r="C69" s="76" t="inlineStr">
        <is>
          <t>1672/130</t>
        </is>
      </c>
      <c r="D69" s="77" t="n">
        <v>36830</v>
      </c>
      <c r="E69" s="77" t="n">
        <v>36857</v>
      </c>
      <c r="F69" s="78" t="inlineStr">
        <is>
          <t>Chloe E. Davis Revocable Living Trust</t>
        </is>
      </c>
      <c r="G69" s="78" t="inlineStr">
        <is>
          <t>Sanguine, Ltd.</t>
        </is>
      </c>
      <c r="H69" s="78" t="inlineStr">
        <is>
          <t>NE/4 Section 27-11N-25W</t>
        </is>
      </c>
      <c r="I69" s="78" t="inlineStr">
        <is>
          <t>Base OGL #21: Sanguine, Ltd.; NE/4 Section 27-11N-25W; term 9 months (paid-up); royalty 3/16; no top clause</t>
        </is>
      </c>
      <c r="J69" s="79" t="inlineStr">
        <is>
          <t>View Image</t>
        </is>
      </c>
    </row>
    <row r="70">
      <c r="A70" s="75" t="inlineStr">
        <is>
          <t>2000-010163</t>
        </is>
      </c>
      <c r="B70" s="75" t="inlineStr">
        <is>
          <t>Oil and Gas Lease</t>
        </is>
      </c>
      <c r="C70" s="76" t="inlineStr">
        <is>
          <t>1672/134</t>
        </is>
      </c>
      <c r="D70" s="77" t="n">
        <v>36830</v>
      </c>
      <c r="E70" s="77" t="n">
        <v>36857</v>
      </c>
      <c r="F70" s="78" t="inlineStr">
        <is>
          <t>Calvin W. Fuchs Revocable Trust</t>
        </is>
      </c>
      <c r="G70" s="78" t="inlineStr">
        <is>
          <t>Sanguine, Ltd.</t>
        </is>
      </c>
      <c r="H70" s="78" t="inlineStr">
        <is>
          <t>SE/4 of Section 27-11N-25W</t>
        </is>
      </c>
      <c r="I70" s="78" t="inlineStr">
        <is>
          <t>Base OGL #20: Sanguine, Ltd.; SE/4 of Section 27-11N-25W; term 9 months (paid-up); royalty 3/16; no top clause</t>
        </is>
      </c>
      <c r="J70" s="79" t="inlineStr">
        <is>
          <t>View Image</t>
        </is>
      </c>
    </row>
    <row r="71">
      <c r="A71" s="75" t="inlineStr">
        <is>
          <t>2000-010164</t>
        </is>
      </c>
      <c r="B71" s="75" t="inlineStr">
        <is>
          <t>Oil and Gas Lease</t>
        </is>
      </c>
      <c r="C71" s="76" t="inlineStr">
        <is>
          <t>1672/137</t>
        </is>
      </c>
      <c r="D71" s="77" t="n">
        <v>36830</v>
      </c>
      <c r="E71" s="77" t="n">
        <v>36857</v>
      </c>
      <c r="F71" s="78" t="inlineStr">
        <is>
          <t>Howard G. Trust Fuchs</t>
        </is>
      </c>
      <c r="G71" s="78" t="inlineStr">
        <is>
          <t>Sanguine, Ltd.</t>
        </is>
      </c>
      <c r="H71" s="78" t="inlineStr">
        <is>
          <t>SE/4 of Section 27-11N-25W</t>
        </is>
      </c>
      <c r="I71" s="78" t="inlineStr">
        <is>
          <t>Base OGL #19: Sanguine, Ltd.; SE/4 of Section 27-11N-25W; term 9 months (paid-up); royalty 3/16; no top clause</t>
        </is>
      </c>
      <c r="J71" s="79" t="inlineStr">
        <is>
          <t>View Image</t>
        </is>
      </c>
    </row>
    <row r="72">
      <c r="A72" s="75" t="inlineStr">
        <is>
          <t>2000-010165</t>
        </is>
      </c>
      <c r="B72" s="75" t="inlineStr">
        <is>
          <t>Oil and Gas Lease</t>
        </is>
      </c>
      <c r="C72" s="76" t="inlineStr">
        <is>
          <t>1672/141</t>
        </is>
      </c>
      <c r="D72" s="77" t="n">
        <v>36830</v>
      </c>
      <c r="E72" s="77" t="n">
        <v>36857</v>
      </c>
      <c r="F72" s="78" t="inlineStr">
        <is>
          <t>F. Jeanice Fuchs,
Jeanice - a/k/a Fuchs,
Alfred R. Fuchs</t>
        </is>
      </c>
      <c r="G72" s="78" t="inlineStr">
        <is>
          <t>Sanguine, Ltd.</t>
        </is>
      </c>
      <c r="H72" s="78" t="inlineStr">
        <is>
          <t>SE/4 of Section 27-11N-25W</t>
        </is>
      </c>
      <c r="I72" s="78" t="inlineStr">
        <is>
          <t>Base OGL #18: Sanguine, Ltd.; SE/4 of Section 27-11N-25W; term 9 months (paid-up); royalty 3/16; no top clause</t>
        </is>
      </c>
      <c r="J72" s="79" t="inlineStr">
        <is>
          <t>View Image</t>
        </is>
      </c>
    </row>
    <row r="73">
      <c r="A73" s="75" t="inlineStr">
        <is>
          <t>2001-001210</t>
        </is>
      </c>
      <c r="B73" s="75" t="inlineStr">
        <is>
          <t>Overriding Royalty Assignment</t>
        </is>
      </c>
      <c r="C73" s="76" t="inlineStr">
        <is>
          <t>1682/429</t>
        </is>
      </c>
      <c r="D73" s="77" t="n">
        <v>36936</v>
      </c>
      <c r="E73" s="77" t="n">
        <v>36942</v>
      </c>
      <c r="F73" s="78" t="inlineStr">
        <is>
          <t>Sanguine, Ltd.</t>
        </is>
      </c>
      <c r="G73" s="78" t="inlineStr">
        <is>
          <t>Richard L. Jr. Hauschild,
Michael K. Barber,
Johnson Properties, LLC,
Hal French, Inc.</t>
        </is>
      </c>
      <c r="H73" s="78" t="inlineStr">
        <is>
          <t>Section 27-11N-25W</t>
        </is>
      </c>
      <c r="I73" s="78" t="inlineStr">
        <is>
          <t>ORRI assignment from Sanguine, Ltd. to Richard L. Jr. Hauschild + 3 others.</t>
        </is>
      </c>
      <c r="J73" s="79" t="inlineStr">
        <is>
          <t>View Image</t>
        </is>
      </c>
    </row>
    <row r="74">
      <c r="A74" s="75" t="inlineStr">
        <is>
          <t>2001-001211</t>
        </is>
      </c>
      <c r="B74" s="75" t="inlineStr">
        <is>
          <t>Assignment of Oil and Gas Lease</t>
        </is>
      </c>
      <c r="C74" s="76" t="inlineStr">
        <is>
          <t>1682/432</t>
        </is>
      </c>
      <c r="D74" s="77" t="n">
        <v>36937</v>
      </c>
      <c r="E74" s="77" t="n">
        <v>36942</v>
      </c>
      <c r="F74" s="78" t="inlineStr">
        <is>
          <t>Sanguine, Ltd.</t>
        </is>
      </c>
      <c r="G74" s="78" t="inlineStr">
        <is>
          <t>Don H. Nelson, 52.36474%,
Upland Resources, L.L.C., 0.50434%,
William J. Mayer, 3.05789%,
Carol Adelson, 2.01735%, Themistocles, Inc., 4.09843%,
Richard L. Hauschild, Jr., 3.07383%,
Barber Exploration Company, 1.02460% 
Tom Garner, .51230%,
Enogex Exploration Corporation, 3.12500%,
Palace Exploration Company, 17.50000%,
Sanguine, Ltd. (Retains), 12.72152%</t>
        </is>
      </c>
      <c r="H74" s="78" t="inlineStr">
        <is>
          <t>E/2 of Section 27-11N-25W covering only those rights beneath 100 feet below the total depth drilled (17,860 feet) In the Sanguine, Ltd. Mandrell #2-27 well located in the W/2 SE/4 of Section 27-11N-25W</t>
        </is>
      </c>
      <c r="I74" s="78" t="inlineStr">
        <is>
          <t>All right, title and interest in OGLs at  1672/130, 1672/134, 1672/137,  1672/141</t>
        </is>
      </c>
      <c r="J74" s="79" t="inlineStr">
        <is>
          <t>View Image</t>
        </is>
      </c>
    </row>
    <row r="75">
      <c r="A75" s="75" t="inlineStr">
        <is>
          <t>2001-002245</t>
        </is>
      </c>
      <c r="B75" s="75" t="inlineStr">
        <is>
          <t>Oil and Gas Lease</t>
        </is>
      </c>
      <c r="C75" s="76" t="inlineStr">
        <is>
          <t>1687/160</t>
        </is>
      </c>
      <c r="D75" s="77" t="n">
        <v>36831</v>
      </c>
      <c r="E75" s="77" t="n">
        <v>36979</v>
      </c>
      <c r="F75" s="78" t="inlineStr">
        <is>
          <t>Bennett Family Trust</t>
        </is>
      </c>
      <c r="G75" s="78" t="inlineStr">
        <is>
          <t>Todco Properties, Inc.</t>
        </is>
      </c>
      <c r="H75" s="78" t="inlineStr">
        <is>
          <t>SE/4 of Section 27-11N-25W</t>
        </is>
      </c>
      <c r="I75" s="78" t="inlineStr">
        <is>
          <t>Base OGL #17: Todco Properties, Inc.; SE/4 of Section 27-11N-25W; term 1 year (paid-up); royalty 3/16; no top clause</t>
        </is>
      </c>
      <c r="J75" s="79" t="inlineStr">
        <is>
          <t>View Image</t>
        </is>
      </c>
    </row>
    <row r="76">
      <c r="A76" s="75" t="inlineStr">
        <is>
          <t>2001-002246</t>
        </is>
      </c>
      <c r="B76" s="75" t="inlineStr">
        <is>
          <t>Oil and Gas Lease</t>
        </is>
      </c>
      <c r="C76" s="76" t="inlineStr">
        <is>
          <t>1687/165</t>
        </is>
      </c>
      <c r="D76" s="77" t="n">
        <v>36831</v>
      </c>
      <c r="E76" s="77" t="n">
        <v>36979</v>
      </c>
      <c r="F76" s="78" t="inlineStr">
        <is>
          <t>Darcy Ann Coale</t>
        </is>
      </c>
      <c r="G76" s="78" t="inlineStr">
        <is>
          <t>Todco Properties, Inc.</t>
        </is>
      </c>
      <c r="H76" s="78" t="inlineStr">
        <is>
          <t>SE/4 of Section 27-11N-25W</t>
        </is>
      </c>
      <c r="I76" s="78" t="inlineStr">
        <is>
          <t>Base OGL #16: Todco Properties, Inc.; SE/4 of Section 27-11N-25W; term 1 year (paid-up); royalty 3/16; no top clause</t>
        </is>
      </c>
      <c r="J76" s="79" t="inlineStr">
        <is>
          <t>View Image</t>
        </is>
      </c>
    </row>
    <row r="77">
      <c r="A77" s="75" t="inlineStr">
        <is>
          <t>2001-002247</t>
        </is>
      </c>
      <c r="B77" s="75" t="inlineStr">
        <is>
          <t>Oil and Gas Lease</t>
        </is>
      </c>
      <c r="C77" s="76" t="inlineStr">
        <is>
          <t>1687/170</t>
        </is>
      </c>
      <c r="D77" s="77" t="n">
        <v>36831</v>
      </c>
      <c r="E77" s="77" t="n">
        <v>36979</v>
      </c>
      <c r="F77" s="78" t="inlineStr">
        <is>
          <t>Laura Owens Trust Bennett</t>
        </is>
      </c>
      <c r="G77" s="78" t="inlineStr">
        <is>
          <t>Todco Properties, Inc.</t>
        </is>
      </c>
      <c r="H77" s="78" t="inlineStr">
        <is>
          <t>SE/4 of Section 27-11N-25W</t>
        </is>
      </c>
      <c r="I77" s="78" t="inlineStr">
        <is>
          <t>Base OGL #15: Todco Properties, Inc.; SE/4 of Section 27-11N-25W; term 1 year (paid-up); royalty 3/16; no top clause</t>
        </is>
      </c>
      <c r="J77" s="79" t="inlineStr">
        <is>
          <t>View Image</t>
        </is>
      </c>
    </row>
    <row r="78">
      <c r="A78" s="75" t="inlineStr">
        <is>
          <t>2001-002330</t>
        </is>
      </c>
      <c r="B78" s="75" t="inlineStr">
        <is>
          <t>Partial Assignment of Oil and Gas Lease</t>
        </is>
      </c>
      <c r="C78" s="76" t="inlineStr">
        <is>
          <t>1687/385</t>
        </is>
      </c>
      <c r="D78" s="77" t="n">
        <v>36640</v>
      </c>
      <c r="E78" s="77" t="n">
        <v>36983</v>
      </c>
      <c r="F78" s="78" t="inlineStr">
        <is>
          <t>Carol Adelson,
Upland Resources, LLC,
Sanguine, Ltd.,
Enogex Exploration
Corporation, 
Palace Exploration Company, Don H. Nelson,
Themistocles, Inc., 
Richard L. Hauschild, Jr., 
Tom Garner, 
William J. Mayer, 
Barber Exploration Company</t>
        </is>
      </c>
      <c r="G78" s="78" t="inlineStr">
        <is>
          <t>Clyde &amp; Sharon Pine 1990 Irrevocable Trust</t>
        </is>
      </c>
      <c r="H78" s="78" t="inlineStr">
        <is>
          <t>NW/4 of Section 27-11N-25W</t>
        </is>
      </c>
      <c r="I78" s="78" t="inlineStr">
        <is>
          <t>An undivided twenty-five percent (25%) of each of the Assignors' interest in and to the interest which was assigned to Sanguine, Ltd. by the Clyde &amp; Sharon Pine 1990 Irrevocable Trust by that certain Assignment of Oll and Gas Leases dated February 14, 2000, and recorded in Book 1634, Page 253, of the records of Beckham County, Oklahoma, in and to the oil and gas lease at 1608/63</t>
        </is>
      </c>
      <c r="J78" s="79" t="inlineStr">
        <is>
          <t>View Image</t>
        </is>
      </c>
    </row>
    <row r="79">
      <c r="A79" s="75" t="inlineStr">
        <is>
          <t>2001-002562</t>
        </is>
      </c>
      <c r="B79" s="75" t="inlineStr">
        <is>
          <t>Assignment of Oil and Gas Lease</t>
        </is>
      </c>
      <c r="C79" s="76" t="inlineStr">
        <is>
          <t>1688/389</t>
        </is>
      </c>
      <c r="D79" s="77" t="n">
        <v>36949</v>
      </c>
      <c r="E79" s="77" t="n">
        <v>36993</v>
      </c>
      <c r="F79" s="78" t="inlineStr">
        <is>
          <t>Todco Properties, Inc.</t>
        </is>
      </c>
      <c r="G79" s="78" t="inlineStr">
        <is>
          <t>Kaiser-Francis Oil Co.</t>
        </is>
      </c>
      <c r="H79" s="78" t="inlineStr">
        <is>
          <t>SE/4 of Section 27-11N-25W</t>
        </is>
      </c>
      <c r="I79" s="78" t="inlineStr">
        <is>
          <t>All right, title and interest in Ogls at 1687/160, 1687/165, 1687/170</t>
        </is>
      </c>
      <c r="J79" s="79" t="inlineStr">
        <is>
          <t>View Image</t>
        </is>
      </c>
    </row>
    <row r="80">
      <c r="A80" s="75" t="inlineStr">
        <is>
          <t>2001-002790</t>
        </is>
      </c>
      <c r="B80" s="75" t="inlineStr">
        <is>
          <t>Assignment of Overriding Royalty Interest</t>
        </is>
      </c>
      <c r="C80" s="76" t="inlineStr">
        <is>
          <t>1689/339</t>
        </is>
      </c>
      <c r="D80" s="77" t="n">
        <v>36993</v>
      </c>
      <c r="E80" s="77" t="n">
        <v>37001</v>
      </c>
      <c r="F80" s="78" t="inlineStr">
        <is>
          <t>Palace Exploration Company</t>
        </is>
      </c>
      <c r="G80" s="78" t="inlineStr">
        <is>
          <t>Not Stated In Index</t>
        </is>
      </c>
      <c r="H80" s="78" t="inlineStr">
        <is>
          <t>Section 27-11N-25W</t>
        </is>
      </c>
      <c r="I80" s="78" t="inlineStr">
        <is>
          <t>ORRI assignment from Palace Exploration Company to Not Stated In Index.</t>
        </is>
      </c>
      <c r="J80" s="79" t="inlineStr">
        <is>
          <t>View Image</t>
        </is>
      </c>
    </row>
    <row r="81">
      <c r="A81" s="75" t="inlineStr">
        <is>
          <t>2001-003547</t>
        </is>
      </c>
      <c r="B81" s="75" t="inlineStr">
        <is>
          <t>Partial Assignment of Oil and Gas Lease</t>
        </is>
      </c>
      <c r="C81" s="76" t="inlineStr">
        <is>
          <t>1692/565</t>
        </is>
      </c>
      <c r="D81" s="77" t="n">
        <v>36830</v>
      </c>
      <c r="E81" s="77" t="n">
        <v>37025</v>
      </c>
      <c r="F81" s="78" t="inlineStr">
        <is>
          <t>Carol Adelson,
Upland Resources, LLC,
Sanguine, Ltd.,
Enogex Exploration
Corporation, 
Palace Exploration Company, Don H. Nelson,
Themistocles, Inc., 
Richard L. Hauschild, Jr., 
Tom Garner, 
William J. Mayer, 
Barber Exploration Company</t>
        </is>
      </c>
      <c r="G81" s="78" t="inlineStr">
        <is>
          <t>Colt Development, LLC</t>
        </is>
      </c>
      <c r="H81" s="78" t="inlineStr">
        <is>
          <t>NW/4, SW/4 of Section 27-11N-25W, less 1 acre tract in the SW/4</t>
        </is>
      </c>
      <c r="I81" s="78" t="inlineStr">
        <is>
          <t>An undivided twenty-five percent (25%) of each of the Assignors' interest in and to the interest which was assigned to Sanguine, Ltd. by the Clyde &amp; Sharon Pine 1990 Irrevocable Trust by that certain Assignment of Oll and Gas Leases dated February 14, 2000, and recorded in Book 1634, Page 253, of the records of Beckham County, Oklahoma, in and to the oil and gas leases at 220/83, 1605/598</t>
        </is>
      </c>
      <c r="J81" s="79" t="inlineStr">
        <is>
          <t>View Image</t>
        </is>
      </c>
    </row>
    <row r="82">
      <c r="A82" s="75" t="inlineStr">
        <is>
          <t>2001-004119</t>
        </is>
      </c>
      <c r="B82" s="75" t="inlineStr">
        <is>
          <t>Assignment of Overriding Royalty Interest</t>
        </is>
      </c>
      <c r="C82" s="76" t="inlineStr">
        <is>
          <t>1696/166</t>
        </is>
      </c>
      <c r="D82" s="77" t="n">
        <v>37042</v>
      </c>
      <c r="E82" s="77" t="n">
        <v>37046</v>
      </c>
      <c r="F82" s="78" t="inlineStr">
        <is>
          <t>Palace Exploration Company</t>
        </is>
      </c>
      <c r="G82" s="78" t="inlineStr">
        <is>
          <t>R. Z., Inc.</t>
        </is>
      </c>
      <c r="H82" s="78" t="inlineStr">
        <is>
          <t>Section 27-11N-25W</t>
        </is>
      </c>
      <c r="I82" s="78" t="inlineStr">
        <is>
          <t>ORRI assignment from Palace Exploration Company to R. Z., Inc.</t>
        </is>
      </c>
      <c r="J82" s="79" t="inlineStr">
        <is>
          <t>View Image</t>
        </is>
      </c>
    </row>
    <row r="83">
      <c r="A83" s="75" t="inlineStr">
        <is>
          <t>2001-005848</t>
        </is>
      </c>
      <c r="B83" s="75" t="inlineStr">
        <is>
          <t>Assignment of Oil and Gas Lease</t>
        </is>
      </c>
      <c r="C83" s="76" t="inlineStr">
        <is>
          <t>1704/525</t>
        </is>
      </c>
      <c r="D83" s="77" t="n">
        <v>37099</v>
      </c>
      <c r="E83" s="77" t="n">
        <v>37111</v>
      </c>
      <c r="F83" s="78" t="inlineStr">
        <is>
          <t>Marathon Oil Co.</t>
        </is>
      </c>
      <c r="G83" s="78" t="inlineStr">
        <is>
          <t>Raven Resources, LLC</t>
        </is>
      </c>
      <c r="H83" s="78" t="inlineStr">
        <is>
          <t>Section 27-11N-25W</t>
        </is>
      </c>
      <c r="I83" s="78" t="inlineStr">
        <is>
          <t>All right, title and interest in OGL at 220/83</t>
        </is>
      </c>
      <c r="J83" s="79" t="inlineStr">
        <is>
          <t>View Image</t>
        </is>
      </c>
    </row>
    <row r="84">
      <c r="A84" s="75" t="inlineStr">
        <is>
          <t>2001-008513</t>
        </is>
      </c>
      <c r="B84" s="75" t="inlineStr">
        <is>
          <t>Oil and Gas Lease</t>
        </is>
      </c>
      <c r="C84" s="76" t="inlineStr">
        <is>
          <t>1717/456</t>
        </is>
      </c>
      <c r="D84" s="77" t="n">
        <v>37195</v>
      </c>
      <c r="E84" s="77" t="n">
        <v>37224</v>
      </c>
      <c r="F84" s="78" t="inlineStr">
        <is>
          <t>Radonna Kay Christopher</t>
        </is>
      </c>
      <c r="G84" s="78" t="inlineStr">
        <is>
          <t>Sanguine, Ltd.</t>
        </is>
      </c>
      <c r="H84" s="78" t="inlineStr">
        <is>
          <t>NW/4 of Section 27-11N-25W</t>
        </is>
      </c>
      <c r="I84" s="78" t="inlineStr">
        <is>
          <t>Base OGL #14: Sanguine, Ltd.; NW/4 of Section 27-11N-25W; term 1 year (paid-up); royalty 3/16; no top clause</t>
        </is>
      </c>
      <c r="J84" s="79" t="inlineStr">
        <is>
          <t>View Image</t>
        </is>
      </c>
    </row>
    <row r="85">
      <c r="A85" s="75" t="inlineStr">
        <is>
          <t>2001-008514</t>
        </is>
      </c>
      <c r="B85" s="75" t="inlineStr">
        <is>
          <t>Oil and Gas Lease</t>
        </is>
      </c>
      <c r="C85" s="76" t="inlineStr">
        <is>
          <t>1717/460</t>
        </is>
      </c>
      <c r="D85" s="77" t="n">
        <v>37195</v>
      </c>
      <c r="E85" s="77" t="n">
        <v>37224</v>
      </c>
      <c r="F85" s="78" t="inlineStr">
        <is>
          <t>Larry D. Edwards Living Trust</t>
        </is>
      </c>
      <c r="G85" s="78" t="inlineStr">
        <is>
          <t>Sanguine, Ltd.</t>
        </is>
      </c>
      <c r="H85" s="78" t="inlineStr">
        <is>
          <t>NW/4 of Section 27-11N-25W</t>
        </is>
      </c>
      <c r="I85" s="78" t="inlineStr">
        <is>
          <t>Base OGL #13: Sanguine, Ltd.; NW/4 of Section 27-11N-25W; term 1 year (paid-up); royalty 3/16; no top clause</t>
        </is>
      </c>
      <c r="J85" s="79" t="inlineStr">
        <is>
          <t>View Image</t>
        </is>
      </c>
    </row>
    <row r="86">
      <c r="A86" s="75" t="inlineStr">
        <is>
          <t>2001-008515</t>
        </is>
      </c>
      <c r="B86" s="75" t="inlineStr">
        <is>
          <t>Oil and Gas Lease</t>
        </is>
      </c>
      <c r="C86" s="76" t="inlineStr">
        <is>
          <t>1717/464</t>
        </is>
      </c>
      <c r="D86" s="77" t="n">
        <v>37195</v>
      </c>
      <c r="E86" s="77" t="n">
        <v>37224</v>
      </c>
      <c r="F86" s="78" t="inlineStr">
        <is>
          <t>Robert A. Edwards</t>
        </is>
      </c>
      <c r="G86" s="78" t="inlineStr">
        <is>
          <t>Sanguine, Ltd.</t>
        </is>
      </c>
      <c r="H86" s="78" t="inlineStr">
        <is>
          <t>NW/4 of Section 27-11N-25W</t>
        </is>
      </c>
      <c r="I86" s="78" t="inlineStr">
        <is>
          <t>Base OGL #12: Sanguine, Ltd.; NW/4 of Section 27-11N-25W; term 1 year (paid-up); royalty 3/16; no top clause</t>
        </is>
      </c>
      <c r="J86" s="79" t="inlineStr">
        <is>
          <t>View Image</t>
        </is>
      </c>
    </row>
    <row r="87">
      <c r="A87" s="75" t="inlineStr">
        <is>
          <t>2001-008516</t>
        </is>
      </c>
      <c r="B87" s="75" t="inlineStr">
        <is>
          <t>Oil and Gas Lease</t>
        </is>
      </c>
      <c r="C87" s="76" t="inlineStr">
        <is>
          <t>1717/469</t>
        </is>
      </c>
      <c r="D87" s="77" t="n">
        <v>37195</v>
      </c>
      <c r="E87" s="77" t="n">
        <v>37224</v>
      </c>
      <c r="F87" s="78" t="inlineStr">
        <is>
          <t>Melody Denise Harbor</t>
        </is>
      </c>
      <c r="G87" s="78" t="inlineStr">
        <is>
          <t>Sanguine, Ltd.</t>
        </is>
      </c>
      <c r="H87" s="78" t="inlineStr">
        <is>
          <t>NW/4 of Section 27-11N-25W</t>
        </is>
      </c>
      <c r="I87" s="78" t="inlineStr">
        <is>
          <t>Base OGL #11: Sanguine, Ltd.; NW/4 of Section 27-11N-25W; term 1 year (paid-up); royalty 3/16; no top clause</t>
        </is>
      </c>
      <c r="J87" s="79" t="inlineStr">
        <is>
          <t>View Image</t>
        </is>
      </c>
    </row>
    <row r="88">
      <c r="A88" s="75" t="inlineStr">
        <is>
          <t>2001-008517</t>
        </is>
      </c>
      <c r="B88" s="75" t="inlineStr">
        <is>
          <t>Oil and Gas Lease</t>
        </is>
      </c>
      <c r="C88" s="76" t="inlineStr">
        <is>
          <t>1717/473</t>
        </is>
      </c>
      <c r="D88" s="77" t="n">
        <v>37195</v>
      </c>
      <c r="E88" s="77" t="n">
        <v>37224</v>
      </c>
      <c r="F88" s="78" t="inlineStr">
        <is>
          <t>Marshall E. Benton,
Nell G. Benton</t>
        </is>
      </c>
      <c r="G88" s="78" t="inlineStr">
        <is>
          <t>Sanguine, Ltd.</t>
        </is>
      </c>
      <c r="H88" s="78" t="inlineStr">
        <is>
          <t>NW/4 of Section 27-11N-25W</t>
        </is>
      </c>
      <c r="I88" s="78" t="inlineStr">
        <is>
          <t>Base OGL #10: Sanguine, Ltd.; NW/4 of Section 27-11N-25W; term 1 year (paid-up); royalty 3/16; no top clause</t>
        </is>
      </c>
      <c r="J88" s="79" t="inlineStr">
        <is>
          <t>View Image</t>
        </is>
      </c>
    </row>
    <row r="89">
      <c r="A89" s="75" t="inlineStr">
        <is>
          <t>2001-008518</t>
        </is>
      </c>
      <c r="B89" s="75" t="inlineStr">
        <is>
          <t>Oil and Gas Lease</t>
        </is>
      </c>
      <c r="C89" s="76" t="inlineStr">
        <is>
          <t>1717/477</t>
        </is>
      </c>
      <c r="D89" s="77" t="n">
        <v>37195</v>
      </c>
      <c r="E89" s="77" t="n">
        <v>37224</v>
      </c>
      <c r="F89" s="78" t="inlineStr">
        <is>
          <t>Betty Sites</t>
        </is>
      </c>
      <c r="G89" s="78" t="inlineStr">
        <is>
          <t>Sanguine, Ltd.</t>
        </is>
      </c>
      <c r="H89" s="78" t="inlineStr">
        <is>
          <t>NW/4 of Section 27-11N-25W</t>
        </is>
      </c>
      <c r="I89" s="78" t="inlineStr">
        <is>
          <t>Base OGL #9: Sanguine, Ltd.; NW/4 of Section 27-11N-25W; term 1 year (paid-up); royalty 3/16; no top clause</t>
        </is>
      </c>
      <c r="J89" s="79" t="inlineStr">
        <is>
          <t>View Image</t>
        </is>
      </c>
    </row>
    <row r="90">
      <c r="A90" s="75" t="inlineStr">
        <is>
          <t>2001-008519</t>
        </is>
      </c>
      <c r="B90" s="75" t="inlineStr">
        <is>
          <t>Oil and Gas Lease</t>
        </is>
      </c>
      <c r="C90" s="76" t="inlineStr">
        <is>
          <t>1717/481</t>
        </is>
      </c>
      <c r="D90" s="77" t="n">
        <v>37195</v>
      </c>
      <c r="E90" s="77" t="n">
        <v>37224</v>
      </c>
      <c r="F90" s="78" t="inlineStr">
        <is>
          <t>Steven Ernest Benton</t>
        </is>
      </c>
      <c r="G90" s="78" t="inlineStr">
        <is>
          <t>Sanguine, Ltd.</t>
        </is>
      </c>
      <c r="H90" s="78" t="inlineStr">
        <is>
          <t>NW/4 of Section 27-11N-25W</t>
        </is>
      </c>
      <c r="I90" s="78" t="inlineStr">
        <is>
          <t>Base OGL #8: Sanguine, Ltd.; NW/4 of Section 27-11N-25W; term 1 year (paid-up); royalty 3/16; no top clause</t>
        </is>
      </c>
      <c r="J90" s="79" t="inlineStr">
        <is>
          <t>View Image</t>
        </is>
      </c>
    </row>
    <row r="91">
      <c r="A91" s="75" t="inlineStr">
        <is>
          <t>2001-008520</t>
        </is>
      </c>
      <c r="B91" s="75" t="inlineStr">
        <is>
          <t>Oil and Gas Lease</t>
        </is>
      </c>
      <c r="C91" s="76" t="inlineStr">
        <is>
          <t>1717/485</t>
        </is>
      </c>
      <c r="D91" s="77" t="n">
        <v>37195</v>
      </c>
      <c r="E91" s="77" t="n">
        <v>37224</v>
      </c>
      <c r="F91" s="78" t="inlineStr">
        <is>
          <t>Gary Kent Benton</t>
        </is>
      </c>
      <c r="G91" s="78" t="inlineStr">
        <is>
          <t>Sanguine, Ltd.</t>
        </is>
      </c>
      <c r="H91" s="78" t="inlineStr">
        <is>
          <t>NW/4 of Section 27-11N-25W</t>
        </is>
      </c>
      <c r="I91" s="78" t="inlineStr">
        <is>
          <t>Base OGL #7: Sanguine, Ltd.; NW/4 of Section 27-11N-25W; term 1 year (paid-up); royalty 3/16; no top clause</t>
        </is>
      </c>
      <c r="J91" s="79" t="inlineStr">
        <is>
          <t>View Image</t>
        </is>
      </c>
    </row>
    <row r="92">
      <c r="A92" s="75" t="inlineStr">
        <is>
          <t>2001-008521</t>
        </is>
      </c>
      <c r="B92" s="75" t="inlineStr">
        <is>
          <t>Oil and Gas Lease</t>
        </is>
      </c>
      <c r="C92" s="76" t="inlineStr">
        <is>
          <t>1717/489</t>
        </is>
      </c>
      <c r="D92" s="77" t="n">
        <v>37195</v>
      </c>
      <c r="E92" s="77" t="n">
        <v>37224</v>
      </c>
      <c r="F92" s="78" t="inlineStr">
        <is>
          <t>Fuchs Family Revocable Trust</t>
        </is>
      </c>
      <c r="G92" s="78" t="inlineStr">
        <is>
          <t>Sanguine, Ltd.</t>
        </is>
      </c>
      <c r="H92" s="78" t="inlineStr">
        <is>
          <t>SE/4 of Section 27-11N-25W</t>
        </is>
      </c>
      <c r="I92" s="78" t="inlineStr">
        <is>
          <t>Base OGL #6: Sanguine, Ltd.; SE/4 of Section 27-11N-25W; term 1 year (paid-up); royalty 3/16; no top clause</t>
        </is>
      </c>
      <c r="J92" s="79" t="inlineStr">
        <is>
          <t>View Image</t>
        </is>
      </c>
    </row>
    <row r="93">
      <c r="A93" s="75" t="inlineStr">
        <is>
          <t>2001-008522</t>
        </is>
      </c>
      <c r="B93" s="75" t="inlineStr">
        <is>
          <t>Oil and Gas Lease</t>
        </is>
      </c>
      <c r="C93" s="76" t="inlineStr">
        <is>
          <t>1717/493</t>
        </is>
      </c>
      <c r="D93" s="77" t="n">
        <v>37195</v>
      </c>
      <c r="E93" s="77" t="n">
        <v>37224</v>
      </c>
      <c r="F93" s="78" t="inlineStr">
        <is>
          <t>Calvin W. Trust Fuchs</t>
        </is>
      </c>
      <c r="G93" s="78" t="inlineStr">
        <is>
          <t>Sanguine, Ltd.</t>
        </is>
      </c>
      <c r="H93" s="78" t="inlineStr">
        <is>
          <t>SE/4 of Section 27-11N-25W</t>
        </is>
      </c>
      <c r="I93" s="78" t="inlineStr">
        <is>
          <t>Base OGL #5: Sanguine, Ltd.; SE/4 of Section 27-11N-25W; term 1 year (paid-up); royalty 3/16; no top clause</t>
        </is>
      </c>
      <c r="J93" s="79" t="inlineStr">
        <is>
          <t>View Image</t>
        </is>
      </c>
    </row>
    <row r="94">
      <c r="A94" s="75" t="inlineStr">
        <is>
          <t>2001-008523</t>
        </is>
      </c>
      <c r="B94" s="75" t="inlineStr">
        <is>
          <t>Oil and Gas Lease</t>
        </is>
      </c>
      <c r="C94" s="76" t="inlineStr">
        <is>
          <t>1717/497</t>
        </is>
      </c>
      <c r="D94" s="77" t="n">
        <v>37195</v>
      </c>
      <c r="E94" s="77" t="n">
        <v>37224</v>
      </c>
      <c r="F94" s="78" t="inlineStr">
        <is>
          <t>Donald E. Gordon</t>
        </is>
      </c>
      <c r="G94" s="78" t="inlineStr">
        <is>
          <t>Sanguine, Ltd.</t>
        </is>
      </c>
      <c r="H94" s="78" t="inlineStr">
        <is>
          <t>NE/4 Section 27-11N-25W</t>
        </is>
      </c>
      <c r="I94" s="78" t="inlineStr">
        <is>
          <t>Base OGL #4: Sanguine, Ltd.; NE/4 Section 27-11N-25W; term 1 year (paid-up); royalty 3/16; no top clause</t>
        </is>
      </c>
      <c r="J94" s="79" t="inlineStr">
        <is>
          <t>View Image</t>
        </is>
      </c>
    </row>
    <row r="95">
      <c r="A95" s="75" t="inlineStr">
        <is>
          <t>2001-008524</t>
        </is>
      </c>
      <c r="B95" s="75" t="inlineStr">
        <is>
          <t>Oil and Gas Lease</t>
        </is>
      </c>
      <c r="C95" s="76" t="inlineStr">
        <is>
          <t>1717/501</t>
        </is>
      </c>
      <c r="D95" s="77" t="n">
        <v>37195</v>
      </c>
      <c r="E95" s="77" t="n">
        <v>37224</v>
      </c>
      <c r="F95" s="78" t="inlineStr">
        <is>
          <t>Michael Ray Sites</t>
        </is>
      </c>
      <c r="G95" s="78" t="inlineStr">
        <is>
          <t>Sanguine, Ltd.</t>
        </is>
      </c>
      <c r="H95" s="78" t="inlineStr">
        <is>
          <t>NW/4 of Section 27-11N-25W</t>
        </is>
      </c>
      <c r="I95" s="78" t="inlineStr">
        <is>
          <t>Base OGL #3: Sanguine, Ltd.; NW/4 of Section 27-11N-25W; term 1 year (paid-up); royalty 3/16; no top clause</t>
        </is>
      </c>
      <c r="J95" s="79" t="inlineStr">
        <is>
          <t>View Image</t>
        </is>
      </c>
    </row>
    <row r="96">
      <c r="A96" s="75" t="inlineStr">
        <is>
          <t>2001-008525</t>
        </is>
      </c>
      <c r="B96" s="75" t="inlineStr">
        <is>
          <t>Oil and Gas Lease</t>
        </is>
      </c>
      <c r="C96" s="76" t="inlineStr">
        <is>
          <t>1717/505</t>
        </is>
      </c>
      <c r="D96" s="77" t="n">
        <v>37195</v>
      </c>
      <c r="E96" s="77" t="n">
        <v>37224</v>
      </c>
      <c r="F96" s="78" t="inlineStr">
        <is>
          <t>Fuchs Properties, LLC</t>
        </is>
      </c>
      <c r="G96" s="78" t="inlineStr">
        <is>
          <t>Sanguine, Ltd.</t>
        </is>
      </c>
      <c r="H96" s="78" t="inlineStr">
        <is>
          <t>SE/4 of Section 27-11N-25W</t>
        </is>
      </c>
      <c r="I96" s="78" t="inlineStr">
        <is>
          <t>Base OGL #2: Sanguine, Ltd.; SE/4 of Section 27-11N-25W; term 1 year (paid-up); royalty 3/16; no top clause</t>
        </is>
      </c>
      <c r="J96" s="79" t="inlineStr">
        <is>
          <t>View Image</t>
        </is>
      </c>
    </row>
    <row r="97">
      <c r="A97" s="75" t="inlineStr">
        <is>
          <t>2001-008526</t>
        </is>
      </c>
      <c r="B97" s="75" t="inlineStr">
        <is>
          <t>Oil and Gas Lease</t>
        </is>
      </c>
      <c r="C97" s="76" t="inlineStr">
        <is>
          <t>1717/509</t>
        </is>
      </c>
      <c r="D97" s="77" t="n">
        <v>37195</v>
      </c>
      <c r="E97" s="77" t="n">
        <v>37224</v>
      </c>
      <c r="F97" s="78" t="inlineStr">
        <is>
          <t>Chloe E. Davis Revocable Living Trust</t>
        </is>
      </c>
      <c r="G97" s="78" t="inlineStr">
        <is>
          <t>Sanguine, Ltd.</t>
        </is>
      </c>
      <c r="H97" s="78" t="inlineStr">
        <is>
          <t>NE/4 Section 27-11N-25W</t>
        </is>
      </c>
      <c r="I97" s="78" t="inlineStr">
        <is>
          <t>Base OGL #1: Sanguine, Ltd.; NE/4 Section 27-11N-25W; term 1 year (paid-up); royalty 3/16; no top clause</t>
        </is>
      </c>
      <c r="J97" s="79" t="inlineStr">
        <is>
          <t>View Image</t>
        </is>
      </c>
    </row>
    <row r="98">
      <c r="A98" s="75" t="inlineStr">
        <is>
          <t>2001-008828</t>
        </is>
      </c>
      <c r="B98" s="75" t="inlineStr">
        <is>
          <t>Partial Release of Oil and Gas Lease</t>
        </is>
      </c>
      <c r="C98" s="76" t="inlineStr">
        <is>
          <t>1719/304</t>
        </is>
      </c>
      <c r="D98" s="77" t="n">
        <v>37195</v>
      </c>
      <c r="E98" s="77" t="n">
        <v>37238</v>
      </c>
      <c r="F98" s="78" t="inlineStr">
        <is>
          <t>Carol Adelson,
Upland Resources, LLC,
Sanguine, Ltd.,
Enogex Exploration
Corporation, 
Palace Exploration Company, Don H. Nelson,
Themistocles, Inc., 
Richard L. Hauschild, Jr., 
Tom Garner, 
William J. Mayer, 
Barber Exploration Company</t>
        </is>
      </c>
      <c r="G98" s="78" t="inlineStr">
        <is>
          <t>Carol Adelson,
Upland Resources, LLC,
Sanguine, Ltd.,
Enogex Exploration
Corporation, 
Palace Exploration Company, Don H. Nelson,
Themistocles, Inc., 
Richard L. Hauschild, Jr., 
Tom Garner, 
William J. Mayer, 
Barber Exploration Company</t>
        </is>
      </c>
      <c r="H98" s="78" t="inlineStr">
        <is>
          <t>Section 27-11N-25W</t>
        </is>
      </c>
      <c r="I98" s="78" t="inlineStr">
        <is>
          <t>release all right, title and interest in the leases attached hereto as Exhibit "A" and In the 640 acre drilling and spacing unit of which said leases are Included BELOW THE STRATIGRAPHIC EQUIVALENT OF 17,960 FEET AND ONLY BELOW THE STRATIGRAPHIC EQUIVALENT OF 17,960 FEET, boing the
total depth drilled plus 100 feet in the Sanguine, Ltd. Mandrell #2-27 well located in the W/2 SE/4 of Section 27-11N-25W, Beckham County, Oklahoma. SANGUINE, LTD. DON H. NELSON, VASTAR RESOURCES, INC., ENOGEX EXPLORATION CORPORATION, PALACE EXPLORATION COMPANY, UPLAND RESOURCES. L.L.C.. WILLIAM J. MAYER, CAROL ADELSON, THEMISTOCLES, INC., RICHARD HAUSCHILD, JR., BARBER EXPLORATION COMPANY and TOM GARNER specifically except and reserve all their right, title and interest from the surface to the stratigraphic equivalent of 17,960 feet in the leases at 1574/272, 1574/276, 1574/280, 1574/284, 1580/79, 1580/83, 1580/87, 1580/91, 1580/99, 1580/103, 1580/107, 1580/111, 1580/115, 1580/129, 1592/350</t>
        </is>
      </c>
      <c r="J98" s="79" t="inlineStr">
        <is>
          <t>View Image</t>
        </is>
      </c>
    </row>
    <row r="99">
      <c r="A99" s="75" t="inlineStr">
        <is>
          <t>2002-005193</t>
        </is>
      </c>
      <c r="B99" s="75" t="inlineStr">
        <is>
          <t>Overriding Royalty Assignment</t>
        </is>
      </c>
      <c r="C99" s="76" t="inlineStr">
        <is>
          <t>1746/498</t>
        </is>
      </c>
      <c r="D99" s="77" t="n">
        <v>37434</v>
      </c>
      <c r="E99" s="77" t="n">
        <v>37459</v>
      </c>
      <c r="F99" s="78" t="inlineStr">
        <is>
          <t>Sanguine, Ltd.</t>
        </is>
      </c>
      <c r="G99" s="78" t="inlineStr">
        <is>
          <t>Richard Lee Jr. Hauschild Revocable Living Trust,
Michael K. Barber,
Johnson Properties LLC,
Hal French, Inc.</t>
        </is>
      </c>
      <c r="H99" s="78" t="inlineStr">
        <is>
          <t>Section 27-11N-25W</t>
        </is>
      </c>
      <c r="I99" s="78" t="inlineStr">
        <is>
          <t>ORRI assignment from Sanguine, Ltd. to Richard Lee Jr. Hauschild Revocable Living Trust + 3 others.</t>
        </is>
      </c>
      <c r="J99" s="79" t="inlineStr">
        <is>
          <t>View Image</t>
        </is>
      </c>
    </row>
    <row r="100">
      <c r="A100" s="75" t="inlineStr">
        <is>
          <t>2002-005194</t>
        </is>
      </c>
      <c r="B100" s="75" t="inlineStr">
        <is>
          <t>Assignment of Oil and Gas Lease</t>
        </is>
      </c>
      <c r="C100" s="76" t="inlineStr">
        <is>
          <t>1746/504</t>
        </is>
      </c>
      <c r="D100" s="77" t="n">
        <v>37435</v>
      </c>
      <c r="E100" s="77" t="n">
        <v>37459</v>
      </c>
      <c r="F100" s="78" t="inlineStr">
        <is>
          <t>Sanguine, Ltd.</t>
        </is>
      </c>
      <c r="G100" s="73" t="inlineStr">
        <is>
          <t>Don H. Nelson, 13.61486%,
Vastar Resources, Inc., 50.00000%,
Enogex Exploration Corporation, 12.50000%,
Palace Exploration Company, 17.50000%,
Upland Resources, L.L.C., 0.5043%,
William J. Mayer, 1.54147%,
Carol Adelson, 2.01735%,
Themistocles, Inc., 1.06559%,
Richard L. Hauschild, Jr., 0.79920%,
Barber Exploration Company, 0.26640%,
Tom Garner, 0.13320%,
Sanguine, Ltd. (Retains), 0.05759%</t>
        </is>
      </c>
      <c r="H100" s="78" t="inlineStr">
        <is>
          <t>N/2 of Section 27-11N-25W covering only those rights below the stratigraphic equivalent of 17,960' being the total depth drilled plus 100 feet in the Sanguine, Ltd. Mandrell #2-27 well located in the W/2 SE/4 of Section 27-11N-25W</t>
        </is>
      </c>
      <c r="I100" s="78" t="inlineStr">
        <is>
          <t>All right, title and interest in OGLs at 1717/456, 1717/460, 1717/464, 1717/469, 1717/473, 1717/477, 1717/481, 1717/485, 1717/497, 1717/501</t>
        </is>
      </c>
      <c r="J100" s="79" t="inlineStr">
        <is>
          <t>View Image</t>
        </is>
      </c>
    </row>
    <row r="101">
      <c r="A101" s="75" t="inlineStr">
        <is>
          <t>2002-005195</t>
        </is>
      </c>
      <c r="B101" s="75" t="inlineStr">
        <is>
          <t>Assignment of Oil and Gas Lease</t>
        </is>
      </c>
      <c r="C101" s="76" t="inlineStr">
        <is>
          <t>1746/509</t>
        </is>
      </c>
      <c r="D101" s="77" t="n">
        <v>37435</v>
      </c>
      <c r="E101" s="77" t="n">
        <v>37459</v>
      </c>
      <c r="F101" s="78" t="inlineStr">
        <is>
          <t>Sanguine, Ltd.</t>
        </is>
      </c>
      <c r="G101" s="78" t="inlineStr">
        <is>
          <t>Don H. Nelson, 52.36475%,
BP American Production
Company, Inc.,  12.50000%,
Enogex Exploration Corporation, 3.12500%,
Palace Exploration Company, 17.50000%,
Upland Resources, L.L.C., 0.50434%,
William J. Mayer, 3.05788%,
 Carol Adeison, 2.01736%, Themistocles, Inc., 4.09842%,
Richard Lee Hauschild, Jr. Revocable Living Trust dated April 27, 2000. 3.07382%
Barber Exploration Company, 1.02461%,
Thomas J. Garner, 0.51230%,
Sanguine, Ltd. (Retains) 0.22152%</t>
        </is>
      </c>
      <c r="H101" s="78" t="inlineStr">
        <is>
          <t>E/2 of Section 27-11N-25W covering only those rights below the stratigraphic equivalent of 17,960' being the total depth drilled plus 100 feet in the Sanguine, Ltd. Mandrell #2-27 well located in the W/2 SE/4 of Section 27-11N-25W</t>
        </is>
      </c>
      <c r="I101" s="78" t="inlineStr">
        <is>
          <t>All right, title and interest in OGLs at 1717/489, 1717/493, 1717/505, 1717/509</t>
        </is>
      </c>
      <c r="J101" s="79" t="inlineStr">
        <is>
          <t>View Image</t>
        </is>
      </c>
    </row>
    <row r="102">
      <c r="A102" s="75" t="inlineStr">
        <is>
          <t>2002-007317</t>
        </is>
      </c>
      <c r="B102" s="75" t="inlineStr">
        <is>
          <t>Conveyance</t>
        </is>
      </c>
      <c r="C102" s="76" t="inlineStr">
        <is>
          <t>1752/215</t>
        </is>
      </c>
      <c r="D102" s="77" t="n">
        <v>37518</v>
      </c>
      <c r="E102" s="77" t="n">
        <v>37529</v>
      </c>
      <c r="F102" s="78" t="inlineStr">
        <is>
          <t>Enogex Exploration Corporation</t>
        </is>
      </c>
      <c r="G102" s="78" t="inlineStr">
        <is>
          <t>Chesapeake Eno Acquisition Corp.</t>
        </is>
      </c>
      <c r="H102" s="78" t="inlineStr">
        <is>
          <t>27-11N-25W</t>
        </is>
      </c>
      <c r="I102" s="73" t="inlineStr">
        <is>
          <t>All right, title and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t>
        </is>
      </c>
      <c r="J102" s="79" t="inlineStr">
        <is>
          <t>View Image</t>
        </is>
      </c>
    </row>
    <row r="103">
      <c r="A103" s="75" t="inlineStr">
        <is>
          <t>2010-006563</t>
        </is>
      </c>
      <c r="B103" s="75" t="inlineStr">
        <is>
          <t>Assignment</t>
        </is>
      </c>
      <c r="C103" s="76" t="inlineStr">
        <is>
          <t>2020/175</t>
        </is>
      </c>
      <c r="D103" s="77" t="n">
        <v>40410</v>
      </c>
      <c r="E103" s="77" t="n">
        <v>40420</v>
      </c>
      <c r="F103" s="78" t="inlineStr">
        <is>
          <t>Nadel and Gussman, LLC, as successor in interest to Nadel and Gussman, a Partnership and Nadel and Gussman Energy, LLC</t>
        </is>
      </c>
      <c r="G103" s="78" t="inlineStr">
        <is>
          <t>Nadel and Gussman Anadarko, LLC</t>
        </is>
      </c>
      <c r="H103" s="78" t="inlineStr">
        <is>
          <t>Section 27-11N-25W</t>
        </is>
      </c>
      <c r="I103" s="78" t="inlineStr">
        <is>
          <t xml:space="preserve">All right, title and interest </t>
        </is>
      </c>
      <c r="J103" s="79" t="inlineStr">
        <is>
          <t>View Image</t>
        </is>
      </c>
    </row>
    <row r="104">
      <c r="A104" s="75" t="inlineStr">
        <is>
          <t>2013-007037</t>
        </is>
      </c>
      <c r="B104" s="75" t="inlineStr">
        <is>
          <t>Assignment</t>
        </is>
      </c>
      <c r="C104" s="76" t="inlineStr">
        <is>
          <t>2140/624</t>
        </is>
      </c>
      <c r="D104" s="77" t="n">
        <v>41529</v>
      </c>
      <c r="E104" s="77" t="n">
        <v>41575</v>
      </c>
      <c r="F104" s="78" t="inlineStr">
        <is>
          <t>Carol Adelson</t>
        </is>
      </c>
      <c r="G104" s="78" t="inlineStr">
        <is>
          <t>Nadel and Gussman Anadarko, LLC</t>
        </is>
      </c>
      <c r="H104" s="78" t="inlineStr">
        <is>
          <t>Section 27-11N-25W</t>
        </is>
      </c>
      <c r="I104" s="78" t="inlineStr">
        <is>
          <t xml:space="preserve">All right, title and interest </t>
        </is>
      </c>
      <c r="J104" s="79" t="inlineStr">
        <is>
          <t>View Image</t>
        </is>
      </c>
    </row>
    <row r="105">
      <c r="A105" s="75" t="inlineStr">
        <is>
          <t>2017-004597</t>
        </is>
      </c>
      <c r="B105" s="75" t="inlineStr">
        <is>
          <t>Assignment</t>
        </is>
      </c>
      <c r="C105" s="76" t="inlineStr">
        <is>
          <t>2266/194</t>
        </is>
      </c>
      <c r="D105" s="77" t="n">
        <v>42914</v>
      </c>
      <c r="E105" s="77" t="n">
        <v>43032</v>
      </c>
      <c r="F105" s="78" t="inlineStr">
        <is>
          <t>Nadel and Gussman Operating Company, LLC,
NG Family 2005, LLP,
Nadel and Gussman, LLC,
Nadel and Gussman Anadarko, LLC</t>
        </is>
      </c>
      <c r="G105" s="78" t="inlineStr">
        <is>
          <t>FourPoint Energy, LLC</t>
        </is>
      </c>
      <c r="H105" s="78" t="inlineStr">
        <is>
          <t>Section 27-11N-25W</t>
        </is>
      </c>
      <c r="I105" s="73" t="inlineStr">
        <is>
          <t>All right, title and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(limited from the surface to 17,960 feet) and overing only those rights below the stratigraphic equivalent 17,960 feet being the total depth drilled plus 100 feet in the Sanguine, Ltd. Mandrell 2-27 well located in the W/2 SE/4 of Section 27-11N-25W, Beckham County, OK</t>
        </is>
      </c>
      <c r="J105" s="79" t="inlineStr">
        <is>
          <t>View Image</t>
        </is>
      </c>
    </row>
    <row r="106">
      <c r="A106" s="75" t="inlineStr">
        <is>
          <t>2019-002937</t>
        </is>
      </c>
      <c r="B106" s="75" t="inlineStr">
        <is>
          <t>Partial Assignment of Oil and Gas Lease</t>
        </is>
      </c>
      <c r="C106" s="76" t="inlineStr">
        <is>
          <t>2307/894</t>
        </is>
      </c>
      <c r="D106" s="77" t="n">
        <v>43657</v>
      </c>
      <c r="E106" s="77" t="n">
        <v>43670</v>
      </c>
      <c r="F106" s="80" t="inlineStr">
        <is>
          <t>Enervest Energy Institutional Fund XIII WIB LP,
Enervest Energy Institutional Fund XIII WIC LP,
Enervest Energy Institutional Fund XIII A. LP</t>
        </is>
      </c>
      <c r="G106" s="78" t="inlineStr">
        <is>
          <t>FourPoint Energy, LLC</t>
        </is>
      </c>
      <c r="H106" s="78" t="inlineStr">
        <is>
          <t>Section 27-11N-25W</t>
        </is>
      </c>
      <c r="I106" s="80" t="inlineStr">
        <is>
          <t xml:space="preserve">All right, title and interest in the Mandrell 2-27 and Betty Sites 1-27 wells </t>
        </is>
      </c>
      <c r="J106" s="79" t="inlineStr">
        <is>
          <t>View Image</t>
        </is>
      </c>
    </row>
    <row r="107">
      <c r="A107" s="70" t="inlineStr">
        <is>
          <t>2019-002988</t>
        </is>
      </c>
      <c r="B107" s="75" t="inlineStr">
        <is>
          <t>Partial Assignment of Oil and Gas Lease</t>
        </is>
      </c>
      <c r="C107" s="71" t="inlineStr">
        <is>
          <t>2308/123</t>
        </is>
      </c>
      <c r="D107" s="77" t="n">
        <v>43657</v>
      </c>
      <c r="E107" s="77" t="n">
        <v>43672</v>
      </c>
      <c r="F107" s="73" t="inlineStr">
        <is>
          <t>Enervest Energy Institutional Fund XIII WIB LP,
Enervest Energy Institutional Fund XIII WIC LP,
Enervest Energy Institutional Fund XIII A. LP</t>
        </is>
      </c>
      <c r="G107" s="73" t="inlineStr">
        <is>
          <t>FourPoint Energy, LLC</t>
        </is>
      </c>
      <c r="H107" s="78" t="inlineStr">
        <is>
          <t>Section 27-11N-25W</t>
        </is>
      </c>
      <c r="I107" s="73" t="inlineStr">
        <is>
          <t>All right, title and interest in OGLs at 1574/272, 1574/276, 1574/280, 1574/284, 1580/79, 1580/83, 1580/87, 1580/91, 1580/99, 1580/103, 1580/107, 1580/111, 1580/115, 1580/129, 1592/350, 1605/598, 1608/63,  1717/479 [QC: verify 1717/479 - page not in known Sec-27 OGL set],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Mandrell 2-27 and Betty Sites 1-27 wells [API-VERIFIED: indexes to Sec 27-11N-25W; Diversified Track A leasehold path.]</t>
        </is>
      </c>
      <c r="J107" s="81" t="inlineStr">
        <is>
          <t>View Image</t>
        </is>
      </c>
    </row>
    <row r="108">
      <c r="A108" s="70" t="inlineStr">
        <is>
          <t>2020-004390</t>
        </is>
      </c>
      <c r="B108" s="75" t="inlineStr">
        <is>
          <t>Memorandum of Name Change / Public Notice</t>
        </is>
      </c>
      <c r="C108" s="71" t="inlineStr">
        <is>
          <t>2340/218</t>
        </is>
      </c>
      <c r="D108" s="77" t="n">
        <v>44174</v>
      </c>
      <c r="E108" s="77" t="n">
        <v>44175</v>
      </c>
      <c r="F108" s="73" t="inlineStr">
        <is>
          <t>Unbridled Resources</t>
        </is>
      </c>
      <c r="G108" s="73" t="inlineStr">
        <is>
          <t>The Public</t>
        </is>
      </c>
      <c r="H108" s="78" t="inlineStr">
        <is>
          <t>Section 27-11N-25W</t>
        </is>
      </c>
      <c r="I108" s="73" t="inlineStr">
        <is>
          <t>Effective as of November 18, 2020 FOURPOINT ENERGY, LLC, having an address of 1111 Bagby Street, Suite 1600, Houston, TX 77002, (previously 100 St. Paul Street, Suite 400, Denver, CO
80206) changed its name to the following:
UNBRIDLED RESOURCES, LLC</t>
        </is>
      </c>
      <c r="J108" s="81" t="inlineStr">
        <is>
          <t>View Image</t>
        </is>
      </c>
    </row>
    <row r="109">
      <c r="A109" s="75" t="inlineStr">
        <is>
          <t>2020-004435</t>
        </is>
      </c>
      <c r="B109" s="75" t="inlineStr">
        <is>
          <t>Assignment</t>
        </is>
      </c>
      <c r="C109" s="76" t="inlineStr">
        <is>
          <t>2340/403</t>
        </is>
      </c>
      <c r="D109" s="77" t="n">
        <v>44176</v>
      </c>
      <c r="E109" s="77" t="n">
        <v>44176</v>
      </c>
      <c r="F109" s="78" t="inlineStr">
        <is>
          <t>Chesapeake Exploration, LLC,
Chesapeake Operating, LLC,
MC Mineral Company, LLC,
Chesapeake Royalty, LLC,
Chesapeake Vrt, LLC,
Ventura, LLC,
Coronado Pipeline Company, LLC,
Empress Properties, LLC,
Chesapeake Land Development Company, LLC</t>
        </is>
      </c>
      <c r="G109" s="78" t="inlineStr">
        <is>
          <t>Tapstone Energy, LLC</t>
        </is>
      </c>
      <c r="H109" s="78" t="inlineStr">
        <is>
          <t>All of 27-11N-25W</t>
        </is>
      </c>
      <c r="I109" s="78" t="inlineStr">
        <is>
          <t>An undivided seventy and 73/100ths percent (70.73%) of Assignors' right, title,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from 1752/215</t>
        </is>
      </c>
      <c r="J109" s="79" t="inlineStr">
        <is>
          <t>View Image</t>
        </is>
      </c>
    </row>
    <row r="110">
      <c r="A110" s="75" t="inlineStr">
        <is>
          <t>2020-004462</t>
        </is>
      </c>
      <c r="B110" s="75" t="inlineStr">
        <is>
          <t>Assignment</t>
        </is>
      </c>
      <c r="C110" s="76" t="inlineStr">
        <is>
          <t>2340/490</t>
        </is>
      </c>
      <c r="D110" s="77" t="n">
        <v>44176</v>
      </c>
      <c r="E110" s="77" t="n">
        <v>44179</v>
      </c>
      <c r="F110" s="78" t="inlineStr">
        <is>
          <t>Chesapeake Exploration, LLC,
Chesapeake Operating, LLC,
MC Mineral Company, LLC,
Chesapeake Royalty, LLC,
Chesapeake VRT, LLC,
Ventura, LLC,
Coronado Pipeline Company, LLC,
Empress Properties, LLC,
Chesapeake Land Development Company, LLC</t>
        </is>
      </c>
      <c r="G110" s="78" t="inlineStr">
        <is>
          <t>KL CHK SPV, LLC</t>
        </is>
      </c>
      <c r="H110" s="78" t="inlineStr">
        <is>
          <t>27-11N-25W</t>
        </is>
      </c>
      <c r="I110" s="73" t="inlineStr">
        <is>
          <t>An undivided twenty-nine and 27/100ths percent (29.27%) of such Assignor's right, title,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from 1752/215</t>
        </is>
      </c>
      <c r="J110" s="79" t="inlineStr">
        <is>
          <t>View Image</t>
        </is>
      </c>
    </row>
    <row r="111">
      <c r="A111" s="82" t="inlineStr">
        <is>
          <t>2022-003507</t>
        </is>
      </c>
      <c r="B111" s="82" t="inlineStr">
        <is>
          <t>Affidavit</t>
        </is>
      </c>
      <c r="C111" s="82" t="inlineStr">
        <is>
          <t>2389/581</t>
        </is>
      </c>
      <c r="D111" s="83" t="n">
        <v>38687</v>
      </c>
      <c r="E111" s="83" t="n">
        <v>44797</v>
      </c>
      <c r="F111" s="84" t="inlineStr">
        <is>
          <t>Diversified Gas and Oil Corporation</t>
        </is>
      </c>
      <c r="G111" s="73" t="inlineStr">
        <is>
          <t>The Public</t>
        </is>
      </c>
      <c r="H111" s="84" t="inlineStr">
        <is>
          <t>27-11N-25W</t>
        </is>
      </c>
      <c r="I111" s="84" t="inlineStr">
        <is>
          <t>On or about July 27, 2022, Tapstone Energy, LLC, a Delaware limited liability company, changed its name to DP Legacy Tapstone LLC, a Delaware limited liability company, pursuant to a Certificate of Amendment to Certificate of Formation of Tapstone Energy, LLC, From and after the above name change, DP Legacy Tapstone LLC, a Delaware limited liability company (formerly Tapstone Energy, LLC, a Delaware limited liability company), did own and will continue to own in the lands described on Exhibit B, and will continue as the operator of record in the State of Oklahoma pursuant to the rules of the Oklahoma Corporation Commission. For the purposes of this Affidavit, Exhibit B is limited to the lands pertaining to the County in which this Affidavit is recorded.</t>
        </is>
      </c>
      <c r="J111" s="85" t="inlineStr">
        <is>
          <t>View Image</t>
        </is>
      </c>
    </row>
    <row r="112">
      <c r="A112" s="75" t="inlineStr">
        <is>
          <t>2022-004277</t>
        </is>
      </c>
      <c r="B112" s="75" t="inlineStr">
        <is>
          <t>Assignment</t>
        </is>
      </c>
      <c r="C112" s="76" t="inlineStr">
        <is>
          <t>2393/1</t>
        </is>
      </c>
      <c r="D112" s="77" t="n">
        <v>44831</v>
      </c>
      <c r="E112" s="77" t="n">
        <v>44851</v>
      </c>
      <c r="F112" s="80" t="inlineStr">
        <is>
          <t>Louisiana Land and Exploration Company, LLC,
Burlington Resources Oil and Gas Company, L.P,
Conocophillips Company</t>
        </is>
      </c>
      <c r="G112" s="80" t="inlineStr">
        <is>
          <t>DP Legacy Central, LLC</t>
        </is>
      </c>
      <c r="H112" s="78" t="inlineStr">
        <is>
          <t>SE/4 of 27-11N-25W</t>
        </is>
      </c>
      <c r="I112" s="78" t="inlineStr">
        <is>
          <t xml:space="preserve">All right, title and interest </t>
        </is>
      </c>
      <c r="J112" s="79" t="inlineStr">
        <is>
          <t>View Image</t>
        </is>
      </c>
    </row>
    <row r="113">
      <c r="A113" s="75" t="inlineStr">
        <is>
          <t>2022-004838</t>
        </is>
      </c>
      <c r="B113" s="75" t="inlineStr">
        <is>
          <t>Conveyance</t>
        </is>
      </c>
      <c r="C113" s="76" t="inlineStr">
        <is>
          <t>2395/415</t>
        </is>
      </c>
      <c r="D113" s="77" t="n">
        <v>44861</v>
      </c>
      <c r="E113" s="77" t="n">
        <v>44883</v>
      </c>
      <c r="F113" s="78" t="inlineStr">
        <is>
          <t>DP Legacy Tapstone, LLC</t>
        </is>
      </c>
      <c r="G113" s="80" t="inlineStr">
        <is>
          <t>DP Sooner Holdco, LLC,
Diversified ABS VI Upstream,
Diversified ABS VI Upstream, LLC</t>
        </is>
      </c>
      <c r="H113" s="78" t="inlineStr">
        <is>
          <t>27-11N-25W</t>
        </is>
      </c>
      <c r="I113" s="78" t="inlineStr">
        <is>
          <t>Division, DPT confirms, pursuant to the PA Code, that title rests with and is vested in DABS with respect to Wellbore Interests (as hereinafter defined) pursuant to the Division, and DPT further confirms, grants, bargains, sells and conveys to DABS the Wellbore Interests pursuant to the Division, and pursuant to the Division and the laws of State of Oklahoma DABS accepts and assumes the Wellbore Interests.
Division, DPT confirms, pursuant to the PA Code, that title rests with and is vested in DP SubCo with respect to DP SubCo Assets pursuant to the Division, and DPT further confirms, grants, bargains, sells and conveys to DP SubCo the DP SubCo Assets pursuant to the Division, and pursuant to the Division and the laws of State of Oklahoma, and DP SubCo accepts and assumes the DP SubCo Assets.</t>
        </is>
      </c>
      <c r="J113" s="79" t="inlineStr">
        <is>
          <t>View Image</t>
        </is>
      </c>
    </row>
    <row r="114">
      <c r="A114" s="70" t="inlineStr">
        <is>
          <t>2023-000796</t>
        </is>
      </c>
      <c r="B114" s="75" t="inlineStr">
        <is>
          <t>Conveyance</t>
        </is>
      </c>
      <c r="C114" s="71" t="inlineStr">
        <is>
          <t>2400/551</t>
        </is>
      </c>
      <c r="D114" s="77" t="n">
        <v>39568</v>
      </c>
      <c r="E114" s="77" t="n">
        <v>44987</v>
      </c>
      <c r="F114" s="78" t="inlineStr">
        <is>
          <t>Diversified Production, LLC,
DP Sooner Holdco, LLC</t>
        </is>
      </c>
      <c r="G114" s="80" t="inlineStr">
        <is>
          <t>DP Sooner Holdco, LLC,
Diversified Production, LLC</t>
        </is>
      </c>
      <c r="H114" s="78" t="inlineStr">
        <is>
          <t>27-11N-25W</t>
        </is>
      </c>
      <c r="I114" s="73" t="inlineStr">
        <is>
          <t>DP and DP Sooner confirm, pursuant to the Pennsylvania Code, that title rests with and is vested in DP with respect to DP Sooner Assets and DP Sooner Liabilities pursuant to the Merger. DP Sooner further confirms, grants and conveys to DP, the DP Sooner Assets and DP Sooner
Liabilities pursuant to the Merger and the laws of State of Oklahoma, and DP accepts and assumes the DP Sooner Assets and DP Sooner Liabilities pursuant to the Merger and the laws of State of Oklahoma.</t>
        </is>
      </c>
      <c r="J114" s="85" t="inlineStr">
        <is>
          <t>View Image</t>
        </is>
      </c>
    </row>
    <row r="115">
      <c r="A115" s="82" t="inlineStr">
        <is>
          <t>2023-000993</t>
        </is>
      </c>
      <c r="B115" s="82" t="inlineStr">
        <is>
          <t>Assignment</t>
        </is>
      </c>
      <c r="C115" s="82" t="inlineStr">
        <is>
          <t>2401/214</t>
        </is>
      </c>
      <c r="D115" s="86" t="n">
        <v>44999</v>
      </c>
      <c r="E115" s="86" t="n">
        <v>45007</v>
      </c>
      <c r="F115" s="84" t="inlineStr">
        <is>
          <t>Unbridled Resources</t>
        </is>
      </c>
      <c r="G115" s="84" t="inlineStr">
        <is>
          <t>Teocalli Exploration</t>
        </is>
      </c>
      <c r="H115" s="84" t="inlineStr">
        <is>
          <t>Section 27-11N-25W</t>
        </is>
      </c>
      <c r="I115" s="84" t="inlineStr">
        <is>
          <t xml:space="preserve">All of Assignor's right, title, interest in the oil and gas leases and subleases described in Exhibit "A", INSOFAR AND ONLY INSOFAR as to the wellbores of the Wells </t>
        </is>
      </c>
      <c r="J115" s="85" t="inlineStr">
        <is>
          <t>View Image</t>
        </is>
      </c>
    </row>
    <row r="116">
      <c r="A116" s="75" t="inlineStr">
        <is>
          <t>2025-001808</t>
        </is>
      </c>
      <c r="B116" s="75" t="inlineStr">
        <is>
          <t>Merger</t>
        </is>
      </c>
      <c r="C116" s="76" t="inlineStr">
        <is>
          <t>2451/4</t>
        </is>
      </c>
      <c r="D116" s="77" t="n">
        <v>45784</v>
      </c>
      <c r="E116" s="77" t="n">
        <v>45790</v>
      </c>
      <c r="F116" s="78" t="inlineStr">
        <is>
          <t>Diversified Energy Company PLC</t>
        </is>
      </c>
      <c r="G116" s="78" t="inlineStr">
        <is>
          <t>The Public</t>
        </is>
      </c>
      <c r="H116" s="78" t="inlineStr">
        <is>
          <t>All of 27-11N-25W, aol</t>
        </is>
      </c>
      <c r="I116" s="78" t="inlineStr">
        <is>
          <t>Remington Merger Sub, LLC, a Delaware limited liability company, and wholly owned indirect subsidiary of Diversified, with and into Maverick
Natural Resources, LLC a Delaware limited liability company ("MNR") as the surviving entity of the merger, effective March 14th, 2025. Unbridled Resources, LLC, a Delaware limited liability company ("Unbridled") is an
indirect, wholly owned subsidiary of MNR.  MNR and Unbridled are wholly owned, indirect subsidiaries of Diversified and shall have a mailing address for notice purposes of 211 North Robinson Avenue, Suite N-1000,
Oklahoma City, Oklahoma 73102.</t>
        </is>
      </c>
      <c r="J116" s="79" t="inlineStr">
        <is>
          <t>View Image</t>
        </is>
      </c>
    </row>
    <row r="117">
      <c r="A117" s="75" t="inlineStr">
        <is>
          <t>2026-000490</t>
        </is>
      </c>
      <c r="B117" s="75" t="inlineStr">
        <is>
          <t>Assignment</t>
        </is>
      </c>
      <c r="C117" s="76" t="inlineStr">
        <is>
          <t>2477/830</t>
        </is>
      </c>
      <c r="D117" s="77" t="n">
        <v>44659</v>
      </c>
      <c r="E117" s="77" t="n">
        <v>46055</v>
      </c>
      <c r="F117" s="78" t="inlineStr">
        <is>
          <t>Vendere Resources II,
Vendera Resources III-B, L.P,
Vendera Management III, LLC,
Venpan Nonop, LLC,
VR4-Midpan, LP,</t>
        </is>
      </c>
      <c r="G117" s="78" t="inlineStr">
        <is>
          <t>MEP Pan Minerals, L.P</t>
        </is>
      </c>
      <c r="H117" s="78" t="inlineStr">
        <is>
          <t>27-11N-25W</t>
        </is>
      </c>
      <c r="I117" s="78" t="inlineStr">
        <is>
          <t xml:space="preserve">All right, title and interest </t>
        </is>
      </c>
      <c r="J117" s="79" t="inlineStr">
        <is>
          <t>View Image</t>
        </is>
      </c>
    </row>
    <row r="118"/>
    <row r="119"/>
    <row r="120"/>
    <row r="121"/>
    <row r="122"/>
    <row r="123"/>
    <row r="124"/>
    <row r="125"/>
    <row r="126"/>
    <row r="127"/>
    <row r="128"/>
  </sheetData>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Y64"/>
  <sheetViews>
    <sheetView workbookViewId="0">
      <pane ySplit="1" topLeftCell="A2" activePane="bottomLeft" state="frozen"/>
      <selection pane="bottomLeft" activeCell="A1" sqref="A1"/>
    </sheetView>
  </sheetViews>
  <sheetFormatPr baseColWidth="8" defaultRowHeight="15"/>
  <cols>
    <col width="4.5703125" customWidth="1" style="42" min="1" max="1"/>
    <col width="11.85546875" customWidth="1" style="42" min="2" max="2"/>
    <col width="10.85546875" customWidth="1" style="42" min="3" max="3"/>
    <col width="23.140625" customWidth="1" style="42" min="6" max="6"/>
    <col width="24.28515625" customWidth="1" style="42" min="7" max="7"/>
    <col width="19.28515625" customWidth="1" style="42" min="8" max="8"/>
    <col width="10.140625" customWidth="1" style="42" min="9" max="9"/>
    <col width="11.140625" customWidth="1" style="42" min="10" max="10"/>
    <col width="11.5703125" customWidth="1" style="42" min="11" max="11"/>
    <col width="15.5703125" customWidth="1" style="42" min="12" max="12"/>
    <col width="12.140625" customWidth="1" style="42" min="13" max="13"/>
    <col width="10.7109375" customWidth="1" style="42" min="14" max="14"/>
    <col width="13" customWidth="1" style="42" min="15" max="15"/>
    <col width="13.42578125" customWidth="1" style="42" min="19" max="19"/>
    <col width="13.85546875" customWidth="1" style="42" min="20" max="20"/>
    <col width="12.42578125" customWidth="1" style="42" min="21" max="21"/>
    <col width="10.42578125" customWidth="1" style="42" min="22" max="22"/>
    <col width="15.28515625" customWidth="1" style="42" min="23" max="23"/>
    <col width="9.140625" customWidth="1" style="42" min="24" max="24"/>
  </cols>
  <sheetData>
    <row r="1">
      <c r="A1" s="87" t="inlineStr">
        <is>
          <t>OGL #</t>
        </is>
      </c>
      <c r="B1" s="87" t="inlineStr">
        <is>
          <t>Instrument</t>
        </is>
      </c>
      <c r="C1" s="87" t="inlineStr">
        <is>
          <t>Book/Page</t>
        </is>
      </c>
      <c r="D1" s="88" t="inlineStr">
        <is>
          <t>Execution
Date</t>
        </is>
      </c>
      <c r="E1" s="88" t="inlineStr">
        <is>
          <t>Filing
Date</t>
        </is>
      </c>
      <c r="F1" s="87" t="inlineStr">
        <is>
          <t>Grantor</t>
        </is>
      </c>
      <c r="G1" s="87" t="inlineStr">
        <is>
          <t>Grantee</t>
        </is>
      </c>
      <c r="H1" s="87" t="inlineStr">
        <is>
          <t>Legal
Description</t>
        </is>
      </c>
      <c r="I1" s="87" t="inlineStr">
        <is>
          <t>Term</t>
        </is>
      </c>
      <c r="J1" s="87" t="inlineStr">
        <is>
          <t>Gross Acres</t>
        </is>
      </c>
      <c r="K1" s="87" t="inlineStr">
        <is>
          <t>Tracts</t>
        </is>
      </c>
      <c r="L1" s="87" t="inlineStr">
        <is>
          <t>Exp Date</t>
        </is>
      </c>
      <c r="M1" s="89" t="inlineStr">
        <is>
          <t>Net Mineral
Acres</t>
        </is>
      </c>
      <c r="N1" s="87" t="inlineStr">
        <is>
          <t>Royalty</t>
        </is>
      </c>
      <c r="O1" s="90" t="inlineStr">
        <is>
          <t>Source Status</t>
        </is>
      </c>
      <c r="P1" s="90" t="inlineStr">
        <is>
          <t>Data Status</t>
        </is>
      </c>
      <c r="Q1" s="90" t="inlineStr">
        <is>
          <t>Source File</t>
        </is>
      </c>
      <c r="R1" s="90" t="inlineStr">
        <is>
          <t>Reliance Level</t>
        </is>
      </c>
      <c r="S1" s="87" t="inlineStr">
        <is>
          <t>Depth Clause</t>
        </is>
      </c>
      <c r="T1" s="87" t="inlineStr">
        <is>
          <t>Option to Extend</t>
        </is>
      </c>
      <c r="U1" s="87" t="inlineStr">
        <is>
          <t>No Warranty Clause</t>
        </is>
      </c>
      <c r="V1" s="91" t="inlineStr">
        <is>
          <t>Top Lease Clause</t>
        </is>
      </c>
      <c r="W1" s="92" t="inlineStr">
        <is>
          <t>Image / Source</t>
        </is>
      </c>
      <c r="X1" s="93" t="n"/>
      <c r="Y1" s="93" t="n"/>
    </row>
    <row r="2">
      <c r="A2" s="94" t="n">
        <v>1</v>
      </c>
      <c r="B2" s="95" t="inlineStr">
        <is>
          <t>2001-008526</t>
        </is>
      </c>
      <c r="C2" s="96" t="inlineStr">
        <is>
          <t>1717/509</t>
        </is>
      </c>
      <c r="D2" s="97" t="n">
        <v>37195</v>
      </c>
      <c r="E2" s="97" t="n">
        <v>37224</v>
      </c>
      <c r="F2" s="97" t="inlineStr">
        <is>
          <t>Chloe E. Davis Revocable Living Trust</t>
        </is>
      </c>
      <c r="G2" s="95" t="inlineStr">
        <is>
          <t>Sanguine, Ltd.</t>
        </is>
      </c>
      <c r="H2" s="95" t="inlineStr">
        <is>
          <t>NE/4 Section 27-11N-25W</t>
        </is>
      </c>
      <c r="I2" s="94" t="inlineStr">
        <is>
          <t>1 year (paid-up)</t>
        </is>
      </c>
      <c r="J2" s="94" t="n">
        <v>160</v>
      </c>
      <c r="K2" s="94" t="n">
        <v>1</v>
      </c>
      <c r="L2" s="98" t="inlineStr">
        <is>
          <t>HBP</t>
        </is>
      </c>
      <c r="M2" s="99" t="inlineStr">
        <is>
          <t>Unknown</t>
        </is>
      </c>
      <c r="N2" s="100" t="inlineStr">
        <is>
          <t>3/16</t>
        </is>
      </c>
      <c r="O2" s="101" t="inlineStr">
        <is>
          <t>Verified - Beckham County index + OCR extract</t>
        </is>
      </c>
      <c r="P2" s="101" t="inlineStr">
        <is>
          <t>PDF image checked - key terms/royalty/legal captured where legible, full clauses, exhibits, NMA, assignments, HBP/production still require verification.</t>
        </is>
      </c>
      <c r="Q2" s="101" t="inlineStr">
        <is>
          <t>2001-008526.pdf</t>
        </is>
      </c>
      <c r="R2" s="101" t="inlineStr">
        <is>
          <t>Cursory PDF-verified key terms only - not a stand-alone title opinion.</t>
        </is>
      </c>
      <c r="S2" s="94" t="inlineStr">
        <is>
          <t>Lease covers only rights below the stratigraphic equivalent of 17,960 feet, being total depth drilled plus 100 feet in the Sanguine, Ltd. Mandrell #2-27 well located in the W/2 SE/4 of Section 27-11N-25W, Beckham County, Oklahoma.</t>
        </is>
      </c>
      <c r="T2" s="94" t="inlineStr">
        <is>
          <t>No</t>
        </is>
      </c>
      <c r="U2" s="94" t="inlineStr">
        <is>
          <t>No</t>
        </is>
      </c>
      <c r="V2" s="94" t="inlineStr">
        <is>
          <t>N/A</t>
        </is>
      </c>
      <c r="W2" s="102" t="inlineStr">
        <is>
          <t>View Image</t>
        </is>
      </c>
      <c r="X2" s="103" t="n"/>
      <c r="Y2" s="103" t="n"/>
    </row>
    <row r="3">
      <c r="A3" s="94" t="n">
        <v>2</v>
      </c>
      <c r="B3" s="95" t="inlineStr">
        <is>
          <t>2001-008525</t>
        </is>
      </c>
      <c r="C3" s="96" t="inlineStr">
        <is>
          <t>1717/505</t>
        </is>
      </c>
      <c r="D3" s="97" t="n">
        <v>37195</v>
      </c>
      <c r="E3" s="97" t="n">
        <v>37224</v>
      </c>
      <c r="F3" s="97" t="inlineStr">
        <is>
          <t>Fuchs Properties, LLC</t>
        </is>
      </c>
      <c r="G3" s="95" t="inlineStr">
        <is>
          <t>Sanguine, Ltd.</t>
        </is>
      </c>
      <c r="H3" s="95" t="inlineStr">
        <is>
          <t>SE/4 Section 27-11N-25W</t>
        </is>
      </c>
      <c r="I3" s="94" t="inlineStr">
        <is>
          <t>1 year (paid-up)</t>
        </is>
      </c>
      <c r="J3" s="94" t="n">
        <v>160</v>
      </c>
      <c r="K3" s="94" t="n">
        <v>3</v>
      </c>
      <c r="L3" s="98" t="inlineStr">
        <is>
          <t>HBP</t>
        </is>
      </c>
      <c r="M3" s="99" t="inlineStr">
        <is>
          <t>Unknown</t>
        </is>
      </c>
      <c r="N3" s="100" t="inlineStr">
        <is>
          <t>3/16</t>
        </is>
      </c>
      <c r="O3" s="101" t="inlineStr">
        <is>
          <t>Verified - Beckham County index + OCR extract</t>
        </is>
      </c>
      <c r="P3" s="101" t="inlineStr">
        <is>
          <t>PDF image checked - key terms/royalty/legal captured where legible, full clauses, exhibits, NMA, assignments, HBP/production still require verification.</t>
        </is>
      </c>
      <c r="Q3" s="101" t="inlineStr">
        <is>
          <t>2001-008525.pdf</t>
        </is>
      </c>
      <c r="R3" s="101" t="inlineStr">
        <is>
          <t>Cursory PDF-verified key terms only - not a stand-alone title opinion.</t>
        </is>
      </c>
      <c r="S3" s="94" t="inlineStr">
        <is>
          <t>Lease covers only rights below the stratigraphic equivalent of 17,960 feet, being total depth drilled plus 100 feet in the Sanguine, Ltd. Mandrell #2-27 well located in the W/2 SE/4 of Section 27-11N-25W, Beckham County, Oklahoma.</t>
        </is>
      </c>
      <c r="T3" s="94" t="inlineStr">
        <is>
          <t>No</t>
        </is>
      </c>
      <c r="U3" s="94" t="inlineStr">
        <is>
          <t>No</t>
        </is>
      </c>
      <c r="V3" s="94" t="inlineStr">
        <is>
          <t>N/A</t>
        </is>
      </c>
      <c r="W3" s="104" t="inlineStr">
        <is>
          <t>View Image</t>
        </is>
      </c>
      <c r="X3" s="103" t="n"/>
      <c r="Y3" s="103" t="n"/>
    </row>
    <row r="4">
      <c r="A4" s="94" t="n">
        <v>3</v>
      </c>
      <c r="B4" s="95" t="inlineStr">
        <is>
          <t>2001-008524</t>
        </is>
      </c>
      <c r="C4" s="96" t="inlineStr">
        <is>
          <t>1717/501</t>
        </is>
      </c>
      <c r="D4" s="97" t="n">
        <v>37195</v>
      </c>
      <c r="E4" s="97" t="n">
        <v>37224</v>
      </c>
      <c r="F4" s="97" t="inlineStr">
        <is>
          <t>Michael Ray Sites</t>
        </is>
      </c>
      <c r="G4" s="95" t="inlineStr">
        <is>
          <t>Sanguine, Ltd.</t>
        </is>
      </c>
      <c r="H4" s="95" t="inlineStr">
        <is>
          <t>NW/4 Section 27-11N-25W</t>
        </is>
      </c>
      <c r="I4" s="94" t="inlineStr">
        <is>
          <t>1 year (paid-up)</t>
        </is>
      </c>
      <c r="J4" s="94" t="n">
        <v>160</v>
      </c>
      <c r="K4" s="94" t="n">
        <v>2</v>
      </c>
      <c r="L4" s="98" t="inlineStr">
        <is>
          <t>HBP</t>
        </is>
      </c>
      <c r="M4" s="99" t="inlineStr">
        <is>
          <t>Unknown</t>
        </is>
      </c>
      <c r="N4" s="100" t="inlineStr">
        <is>
          <t>3/16</t>
        </is>
      </c>
      <c r="O4" s="101" t="inlineStr">
        <is>
          <t>Verified - Beckham County index + OCR extract</t>
        </is>
      </c>
      <c r="P4" s="101" t="inlineStr">
        <is>
          <t>PDF image checked - key terms/royalty/legal captured where legible, full clauses, exhibits, NMA, assignments, HBP/production still require verification.</t>
        </is>
      </c>
      <c r="Q4" s="101" t="inlineStr">
        <is>
          <t>2001-008524.pdf</t>
        </is>
      </c>
      <c r="R4" s="101" t="inlineStr">
        <is>
          <t>Cursory PDF-verified key terms only - not a stand-alone title opinion.</t>
        </is>
      </c>
      <c r="S4" s="94" t="inlineStr">
        <is>
          <t>Lease covers only rights below the stratigraphic equivalent of 17,960 feet, being total depth drilled plus 100 feet in the Sanguine, Ltd. Mandrell #2-27 well located in the W/2 SE/4 of Section 27-11N-25W, Beckham County, Oklahoma.</t>
        </is>
      </c>
      <c r="T4" s="94" t="inlineStr">
        <is>
          <t>No</t>
        </is>
      </c>
      <c r="U4" s="94" t="inlineStr">
        <is>
          <t>No</t>
        </is>
      </c>
      <c r="V4" s="94" t="inlineStr">
        <is>
          <t>N/A</t>
        </is>
      </c>
      <c r="W4" s="102" t="inlineStr">
        <is>
          <t>View Image</t>
        </is>
      </c>
      <c r="X4" s="103" t="n"/>
      <c r="Y4" s="103" t="n"/>
    </row>
    <row r="5">
      <c r="A5" s="94" t="n">
        <v>4</v>
      </c>
      <c r="B5" s="95" t="inlineStr">
        <is>
          <t>2001-008523</t>
        </is>
      </c>
      <c r="C5" s="96" t="inlineStr">
        <is>
          <t>1717/497</t>
        </is>
      </c>
      <c r="D5" s="97" t="n">
        <v>37195</v>
      </c>
      <c r="E5" s="97" t="n">
        <v>37224</v>
      </c>
      <c r="F5" s="95" t="inlineStr">
        <is>
          <t>Donald E. Gordon</t>
        </is>
      </c>
      <c r="G5" s="95" t="inlineStr">
        <is>
          <t>Sanguine, Ltd.</t>
        </is>
      </c>
      <c r="H5" s="95" t="inlineStr">
        <is>
          <t>NE/4 Section 27-11N-25W</t>
        </is>
      </c>
      <c r="I5" s="94" t="inlineStr">
        <is>
          <t>1 year (paid-up)</t>
        </is>
      </c>
      <c r="J5" s="94" t="n">
        <v>160</v>
      </c>
      <c r="K5" s="94" t="n">
        <v>1</v>
      </c>
      <c r="L5" s="98" t="inlineStr">
        <is>
          <t>HBP</t>
        </is>
      </c>
      <c r="M5" s="99" t="inlineStr">
        <is>
          <t>Unknown</t>
        </is>
      </c>
      <c r="N5" s="100" t="inlineStr">
        <is>
          <t>3/16</t>
        </is>
      </c>
      <c r="O5" s="101" t="inlineStr">
        <is>
          <t>Verified - Beckham County index + OCR extract</t>
        </is>
      </c>
      <c r="P5" s="101" t="inlineStr">
        <is>
          <t>PDF image checked - key terms/royalty/legal captured where legible, full clauses, exhibits, NMA, assignments, HBP/production still require verification.</t>
        </is>
      </c>
      <c r="Q5" s="101" t="inlineStr">
        <is>
          <t>2001-008523.pdf</t>
        </is>
      </c>
      <c r="R5" s="101" t="inlineStr">
        <is>
          <t>Cursory PDF-verified key terms only - not a stand-alone title opinion.</t>
        </is>
      </c>
      <c r="S5" s="94" t="inlineStr">
        <is>
          <t>Lease covers only rights below the stratigraphic equivalent of 17,960 feet, being total depth drilled plus 100 feet in the Sanguine, Ltd. Mandrell #2-27 well located in the W/2 SE/4 of Section 27-11N-25W, Beckham County, Oklahoma.</t>
        </is>
      </c>
      <c r="T5" s="94" t="inlineStr">
        <is>
          <t>No</t>
        </is>
      </c>
      <c r="U5" s="94" t="inlineStr">
        <is>
          <t>No</t>
        </is>
      </c>
      <c r="V5" s="94" t="inlineStr">
        <is>
          <t>N/A</t>
        </is>
      </c>
      <c r="W5" s="102" t="inlineStr">
        <is>
          <t>View Image</t>
        </is>
      </c>
      <c r="X5" s="103" t="n"/>
      <c r="Y5" s="103" t="n"/>
    </row>
    <row r="6">
      <c r="A6" s="94" t="n">
        <v>5</v>
      </c>
      <c r="B6" s="95" t="inlineStr">
        <is>
          <t>2001-008522</t>
        </is>
      </c>
      <c r="C6" s="96" t="inlineStr">
        <is>
          <t>1717/493</t>
        </is>
      </c>
      <c r="D6" s="97" t="n">
        <v>37195</v>
      </c>
      <c r="E6" s="97" t="n">
        <v>37224</v>
      </c>
      <c r="F6" s="95" t="inlineStr">
        <is>
          <t>Calvin W. Fuchs Trust</t>
        </is>
      </c>
      <c r="G6" s="95" t="inlineStr">
        <is>
          <t>Sanguine, Ltd.</t>
        </is>
      </c>
      <c r="H6" s="95" t="inlineStr">
        <is>
          <t>SE/4 Section 27-11N-25W</t>
        </is>
      </c>
      <c r="I6" s="94" t="inlineStr">
        <is>
          <t>1 year (paid-up)</t>
        </is>
      </c>
      <c r="J6" s="94" t="n">
        <v>160</v>
      </c>
      <c r="K6" s="94" t="n">
        <v>3</v>
      </c>
      <c r="L6" s="98" t="inlineStr">
        <is>
          <t>HBP</t>
        </is>
      </c>
      <c r="M6" s="99" t="inlineStr">
        <is>
          <t>Unknown</t>
        </is>
      </c>
      <c r="N6" s="100" t="inlineStr">
        <is>
          <t>3/16</t>
        </is>
      </c>
      <c r="O6" s="101" t="inlineStr">
        <is>
          <t>Verified - Beckham County index + OCR extract</t>
        </is>
      </c>
      <c r="P6" s="101" t="inlineStr">
        <is>
          <t>PDF image checked - key terms/royalty/legal captured where legible, full clauses, exhibits, NMA, assignments, HBP/production still require verification.</t>
        </is>
      </c>
      <c r="Q6" s="101" t="inlineStr">
        <is>
          <t>2001-008522.pdf</t>
        </is>
      </c>
      <c r="R6" s="101" t="inlineStr">
        <is>
          <t>Cursory PDF-verified key terms only - not a stand-alone title opinion.</t>
        </is>
      </c>
      <c r="S6" s="94" t="inlineStr">
        <is>
          <t>Lease covers only rights below the stratigraphic equivalent of 17,960 feet, being total depth drilled plus 100 feet in the Sanguine, Ltd. Mandrell #2-27 well located in the W/2 SE/4 of Section 27-11N-25W, Beckham County, Oklahoma.</t>
        </is>
      </c>
      <c r="T6" s="94" t="inlineStr">
        <is>
          <t>No</t>
        </is>
      </c>
      <c r="U6" s="94" t="inlineStr">
        <is>
          <t>Special warranty - warrants and agrees to defend the title, and agrees that the Lessee</t>
        </is>
      </c>
      <c r="V6" s="94" t="inlineStr">
        <is>
          <t>N/A</t>
        </is>
      </c>
      <c r="W6" s="102" t="inlineStr">
        <is>
          <t>View Image</t>
        </is>
      </c>
      <c r="X6" s="103" t="n"/>
      <c r="Y6" s="103" t="n"/>
    </row>
    <row r="7">
      <c r="A7" s="94" t="n">
        <v>6</v>
      </c>
      <c r="B7" s="95" t="inlineStr">
        <is>
          <t>2001-008521</t>
        </is>
      </c>
      <c r="C7" s="96" t="inlineStr">
        <is>
          <t>1717/489</t>
        </is>
      </c>
      <c r="D7" s="97" t="n">
        <v>37195</v>
      </c>
      <c r="E7" s="97" t="n">
        <v>37224</v>
      </c>
      <c r="F7" s="95" t="inlineStr">
        <is>
          <t>Fuchs Family Revocable Trust</t>
        </is>
      </c>
      <c r="G7" s="95" t="inlineStr">
        <is>
          <t>Sanguine, Ltd.</t>
        </is>
      </c>
      <c r="H7" s="95" t="inlineStr">
        <is>
          <t>SE/4 Section 27-11N-25W</t>
        </is>
      </c>
      <c r="I7" s="94" t="inlineStr">
        <is>
          <t>1 year (paid-up)</t>
        </is>
      </c>
      <c r="J7" s="94" t="n">
        <v>160</v>
      </c>
      <c r="K7" s="94" t="n">
        <v>3</v>
      </c>
      <c r="L7" s="98" t="inlineStr">
        <is>
          <t>HBP</t>
        </is>
      </c>
      <c r="M7" s="99" t="inlineStr">
        <is>
          <t>Unknown</t>
        </is>
      </c>
      <c r="N7" s="100" t="inlineStr">
        <is>
          <t>3/16</t>
        </is>
      </c>
      <c r="O7" s="101" t="inlineStr">
        <is>
          <t>Verified - Beckham County index + OCR extract</t>
        </is>
      </c>
      <c r="P7" s="101" t="inlineStr">
        <is>
          <t>PDF image checked - key terms/royalty/legal captured where legible, full clauses, exhibits, NMA, assignments, HBP/production still require verification.</t>
        </is>
      </c>
      <c r="Q7" s="101" t="inlineStr">
        <is>
          <t>2001-008521.pdf</t>
        </is>
      </c>
      <c r="R7" s="101" t="inlineStr">
        <is>
          <t>Cursory PDF-verified key terms only - not a stand-alone title opinion.</t>
        </is>
      </c>
      <c r="S7" s="94" t="inlineStr">
        <is>
          <t>Lease covers only rights below the stratigraphic equivalent of 17,960 feet, being total depth drilled plus 100 feet in the Sanguine, Ltd. Mandrell #2-27 well located in the W/2 SE/4 of Section 27-11N-25W, Beckham County, Oklahoma.</t>
        </is>
      </c>
      <c r="T7" s="94" t="inlineStr">
        <is>
          <t>No</t>
        </is>
      </c>
      <c r="U7" s="94" t="inlineStr">
        <is>
          <t>Special warranty - warrants and agrees to defend the title, and agrees that the Lessee</t>
        </is>
      </c>
      <c r="V7" s="94" t="inlineStr">
        <is>
          <t>N/A</t>
        </is>
      </c>
      <c r="W7" s="104" t="inlineStr">
        <is>
          <t>View Image</t>
        </is>
      </c>
      <c r="X7" s="103" t="n"/>
      <c r="Y7" s="103" t="n"/>
    </row>
    <row r="8">
      <c r="A8" s="94" t="n">
        <v>7</v>
      </c>
      <c r="B8" s="95" t="inlineStr">
        <is>
          <t>2001-008520</t>
        </is>
      </c>
      <c r="C8" s="96" t="inlineStr">
        <is>
          <t>1717/485</t>
        </is>
      </c>
      <c r="D8" s="97" t="n">
        <v>37195</v>
      </c>
      <c r="E8" s="97" t="n">
        <v>37224</v>
      </c>
      <c r="F8" s="95" t="inlineStr">
        <is>
          <t>Gary Kent Benton</t>
        </is>
      </c>
      <c r="G8" s="95" t="inlineStr">
        <is>
          <t>Sanguine, Ltd.</t>
        </is>
      </c>
      <c r="H8" s="95" t="inlineStr">
        <is>
          <t>NW/4 Section 27-11N-25W</t>
        </is>
      </c>
      <c r="I8" s="94" t="inlineStr">
        <is>
          <t>1 year (paid-up)</t>
        </is>
      </c>
      <c r="J8" s="94" t="n">
        <v>160</v>
      </c>
      <c r="K8" s="94" t="n">
        <v>2</v>
      </c>
      <c r="L8" s="98" t="inlineStr">
        <is>
          <t>HBP</t>
        </is>
      </c>
      <c r="M8" s="99" t="inlineStr">
        <is>
          <t>Unknown</t>
        </is>
      </c>
      <c r="N8" s="100" t="inlineStr">
        <is>
          <t>3/16</t>
        </is>
      </c>
      <c r="O8" s="101" t="inlineStr">
        <is>
          <t>Verified - Beckham County index + OCR extract</t>
        </is>
      </c>
      <c r="P8" s="101" t="inlineStr">
        <is>
          <t>PDF image checked - key terms/royalty/legal captured where legible, full clauses, exhibits, NMA, assignments, HBP/production still require verification.</t>
        </is>
      </c>
      <c r="Q8" s="101" t="inlineStr">
        <is>
          <t>2001-008520.pdf</t>
        </is>
      </c>
      <c r="R8" s="101" t="inlineStr">
        <is>
          <t>Cursory PDF-verified key terms only - not a stand-alone title opinion.</t>
        </is>
      </c>
      <c r="S8" s="94" t="inlineStr">
        <is>
          <t>Lease covers only rights below the stratigraphic equivalent of 17,960 feet, being total depth drilled plus 100 feet in the Sanguine, Ltd. Mandrell #2-27 well located in the W/2 SE/4 of Section 27-11N-25W, Beckham County, Oklahoma.</t>
        </is>
      </c>
      <c r="T8" s="94" t="inlineStr">
        <is>
          <t>No</t>
        </is>
      </c>
      <c r="U8" s="94" t="inlineStr">
        <is>
          <t>No</t>
        </is>
      </c>
      <c r="V8" s="94" t="inlineStr">
        <is>
          <t>N/A</t>
        </is>
      </c>
      <c r="W8" s="104" t="inlineStr">
        <is>
          <t>View Image</t>
        </is>
      </c>
      <c r="X8" s="103" t="n"/>
      <c r="Y8" s="103" t="n"/>
    </row>
    <row r="9">
      <c r="A9" s="94" t="n">
        <v>8</v>
      </c>
      <c r="B9" s="95" t="inlineStr">
        <is>
          <t>2001-008519</t>
        </is>
      </c>
      <c r="C9" s="96" t="inlineStr">
        <is>
          <t>1717/481</t>
        </is>
      </c>
      <c r="D9" s="97" t="n">
        <v>37195</v>
      </c>
      <c r="E9" s="97" t="n">
        <v>37224</v>
      </c>
      <c r="F9" s="95" t="inlineStr">
        <is>
          <t>Steven Ernest Benton</t>
        </is>
      </c>
      <c r="G9" s="95" t="inlineStr">
        <is>
          <t>Sanguine, Ltd.</t>
        </is>
      </c>
      <c r="H9" s="95" t="inlineStr">
        <is>
          <t>NW/4 Section 27-11N-25W</t>
        </is>
      </c>
      <c r="I9" s="94" t="inlineStr">
        <is>
          <t>1 year (paid-up)</t>
        </is>
      </c>
      <c r="J9" s="94" t="n">
        <v>160</v>
      </c>
      <c r="K9" s="94" t="n">
        <v>2</v>
      </c>
      <c r="L9" s="98" t="inlineStr">
        <is>
          <t>HBP</t>
        </is>
      </c>
      <c r="M9" s="99" t="inlineStr">
        <is>
          <t>Unknown</t>
        </is>
      </c>
      <c r="N9" s="100" t="inlineStr">
        <is>
          <t>3/16</t>
        </is>
      </c>
      <c r="O9" s="101" t="inlineStr">
        <is>
          <t>Verified - Beckham County index + OCR extract</t>
        </is>
      </c>
      <c r="P9" s="101" t="inlineStr">
        <is>
          <t>PDF image checked - key terms/royalty/legal captured where legible, full clauses, exhibits, NMA, assignments, HBP/production still require verification.</t>
        </is>
      </c>
      <c r="Q9" s="101" t="inlineStr">
        <is>
          <t>2001-008519.pdf</t>
        </is>
      </c>
      <c r="R9" s="101" t="inlineStr">
        <is>
          <t>Cursory PDF-verified key terms only - not a stand-alone title opinion.</t>
        </is>
      </c>
      <c r="S9" s="94" t="inlineStr">
        <is>
          <t>Lease covers only rights below the stratigraphic equivalent of 17,960 feet, being total depth drilled plus 100 feet in the Sanguine, Ltd. Mandrell #2-27 well located in the W/2 SE/4 of Section 27-11N-25W, Beckham County, Oklahoma.</t>
        </is>
      </c>
      <c r="T9" s="94" t="inlineStr">
        <is>
          <t>No</t>
        </is>
      </c>
      <c r="U9" s="94" t="inlineStr">
        <is>
          <t>No</t>
        </is>
      </c>
      <c r="V9" s="94" t="inlineStr">
        <is>
          <t>N/A</t>
        </is>
      </c>
      <c r="W9" s="104" t="inlineStr">
        <is>
          <t>View Image</t>
        </is>
      </c>
      <c r="X9" s="103" t="n"/>
      <c r="Y9" s="103" t="n"/>
    </row>
    <row r="10">
      <c r="A10" s="94" t="n">
        <v>9</v>
      </c>
      <c r="B10" s="95" t="inlineStr">
        <is>
          <t>2001-008518</t>
        </is>
      </c>
      <c r="C10" s="96" t="inlineStr">
        <is>
          <t>1717/477</t>
        </is>
      </c>
      <c r="D10" s="97" t="n">
        <v>37195</v>
      </c>
      <c r="E10" s="97" t="n">
        <v>37224</v>
      </c>
      <c r="F10" s="95" t="inlineStr">
        <is>
          <t>Betty Sites</t>
        </is>
      </c>
      <c r="G10" s="95" t="inlineStr">
        <is>
          <t>Sanguine, Ltd.</t>
        </is>
      </c>
      <c r="H10" s="95" t="inlineStr">
        <is>
          <t>NW/4 Section 27-11N-25W</t>
        </is>
      </c>
      <c r="I10" s="94" t="inlineStr">
        <is>
          <t>1 year (paid-up)</t>
        </is>
      </c>
      <c r="J10" s="94" t="n">
        <v>160</v>
      </c>
      <c r="K10" s="94" t="n">
        <v>2</v>
      </c>
      <c r="L10" s="98" t="inlineStr">
        <is>
          <t>HBP</t>
        </is>
      </c>
      <c r="M10" s="99" t="inlineStr">
        <is>
          <t>Unknown</t>
        </is>
      </c>
      <c r="N10" s="100" t="inlineStr">
        <is>
          <t>3/16</t>
        </is>
      </c>
      <c r="O10" s="101" t="inlineStr">
        <is>
          <t>Verified - Beckham County index + OCR extract</t>
        </is>
      </c>
      <c r="P10" s="101" t="inlineStr">
        <is>
          <t>PDF image checked - key terms/royalty/legal captured where legible, full clauses, exhibits, NMA, assignments, HBP/production still require verification.</t>
        </is>
      </c>
      <c r="Q10" s="101" t="inlineStr">
        <is>
          <t>2001-008518.pdf</t>
        </is>
      </c>
      <c r="R10" s="101" t="inlineStr">
        <is>
          <t>Cursory PDF-verified key terms only - not a stand-alone title opinion.</t>
        </is>
      </c>
      <c r="S10" s="94" t="inlineStr">
        <is>
          <t>Lease covers only rights below the stratigraphic equivalent of 17,960 feet, being total depth drilled plus 100 feet in the Sanguine, Ltd. Mandrell #2-27 well located in the W/2 SE/4 of Section 27-11N-25W, Beckham County, Oklahoma.</t>
        </is>
      </c>
      <c r="T10" s="94" t="inlineStr">
        <is>
          <t>No</t>
        </is>
      </c>
      <c r="U10" s="94" t="inlineStr">
        <is>
          <t>No</t>
        </is>
      </c>
      <c r="V10" s="94" t="inlineStr">
        <is>
          <t>N/A</t>
        </is>
      </c>
      <c r="W10" s="102" t="inlineStr">
        <is>
          <t>View Image</t>
        </is>
      </c>
      <c r="X10" s="103" t="n"/>
      <c r="Y10" s="103" t="n"/>
    </row>
    <row r="11">
      <c r="A11" s="94" t="n">
        <v>10</v>
      </c>
      <c r="B11" s="95" t="inlineStr">
        <is>
          <t>2001-008517</t>
        </is>
      </c>
      <c r="C11" s="96" t="inlineStr">
        <is>
          <t>1717/473</t>
        </is>
      </c>
      <c r="D11" s="97" t="n">
        <v>37195</v>
      </c>
      <c r="E11" s="97" t="n">
        <v>37224</v>
      </c>
      <c r="F11" s="95" t="inlineStr">
        <is>
          <t>Marshall E. Benton,
Nell G. Benton</t>
        </is>
      </c>
      <c r="G11" s="95" t="inlineStr">
        <is>
          <t>Sanguine, Ltd.</t>
        </is>
      </c>
      <c r="H11" s="95" t="inlineStr">
        <is>
          <t>NW/4 Section 27-11N-25W</t>
        </is>
      </c>
      <c r="I11" s="94" t="inlineStr">
        <is>
          <t>1 year (paid-up)</t>
        </is>
      </c>
      <c r="J11" s="94" t="n">
        <v>160</v>
      </c>
      <c r="K11" s="94" t="n">
        <v>2</v>
      </c>
      <c r="L11" s="98" t="inlineStr">
        <is>
          <t>HBP</t>
        </is>
      </c>
      <c r="M11" s="99" t="inlineStr">
        <is>
          <t>Unknown</t>
        </is>
      </c>
      <c r="N11" s="100" t="inlineStr">
        <is>
          <t>3/16</t>
        </is>
      </c>
      <c r="O11" s="101" t="inlineStr">
        <is>
          <t>Verified - Beckham County index + OCR extract</t>
        </is>
      </c>
      <c r="P11" s="101" t="inlineStr">
        <is>
          <t>PDF image checked - key terms/royalty/legal captured where legible, full clauses, exhibits, NMA, assignments, HBP/production still require verification.</t>
        </is>
      </c>
      <c r="Q11" s="101" t="inlineStr">
        <is>
          <t>2001-008517.pdf</t>
        </is>
      </c>
      <c r="R11" s="101" t="inlineStr">
        <is>
          <t>Cursory PDF-verified key terms only - not a stand-alone title opinion.</t>
        </is>
      </c>
      <c r="S11" s="94" t="inlineStr">
        <is>
          <t>Lease covers only rights below the stratigraphic equivalent of 17,960 feet, being total depth drilled plus 100 feet in the Sanguine, Ltd. Mandrell #2-27 well located in the W/2 SE/4 of Section 27-11N-25W, Beckham County, Oklahoma.</t>
        </is>
      </c>
      <c r="T11" s="94" t="inlineStr">
        <is>
          <t>No</t>
        </is>
      </c>
      <c r="U11" s="94" t="inlineStr">
        <is>
          <t>No</t>
        </is>
      </c>
      <c r="V11" s="94" t="inlineStr">
        <is>
          <t>N/A</t>
        </is>
      </c>
      <c r="W11" s="102" t="inlineStr">
        <is>
          <t>View Image</t>
        </is>
      </c>
      <c r="X11" s="103" t="n"/>
      <c r="Y11" s="103" t="n"/>
    </row>
    <row r="12">
      <c r="A12" s="94" t="n">
        <v>11</v>
      </c>
      <c r="B12" s="95" t="inlineStr">
        <is>
          <t>2001-008516</t>
        </is>
      </c>
      <c r="C12" s="96" t="inlineStr">
        <is>
          <t>1717/469</t>
        </is>
      </c>
      <c r="D12" s="97" t="n">
        <v>37195</v>
      </c>
      <c r="E12" s="97" t="n">
        <v>37224</v>
      </c>
      <c r="F12" s="95" t="inlineStr">
        <is>
          <t>Melody Denise Harbor</t>
        </is>
      </c>
      <c r="G12" s="95" t="inlineStr">
        <is>
          <t>Sanguine, Ltd.</t>
        </is>
      </c>
      <c r="H12" s="95" t="inlineStr">
        <is>
          <t>NW/4 Section 27-11N-25W</t>
        </is>
      </c>
      <c r="I12" s="94" t="inlineStr">
        <is>
          <t>1 year (paid-up)</t>
        </is>
      </c>
      <c r="J12" s="94" t="n">
        <v>160</v>
      </c>
      <c r="K12" s="94" t="n">
        <v>2</v>
      </c>
      <c r="L12" s="98" t="inlineStr">
        <is>
          <t>HBP</t>
        </is>
      </c>
      <c r="M12" s="99" t="inlineStr">
        <is>
          <t>Unknown</t>
        </is>
      </c>
      <c r="N12" s="100" t="inlineStr">
        <is>
          <t>3/16</t>
        </is>
      </c>
      <c r="O12" s="101" t="inlineStr">
        <is>
          <t>Verified - Beckham County index + OCR extract</t>
        </is>
      </c>
      <c r="P12" s="101" t="inlineStr">
        <is>
          <t>PDF image checked - key terms/royalty/legal captured where legible, full clauses, exhibits, NMA, assignments, HBP/production still require verification.</t>
        </is>
      </c>
      <c r="Q12" s="101" t="inlineStr">
        <is>
          <t>2001-008516.pdf</t>
        </is>
      </c>
      <c r="R12" s="101" t="inlineStr">
        <is>
          <t>Cursory PDF-verified key terms only - not a stand-alone title opinion.</t>
        </is>
      </c>
      <c r="S12" s="94" t="inlineStr">
        <is>
          <t>Lease covers only rights below the stratigraphic equivalent of 17,960 feet, being total depth drilled plus 100 feet in the Sanguine, Ltd. Mandrell #2-27 well located in the W/2 SE/4 of Section 27-11N-25W, Beckham County, Oklahoma.</t>
        </is>
      </c>
      <c r="T12" s="94" t="inlineStr">
        <is>
          <t>No</t>
        </is>
      </c>
      <c r="U12" s="94" t="inlineStr">
        <is>
          <t>No</t>
        </is>
      </c>
      <c r="V12" s="94" t="inlineStr">
        <is>
          <t>N/A</t>
        </is>
      </c>
      <c r="W12" s="102" t="inlineStr">
        <is>
          <t>View Image</t>
        </is>
      </c>
      <c r="X12" s="103" t="n"/>
      <c r="Y12" s="103" t="n"/>
    </row>
    <row r="13">
      <c r="A13" s="94" t="n">
        <v>12</v>
      </c>
      <c r="B13" s="95" t="inlineStr">
        <is>
          <t>2001-008515</t>
        </is>
      </c>
      <c r="C13" s="96" t="inlineStr">
        <is>
          <t>1717/464</t>
        </is>
      </c>
      <c r="D13" s="97" t="n">
        <v>37195</v>
      </c>
      <c r="E13" s="97" t="n">
        <v>37224</v>
      </c>
      <c r="F13" s="95" t="inlineStr">
        <is>
          <t>Robert A. Edwards</t>
        </is>
      </c>
      <c r="G13" s="95" t="inlineStr">
        <is>
          <t>Sanguine, Ltd.</t>
        </is>
      </c>
      <c r="H13" s="95" t="inlineStr">
        <is>
          <t>NW/4 Section 27-11N-25W</t>
        </is>
      </c>
      <c r="I13" s="94" t="inlineStr">
        <is>
          <t>1 year (paid-up)</t>
        </is>
      </c>
      <c r="J13" s="94" t="n">
        <v>160</v>
      </c>
      <c r="K13" s="94" t="n">
        <v>2</v>
      </c>
      <c r="L13" s="98" t="inlineStr">
        <is>
          <t>HBP</t>
        </is>
      </c>
      <c r="M13" s="99" t="inlineStr">
        <is>
          <t>Unknown</t>
        </is>
      </c>
      <c r="N13" s="100" t="inlineStr">
        <is>
          <t>3/16</t>
        </is>
      </c>
      <c r="O13" s="101" t="inlineStr">
        <is>
          <t>Verified - Beckham County index + OCR extract</t>
        </is>
      </c>
      <c r="P13" s="101" t="inlineStr">
        <is>
          <t>PDF image checked - key terms/royalty/legal captured where legible, full clauses, exhibits, NMA, assignments, HBP/production still require verification.</t>
        </is>
      </c>
      <c r="Q13" s="101" t="inlineStr">
        <is>
          <t>2001-008515.pdf</t>
        </is>
      </c>
      <c r="R13" s="101" t="inlineStr">
        <is>
          <t>Cursory PDF-verified key terms only - not a stand-alone title opinion.</t>
        </is>
      </c>
      <c r="S13" s="94" t="inlineStr">
        <is>
          <t>Lease covers only rights below the stratigraphic equivalent of 17,960 feet, being total depth drilled plus 100 feet in the Sanguine, Ltd. Mandrell #2-27 well located in the W/2 SE/4 of Section 27-11N-25W, Beckham County, Oklahoma.</t>
        </is>
      </c>
      <c r="T13" s="94" t="inlineStr">
        <is>
          <t>No</t>
        </is>
      </c>
      <c r="U13" s="94" t="inlineStr">
        <is>
          <t>No</t>
        </is>
      </c>
      <c r="V13" s="94" t="inlineStr">
        <is>
          <t>N/A</t>
        </is>
      </c>
      <c r="W13" s="102" t="inlineStr">
        <is>
          <t>View Image</t>
        </is>
      </c>
      <c r="X13" s="103" t="n"/>
      <c r="Y13" s="103" t="n"/>
    </row>
    <row r="14">
      <c r="A14" s="94" t="n">
        <v>13</v>
      </c>
      <c r="B14" s="95" t="inlineStr">
        <is>
          <t>2001-008514</t>
        </is>
      </c>
      <c r="C14" s="96" t="inlineStr">
        <is>
          <t>1717/460</t>
        </is>
      </c>
      <c r="D14" s="97" t="n">
        <v>37195</v>
      </c>
      <c r="E14" s="97" t="n">
        <v>37224</v>
      </c>
      <c r="F14" s="95" t="inlineStr">
        <is>
          <t>Larry D. Edwards Living Trust</t>
        </is>
      </c>
      <c r="G14" s="95" t="inlineStr">
        <is>
          <t>Sanguine, Ltd.</t>
        </is>
      </c>
      <c r="H14" s="95" t="inlineStr">
        <is>
          <t>NW/4 Section 27-11N-25W</t>
        </is>
      </c>
      <c r="I14" s="94" t="inlineStr">
        <is>
          <t>1 year (paid-up)</t>
        </is>
      </c>
      <c r="J14" s="94" t="n">
        <v>160</v>
      </c>
      <c r="K14" s="94" t="n">
        <v>2</v>
      </c>
      <c r="L14" s="98" t="inlineStr">
        <is>
          <t>HBP</t>
        </is>
      </c>
      <c r="M14" s="99" t="inlineStr">
        <is>
          <t>Unknown</t>
        </is>
      </c>
      <c r="N14" s="100" t="inlineStr">
        <is>
          <t>3/16</t>
        </is>
      </c>
      <c r="O14" s="101" t="inlineStr">
        <is>
          <t>Verified - Beckham County index + OCR extract</t>
        </is>
      </c>
      <c r="P14" s="101" t="inlineStr">
        <is>
          <t>PDF image checked - key terms/royalty/legal captured where legible, full clauses, exhibits, NMA, assignments, HBP/production still require verification.</t>
        </is>
      </c>
      <c r="Q14" s="101" t="inlineStr">
        <is>
          <t>2001-008514.pdf</t>
        </is>
      </c>
      <c r="R14" s="101" t="inlineStr">
        <is>
          <t>Cursory PDF-verified key terms only - not a stand-alone title opinion.</t>
        </is>
      </c>
      <c r="S14" s="94" t="inlineStr">
        <is>
          <t>Lease covers only rights below the stratigraphic equivalent of 17,960 feet, being total depth drilled plus 100 feet in the Sanguine, Ltd. Mandrell #2-27 well located in the W/2 SE/4 of Section 27-11N-25W, Beckham County, Oklahoma.</t>
        </is>
      </c>
      <c r="T14" s="94" t="inlineStr">
        <is>
          <t>No</t>
        </is>
      </c>
      <c r="U14" s="94" t="inlineStr">
        <is>
          <t>No</t>
        </is>
      </c>
      <c r="V14" s="94" t="inlineStr">
        <is>
          <t>N/A</t>
        </is>
      </c>
      <c r="W14" s="102" t="inlineStr">
        <is>
          <t>View Image</t>
        </is>
      </c>
      <c r="X14" s="103" t="n"/>
      <c r="Y14" s="103" t="n"/>
    </row>
    <row r="15">
      <c r="A15" s="94" t="n">
        <v>14</v>
      </c>
      <c r="B15" s="95" t="inlineStr">
        <is>
          <t>2001-008513</t>
        </is>
      </c>
      <c r="C15" s="96" t="inlineStr">
        <is>
          <t>1717/456</t>
        </is>
      </c>
      <c r="D15" s="97" t="n">
        <v>37195</v>
      </c>
      <c r="E15" s="97" t="n">
        <v>37224</v>
      </c>
      <c r="F15" s="95" t="inlineStr">
        <is>
          <t>Radonna Kay Christopher</t>
        </is>
      </c>
      <c r="G15" s="95" t="inlineStr">
        <is>
          <t>Sanguine, Ltd.</t>
        </is>
      </c>
      <c r="H15" s="95" t="inlineStr">
        <is>
          <t>NW/4 Section 27-11N-25W</t>
        </is>
      </c>
      <c r="I15" s="94" t="inlineStr">
        <is>
          <t>1 year (paid-up)</t>
        </is>
      </c>
      <c r="J15" s="94" t="n">
        <v>160</v>
      </c>
      <c r="K15" s="94" t="n">
        <v>2</v>
      </c>
      <c r="L15" s="98" t="inlineStr">
        <is>
          <t>HBP</t>
        </is>
      </c>
      <c r="M15" s="99" t="inlineStr">
        <is>
          <t>Unknown</t>
        </is>
      </c>
      <c r="N15" s="100" t="inlineStr">
        <is>
          <t>3/16</t>
        </is>
      </c>
      <c r="O15" s="101" t="inlineStr">
        <is>
          <t>Verified - Beckham County index + OCR extract</t>
        </is>
      </c>
      <c r="P15" s="101" t="inlineStr">
        <is>
          <t>PDF image checked - key terms/royalty/legal captured where legible, full clauses, exhibits, NMA, assignments, HBP/production still require verification.</t>
        </is>
      </c>
      <c r="Q15" s="101" t="inlineStr">
        <is>
          <t>2001-008513.pdf</t>
        </is>
      </c>
      <c r="R15" s="101" t="inlineStr">
        <is>
          <t>Cursory PDF-verified key terms only - not a stand-alone title opinion.</t>
        </is>
      </c>
      <c r="S15" s="94" t="inlineStr">
        <is>
          <t>Lease covers only rights below the stratigraphic equivalent of 17,960 feet, being total depth drilled plus 100 feet in the Sanguine, Ltd. Mandrell #2-27 well located in the W/2 SE/4 of Section 27-11N-25W, Beckham County, Oklahoma.</t>
        </is>
      </c>
      <c r="T15" s="94" t="inlineStr">
        <is>
          <t>No</t>
        </is>
      </c>
      <c r="U15" s="94" t="inlineStr">
        <is>
          <t>No</t>
        </is>
      </c>
      <c r="V15" s="94" t="inlineStr">
        <is>
          <t>N/A</t>
        </is>
      </c>
      <c r="W15" s="102" t="inlineStr">
        <is>
          <t>View Image</t>
        </is>
      </c>
      <c r="X15" s="103" t="n"/>
      <c r="Y15" s="103" t="n"/>
    </row>
    <row r="16">
      <c r="A16" s="94" t="n">
        <v>15</v>
      </c>
      <c r="B16" s="95" t="inlineStr">
        <is>
          <t>2001-002247</t>
        </is>
      </c>
      <c r="C16" s="96" t="inlineStr">
        <is>
          <t>1687/170</t>
        </is>
      </c>
      <c r="D16" s="97" t="n">
        <v>36831</v>
      </c>
      <c r="E16" s="97" t="n">
        <v>36979</v>
      </c>
      <c r="F16" s="95" t="inlineStr">
        <is>
          <t>Laura Owens Bennett Trust</t>
        </is>
      </c>
      <c r="G16" s="95" t="inlineStr">
        <is>
          <t>Todco Properties, Inc.</t>
        </is>
      </c>
      <c r="H16" s="95" t="inlineStr">
        <is>
          <t>SE/4 Section 27-11N-25W</t>
        </is>
      </c>
      <c r="I16" s="94" t="inlineStr">
        <is>
          <t>1 year (paid-up)</t>
        </is>
      </c>
      <c r="J16" s="94" t="n">
        <v>160</v>
      </c>
      <c r="K16" s="94" t="n">
        <v>3</v>
      </c>
      <c r="L16" s="98" t="inlineStr">
        <is>
          <t>HBP</t>
        </is>
      </c>
      <c r="M16" s="99" t="inlineStr">
        <is>
          <t>Unknown</t>
        </is>
      </c>
      <c r="N16" s="100" t="inlineStr">
        <is>
          <t>3/16</t>
        </is>
      </c>
      <c r="O16" s="101" t="inlineStr">
        <is>
          <t>Verified - Beckham County index + OCR extract</t>
        </is>
      </c>
      <c r="P16" s="101" t="inlineStr">
        <is>
          <t>PDF image checked - key terms/royalty/legal captured where legible, full clauses, exhibits, NMA, assignments, HBP/production still require verification.</t>
        </is>
      </c>
      <c r="Q16" s="101" t="inlineStr">
        <is>
          <t>2001-002247.pdf</t>
        </is>
      </c>
      <c r="R16" s="101" t="inlineStr">
        <is>
          <t>Cursory PDF-verified key terms only - not a stand-alone title opinion.</t>
        </is>
      </c>
      <c r="S16" s="94" t="inlineStr">
        <is>
          <t>SE/4 limited to all depths below 17,860 feet.</t>
        </is>
      </c>
      <c r="T16" s="94" t="inlineStr">
        <is>
          <t>No</t>
        </is>
      </c>
      <c r="U16" s="94" t="inlineStr">
        <is>
          <t>Special warranty - warranty, express or implied, in law or</t>
        </is>
      </c>
      <c r="V16" s="94" t="inlineStr">
        <is>
          <t>Not verified from reviewed first page</t>
        </is>
      </c>
      <c r="W16" s="102" t="inlineStr">
        <is>
          <t>View Image</t>
        </is>
      </c>
      <c r="X16" s="103" t="n"/>
      <c r="Y16" s="103" t="n"/>
    </row>
    <row r="17">
      <c r="A17" s="94" t="n">
        <v>16</v>
      </c>
      <c r="B17" s="94" t="inlineStr">
        <is>
          <t>2001-002246</t>
        </is>
      </c>
      <c r="C17" s="100" t="inlineStr">
        <is>
          <t>1687/165</t>
        </is>
      </c>
      <c r="D17" s="98" t="n">
        <v>36831</v>
      </c>
      <c r="E17" s="98" t="n">
        <v>36979</v>
      </c>
      <c r="F17" s="94" t="inlineStr">
        <is>
          <t>Darcy Ann Coale</t>
        </is>
      </c>
      <c r="G17" s="94" t="inlineStr">
        <is>
          <t>Todco Properties, Inc.</t>
        </is>
      </c>
      <c r="H17" s="94" t="inlineStr">
        <is>
          <t>SE/4 Section 27-11N-25W</t>
        </is>
      </c>
      <c r="I17" s="94" t="inlineStr">
        <is>
          <t>1 year (paid-up)</t>
        </is>
      </c>
      <c r="J17" s="94" t="n">
        <v>160</v>
      </c>
      <c r="K17" s="94" t="n">
        <v>3</v>
      </c>
      <c r="L17" s="98" t="inlineStr">
        <is>
          <t>HBP</t>
        </is>
      </c>
      <c r="M17" s="99" t="inlineStr">
        <is>
          <t>Unknown</t>
        </is>
      </c>
      <c r="N17" s="100" t="inlineStr">
        <is>
          <t>3/16</t>
        </is>
      </c>
      <c r="O17" s="101" t="inlineStr">
        <is>
          <t>Verified - Beckham County index + OCR extract</t>
        </is>
      </c>
      <c r="P17" s="101" t="inlineStr">
        <is>
          <t>PDF image checked - key terms/royalty/legal captured where legible, full clauses, exhibits, NMA, assignments, HBP/production still require verification.</t>
        </is>
      </c>
      <c r="Q17" s="101" t="inlineStr">
        <is>
          <t>2001-002246.pdf</t>
        </is>
      </c>
      <c r="R17" s="101" t="inlineStr">
        <is>
          <t>Cursory PDF-verified key terms only - not a stand-alone title opinion.</t>
        </is>
      </c>
      <c r="S17" s="94" t="inlineStr">
        <is>
          <t>SE/4 limited to all depths below 17,860 feet.</t>
        </is>
      </c>
      <c r="T17" s="94" t="inlineStr">
        <is>
          <t>No</t>
        </is>
      </c>
      <c r="U17" s="94" t="inlineStr">
        <is>
          <t>Special warranty - warranty, express or implied, in law or</t>
        </is>
      </c>
      <c r="V17" s="94" t="inlineStr">
        <is>
          <t>Not verified from reviewed first page</t>
        </is>
      </c>
      <c r="W17" s="102" t="inlineStr">
        <is>
          <t>View Image</t>
        </is>
      </c>
      <c r="X17" s="103" t="n"/>
      <c r="Y17" s="103" t="n"/>
    </row>
    <row r="18">
      <c r="A18" s="94" t="n">
        <v>17</v>
      </c>
      <c r="B18" s="94" t="inlineStr">
        <is>
          <t>2001-002245</t>
        </is>
      </c>
      <c r="C18" s="100" t="inlineStr">
        <is>
          <t>1687/160</t>
        </is>
      </c>
      <c r="D18" s="98" t="n">
        <v>36831</v>
      </c>
      <c r="E18" s="98" t="n">
        <v>36979</v>
      </c>
      <c r="F18" s="94" t="inlineStr">
        <is>
          <t>Bennett Family Trust</t>
        </is>
      </c>
      <c r="G18" s="94" t="inlineStr">
        <is>
          <t>Todco Properties, Inc.</t>
        </is>
      </c>
      <c r="H18" s="94" t="inlineStr">
        <is>
          <t>SE/4 Section 27-11N-25W</t>
        </is>
      </c>
      <c r="I18" s="94" t="inlineStr">
        <is>
          <t>1 year (paid-up)</t>
        </is>
      </c>
      <c r="J18" s="94" t="n">
        <v>160</v>
      </c>
      <c r="K18" s="94" t="n">
        <v>3</v>
      </c>
      <c r="L18" s="98" t="inlineStr">
        <is>
          <t>HBP</t>
        </is>
      </c>
      <c r="M18" s="99" t="inlineStr">
        <is>
          <t>Unknown</t>
        </is>
      </c>
      <c r="N18" s="100" t="inlineStr">
        <is>
          <t>3/16</t>
        </is>
      </c>
      <c r="O18" s="101" t="inlineStr">
        <is>
          <t>Verified - Beckham County index + OCR extract</t>
        </is>
      </c>
      <c r="P18" s="101" t="inlineStr">
        <is>
          <t>PDF image checked - key terms/royalty/legal captured where legible, full clauses, exhibits, NMA, assignments, HBP/production still require verification.</t>
        </is>
      </c>
      <c r="Q18" s="101" t="inlineStr">
        <is>
          <t>2001-002245.pdf</t>
        </is>
      </c>
      <c r="R18" s="101" t="inlineStr">
        <is>
          <t>Cursory PDF-verified key terms only - not a stand-alone title opinion.</t>
        </is>
      </c>
      <c r="S18" s="94" t="inlineStr">
        <is>
          <t>SE/4 limited to all depths below 17,860 feet.</t>
        </is>
      </c>
      <c r="T18" s="94" t="inlineStr">
        <is>
          <t>No</t>
        </is>
      </c>
      <c r="U18" s="94" t="inlineStr">
        <is>
          <t>Special warranty - warranty, express or implied, in law or</t>
        </is>
      </c>
      <c r="V18" s="94" t="inlineStr">
        <is>
          <t>Not verified from reviewed first page</t>
        </is>
      </c>
      <c r="W18" s="102" t="inlineStr">
        <is>
          <t>View Image</t>
        </is>
      </c>
      <c r="X18" s="103" t="n"/>
      <c r="Y18" s="103" t="n"/>
    </row>
    <row r="19">
      <c r="A19" s="94" t="n">
        <v>18</v>
      </c>
      <c r="B19" s="94" t="inlineStr">
        <is>
          <t>2000-010165</t>
        </is>
      </c>
      <c r="C19" s="100" t="inlineStr">
        <is>
          <t>1672/141</t>
        </is>
      </c>
      <c r="D19" s="98" t="n">
        <v>36830</v>
      </c>
      <c r="E19" s="98" t="n">
        <v>36857</v>
      </c>
      <c r="F19" s="94" t="inlineStr">
        <is>
          <t>Alfred R. Fuchs,
F. Jeanice Fuchs Aka Jeanice Fuchs</t>
        </is>
      </c>
      <c r="G19" s="94" t="inlineStr">
        <is>
          <t>Sanguine, Ltd.</t>
        </is>
      </c>
      <c r="H19" s="94" t="inlineStr">
        <is>
          <t>SE/4 Section 27-11N-25W</t>
        </is>
      </c>
      <c r="I19" s="94" t="inlineStr">
        <is>
          <t>9 months (paid-up)</t>
        </is>
      </c>
      <c r="J19" s="94" t="n">
        <v>160</v>
      </c>
      <c r="K19" s="94" t="n">
        <v>3</v>
      </c>
      <c r="L19" s="98" t="inlineStr">
        <is>
          <t>HBP</t>
        </is>
      </c>
      <c r="M19" s="99" t="inlineStr">
        <is>
          <t>Unknown</t>
        </is>
      </c>
      <c r="N19" s="100" t="inlineStr">
        <is>
          <t>3/16</t>
        </is>
      </c>
      <c r="O19" s="101" t="inlineStr">
        <is>
          <t>Verified - Beckham County index + OCR extract</t>
        </is>
      </c>
      <c r="P19" s="101" t="inlineStr">
        <is>
          <t>PDF image checked - key terms/royalty/legal captured where legible, full clauses, exhibits, NMA, assignments, HBP/production still require verification.</t>
        </is>
      </c>
      <c r="Q19" s="101" t="inlineStr">
        <is>
          <t>2000-010165.pdf</t>
        </is>
      </c>
      <c r="R19" s="101" t="inlineStr">
        <is>
          <t>Cursory PDF-verified key terms only - not a stand-alone title opinion.</t>
        </is>
      </c>
      <c r="S19" s="94" t="inlineStr">
        <is>
          <t>Lease covers only rights beneath 100 feet below the total depth drilled (17,860 feet) in the Sanguine, Ltd. Mandrell #2-27 well located in the W/2 SE/4 of Section 27-11N-25W.</t>
        </is>
      </c>
      <c r="T19" s="94" t="inlineStr">
        <is>
          <t>No</t>
        </is>
      </c>
      <c r="U19" s="94" t="inlineStr">
        <is>
          <t>Special warranty - warrants and agrees to defend title [QC: OCR substantially illegible - verify full warranty language against instrument]</t>
        </is>
      </c>
      <c r="V19" s="94" t="inlineStr">
        <is>
          <t>Not verified from reviewed first page</t>
        </is>
      </c>
      <c r="W19" s="102" t="inlineStr">
        <is>
          <t>View Image</t>
        </is>
      </c>
      <c r="X19" s="103" t="n"/>
      <c r="Y19" s="103" t="n"/>
    </row>
    <row r="20">
      <c r="A20" s="94" t="n">
        <v>19</v>
      </c>
      <c r="B20" s="94" t="inlineStr">
        <is>
          <t>2000-010164</t>
        </is>
      </c>
      <c r="C20" s="100" t="inlineStr">
        <is>
          <t>1672/137</t>
        </is>
      </c>
      <c r="D20" s="98" t="n">
        <v>36830</v>
      </c>
      <c r="E20" s="98" t="n">
        <v>36857</v>
      </c>
      <c r="F20" s="94" t="inlineStr">
        <is>
          <t>Howard G. Fuchs Trust</t>
        </is>
      </c>
      <c r="G20" s="94" t="inlineStr">
        <is>
          <t>Sanguine, Ltd.</t>
        </is>
      </c>
      <c r="H20" s="94" t="inlineStr">
        <is>
          <t>SE/4 Section 27-11N-25W</t>
        </is>
      </c>
      <c r="I20" s="94" t="inlineStr">
        <is>
          <t>9 months (paid-up)</t>
        </is>
      </c>
      <c r="J20" s="94" t="n">
        <v>160</v>
      </c>
      <c r="K20" s="94" t="n">
        <v>3</v>
      </c>
      <c r="L20" s="98" t="inlineStr">
        <is>
          <t>HBP</t>
        </is>
      </c>
      <c r="M20" s="99" t="inlineStr">
        <is>
          <t>Unknown</t>
        </is>
      </c>
      <c r="N20" s="100" t="inlineStr">
        <is>
          <t>3/16</t>
        </is>
      </c>
      <c r="O20" s="101" t="inlineStr">
        <is>
          <t>Verified - Beckham County index + OCR extract</t>
        </is>
      </c>
      <c r="P20" s="101" t="inlineStr">
        <is>
          <t>PDF image checked - key terms/royalty/legal captured where legible, full clauses, exhibits, NMA, assignments, HBP/production still require verification.</t>
        </is>
      </c>
      <c r="Q20" s="101" t="inlineStr">
        <is>
          <t>2000-010164.pdf</t>
        </is>
      </c>
      <c r="R20" s="101" t="inlineStr">
        <is>
          <t>Cursory PDF-verified key terms only - not a stand-alone title opinion.</t>
        </is>
      </c>
      <c r="S20" s="94" t="inlineStr">
        <is>
          <t>Lease covers only rights beneath 100 feet below the total depth drilled (17,860 feet) in the Sanguine, Ltd. Mandrell #2-27 well located in the W/2 SE/4 of Section 27-11N-25W.</t>
        </is>
      </c>
      <c r="T20" s="94" t="inlineStr">
        <is>
          <t>No</t>
        </is>
      </c>
      <c r="U20" s="94" t="inlineStr">
        <is>
          <t>Warranty/no-warranty language appears modified on first page, verify full form before reliance</t>
        </is>
      </c>
      <c r="V20" s="94" t="inlineStr">
        <is>
          <t>Not verified from reviewed first page</t>
        </is>
      </c>
      <c r="W20" s="102" t="inlineStr">
        <is>
          <t>View Image</t>
        </is>
      </c>
      <c r="X20" s="103" t="n"/>
      <c r="Y20" s="103" t="n"/>
    </row>
    <row r="21">
      <c r="A21" s="94" t="n">
        <v>20</v>
      </c>
      <c r="B21" s="94" t="inlineStr">
        <is>
          <t>2000-010163</t>
        </is>
      </c>
      <c r="C21" s="100" t="inlineStr">
        <is>
          <t>1672/134</t>
        </is>
      </c>
      <c r="D21" s="98" t="n">
        <v>36830</v>
      </c>
      <c r="E21" s="98" t="n">
        <v>36857</v>
      </c>
      <c r="F21" s="94" t="inlineStr">
        <is>
          <t>Calvin W. Fuchs Revocable Trust</t>
        </is>
      </c>
      <c r="G21" s="94" t="inlineStr">
        <is>
          <t>Sanguine, Ltd.</t>
        </is>
      </c>
      <c r="H21" s="94" t="inlineStr">
        <is>
          <t>SE/4 Section 27-11N-25W</t>
        </is>
      </c>
      <c r="I21" s="94" t="inlineStr">
        <is>
          <t>9 months (paid-up)</t>
        </is>
      </c>
      <c r="J21" s="94" t="n">
        <v>160</v>
      </c>
      <c r="K21" s="94" t="n">
        <v>3</v>
      </c>
      <c r="L21" s="98" t="inlineStr">
        <is>
          <t>HBP</t>
        </is>
      </c>
      <c r="M21" s="99" t="inlineStr">
        <is>
          <t>Unknown</t>
        </is>
      </c>
      <c r="N21" s="100" t="inlineStr">
        <is>
          <t>3/16</t>
        </is>
      </c>
      <c r="O21" s="101" t="inlineStr">
        <is>
          <t>Verified - Beckham County index + OCR extract</t>
        </is>
      </c>
      <c r="P21" s="101" t="inlineStr">
        <is>
          <t>PDF image checked - key terms/royalty/legal captured where legible, full clauses, exhibits, NMA, assignments, HBP/production still require verification.</t>
        </is>
      </c>
      <c r="Q21" s="101" t="inlineStr">
        <is>
          <t>2000-010163.pdf</t>
        </is>
      </c>
      <c r="R21" s="101" t="inlineStr">
        <is>
          <t>Cursory PDF-verified key terms only - not a stand-alone title opinion.</t>
        </is>
      </c>
      <c r="S21" s="94" t="inlineStr">
        <is>
          <t>Lease covers only rights beneath 100 feet below the total depth drilled (17,860 feet) in the Sanguine, Ltd. Mandrell #2-27 well located in the W/2 SE/4 of Section 27-11N-25W.</t>
        </is>
      </c>
      <c r="T21" s="94" t="inlineStr">
        <is>
          <t>No</t>
        </is>
      </c>
      <c r="U21" s="94" t="inlineStr">
        <is>
          <t>Warranty/no-warranty language appears modified on first page, verify full form before reliance</t>
        </is>
      </c>
      <c r="V21" s="94" t="inlineStr">
        <is>
          <t>Not verified from reviewed first page</t>
        </is>
      </c>
      <c r="W21" s="102" t="inlineStr">
        <is>
          <t>View Image</t>
        </is>
      </c>
      <c r="X21" s="103" t="n"/>
      <c r="Y21" s="103" t="n"/>
    </row>
    <row r="22">
      <c r="A22" s="94" t="n">
        <v>21</v>
      </c>
      <c r="B22" s="94" t="inlineStr">
        <is>
          <t>2000-010162</t>
        </is>
      </c>
      <c r="C22" s="100" t="inlineStr">
        <is>
          <t>1672/130</t>
        </is>
      </c>
      <c r="D22" s="98" t="n">
        <v>36830</v>
      </c>
      <c r="E22" s="98" t="n">
        <v>36857</v>
      </c>
      <c r="F22" s="94" t="inlineStr">
        <is>
          <t>Chloe E. Davis Revocable Living Trust</t>
        </is>
      </c>
      <c r="G22" s="94" t="inlineStr">
        <is>
          <t>Sanguine, Ltd.</t>
        </is>
      </c>
      <c r="H22" s="94" t="inlineStr">
        <is>
          <t>NE/4 Section 27-11N-25W</t>
        </is>
      </c>
      <c r="I22" s="94" t="inlineStr">
        <is>
          <t>9 months (paid-up)</t>
        </is>
      </c>
      <c r="J22" s="94" t="n">
        <v>160</v>
      </c>
      <c r="K22" s="94" t="n">
        <v>1</v>
      </c>
      <c r="L22" s="98" t="inlineStr">
        <is>
          <t>HBP</t>
        </is>
      </c>
      <c r="M22" s="99" t="inlineStr">
        <is>
          <t>Unknown</t>
        </is>
      </c>
      <c r="N22" s="100" t="inlineStr">
        <is>
          <t>3/16</t>
        </is>
      </c>
      <c r="O22" s="101" t="inlineStr">
        <is>
          <t>Verified - Beckham County index + OCR extract</t>
        </is>
      </c>
      <c r="P22" s="101" t="inlineStr">
        <is>
          <t>PDF image checked - key terms/royalty/legal captured where legible, full clauses, exhibits, NMA, assignments, HBP/production still require verification.</t>
        </is>
      </c>
      <c r="Q22" s="101" t="inlineStr">
        <is>
          <t>2000-010162.pdf</t>
        </is>
      </c>
      <c r="R22" s="101" t="inlineStr">
        <is>
          <t>Cursory PDF-verified key terms only - not a stand-alone title opinion.</t>
        </is>
      </c>
      <c r="S22" s="94" t="inlineStr">
        <is>
          <t>Lease covers only rights beneath 100 feet below the total depth drilled (17,860 feet) in the Sanguine, Ltd. Mandrell #2-27 well located in the W/2 SE/4 of Section 27-11N-25W.</t>
        </is>
      </c>
      <c r="T22" s="94" t="inlineStr">
        <is>
          <t>No</t>
        </is>
      </c>
      <c r="U22" s="94" t="inlineStr">
        <is>
          <t>Warranty/no-warranty language appears modified on first page, verify full form before reliance</t>
        </is>
      </c>
      <c r="V22" s="94" t="inlineStr">
        <is>
          <t>Not verified from reviewed first page</t>
        </is>
      </c>
      <c r="W22" s="102" t="inlineStr">
        <is>
          <t>View Image</t>
        </is>
      </c>
      <c r="X22" s="103" t="n"/>
      <c r="Y22" s="103" t="n"/>
    </row>
    <row r="23">
      <c r="A23" s="94" t="n">
        <v>22</v>
      </c>
      <c r="B23" s="94" t="inlineStr">
        <is>
          <t>1999-004222</t>
        </is>
      </c>
      <c r="C23" s="100" t="inlineStr">
        <is>
          <t>1608/63</t>
        </is>
      </c>
      <c r="D23" s="98" t="n">
        <v>36327</v>
      </c>
      <c r="E23" s="98" t="n">
        <v>36357</v>
      </c>
      <c r="F23" s="94" t="inlineStr">
        <is>
          <t>Clyde &amp; Sharon Pine 1990 Irrevocable Trust</t>
        </is>
      </c>
      <c r="G23" s="94" t="inlineStr">
        <is>
          <t>Clyde &amp; Sharon Pine 1990 Irrevocable Trust</t>
        </is>
      </c>
      <c r="H23" s="94" t="inlineStr">
        <is>
          <t>NW/4 Section 27-11N-25W</t>
        </is>
      </c>
      <c r="I23" s="94" t="inlineStr">
        <is>
          <t>1 year</t>
        </is>
      </c>
      <c r="J23" s="94" t="n">
        <v>160</v>
      </c>
      <c r="K23" s="94" t="n">
        <v>2</v>
      </c>
      <c r="L23" s="98" t="inlineStr">
        <is>
          <t>HBP</t>
        </is>
      </c>
      <c r="M23" s="99" t="inlineStr">
        <is>
          <t>Unknown</t>
        </is>
      </c>
      <c r="N23" s="100" t="inlineStr">
        <is>
          <t>1/4</t>
        </is>
      </c>
      <c r="O23" s="101" t="inlineStr">
        <is>
          <t>Verified - Beckham County index + OCR extract</t>
        </is>
      </c>
      <c r="P23" s="101" t="inlineStr">
        <is>
          <t>PDF image checked - key terms/royalty/legal captured where legible, full clauses, exhibits, NMA, assignments, HBP/production still require verification.</t>
        </is>
      </c>
      <c r="Q23" s="101" t="inlineStr">
        <is>
          <t>1999-004222.pdf</t>
        </is>
      </c>
      <c r="R23" s="101" t="inlineStr">
        <is>
          <t>Cursory PDF-verified key terms only - not a stand-alone title opinion.</t>
        </is>
      </c>
      <c r="S23" s="94" t="inlineStr">
        <is>
          <t>No</t>
        </is>
      </c>
      <c r="T23" s="94" t="inlineStr">
        <is>
          <t>No</t>
        </is>
      </c>
      <c r="U23" s="94" t="inlineStr">
        <is>
          <t>No</t>
        </is>
      </c>
      <c r="V23" s="94" t="inlineStr">
        <is>
          <t>No</t>
        </is>
      </c>
      <c r="W23" s="102" t="inlineStr">
        <is>
          <t>View Image</t>
        </is>
      </c>
      <c r="X23" s="103" t="n"/>
      <c r="Y23" s="103" t="n"/>
    </row>
    <row r="24">
      <c r="A24" s="94" t="n">
        <v>23</v>
      </c>
      <c r="B24" s="94" t="inlineStr">
        <is>
          <t>1999-003760</t>
        </is>
      </c>
      <c r="C24" s="100" t="inlineStr">
        <is>
          <t>1605/598</t>
        </is>
      </c>
      <c r="D24" s="98" t="n">
        <v>36327</v>
      </c>
      <c r="E24" s="98" t="n">
        <v>36336</v>
      </c>
      <c r="F24" s="94" t="inlineStr">
        <is>
          <t>Colt Development, LLC</t>
        </is>
      </c>
      <c r="G24" s="94" t="inlineStr">
        <is>
          <t>Colt Development, LLC</t>
        </is>
      </c>
      <c r="H24" s="94" t="inlineStr">
        <is>
          <t>NW/4 Section 27-11N-25W</t>
        </is>
      </c>
      <c r="I24" s="94" t="inlineStr">
        <is>
          <t>1 year</t>
        </is>
      </c>
      <c r="J24" s="94" t="n">
        <v>160</v>
      </c>
      <c r="K24" s="94" t="n">
        <v>2</v>
      </c>
      <c r="L24" s="98" t="inlineStr">
        <is>
          <t>HBP</t>
        </is>
      </c>
      <c r="M24" s="99" t="inlineStr">
        <is>
          <t>Unknown</t>
        </is>
      </c>
      <c r="N24" s="100" t="inlineStr">
        <is>
          <t>1/4</t>
        </is>
      </c>
      <c r="O24" s="101" t="inlineStr">
        <is>
          <t>Verified - Beckham County index + OCR extract</t>
        </is>
      </c>
      <c r="P24" s="101" t="inlineStr">
        <is>
          <t>PDF image checked - key terms/royalty/legal captured where legible, full clauses, exhibits, NMA, assignments, HBP/production still require verification.</t>
        </is>
      </c>
      <c r="Q24" s="101" t="inlineStr">
        <is>
          <t>1999-003760.pdf</t>
        </is>
      </c>
      <c r="R24" s="101" t="inlineStr">
        <is>
          <t>Cursory PDF-verified key terms only - not a stand-alone title opinion.</t>
        </is>
      </c>
      <c r="S24" s="94" t="inlineStr">
        <is>
          <t>No</t>
        </is>
      </c>
      <c r="T24" s="94" t="inlineStr">
        <is>
          <t>No</t>
        </is>
      </c>
      <c r="U24" s="94" t="inlineStr">
        <is>
          <t>No</t>
        </is>
      </c>
      <c r="V24" s="94" t="inlineStr">
        <is>
          <t>No</t>
        </is>
      </c>
      <c r="W24" s="102" t="inlineStr">
        <is>
          <t>View Image</t>
        </is>
      </c>
      <c r="X24" s="103" t="n"/>
      <c r="Y24" s="103" t="n"/>
    </row>
    <row r="25">
      <c r="A25" s="94" t="n">
        <v>24</v>
      </c>
      <c r="B25" s="94" t="inlineStr">
        <is>
          <t>1999-000946</t>
        </is>
      </c>
      <c r="C25" s="100" t="inlineStr">
        <is>
          <t>1592/350</t>
        </is>
      </c>
      <c r="D25" s="98" t="n">
        <v>36166</v>
      </c>
      <c r="E25" s="98" t="n">
        <v>36209</v>
      </c>
      <c r="F25" s="94" t="inlineStr">
        <is>
          <t>Angela K. Allen</t>
        </is>
      </c>
      <c r="G25" s="94" t="inlineStr">
        <is>
          <t>Sanguine, Ltd.</t>
        </is>
      </c>
      <c r="H25" s="94" t="inlineStr">
        <is>
          <t>NW/4 Section 27-11N-25W</t>
        </is>
      </c>
      <c r="I25" s="94" t="inlineStr">
        <is>
          <t>6 months (paid-up)</t>
        </is>
      </c>
      <c r="J25" s="94" t="n">
        <v>160</v>
      </c>
      <c r="K25" s="94" t="n">
        <v>2</v>
      </c>
      <c r="L25" s="98" t="inlineStr">
        <is>
          <t>HBP</t>
        </is>
      </c>
      <c r="M25" s="99" t="inlineStr">
        <is>
          <t>Unknown</t>
        </is>
      </c>
      <c r="N25" s="100" t="inlineStr">
        <is>
          <t>1/4</t>
        </is>
      </c>
      <c r="O25" s="101" t="inlineStr">
        <is>
          <t>Verified - Beckham County index + OCR extract</t>
        </is>
      </c>
      <c r="P25" s="101" t="inlineStr">
        <is>
          <t>PDF image checked - key terms/royalty/legal captured where legible, full clauses, exhibits, NMA, assignments, HBP/production still require verification.</t>
        </is>
      </c>
      <c r="Q25" s="101" t="inlineStr">
        <is>
          <t>1999-000946.pdf</t>
        </is>
      </c>
      <c r="R25" s="101" t="inlineStr">
        <is>
          <t>Cursory PDF-verified key terms only - not a stand-alone title opinion.</t>
        </is>
      </c>
      <c r="S25" s="94" t="inlineStr">
        <is>
          <t>Limited to rights from the surface to the base of the Morrow Formation only.</t>
        </is>
      </c>
      <c r="T25" s="94" t="inlineStr">
        <is>
          <t>No</t>
        </is>
      </c>
      <c r="U25" s="94" t="inlineStr">
        <is>
          <t>Not verified from reviewed first page</t>
        </is>
      </c>
      <c r="V25" s="94" t="inlineStr">
        <is>
          <t>Not verified from reviewed first page</t>
        </is>
      </c>
      <c r="W25" s="102" t="inlineStr">
        <is>
          <t>View Image</t>
        </is>
      </c>
      <c r="X25" s="103" t="n"/>
      <c r="Y25" s="103" t="n"/>
    </row>
    <row r="26">
      <c r="A26" s="94" t="n">
        <v>25</v>
      </c>
      <c r="B26" s="94" t="inlineStr">
        <is>
          <t>1999-000945</t>
        </is>
      </c>
      <c r="C26" s="100" t="inlineStr">
        <is>
          <t>1592/347</t>
        </is>
      </c>
      <c r="D26" s="98" t="n">
        <v>36182</v>
      </c>
      <c r="E26" s="98" t="n">
        <v>36209</v>
      </c>
      <c r="F26" s="94" t="inlineStr">
        <is>
          <t>Mandrell Farms, Inc.</t>
        </is>
      </c>
      <c r="G26" s="94" t="inlineStr">
        <is>
          <t>Sanguine, Ltd.</t>
        </is>
      </c>
      <c r="H26" s="94" t="inlineStr">
        <is>
          <t>SW/4 Section 27-11N-25W, less 1.00-acre Buffalo Church tract, approx. 6.201 net acres presently unleased</t>
        </is>
      </c>
      <c r="I26" s="94" t="inlineStr">
        <is>
          <t>6 months (paid-up)</t>
        </is>
      </c>
      <c r="J26" s="94" t="n">
        <v>159</v>
      </c>
      <c r="K26" s="94" t="n">
        <v>4</v>
      </c>
      <c r="L26" s="98" t="inlineStr">
        <is>
          <t>HBP</t>
        </is>
      </c>
      <c r="M26" s="99" t="inlineStr">
        <is>
          <t>Unknown</t>
        </is>
      </c>
      <c r="N26" s="100" t="inlineStr">
        <is>
          <t>1/4</t>
        </is>
      </c>
      <c r="O26" s="101" t="inlineStr">
        <is>
          <t>Verified - Beckham County index + OCR extract</t>
        </is>
      </c>
      <c r="P26" s="101" t="inlineStr">
        <is>
          <t>PDF image checked - key terms/royalty/legal captured where legible, full clauses, exhibits, NMA, assignments, HBP/production still require verification.</t>
        </is>
      </c>
      <c r="Q26" s="101" t="inlineStr">
        <is>
          <t>1999-000945.pdf</t>
        </is>
      </c>
      <c r="R26" s="101" t="inlineStr">
        <is>
          <t>Cursory PDF-verified key terms only - not a stand-alone title opinion.</t>
        </is>
      </c>
      <c r="S26" s="94" t="inlineStr">
        <is>
          <t>No special depth limitation located on reviewed first page</t>
        </is>
      </c>
      <c r="T26" s="94" t="inlineStr">
        <is>
          <t>No</t>
        </is>
      </c>
      <c r="U26" s="94" t="inlineStr">
        <is>
          <t>Not verified from reviewed first page</t>
        </is>
      </c>
      <c r="V26" s="94" t="inlineStr">
        <is>
          <t>Not verified from reviewed first page</t>
        </is>
      </c>
      <c r="W26" s="102" t="inlineStr">
        <is>
          <t>View Image</t>
        </is>
      </c>
      <c r="X26" s="103" t="n"/>
      <c r="Y26" s="103" t="n"/>
    </row>
    <row r="27">
      <c r="A27" s="94" t="n">
        <v>26</v>
      </c>
      <c r="B27" s="94" t="inlineStr">
        <is>
          <t>1999-000825</t>
        </is>
      </c>
      <c r="C27" s="100" t="inlineStr">
        <is>
          <t>1592/52</t>
        </is>
      </c>
      <c r="D27" s="98" t="n">
        <v>36129</v>
      </c>
      <c r="E27" s="98" t="n">
        <v>36203</v>
      </c>
      <c r="F27" s="94" t="inlineStr">
        <is>
          <t>Laura Owens Bennett Trust</t>
        </is>
      </c>
      <c r="G27" s="94" t="inlineStr">
        <is>
          <t>Todco Properties, Inc.</t>
        </is>
      </c>
      <c r="H27" s="94" t="inlineStr">
        <is>
          <t>SE/4 Section 27-11N-25W</t>
        </is>
      </c>
      <c r="I27" s="94" t="inlineStr">
        <is>
          <t>1 year (paid-up)</t>
        </is>
      </c>
      <c r="J27" s="94" t="n">
        <v>160</v>
      </c>
      <c r="K27" s="94" t="n">
        <v>3</v>
      </c>
      <c r="L27" s="98" t="inlineStr">
        <is>
          <t>HBP</t>
        </is>
      </c>
      <c r="M27" s="99" t="inlineStr">
        <is>
          <t>Unknown</t>
        </is>
      </c>
      <c r="N27" s="100" t="inlineStr">
        <is>
          <t>3/16</t>
        </is>
      </c>
      <c r="O27" s="101" t="inlineStr">
        <is>
          <t>PDF image reviewed - key lease terms verified</t>
        </is>
      </c>
      <c r="P27" s="101" t="inlineStr">
        <is>
          <t>PDF image checked - key terms/royalty/legal captured where legible, full clauses, exhibits, NMA, assignments, HBP/production still require verification.</t>
        </is>
      </c>
      <c r="Q27" s="101" t="inlineStr">
        <is>
          <t>1999-000825.pdf</t>
        </is>
      </c>
      <c r="R27" s="101" t="inlineStr">
        <is>
          <t>Cursory PDF-verified key terms only - not a stand-alone title opinion.</t>
        </is>
      </c>
      <c r="S27" s="94" t="inlineStr">
        <is>
          <t>No</t>
        </is>
      </c>
      <c r="T27" s="94" t="inlineStr">
        <is>
          <t>No</t>
        </is>
      </c>
      <c r="U27" s="94" t="inlineStr">
        <is>
          <t>No</t>
        </is>
      </c>
      <c r="V27" s="94" t="inlineStr">
        <is>
          <t>No</t>
        </is>
      </c>
      <c r="W27" s="102" t="inlineStr">
        <is>
          <t>View Image</t>
        </is>
      </c>
      <c r="X27" s="103" t="n"/>
      <c r="Y27" s="103" t="n"/>
    </row>
    <row r="28">
      <c r="A28" s="94" t="n">
        <v>27</v>
      </c>
      <c r="B28" s="94" t="inlineStr">
        <is>
          <t>1999-000824</t>
        </is>
      </c>
      <c r="C28" s="100" t="inlineStr">
        <is>
          <t>1592/47</t>
        </is>
      </c>
      <c r="D28" s="98" t="n">
        <v>36129</v>
      </c>
      <c r="E28" s="98" t="n">
        <v>36203</v>
      </c>
      <c r="F28" s="94" t="inlineStr">
        <is>
          <t>Bennett Family Trust</t>
        </is>
      </c>
      <c r="G28" s="94" t="inlineStr">
        <is>
          <t>Todco Properties, Inc.</t>
        </is>
      </c>
      <c r="H28" s="94" t="inlineStr">
        <is>
          <t>SE/4 Section 27-11N-25W</t>
        </is>
      </c>
      <c r="I28" s="94" t="inlineStr">
        <is>
          <t>1 year (paid-up)</t>
        </is>
      </c>
      <c r="J28" s="94" t="n">
        <v>160</v>
      </c>
      <c r="K28" s="94" t="n">
        <v>3</v>
      </c>
      <c r="L28" s="98" t="inlineStr">
        <is>
          <t>HBP</t>
        </is>
      </c>
      <c r="M28" s="99" t="inlineStr">
        <is>
          <t>Unknown</t>
        </is>
      </c>
      <c r="N28" s="100" t="inlineStr">
        <is>
          <t>3/16</t>
        </is>
      </c>
      <c r="O28" s="101" t="inlineStr">
        <is>
          <t>PDF image reviewed - key lease terms verified</t>
        </is>
      </c>
      <c r="P28" s="101" t="inlineStr">
        <is>
          <t>PDF image checked - key terms/royalty/legal captured where legible, full clauses, exhibits, NMA, assignments, HBP/production still require verification.</t>
        </is>
      </c>
      <c r="Q28" s="101" t="inlineStr">
        <is>
          <t>1999-000824.pdf</t>
        </is>
      </c>
      <c r="R28" s="101" t="inlineStr">
        <is>
          <t>Cursory PDF-verified key terms only - not a stand-alone title opinion.</t>
        </is>
      </c>
      <c r="S28" s="94" t="inlineStr">
        <is>
          <t>No</t>
        </is>
      </c>
      <c r="T28" s="94" t="inlineStr">
        <is>
          <t>No</t>
        </is>
      </c>
      <c r="U28" s="94" t="inlineStr">
        <is>
          <t>No</t>
        </is>
      </c>
      <c r="V28" s="94" t="inlineStr">
        <is>
          <t>No</t>
        </is>
      </c>
      <c r="W28" s="102" t="inlineStr">
        <is>
          <t>View Image</t>
        </is>
      </c>
      <c r="X28" s="103" t="n"/>
      <c r="Y28" s="103" t="n"/>
    </row>
    <row r="29">
      <c r="A29" s="94" t="n">
        <v>28</v>
      </c>
      <c r="B29" s="94" t="inlineStr">
        <is>
          <t>1999-000823</t>
        </is>
      </c>
      <c r="C29" s="100" t="inlineStr">
        <is>
          <t>1592/42</t>
        </is>
      </c>
      <c r="D29" s="98" t="n">
        <v>36129</v>
      </c>
      <c r="E29" s="98" t="n">
        <v>36203</v>
      </c>
      <c r="F29" s="94" t="inlineStr">
        <is>
          <t>Darcy Ann Coale</t>
        </is>
      </c>
      <c r="G29" s="94" t="inlineStr">
        <is>
          <t>Todco Properties, Inc.</t>
        </is>
      </c>
      <c r="H29" s="94" t="inlineStr">
        <is>
          <t>SE/4 Section 27-11N-25W</t>
        </is>
      </c>
      <c r="I29" s="94" t="inlineStr">
        <is>
          <t>1 year (paid-up)</t>
        </is>
      </c>
      <c r="J29" s="94" t="n">
        <v>160</v>
      </c>
      <c r="K29" s="94" t="n">
        <v>3</v>
      </c>
      <c r="L29" s="98" t="inlineStr">
        <is>
          <t>HBP</t>
        </is>
      </c>
      <c r="M29" s="99" t="inlineStr">
        <is>
          <t>Unknown</t>
        </is>
      </c>
      <c r="N29" s="100" t="inlineStr">
        <is>
          <t>3/16</t>
        </is>
      </c>
      <c r="O29" s="101" t="inlineStr">
        <is>
          <t>PDF image reviewed - key lease terms verified</t>
        </is>
      </c>
      <c r="P29" s="101" t="inlineStr">
        <is>
          <t>PDF image checked - key terms/royalty/legal captured where legible, full clauses, exhibits, NMA, assignments, HBP/production still require verification.</t>
        </is>
      </c>
      <c r="Q29" s="101" t="inlineStr">
        <is>
          <t>1999-000823.pdf</t>
        </is>
      </c>
      <c r="R29" s="101" t="inlineStr">
        <is>
          <t>Cursory PDF-verified key terms only - not a stand-alone title opinion.</t>
        </is>
      </c>
      <c r="S29" s="94" t="inlineStr">
        <is>
          <t>No</t>
        </is>
      </c>
      <c r="T29" s="94" t="inlineStr">
        <is>
          <t>No</t>
        </is>
      </c>
      <c r="U29" s="94" t="inlineStr">
        <is>
          <t>No</t>
        </is>
      </c>
      <c r="V29" s="94" t="inlineStr">
        <is>
          <t>No</t>
        </is>
      </c>
      <c r="W29" s="102" t="inlineStr">
        <is>
          <t>View Image</t>
        </is>
      </c>
      <c r="X29" s="103" t="n"/>
      <c r="Y29" s="103" t="n"/>
    </row>
    <row r="30">
      <c r="A30" s="94" t="n">
        <v>29</v>
      </c>
      <c r="B30" s="94" t="inlineStr">
        <is>
          <t>1999-000193</t>
        </is>
      </c>
      <c r="C30" s="100" t="inlineStr">
        <is>
          <t>1588/245</t>
        </is>
      </c>
      <c r="D30" s="98" t="n">
        <v>36119</v>
      </c>
      <c r="E30" s="98" t="n">
        <v>36173</v>
      </c>
      <c r="F30" s="94" t="inlineStr">
        <is>
          <t>Buffalo Missionary Baptist Church</t>
        </is>
      </c>
      <c r="G30" s="94" t="inlineStr">
        <is>
          <t>Todco Properties, Inc.</t>
        </is>
      </c>
      <c r="H30" s="94" t="inlineStr">
        <is>
          <t>1.00-acre tract in SW/4 Section 27-11N-25W (Buffalo Missionary Baptist Church tract)</t>
        </is>
      </c>
      <c r="I30" s="94" t="inlineStr">
        <is>
          <t>2 years (paid-up)</t>
        </is>
      </c>
      <c r="J30" s="94" t="n">
        <v>1</v>
      </c>
      <c r="K30" s="94" t="n">
        <v>5</v>
      </c>
      <c r="L30" s="98" t="inlineStr">
        <is>
          <t>HBP</t>
        </is>
      </c>
      <c r="M30" s="99" t="inlineStr">
        <is>
          <t>Unknown</t>
        </is>
      </c>
      <c r="N30" s="105" t="n">
        <v>0.26</v>
      </c>
      <c r="O30" s="101" t="inlineStr">
        <is>
          <t>PDF image reviewed - key lease terms verified</t>
        </is>
      </c>
      <c r="P30" s="101" t="inlineStr">
        <is>
          <t>PDF image checked - key terms/royalty/legal captured where legible, full clauses, exhibits, NMA, assignments, HBP/production still require verification.</t>
        </is>
      </c>
      <c r="Q30" s="101" t="inlineStr">
        <is>
          <t>1999-000193.pdf</t>
        </is>
      </c>
      <c r="R30" s="101" t="inlineStr">
        <is>
          <t>Cursory PDF-verified key terms only - not a stand-alone title opinion.</t>
        </is>
      </c>
      <c r="S30" s="94" t="inlineStr">
        <is>
          <t>No</t>
        </is>
      </c>
      <c r="T30" s="94" t="inlineStr">
        <is>
          <t>No</t>
        </is>
      </c>
      <c r="U30" s="94" t="inlineStr">
        <is>
          <t>No</t>
        </is>
      </c>
      <c r="V30" s="94" t="inlineStr">
        <is>
          <t>No</t>
        </is>
      </c>
      <c r="W30" s="102" t="inlineStr">
        <is>
          <t>View Image</t>
        </is>
      </c>
      <c r="X30" s="103" t="n"/>
      <c r="Y30" s="103" t="n"/>
    </row>
    <row r="31">
      <c r="A31" s="94" t="n">
        <v>30</v>
      </c>
      <c r="B31" s="94" t="inlineStr">
        <is>
          <t>1998-008577</t>
        </is>
      </c>
      <c r="C31" s="100" t="inlineStr">
        <is>
          <t>1587/129</t>
        </is>
      </c>
      <c r="D31" s="98" t="n">
        <v>36104</v>
      </c>
      <c r="E31" s="98" t="n">
        <v>36158</v>
      </c>
      <c r="F31" s="94" t="inlineStr">
        <is>
          <t>Boyd Mead</t>
        </is>
      </c>
      <c r="G31" s="94" t="inlineStr">
        <is>
          <t>Sanguine, Ltd.</t>
        </is>
      </c>
      <c r="H31" s="94" t="inlineStr">
        <is>
          <t>SE/4 Section 27-11N-25W</t>
        </is>
      </c>
      <c r="I31" s="94" t="inlineStr">
        <is>
          <t>2 years (paid-up)</t>
        </is>
      </c>
      <c r="J31" s="94" t="n">
        <v>160</v>
      </c>
      <c r="K31" s="94" t="n">
        <v>3</v>
      </c>
      <c r="L31" s="98" t="inlineStr">
        <is>
          <t>HBP</t>
        </is>
      </c>
      <c r="M31" s="99" t="inlineStr">
        <is>
          <t>Unknown</t>
        </is>
      </c>
      <c r="N31" s="100" t="inlineStr">
        <is>
          <t>3/16</t>
        </is>
      </c>
      <c r="O31" s="101" t="inlineStr">
        <is>
          <t>PDF image reviewed - key lease terms verified</t>
        </is>
      </c>
      <c r="P31" s="101" t="inlineStr">
        <is>
          <t>PDF image checked - key terms/royalty/legal captured where legible, full clauses, exhibits, NMA, assignments, HBP/production still require verification.</t>
        </is>
      </c>
      <c r="Q31" s="101" t="inlineStr">
        <is>
          <t>1998-008577.pdf</t>
        </is>
      </c>
      <c r="R31" s="101" t="inlineStr">
        <is>
          <t>Cursory PDF-verified key terms only - not a stand-alone title opinion.</t>
        </is>
      </c>
      <c r="S31" s="94" t="inlineStr">
        <is>
          <t>No</t>
        </is>
      </c>
      <c r="T31" s="94" t="inlineStr">
        <is>
          <t>Top-lease offer notice/ROFR present, not an extension option.</t>
        </is>
      </c>
      <c r="U31" s="94" t="inlineStr">
        <is>
          <t>No</t>
        </is>
      </c>
      <c r="V31" s="94" t="inlineStr">
        <is>
          <t>Bona fide top-lease offer notice/ROFR clause - lessor notice required, lessee has 15 days to meet offer.</t>
        </is>
      </c>
      <c r="W31" s="102" t="inlineStr">
        <is>
          <t>View Image</t>
        </is>
      </c>
      <c r="X31" s="103" t="n"/>
      <c r="Y31" s="103" t="n"/>
    </row>
    <row r="32">
      <c r="A32" s="94" t="n">
        <v>31</v>
      </c>
      <c r="B32" s="94" t="inlineStr">
        <is>
          <t>1998-007087</t>
        </is>
      </c>
      <c r="C32" s="100" t="inlineStr">
        <is>
          <t>1580/115</t>
        </is>
      </c>
      <c r="D32" s="98" t="n">
        <v>36027</v>
      </c>
      <c r="E32" s="98" t="n">
        <v>36094</v>
      </c>
      <c r="F32" s="94" t="inlineStr">
        <is>
          <t>Betty Sites</t>
        </is>
      </c>
      <c r="G32" s="94" t="inlineStr">
        <is>
          <t>French Energy, Inc.</t>
        </is>
      </c>
      <c r="H32" s="94" t="inlineStr">
        <is>
          <t>NW/4 Section 27-11N-25W</t>
        </is>
      </c>
      <c r="I32" s="94" t="inlineStr">
        <is>
          <t>3 years (paid-up)</t>
        </is>
      </c>
      <c r="J32" s="94" t="n">
        <v>160</v>
      </c>
      <c r="K32" s="94" t="n">
        <v>2</v>
      </c>
      <c r="L32" s="98" t="inlineStr">
        <is>
          <t>HBP</t>
        </is>
      </c>
      <c r="M32" s="99" t="inlineStr">
        <is>
          <t>Unknown</t>
        </is>
      </c>
      <c r="N32" s="100" t="inlineStr">
        <is>
          <t>3/16</t>
        </is>
      </c>
      <c r="O32" s="101" t="inlineStr">
        <is>
          <t>PDF image reviewed / related form pattern checked - key terms normalized</t>
        </is>
      </c>
      <c r="P32" s="101" t="inlineStr">
        <is>
          <t>PDF image checked - key terms/royalty/legal captured where legible, full clauses, exhibits, NMA, assignments, HBP/production still require verification.</t>
        </is>
      </c>
      <c r="Q32" s="101" t="inlineStr">
        <is>
          <t>1998-007087.pdf</t>
        </is>
      </c>
      <c r="R32" s="101" t="inlineStr">
        <is>
          <t>Cursory PDF-verified key terms only - not a stand-alone title opinion.</t>
        </is>
      </c>
      <c r="S32" s="94" t="inlineStr">
        <is>
          <t>No</t>
        </is>
      </c>
      <c r="T32" s="94" t="inlineStr">
        <is>
          <t>Top-lease offer notice/ROFR present, not an extension option.</t>
        </is>
      </c>
      <c r="U32" s="94" t="inlineStr">
        <is>
          <t>No</t>
        </is>
      </c>
      <c r="V32" s="94" t="inlineStr">
        <is>
          <t>Bona fide top-lease offer notice/ROFR clause - lessor notice required, lessee has 15 days to meet offer.</t>
        </is>
      </c>
      <c r="W32" s="102" t="inlineStr">
        <is>
          <t>View Image</t>
        </is>
      </c>
      <c r="X32" s="103" t="n"/>
      <c r="Y32" s="103" t="n"/>
    </row>
    <row r="33">
      <c r="A33" s="94" t="n">
        <v>32</v>
      </c>
      <c r="B33" s="94" t="inlineStr">
        <is>
          <t>1998-007086</t>
        </is>
      </c>
      <c r="C33" s="100" t="inlineStr">
        <is>
          <t>1580/111</t>
        </is>
      </c>
      <c r="D33" s="98" t="n">
        <v>36027</v>
      </c>
      <c r="E33" s="98" t="n">
        <v>36094</v>
      </c>
      <c r="F33" s="94" t="inlineStr">
        <is>
          <t>Donald E. Gordon</t>
        </is>
      </c>
      <c r="G33" s="94" t="inlineStr">
        <is>
          <t>French Energy, Inc.</t>
        </is>
      </c>
      <c r="H33" s="94" t="inlineStr">
        <is>
          <t>NE/4 Section 27-11N-25W</t>
        </is>
      </c>
      <c r="I33" s="94" t="inlineStr">
        <is>
          <t>3 years (paid-up)</t>
        </is>
      </c>
      <c r="J33" s="94" t="n">
        <v>160</v>
      </c>
      <c r="K33" s="94" t="n">
        <v>1</v>
      </c>
      <c r="L33" s="98" t="inlineStr">
        <is>
          <t>HBP</t>
        </is>
      </c>
      <c r="M33" s="99" t="inlineStr">
        <is>
          <t>Unknown</t>
        </is>
      </c>
      <c r="N33" s="100" t="inlineStr">
        <is>
          <t>3/16</t>
        </is>
      </c>
      <c r="O33" s="101" t="inlineStr">
        <is>
          <t>PDF image reviewed / related form pattern checked - key terms normalized</t>
        </is>
      </c>
      <c r="P33" s="101" t="inlineStr">
        <is>
          <t>PDF image checked - key terms/royalty/legal captured where legible, full clauses, exhibits, NMA, assignments, HBP/production still require verification.</t>
        </is>
      </c>
      <c r="Q33" s="101" t="inlineStr">
        <is>
          <t>1998-007086.pdf</t>
        </is>
      </c>
      <c r="R33" s="101" t="inlineStr">
        <is>
          <t>Cursory PDF-verified key terms only - not a stand-alone title opinion.</t>
        </is>
      </c>
      <c r="S33" s="94" t="inlineStr">
        <is>
          <t>No</t>
        </is>
      </c>
      <c r="T33" s="94" t="inlineStr">
        <is>
          <t>Top-lease offer notice/ROFR present, not an extension option.</t>
        </is>
      </c>
      <c r="U33" s="94" t="inlineStr">
        <is>
          <t>No</t>
        </is>
      </c>
      <c r="V33" s="94" t="inlineStr">
        <is>
          <t>Bona fide top-lease offer notice/ROFR clause - lessor notice required, lessee has 15 days to meet offer.</t>
        </is>
      </c>
      <c r="W33" s="102" t="inlineStr">
        <is>
          <t>View Image</t>
        </is>
      </c>
      <c r="X33" s="103" t="n"/>
      <c r="Y33" s="103" t="n"/>
    </row>
    <row r="34">
      <c r="A34" s="94" t="n">
        <v>33</v>
      </c>
      <c r="B34" s="94" t="inlineStr">
        <is>
          <t>1998-007085</t>
        </is>
      </c>
      <c r="C34" s="100" t="inlineStr">
        <is>
          <t>1580/107</t>
        </is>
      </c>
      <c r="D34" s="98" t="n">
        <v>36027</v>
      </c>
      <c r="E34" s="98" t="n">
        <v>36094</v>
      </c>
      <c r="F34" s="94" t="inlineStr">
        <is>
          <t>Michael Ray Sites</t>
        </is>
      </c>
      <c r="G34" s="94" t="inlineStr">
        <is>
          <t>French Energy, Inc.</t>
        </is>
      </c>
      <c r="H34" s="94" t="inlineStr">
        <is>
          <t>NW/4 Section 27-11N-25W</t>
        </is>
      </c>
      <c r="I34" s="94" t="inlineStr">
        <is>
          <t>3 years (paid-up)</t>
        </is>
      </c>
      <c r="J34" s="94" t="n">
        <v>160</v>
      </c>
      <c r="K34" s="94" t="n">
        <v>2</v>
      </c>
      <c r="L34" s="98" t="inlineStr">
        <is>
          <t>HBP</t>
        </is>
      </c>
      <c r="M34" s="99" t="inlineStr">
        <is>
          <t>Unknown</t>
        </is>
      </c>
      <c r="N34" s="100" t="inlineStr">
        <is>
          <t>3/16</t>
        </is>
      </c>
      <c r="O34" s="101" t="inlineStr">
        <is>
          <t>PDF image reviewed / related form pattern checked - key terms normalized</t>
        </is>
      </c>
      <c r="P34" s="101" t="inlineStr">
        <is>
          <t>PDF image checked - key terms/royalty/legal captured where legible, full clauses, exhibits, NMA, assignments, HBP/production still require verification.</t>
        </is>
      </c>
      <c r="Q34" s="101" t="inlineStr">
        <is>
          <t>1998-007085.pdf</t>
        </is>
      </c>
      <c r="R34" s="101" t="inlineStr">
        <is>
          <t>Cursory PDF-verified key terms only - not a stand-alone title opinion.</t>
        </is>
      </c>
      <c r="S34" s="94" t="inlineStr">
        <is>
          <t>No</t>
        </is>
      </c>
      <c r="T34" s="94" t="inlineStr">
        <is>
          <t>Top-lease offer notice/ROFR present, not an extension option.</t>
        </is>
      </c>
      <c r="U34" s="94" t="inlineStr">
        <is>
          <t>No</t>
        </is>
      </c>
      <c r="V34" s="94" t="inlineStr">
        <is>
          <t>Bona fide top-lease offer notice/ROFR clause - lessor notice required, lessee has 15 days to meet offer.</t>
        </is>
      </c>
      <c r="W34" s="102" t="inlineStr">
        <is>
          <t>View Image</t>
        </is>
      </c>
      <c r="X34" s="103" t="n"/>
      <c r="Y34" s="103" t="n"/>
    </row>
    <row r="35">
      <c r="A35" s="94" t="n">
        <v>34</v>
      </c>
      <c r="B35" s="94" t="inlineStr">
        <is>
          <t>1998-007084</t>
        </is>
      </c>
      <c r="C35" s="100" t="inlineStr">
        <is>
          <t>1580/103</t>
        </is>
      </c>
      <c r="D35" s="98" t="n">
        <v>36027</v>
      </c>
      <c r="E35" s="98" t="n">
        <v>36094</v>
      </c>
      <c r="F35" s="94" t="inlineStr">
        <is>
          <t>Marshall E. Benton</t>
        </is>
      </c>
      <c r="G35" s="94" t="inlineStr">
        <is>
          <t>French Energy, Inc.</t>
        </is>
      </c>
      <c r="H35" s="94" t="inlineStr">
        <is>
          <t>NW/4 Section 27-11N-25W</t>
        </is>
      </c>
      <c r="I35" s="94" t="inlineStr">
        <is>
          <t>3 years (paid-up)</t>
        </is>
      </c>
      <c r="J35" s="94" t="n">
        <v>160</v>
      </c>
      <c r="K35" s="94" t="n">
        <v>2</v>
      </c>
      <c r="L35" s="98" t="inlineStr">
        <is>
          <t>HBP</t>
        </is>
      </c>
      <c r="M35" s="99" t="inlineStr">
        <is>
          <t>Unknown</t>
        </is>
      </c>
      <c r="N35" s="100" t="inlineStr">
        <is>
          <t>3/16</t>
        </is>
      </c>
      <c r="O35" s="101" t="inlineStr">
        <is>
          <t>PDF image reviewed / related form pattern checked - key terms normalized</t>
        </is>
      </c>
      <c r="P35" s="101" t="inlineStr">
        <is>
          <t>PDF image checked - key terms/royalty/legal captured where legible, full clauses, exhibits, NMA, assignments, HBP/production still require verification.</t>
        </is>
      </c>
      <c r="Q35" s="101" t="inlineStr">
        <is>
          <t>1998-007084.pdf</t>
        </is>
      </c>
      <c r="R35" s="101" t="inlineStr">
        <is>
          <t>Cursory PDF-verified key terms only - not a stand-alone title opinion.</t>
        </is>
      </c>
      <c r="S35" s="94" t="inlineStr">
        <is>
          <t>No</t>
        </is>
      </c>
      <c r="T35" s="94" t="inlineStr">
        <is>
          <t>Top-lease offer notice/ROFR present, not an extension option.</t>
        </is>
      </c>
      <c r="U35" s="94" t="inlineStr">
        <is>
          <t>No</t>
        </is>
      </c>
      <c r="V35" s="94" t="inlineStr">
        <is>
          <t>Bona fide top-lease offer notice/ROFR clause - lessor notice required, lessee has 15 days to meet offer.</t>
        </is>
      </c>
      <c r="W35" s="102" t="inlineStr">
        <is>
          <t>View Image</t>
        </is>
      </c>
      <c r="X35" s="103" t="n"/>
      <c r="Y35" s="103" t="n"/>
    </row>
    <row r="36">
      <c r="A36" s="94" t="n">
        <v>35</v>
      </c>
      <c r="B36" s="94" t="inlineStr">
        <is>
          <t>1998-007083</t>
        </is>
      </c>
      <c r="C36" s="100" t="inlineStr">
        <is>
          <t>1580/99</t>
        </is>
      </c>
      <c r="D36" s="98" t="n">
        <v>36027</v>
      </c>
      <c r="E36" s="98" t="n">
        <v>36094</v>
      </c>
      <c r="F36" s="94" t="inlineStr">
        <is>
          <t>Gary Kent Benton</t>
        </is>
      </c>
      <c r="G36" s="94" t="inlineStr">
        <is>
          <t>French Energy, Inc.</t>
        </is>
      </c>
      <c r="H36" s="94" t="inlineStr">
        <is>
          <t>NW/4 Section 27-11N-25W</t>
        </is>
      </c>
      <c r="I36" s="94" t="inlineStr">
        <is>
          <t>3 years (paid-up)</t>
        </is>
      </c>
      <c r="J36" s="94" t="n">
        <v>160</v>
      </c>
      <c r="K36" s="94" t="n">
        <v>2</v>
      </c>
      <c r="L36" s="98" t="inlineStr">
        <is>
          <t>HBP</t>
        </is>
      </c>
      <c r="M36" s="99" t="inlineStr">
        <is>
          <t>Unknown</t>
        </is>
      </c>
      <c r="N36" s="100" t="inlineStr">
        <is>
          <t>3/16</t>
        </is>
      </c>
      <c r="O36" s="101" t="inlineStr">
        <is>
          <t>PDF image reviewed / related form pattern checked - key terms normalized</t>
        </is>
      </c>
      <c r="P36" s="101" t="inlineStr">
        <is>
          <t>PDF image checked - key terms/royalty/legal captured where legible, full clauses, exhibits, NMA, assignments, HBP/production still require verification.</t>
        </is>
      </c>
      <c r="Q36" s="101" t="inlineStr">
        <is>
          <t>1998-007083.pdf</t>
        </is>
      </c>
      <c r="R36" s="101" t="inlineStr">
        <is>
          <t>Cursory PDF-verified key terms only - not a stand-alone title opinion.</t>
        </is>
      </c>
      <c r="S36" s="94" t="inlineStr">
        <is>
          <t>No</t>
        </is>
      </c>
      <c r="T36" s="94" t="inlineStr">
        <is>
          <t>Top-lease offer notice/ROFR present, not an extension option.</t>
        </is>
      </c>
      <c r="U36" s="94" t="inlineStr">
        <is>
          <t>No</t>
        </is>
      </c>
      <c r="V36" s="94" t="inlineStr">
        <is>
          <t>Bona fide top-lease offer notice/ROFR clause - lessor notice required, lessee has 15 days to meet offer.</t>
        </is>
      </c>
      <c r="W36" s="102" t="inlineStr">
        <is>
          <t>View Image</t>
        </is>
      </c>
      <c r="X36" s="103" t="n"/>
      <c r="Y36" s="103" t="n"/>
    </row>
    <row r="37">
      <c r="A37" s="94" t="n">
        <v>36</v>
      </c>
      <c r="B37" s="94" t="inlineStr">
        <is>
          <t>1998-007082</t>
        </is>
      </c>
      <c r="C37" s="100" t="inlineStr">
        <is>
          <t>1580/95</t>
        </is>
      </c>
      <c r="D37" s="98" t="n">
        <v>36027</v>
      </c>
      <c r="E37" s="98" t="n">
        <v>36094</v>
      </c>
      <c r="F37" s="94" t="inlineStr">
        <is>
          <t>Radonna Kay Christopher</t>
        </is>
      </c>
      <c r="G37" s="94" t="inlineStr">
        <is>
          <t>French Energy, Inc.</t>
        </is>
      </c>
      <c r="H37" s="94" t="inlineStr">
        <is>
          <t>NW/4 Section 27-11N-25W</t>
        </is>
      </c>
      <c r="I37" s="94" t="inlineStr">
        <is>
          <t>3 years (paid-up)</t>
        </is>
      </c>
      <c r="J37" s="94" t="n">
        <v>160</v>
      </c>
      <c r="K37" s="94" t="n">
        <v>2</v>
      </c>
      <c r="L37" s="98" t="inlineStr">
        <is>
          <t>HBP</t>
        </is>
      </c>
      <c r="M37" s="99" t="inlineStr">
        <is>
          <t>Unknown</t>
        </is>
      </c>
      <c r="N37" s="100" t="inlineStr">
        <is>
          <t>3/16</t>
        </is>
      </c>
      <c r="O37" s="101" t="inlineStr">
        <is>
          <t>PDF image reviewed / related form pattern checked - key terms normalized</t>
        </is>
      </c>
      <c r="P37" s="101" t="inlineStr">
        <is>
          <t>PDF image checked - key terms/royalty/legal captured where legible, full clauses, exhibits, NMA, assignments, HBP/production still require verification.</t>
        </is>
      </c>
      <c r="Q37" s="101" t="inlineStr">
        <is>
          <t>1998-007082.pdf</t>
        </is>
      </c>
      <c r="R37" s="101" t="inlineStr">
        <is>
          <t>Cursory PDF-verified key terms only - not a stand-alone title opinion.</t>
        </is>
      </c>
      <c r="S37" s="94" t="inlineStr">
        <is>
          <t>No</t>
        </is>
      </c>
      <c r="T37" s="94" t="inlineStr">
        <is>
          <t>Top-lease offer notice/ROFR present, not an extension option.</t>
        </is>
      </c>
      <c r="U37" s="94" t="inlineStr">
        <is>
          <t>No</t>
        </is>
      </c>
      <c r="V37" s="94" t="inlineStr">
        <is>
          <t>Bona fide top-lease offer notice/ROFR clause - lessor notice required, lessee has 15 days to meet offer.</t>
        </is>
      </c>
      <c r="W37" s="102" t="inlineStr">
        <is>
          <t>View Image</t>
        </is>
      </c>
      <c r="X37" s="103" t="n"/>
      <c r="Y37" s="103" t="n"/>
    </row>
    <row r="38">
      <c r="A38" s="94" t="n">
        <v>37</v>
      </c>
      <c r="B38" s="94" t="inlineStr">
        <is>
          <t>1998-007081</t>
        </is>
      </c>
      <c r="C38" s="100" t="inlineStr">
        <is>
          <t>1580/91</t>
        </is>
      </c>
      <c r="D38" s="98" t="n">
        <v>36027</v>
      </c>
      <c r="E38" s="98" t="n">
        <v>36094</v>
      </c>
      <c r="F38" s="94" t="inlineStr">
        <is>
          <t>Steven Ernest Benton</t>
        </is>
      </c>
      <c r="G38" s="94" t="inlineStr">
        <is>
          <t>French Energy, Inc.</t>
        </is>
      </c>
      <c r="H38" s="94" t="inlineStr">
        <is>
          <t>NW/4 Section 27-11N-25W</t>
        </is>
      </c>
      <c r="I38" s="94" t="inlineStr">
        <is>
          <t>3 years (paid-up)</t>
        </is>
      </c>
      <c r="J38" s="94" t="n">
        <v>160</v>
      </c>
      <c r="K38" s="94" t="n">
        <v>2</v>
      </c>
      <c r="L38" s="98" t="inlineStr">
        <is>
          <t>HBP</t>
        </is>
      </c>
      <c r="M38" s="99" t="inlineStr">
        <is>
          <t>Unknown</t>
        </is>
      </c>
      <c r="N38" s="100" t="inlineStr">
        <is>
          <t>3/16</t>
        </is>
      </c>
      <c r="O38" s="101" t="inlineStr">
        <is>
          <t>PDF image reviewed / related form pattern checked - key terms normalized</t>
        </is>
      </c>
      <c r="P38" s="101" t="inlineStr">
        <is>
          <t>PDF image checked - key terms/royalty/legal captured where legible, full clauses, exhibits, NMA, assignments, HBP/production still require verification.</t>
        </is>
      </c>
      <c r="Q38" s="101" t="inlineStr">
        <is>
          <t>1998-007081.pdf</t>
        </is>
      </c>
      <c r="R38" s="101" t="inlineStr">
        <is>
          <t>Cursory PDF-verified key terms only - not a stand-alone title opinion.</t>
        </is>
      </c>
      <c r="S38" s="94" t="inlineStr">
        <is>
          <t>No</t>
        </is>
      </c>
      <c r="T38" s="94" t="inlineStr">
        <is>
          <t>Top-lease offer notice/ROFR present, not an extension option.</t>
        </is>
      </c>
      <c r="U38" s="94" t="inlineStr">
        <is>
          <t>No</t>
        </is>
      </c>
      <c r="V38" s="94" t="inlineStr">
        <is>
          <t>Bona fide top-lease offer notice/ROFR clause - lessor notice required, lessee has 15 days to meet offer.</t>
        </is>
      </c>
      <c r="W38" s="102" t="inlineStr">
        <is>
          <t>View Image</t>
        </is>
      </c>
      <c r="X38" s="103" t="n"/>
      <c r="Y38" s="103" t="n"/>
    </row>
    <row r="39">
      <c r="A39" s="94" t="n">
        <v>38</v>
      </c>
      <c r="B39" s="94" t="inlineStr">
        <is>
          <t>1998-007080</t>
        </is>
      </c>
      <c r="C39" s="100" t="inlineStr">
        <is>
          <t>1580/87</t>
        </is>
      </c>
      <c r="D39" s="98" t="n">
        <v>36027</v>
      </c>
      <c r="E39" s="98" t="n">
        <v>36094</v>
      </c>
      <c r="F39" s="94" t="inlineStr">
        <is>
          <t>Melody Denise Harbor</t>
        </is>
      </c>
      <c r="G39" s="94" t="inlineStr">
        <is>
          <t>French Energy, Inc.</t>
        </is>
      </c>
      <c r="H39" s="94" t="inlineStr">
        <is>
          <t>NW/4 Section 27-11N-25W</t>
        </is>
      </c>
      <c r="I39" s="94" t="inlineStr">
        <is>
          <t>3 years (paid-up)</t>
        </is>
      </c>
      <c r="J39" s="94" t="n">
        <v>160</v>
      </c>
      <c r="K39" s="94" t="n">
        <v>2</v>
      </c>
      <c r="L39" s="98" t="inlineStr">
        <is>
          <t>HBP</t>
        </is>
      </c>
      <c r="M39" s="99" t="inlineStr">
        <is>
          <t>Unknown</t>
        </is>
      </c>
      <c r="N39" s="100" t="inlineStr">
        <is>
          <t>3/16</t>
        </is>
      </c>
      <c r="O39" s="101" t="inlineStr">
        <is>
          <t>PDF image reviewed / related form pattern checked - key terms normalized</t>
        </is>
      </c>
      <c r="P39" s="101" t="inlineStr">
        <is>
          <t>PDF image checked - key terms/royalty/legal captured where legible, full clauses, exhibits, NMA, assignments, HBP/production still require verification.</t>
        </is>
      </c>
      <c r="Q39" s="101" t="inlineStr">
        <is>
          <t>1998-007080.pdf</t>
        </is>
      </c>
      <c r="R39" s="101" t="inlineStr">
        <is>
          <t>Cursory PDF-verified key terms only - not a stand-alone title opinion.</t>
        </is>
      </c>
      <c r="S39" s="94" t="inlineStr">
        <is>
          <t>No</t>
        </is>
      </c>
      <c r="T39" s="94" t="inlineStr">
        <is>
          <t>Top-lease offer notice/ROFR present, not an extension option.</t>
        </is>
      </c>
      <c r="U39" s="94" t="inlineStr">
        <is>
          <t>No</t>
        </is>
      </c>
      <c r="V39" s="94" t="inlineStr">
        <is>
          <t>Bona fide top-lease offer notice/ROFR clause - lessor notice required, lessee has 15 days to meet offer.</t>
        </is>
      </c>
      <c r="W39" s="102" t="inlineStr">
        <is>
          <t>View Image</t>
        </is>
      </c>
      <c r="X39" s="103" t="n"/>
      <c r="Y39" s="103" t="n"/>
    </row>
    <row r="40">
      <c r="A40" s="94" t="n">
        <v>39</v>
      </c>
      <c r="B40" s="94" t="inlineStr">
        <is>
          <t>1998-007079</t>
        </is>
      </c>
      <c r="C40" s="100" t="inlineStr">
        <is>
          <t>1580/83</t>
        </is>
      </c>
      <c r="D40" s="98" t="n">
        <v>36027</v>
      </c>
      <c r="E40" s="98" t="n">
        <v>36094</v>
      </c>
      <c r="F40" s="94" t="inlineStr">
        <is>
          <t>Robert A. Edwards</t>
        </is>
      </c>
      <c r="G40" s="94" t="inlineStr">
        <is>
          <t>French Energy, Inc.</t>
        </is>
      </c>
      <c r="H40" s="94" t="inlineStr">
        <is>
          <t>NW/4 Section 27-11N-25W</t>
        </is>
      </c>
      <c r="I40" s="94" t="inlineStr">
        <is>
          <t>3 years (paid-up)</t>
        </is>
      </c>
      <c r="J40" s="94" t="n">
        <v>160</v>
      </c>
      <c r="K40" s="94" t="n">
        <v>2</v>
      </c>
      <c r="L40" s="98" t="inlineStr">
        <is>
          <t>HBP</t>
        </is>
      </c>
      <c r="M40" s="99" t="inlineStr">
        <is>
          <t>Unknown</t>
        </is>
      </c>
      <c r="N40" s="100" t="inlineStr">
        <is>
          <t>3/16</t>
        </is>
      </c>
      <c r="O40" s="101" t="inlineStr">
        <is>
          <t>PDF image reviewed / related form pattern checked - key terms normalized</t>
        </is>
      </c>
      <c r="P40" s="101" t="inlineStr">
        <is>
          <t>PDF image checked - key terms/royalty/legal captured where legible, full clauses, exhibits, NMA, assignments, HBP/production still require verification.</t>
        </is>
      </c>
      <c r="Q40" s="101" t="inlineStr">
        <is>
          <t>1998-007079.pdf</t>
        </is>
      </c>
      <c r="R40" s="101" t="inlineStr">
        <is>
          <t>Cursory PDF-verified key terms only - not a stand-alone title opinion.</t>
        </is>
      </c>
      <c r="S40" s="94" t="inlineStr">
        <is>
          <t>No</t>
        </is>
      </c>
      <c r="T40" s="94" t="inlineStr">
        <is>
          <t>Top-lease offer notice/ROFR present, not an extension option.</t>
        </is>
      </c>
      <c r="U40" s="94" t="inlineStr">
        <is>
          <t>No</t>
        </is>
      </c>
      <c r="V40" s="94" t="inlineStr">
        <is>
          <t>Bona fide top-lease offer notice/ROFR clause - lessor notice required, lessee has 15 days to meet offer.</t>
        </is>
      </c>
      <c r="W40" s="102" t="inlineStr">
        <is>
          <t>View Image</t>
        </is>
      </c>
      <c r="X40" s="103" t="n"/>
      <c r="Y40" s="103" t="n"/>
    </row>
    <row r="41">
      <c r="A41" s="94" t="n">
        <v>40</v>
      </c>
      <c r="B41" s="94" t="inlineStr">
        <is>
          <t>1998-007078</t>
        </is>
      </c>
      <c r="C41" s="100" t="inlineStr">
        <is>
          <t>1580/79</t>
        </is>
      </c>
      <c r="D41" s="98" t="n">
        <v>36027</v>
      </c>
      <c r="E41" s="98" t="n">
        <v>36094</v>
      </c>
      <c r="F41" s="94" t="inlineStr">
        <is>
          <t>Larry D. Edwards</t>
        </is>
      </c>
      <c r="G41" s="94" t="inlineStr">
        <is>
          <t>French Energy, Inc.</t>
        </is>
      </c>
      <c r="H41" s="94" t="inlineStr">
        <is>
          <t>NW/4 Section 27-11N-25W</t>
        </is>
      </c>
      <c r="I41" s="94" t="inlineStr">
        <is>
          <t>3 years (paid-up)</t>
        </is>
      </c>
      <c r="J41" s="94" t="n">
        <v>160</v>
      </c>
      <c r="K41" s="94" t="n">
        <v>2</v>
      </c>
      <c r="L41" s="98" t="inlineStr">
        <is>
          <t>HBP</t>
        </is>
      </c>
      <c r="M41" s="99" t="inlineStr">
        <is>
          <t>Unknown</t>
        </is>
      </c>
      <c r="N41" s="100" t="inlineStr">
        <is>
          <t>3/16</t>
        </is>
      </c>
      <c r="O41" s="101" t="inlineStr">
        <is>
          <t>PDF image reviewed / related form pattern checked - key terms normalized</t>
        </is>
      </c>
      <c r="P41" s="101" t="inlineStr">
        <is>
          <t>PDF image checked - key terms/royalty/legal captured where legible, full clauses, exhibits, NMA, assignments, HBP/production still require verification.</t>
        </is>
      </c>
      <c r="Q41" s="101" t="inlineStr">
        <is>
          <t>1998-007078.pdf</t>
        </is>
      </c>
      <c r="R41" s="101" t="inlineStr">
        <is>
          <t>Cursory PDF-verified key terms only - not a stand-alone title opinion.</t>
        </is>
      </c>
      <c r="S41" s="94" t="inlineStr">
        <is>
          <t>No</t>
        </is>
      </c>
      <c r="T41" s="94" t="inlineStr">
        <is>
          <t>Top-lease offer notice/ROFR present, not an extension option.</t>
        </is>
      </c>
      <c r="U41" s="94" t="inlineStr">
        <is>
          <t>No</t>
        </is>
      </c>
      <c r="V41" s="94" t="inlineStr">
        <is>
          <t>Bona fide top-lease offer notice/ROFR clause - lessor notice required, lessee has 15 days to meet offer.</t>
        </is>
      </c>
      <c r="W41" s="102" t="inlineStr">
        <is>
          <t>View Image</t>
        </is>
      </c>
      <c r="X41" s="103" t="n"/>
      <c r="Y41" s="103" t="n"/>
    </row>
    <row r="42">
      <c r="A42" s="94" t="n">
        <v>41</v>
      </c>
      <c r="B42" s="94" t="inlineStr">
        <is>
          <t>1998-005861</t>
        </is>
      </c>
      <c r="C42" s="100" t="inlineStr">
        <is>
          <t>1574/284</t>
        </is>
      </c>
      <c r="D42" s="98" t="n">
        <v>36024</v>
      </c>
      <c r="E42" s="98" t="n">
        <v>36040</v>
      </c>
      <c r="F42" s="94" t="inlineStr">
        <is>
          <t>Alfred R. Fuchs,
F. Jeanice Fuchs Aka Jeanice Fuchs</t>
        </is>
      </c>
      <c r="G42" s="94" t="inlineStr">
        <is>
          <t>Arrowhead Resources, Inc.</t>
        </is>
      </c>
      <c r="H42" s="94" t="inlineStr">
        <is>
          <t>SE/4 Section 27-11N-25W</t>
        </is>
      </c>
      <c r="I42" s="94" t="inlineStr">
        <is>
          <t>2 years (paid-up)</t>
        </is>
      </c>
      <c r="J42" s="94" t="n">
        <v>160</v>
      </c>
      <c r="K42" s="94" t="n">
        <v>3</v>
      </c>
      <c r="L42" s="98" t="inlineStr">
        <is>
          <t>HBP</t>
        </is>
      </c>
      <c r="M42" s="99" t="inlineStr">
        <is>
          <t>Unknown</t>
        </is>
      </c>
      <c r="N42" s="100" t="inlineStr">
        <is>
          <t>3/16</t>
        </is>
      </c>
      <c r="O42" s="101" t="inlineStr">
        <is>
          <t>PDF image reviewed / related form pattern checked - key terms normalized</t>
        </is>
      </c>
      <c r="P42" s="101" t="inlineStr">
        <is>
          <t>PDF image checked - key terms/royalty/legal captured where legible, full clauses, exhibits, NMA, assignments, HBP/production still require verification.</t>
        </is>
      </c>
      <c r="Q42" s="101" t="inlineStr">
        <is>
          <t>1998-005861.pdf</t>
        </is>
      </c>
      <c r="R42" s="101" t="inlineStr">
        <is>
          <t>Cursory PDF-verified key terms only - not a stand-alone title opinion.</t>
        </is>
      </c>
      <c r="S42" s="94" t="inlineStr">
        <is>
          <t>No</t>
        </is>
      </c>
      <c r="T42" s="94" t="inlineStr">
        <is>
          <t>Top-lease offer notice/ROFR present, not an extension option.</t>
        </is>
      </c>
      <c r="U42" s="94" t="inlineStr">
        <is>
          <t>No</t>
        </is>
      </c>
      <c r="V42" s="94" t="inlineStr">
        <is>
          <t>Bona fide top-lease offer notice/ROFR clause - lessor notice required, lessee has 15 days to meet offer.</t>
        </is>
      </c>
      <c r="W42" s="102" t="inlineStr">
        <is>
          <t>View Image</t>
        </is>
      </c>
      <c r="X42" s="103" t="n"/>
      <c r="Y42" s="103" t="n"/>
    </row>
    <row r="43">
      <c r="A43" s="94" t="n">
        <v>42</v>
      </c>
      <c r="B43" s="94" t="inlineStr">
        <is>
          <t>1998-005860</t>
        </is>
      </c>
      <c r="C43" s="100" t="inlineStr">
        <is>
          <t>1574/280</t>
        </is>
      </c>
      <c r="D43" s="98" t="n">
        <v>36024</v>
      </c>
      <c r="E43" s="98" t="n">
        <v>36040</v>
      </c>
      <c r="F43" s="94" t="inlineStr">
        <is>
          <t>Calvin W. Fuchs Revocable Trust</t>
        </is>
      </c>
      <c r="G43" s="94" t="inlineStr">
        <is>
          <t>Arrowhead Resources, Inc.</t>
        </is>
      </c>
      <c r="H43" s="94" t="inlineStr">
        <is>
          <t>SE/4 Section 27-11N-25W</t>
        </is>
      </c>
      <c r="I43" s="94" t="inlineStr">
        <is>
          <t>2 years (paid-up)</t>
        </is>
      </c>
      <c r="J43" s="94" t="n">
        <v>160</v>
      </c>
      <c r="K43" s="94" t="n">
        <v>3</v>
      </c>
      <c r="L43" s="98" t="inlineStr">
        <is>
          <t>HBP</t>
        </is>
      </c>
      <c r="M43" s="99" t="inlineStr">
        <is>
          <t>Unknown</t>
        </is>
      </c>
      <c r="N43" s="100" t="inlineStr">
        <is>
          <t>3/16</t>
        </is>
      </c>
      <c r="O43" s="101" t="inlineStr">
        <is>
          <t>PDF image reviewed / related form pattern checked - key terms normalized</t>
        </is>
      </c>
      <c r="P43" s="101" t="inlineStr">
        <is>
          <t>PDF image checked - key terms/royalty/legal captured where legible, full clauses, exhibits, NMA, assignments, HBP/production still require verification.</t>
        </is>
      </c>
      <c r="Q43" s="101" t="inlineStr">
        <is>
          <t>1998-005860.pdf</t>
        </is>
      </c>
      <c r="R43" s="101" t="inlineStr">
        <is>
          <t>Cursory PDF-verified key terms only - not a stand-alone title opinion.</t>
        </is>
      </c>
      <c r="S43" s="94" t="inlineStr">
        <is>
          <t>No</t>
        </is>
      </c>
      <c r="T43" s="94" t="inlineStr">
        <is>
          <t>Top-lease offer notice/ROFR present, not an extension option.</t>
        </is>
      </c>
      <c r="U43" s="94" t="inlineStr">
        <is>
          <t>No</t>
        </is>
      </c>
      <c r="V43" s="94" t="inlineStr">
        <is>
          <t>Bona fide top-lease offer notice/ROFR clause - lessor notice required, lessee has 15 days to meet offer.</t>
        </is>
      </c>
      <c r="W43" s="102" t="inlineStr">
        <is>
          <t>View Image</t>
        </is>
      </c>
      <c r="X43" s="103" t="n"/>
      <c r="Y43" s="103" t="n"/>
    </row>
    <row r="44">
      <c r="A44" s="94" t="n">
        <v>43</v>
      </c>
      <c r="B44" s="94" t="inlineStr">
        <is>
          <t>1998-005859</t>
        </is>
      </c>
      <c r="C44" s="100" t="inlineStr">
        <is>
          <t>1574/276</t>
        </is>
      </c>
      <c r="D44" s="98" t="n">
        <v>36024</v>
      </c>
      <c r="E44" s="98" t="n">
        <v>36040</v>
      </c>
      <c r="F44" s="94" t="inlineStr">
        <is>
          <t>Howard G. Fuchs Trust</t>
        </is>
      </c>
      <c r="G44" s="94" t="inlineStr">
        <is>
          <t>Arrowhead Resources, Inc.</t>
        </is>
      </c>
      <c r="H44" s="94" t="inlineStr">
        <is>
          <t>SE/4 Section 27-11N-25W</t>
        </is>
      </c>
      <c r="I44" s="94" t="inlineStr">
        <is>
          <t>2 years (paid-up)</t>
        </is>
      </c>
      <c r="J44" s="94" t="n">
        <v>160</v>
      </c>
      <c r="K44" s="94" t="n">
        <v>3</v>
      </c>
      <c r="L44" s="98" t="inlineStr">
        <is>
          <t>HBP</t>
        </is>
      </c>
      <c r="M44" s="99" t="inlineStr">
        <is>
          <t>Unknown</t>
        </is>
      </c>
      <c r="N44" s="100" t="inlineStr">
        <is>
          <t>3/16</t>
        </is>
      </c>
      <c r="O44" s="101" t="inlineStr">
        <is>
          <t>PDF image reviewed / related form pattern checked - key terms normalized</t>
        </is>
      </c>
      <c r="P44" s="101" t="inlineStr">
        <is>
          <t>PDF image checked - key terms/royalty/legal captured where legible, full clauses, exhibits, NMA, assignments, HBP/production still require verification.</t>
        </is>
      </c>
      <c r="Q44" s="101" t="inlineStr">
        <is>
          <t>1998-005859.pdf</t>
        </is>
      </c>
      <c r="R44" s="101" t="inlineStr">
        <is>
          <t>Cursory PDF-verified key terms only - not a stand-alone title opinion.</t>
        </is>
      </c>
      <c r="S44" s="94" t="inlineStr">
        <is>
          <t>No</t>
        </is>
      </c>
      <c r="T44" s="94" t="inlineStr">
        <is>
          <t>Top-lease offer notice/ROFR present, not an extension option.</t>
        </is>
      </c>
      <c r="U44" s="94" t="inlineStr">
        <is>
          <t>No</t>
        </is>
      </c>
      <c r="V44" s="94" t="inlineStr">
        <is>
          <t>Bona fide top-lease offer notice/ROFR clause - lessor notice required, lessee has 15 days to meet offer.</t>
        </is>
      </c>
      <c r="W44" s="102" t="inlineStr">
        <is>
          <t>View Image</t>
        </is>
      </c>
      <c r="X44" s="103" t="n"/>
      <c r="Y44" s="103" t="n"/>
    </row>
    <row r="45">
      <c r="A45" s="94" t="n">
        <v>44</v>
      </c>
      <c r="B45" s="94" t="inlineStr">
        <is>
          <t>1998-005858</t>
        </is>
      </c>
      <c r="C45" s="100" t="inlineStr">
        <is>
          <t>1574/272</t>
        </is>
      </c>
      <c r="D45" s="98" t="n">
        <v>36021</v>
      </c>
      <c r="E45" s="98" t="n">
        <v>36040</v>
      </c>
      <c r="F45" s="94" t="inlineStr">
        <is>
          <t>Chloe E. Davis Revocable Living Trust</t>
        </is>
      </c>
      <c r="G45" s="94" t="inlineStr">
        <is>
          <t>Arrowhead Resources, Inc.</t>
        </is>
      </c>
      <c r="H45" s="94" t="inlineStr">
        <is>
          <t>NE/4 Section 27-11N-25W</t>
        </is>
      </c>
      <c r="I45" s="94" t="inlineStr">
        <is>
          <t>2 years (paid-up)</t>
        </is>
      </c>
      <c r="J45" s="94" t="n">
        <v>160</v>
      </c>
      <c r="K45" s="94" t="n">
        <v>1</v>
      </c>
      <c r="L45" s="98" t="inlineStr">
        <is>
          <t>HBP</t>
        </is>
      </c>
      <c r="M45" s="99" t="inlineStr">
        <is>
          <t>Unknown</t>
        </is>
      </c>
      <c r="N45" s="100" t="inlineStr">
        <is>
          <t>3/16</t>
        </is>
      </c>
      <c r="O45" s="101" t="inlineStr">
        <is>
          <t>PDF image reviewed / related form pattern checked - key terms normalized</t>
        </is>
      </c>
      <c r="P45" s="101" t="inlineStr">
        <is>
          <t>PDF image checked - key terms/royalty/legal captured where legible, full clauses, exhibits, NMA, assignments, HBP/production still require verification.</t>
        </is>
      </c>
      <c r="Q45" s="101" t="inlineStr">
        <is>
          <t>1998-005858.pdf</t>
        </is>
      </c>
      <c r="R45" s="101" t="inlineStr">
        <is>
          <t>Cursory PDF-verified key terms only - not a stand-alone title opinion.</t>
        </is>
      </c>
      <c r="S45" s="94" t="inlineStr">
        <is>
          <t>No</t>
        </is>
      </c>
      <c r="T45" s="94" t="inlineStr">
        <is>
          <t>Top-lease offer notice/ROFR present, not an extension option.</t>
        </is>
      </c>
      <c r="U45" s="94" t="inlineStr">
        <is>
          <t>No</t>
        </is>
      </c>
      <c r="V45" s="94" t="inlineStr">
        <is>
          <t>Bona fide top-lease offer notice/ROFR clause - lessor notice required, lessee has 15 days to meet offer.</t>
        </is>
      </c>
      <c r="W45" s="102" t="inlineStr">
        <is>
          <t>View Image</t>
        </is>
      </c>
      <c r="X45" s="103" t="n"/>
      <c r="Y45" s="103" t="n"/>
    </row>
    <row r="46">
      <c r="A46" s="94" t="n">
        <v>45</v>
      </c>
      <c r="B46" s="94" t="inlineStr">
        <is>
          <t>1995-004394</t>
        </is>
      </c>
      <c r="C46" s="100" t="inlineStr">
        <is>
          <t>1435/159</t>
        </is>
      </c>
      <c r="D46" s="98" t="n">
        <v>34576</v>
      </c>
      <c r="E46" s="98" t="n">
        <v>34947</v>
      </c>
      <c r="F46" s="94" t="inlineStr">
        <is>
          <t>Larry D. Edwards</t>
        </is>
      </c>
      <c r="G46" s="94" t="inlineStr">
        <is>
          <t>French Energy, Inc.</t>
        </is>
      </c>
      <c r="H46" s="94" t="inlineStr">
        <is>
          <t>NW/4 Section 27-11N-25W</t>
        </is>
      </c>
      <c r="I46" s="94" t="inlineStr">
        <is>
          <t>3 years from 08/01/1995 (paid-up)</t>
        </is>
      </c>
      <c r="J46" s="94" t="n">
        <v>160</v>
      </c>
      <c r="K46" s="94" t="n">
        <v>2</v>
      </c>
      <c r="L46" s="98" t="inlineStr">
        <is>
          <t>HBP</t>
        </is>
      </c>
      <c r="M46" s="99" t="inlineStr">
        <is>
          <t>Unknown</t>
        </is>
      </c>
      <c r="N46" s="100" t="inlineStr">
        <is>
          <t>3/16</t>
        </is>
      </c>
      <c r="O46" s="101" t="inlineStr">
        <is>
          <t>PDF image reviewed / related top-lease form checked - key terms normalized</t>
        </is>
      </c>
      <c r="P46" s="101" t="inlineStr">
        <is>
          <t>PDF image checked - key terms/royalty/legal captured where legible, full clauses, exhibits, NMA, assignments, HBP/production still require verification.</t>
        </is>
      </c>
      <c r="Q46" s="101" t="inlineStr">
        <is>
          <t>1995-004394.pdf</t>
        </is>
      </c>
      <c r="R46" s="101" t="inlineStr">
        <is>
          <t>Cursory PDF-verified key terms only - not a stand-alone title opinion.</t>
        </is>
      </c>
      <c r="S46" s="94" t="inlineStr">
        <is>
          <t>Top/reversionary form, depth clause not fully abstracted from reviewed page.</t>
        </is>
      </c>
      <c r="T46" s="94" t="inlineStr">
        <is>
          <t>No, lessor covenant not to extend/renew existing lease appears in reviewed form.</t>
        </is>
      </c>
      <c r="U46" s="94" t="inlineStr">
        <is>
          <t>No</t>
        </is>
      </c>
      <c r="V46" s="94" t="inlineStr">
        <is>
          <t>YES - reversionary/top lease form, covers lessor's reversionary interest, subject to existing lease, vesting upon termination.</t>
        </is>
      </c>
      <c r="W46" s="102" t="inlineStr">
        <is>
          <t>View Image</t>
        </is>
      </c>
      <c r="X46" s="103" t="n"/>
      <c r="Y46" s="103" t="n"/>
    </row>
    <row r="47">
      <c r="A47" s="94" t="n">
        <v>46</v>
      </c>
      <c r="B47" s="94" t="inlineStr">
        <is>
          <t>1995-004178</t>
        </is>
      </c>
      <c r="C47" s="100" t="inlineStr">
        <is>
          <t>1433/213</t>
        </is>
      </c>
      <c r="D47" s="98" t="n">
        <v>34554</v>
      </c>
      <c r="E47" s="98" t="n">
        <v>34933</v>
      </c>
      <c r="F47" s="94" t="inlineStr">
        <is>
          <t>Calvin W. Fuchs Revocable Trust</t>
        </is>
      </c>
      <c r="G47" s="94" t="inlineStr">
        <is>
          <t>French Energy, Inc.</t>
        </is>
      </c>
      <c r="H47" s="94" t="inlineStr">
        <is>
          <t>SE/4 Section 27-11N-25W</t>
        </is>
      </c>
      <c r="I47" s="94" t="inlineStr">
        <is>
          <t>3 years from 08/01/1995 (paid-up)</t>
        </is>
      </c>
      <c r="J47" s="94" t="n">
        <v>160</v>
      </c>
      <c r="K47" s="94" t="n">
        <v>3</v>
      </c>
      <c r="L47" s="98" t="inlineStr">
        <is>
          <t>HBP</t>
        </is>
      </c>
      <c r="M47" s="99" t="inlineStr">
        <is>
          <t>Unknown</t>
        </is>
      </c>
      <c r="N47" s="100" t="inlineStr">
        <is>
          <t>3/16</t>
        </is>
      </c>
      <c r="O47" s="101" t="inlineStr">
        <is>
          <t>PDF image reviewed / related top-lease form checked - key terms normalized</t>
        </is>
      </c>
      <c r="P47" s="101" t="inlineStr">
        <is>
          <t>PDF image checked - key terms/royalty/legal captured where legible, full clauses, exhibits, NMA, assignments, HBP/production still require verification.</t>
        </is>
      </c>
      <c r="Q47" s="101" t="inlineStr">
        <is>
          <t>1995-004178.pdf</t>
        </is>
      </c>
      <c r="R47" s="101" t="inlineStr">
        <is>
          <t>Cursory PDF-verified key terms only - not a stand-alone title opinion.</t>
        </is>
      </c>
      <c r="S47" s="94" t="inlineStr">
        <is>
          <t>Top/reversionary form, depth clause not fully abstracted from reviewed page.</t>
        </is>
      </c>
      <c r="T47" s="94" t="inlineStr">
        <is>
          <t>No, lessor covenant not to extend/renew existing lease appears in reviewed form.</t>
        </is>
      </c>
      <c r="U47" s="94" t="inlineStr">
        <is>
          <t>No</t>
        </is>
      </c>
      <c r="V47" s="94" t="inlineStr">
        <is>
          <t>YES - reversionary/top lease form, covers lessor's reversionary interest, subject to existing lease, vesting upon termination.</t>
        </is>
      </c>
      <c r="W47" s="102" t="inlineStr">
        <is>
          <t>View Image</t>
        </is>
      </c>
      <c r="X47" s="103" t="n"/>
      <c r="Y47" s="103" t="n"/>
    </row>
    <row r="48">
      <c r="A48" s="94" t="n">
        <v>47</v>
      </c>
      <c r="B48" s="94" t="inlineStr">
        <is>
          <t>1995-004035</t>
        </is>
      </c>
      <c r="C48" s="100" t="inlineStr">
        <is>
          <t>1432/68</t>
        </is>
      </c>
      <c r="D48" s="98" t="n">
        <v>34569</v>
      </c>
      <c r="E48" s="98" t="n">
        <v>34925</v>
      </c>
      <c r="F48" s="94" t="inlineStr">
        <is>
          <t>Steven Ernest Benton</t>
        </is>
      </c>
      <c r="G48" s="94" t="inlineStr">
        <is>
          <t>French Energy, Inc.</t>
        </is>
      </c>
      <c r="H48" s="94" t="inlineStr">
        <is>
          <t>NW/4 Section 27-11N-25W</t>
        </is>
      </c>
      <c r="I48" s="94" t="inlineStr">
        <is>
          <t>3 years from 08/01/1995 (paid-up)</t>
        </is>
      </c>
      <c r="J48" s="94" t="n">
        <v>160</v>
      </c>
      <c r="K48" s="94" t="n">
        <v>2</v>
      </c>
      <c r="L48" s="98" t="inlineStr">
        <is>
          <t>HBP</t>
        </is>
      </c>
      <c r="M48" s="99" t="inlineStr">
        <is>
          <t>Unknown</t>
        </is>
      </c>
      <c r="N48" s="100" t="inlineStr">
        <is>
          <t>3/16</t>
        </is>
      </c>
      <c r="O48" s="101" t="inlineStr">
        <is>
          <t>PDF image reviewed / related top-lease form checked - key terms normalized</t>
        </is>
      </c>
      <c r="P48" s="101" t="inlineStr">
        <is>
          <t>PDF image checked - key terms/royalty/legal captured where legible, full clauses, exhibits, NMA, assignments, HBP/production still require verification.</t>
        </is>
      </c>
      <c r="Q48" s="101" t="inlineStr">
        <is>
          <t>1995-004035.pdf</t>
        </is>
      </c>
      <c r="R48" s="101" t="inlineStr">
        <is>
          <t>Cursory PDF-verified key terms only - not a stand-alone title opinion.</t>
        </is>
      </c>
      <c r="S48" s="94" t="inlineStr">
        <is>
          <t>Top/reversionary form, depth clause not fully abstracted from reviewed page.</t>
        </is>
      </c>
      <c r="T48" s="94" t="inlineStr">
        <is>
          <t>No, lessor covenant not to extend/renew existing lease appears in reviewed form.</t>
        </is>
      </c>
      <c r="U48" s="94" t="inlineStr">
        <is>
          <t>No</t>
        </is>
      </c>
      <c r="V48" s="94" t="inlineStr">
        <is>
          <t>YES - reversionary/top lease form, covers lessor's reversionary interest, subject to existing lease, vesting upon termination.</t>
        </is>
      </c>
      <c r="W48" s="102" t="inlineStr">
        <is>
          <t>View Image</t>
        </is>
      </c>
      <c r="X48" s="103" t="n"/>
      <c r="Y48" s="103" t="n"/>
    </row>
    <row r="49">
      <c r="A49" s="94" t="n">
        <v>48</v>
      </c>
      <c r="B49" s="94" t="inlineStr">
        <is>
          <t>1995-004034</t>
        </is>
      </c>
      <c r="C49" s="100" t="inlineStr">
        <is>
          <t>1432/64</t>
        </is>
      </c>
      <c r="D49" s="98" t="n">
        <v>34569</v>
      </c>
      <c r="E49" s="98" t="n">
        <v>34925</v>
      </c>
      <c r="F49" s="94" t="inlineStr">
        <is>
          <t>Robert A. Edwards</t>
        </is>
      </c>
      <c r="G49" s="94" t="inlineStr">
        <is>
          <t>French Energy, Inc.</t>
        </is>
      </c>
      <c r="H49" s="94" t="inlineStr">
        <is>
          <t>NW/4 Section 27-11N-25W</t>
        </is>
      </c>
      <c r="I49" s="94" t="inlineStr">
        <is>
          <t>3 years from 08/01/1995 (paid-up)</t>
        </is>
      </c>
      <c r="J49" s="94" t="n">
        <v>160</v>
      </c>
      <c r="K49" s="94" t="n">
        <v>2</v>
      </c>
      <c r="L49" s="98" t="inlineStr">
        <is>
          <t>HBP</t>
        </is>
      </c>
      <c r="M49" s="99" t="inlineStr">
        <is>
          <t>Unknown</t>
        </is>
      </c>
      <c r="N49" s="100" t="inlineStr">
        <is>
          <t>3/16</t>
        </is>
      </c>
      <c r="O49" s="101" t="inlineStr">
        <is>
          <t>PDF image reviewed / related top-lease form checked - key terms normalized</t>
        </is>
      </c>
      <c r="P49" s="101" t="inlineStr">
        <is>
          <t>PDF image checked - key terms/royalty/legal captured where legible, full clauses, exhibits, NMA, assignments, HBP/production still require verification.</t>
        </is>
      </c>
      <c r="Q49" s="101" t="inlineStr">
        <is>
          <t>1995-004034.pdf</t>
        </is>
      </c>
      <c r="R49" s="101" t="inlineStr">
        <is>
          <t>Cursory PDF-verified key terms only - not a stand-alone title opinion.</t>
        </is>
      </c>
      <c r="S49" s="94" t="inlineStr">
        <is>
          <t>Top/reversionary form, depth clause not fully abstracted from reviewed page.</t>
        </is>
      </c>
      <c r="T49" s="94" t="inlineStr">
        <is>
          <t>No, lessor covenant not to extend/renew existing lease appears in reviewed form.</t>
        </is>
      </c>
      <c r="U49" s="94" t="inlineStr">
        <is>
          <t>No</t>
        </is>
      </c>
      <c r="V49" s="94" t="inlineStr">
        <is>
          <t>YES - reversionary/top lease form, covers lessor's reversionary interest, subject to existing lease, vesting upon termination.</t>
        </is>
      </c>
      <c r="W49" s="102" t="inlineStr">
        <is>
          <t>View Image</t>
        </is>
      </c>
      <c r="X49" s="103" t="n"/>
      <c r="Y49" s="103" t="n"/>
    </row>
    <row r="50">
      <c r="A50" s="94" t="n">
        <v>49</v>
      </c>
      <c r="B50" s="94" t="inlineStr">
        <is>
          <t>1995-004033</t>
        </is>
      </c>
      <c r="C50" s="100" t="inlineStr">
        <is>
          <t>1432/60</t>
        </is>
      </c>
      <c r="D50" s="98" t="n">
        <v>34569</v>
      </c>
      <c r="E50" s="98" t="n">
        <v>34925</v>
      </c>
      <c r="F50" s="94" t="inlineStr">
        <is>
          <t>Melody Denise Harbour</t>
        </is>
      </c>
      <c r="G50" s="94" t="inlineStr">
        <is>
          <t>French Energy, Inc.</t>
        </is>
      </c>
      <c r="H50" s="94" t="inlineStr">
        <is>
          <t>NW/4 Section 27-11N-25W</t>
        </is>
      </c>
      <c r="I50" s="94" t="inlineStr">
        <is>
          <t>3 years from 08/01/1995 (paid-up)</t>
        </is>
      </c>
      <c r="J50" s="94" t="n">
        <v>160</v>
      </c>
      <c r="K50" s="94" t="n">
        <v>2</v>
      </c>
      <c r="L50" s="98" t="inlineStr">
        <is>
          <t>HBP</t>
        </is>
      </c>
      <c r="M50" s="99" t="inlineStr">
        <is>
          <t>Unknown</t>
        </is>
      </c>
      <c r="N50" s="100" t="inlineStr">
        <is>
          <t>3/16</t>
        </is>
      </c>
      <c r="O50" s="101" t="inlineStr">
        <is>
          <t>PDF image reviewed / related top-lease form checked - key terms normalized</t>
        </is>
      </c>
      <c r="P50" s="101" t="inlineStr">
        <is>
          <t>PDF image checked - key terms/royalty/legal captured where legible, full clauses, exhibits, NMA, assignments, HBP/production still require verification.</t>
        </is>
      </c>
      <c r="Q50" s="101" t="inlineStr">
        <is>
          <t>1995-004033.pdf</t>
        </is>
      </c>
      <c r="R50" s="101" t="inlineStr">
        <is>
          <t>Cursory PDF-verified key terms only - not a stand-alone title opinion.</t>
        </is>
      </c>
      <c r="S50" s="94" t="inlineStr">
        <is>
          <t>Top/reversionary form, depth clause not fully abstracted from reviewed page.</t>
        </is>
      </c>
      <c r="T50" s="94" t="inlineStr">
        <is>
          <t>No, lessor covenant not to extend/renew existing lease appears in reviewed form.</t>
        </is>
      </c>
      <c r="U50" s="94" t="inlineStr">
        <is>
          <t>No</t>
        </is>
      </c>
      <c r="V50" s="94" t="inlineStr">
        <is>
          <t>YES - reversionary/top lease form, covers lessor's reversionary interest, subject to existing lease, vesting upon termination.</t>
        </is>
      </c>
      <c r="W50" s="102" t="inlineStr">
        <is>
          <t>View Image</t>
        </is>
      </c>
      <c r="X50" s="103" t="n"/>
      <c r="Y50" s="103" t="n"/>
    </row>
    <row r="51">
      <c r="A51" s="94" t="n">
        <v>50</v>
      </c>
      <c r="B51" s="94" t="inlineStr">
        <is>
          <t>1995-004032</t>
        </is>
      </c>
      <c r="C51" s="100" t="inlineStr">
        <is>
          <t>1432/56</t>
        </is>
      </c>
      <c r="D51" s="98" t="n">
        <v>34569</v>
      </c>
      <c r="E51" s="98" t="n">
        <v>34925</v>
      </c>
      <c r="F51" s="94" t="inlineStr">
        <is>
          <t>Michael Ray Sites</t>
        </is>
      </c>
      <c r="G51" s="94" t="inlineStr">
        <is>
          <t>French Energy, Inc.</t>
        </is>
      </c>
      <c r="H51" s="94" t="inlineStr">
        <is>
          <t>NW/4 Section 27-11N-25W</t>
        </is>
      </c>
      <c r="I51" s="94" t="inlineStr">
        <is>
          <t>3 years from 08/01/1995 (paid-up)</t>
        </is>
      </c>
      <c r="J51" s="94" t="n">
        <v>160</v>
      </c>
      <c r="K51" s="94" t="n">
        <v>2</v>
      </c>
      <c r="L51" s="98" t="inlineStr">
        <is>
          <t>HBP</t>
        </is>
      </c>
      <c r="M51" s="99" t="inlineStr">
        <is>
          <t>Unknown</t>
        </is>
      </c>
      <c r="N51" s="100" t="inlineStr">
        <is>
          <t>3/16</t>
        </is>
      </c>
      <c r="O51" s="101" t="inlineStr">
        <is>
          <t>PDF image reviewed / related top-lease form checked - key terms normalized</t>
        </is>
      </c>
      <c r="P51" s="101" t="inlineStr">
        <is>
          <t>PDF image checked - key terms/royalty/legal captured where legible, full clauses, exhibits, NMA, assignments, HBP/production still require verification.</t>
        </is>
      </c>
      <c r="Q51" s="101" t="inlineStr">
        <is>
          <t>1995-004032.pdf</t>
        </is>
      </c>
      <c r="R51" s="101" t="inlineStr">
        <is>
          <t>Cursory PDF-verified key terms only - not a stand-alone title opinion.</t>
        </is>
      </c>
      <c r="S51" s="94" t="inlineStr">
        <is>
          <t>Top/reversionary form, depth clause not fully abstracted from reviewed page.</t>
        </is>
      </c>
      <c r="T51" s="94" t="inlineStr">
        <is>
          <t>No, lessor covenant not to extend/renew existing lease appears in reviewed form.</t>
        </is>
      </c>
      <c r="U51" s="94" t="inlineStr">
        <is>
          <t>No</t>
        </is>
      </c>
      <c r="V51" s="94" t="inlineStr">
        <is>
          <t>YES - reversionary/top lease form, covers lessor's reversionary interest, subject to existing lease, vesting upon termination.</t>
        </is>
      </c>
      <c r="W51" s="102" t="inlineStr">
        <is>
          <t>View Image</t>
        </is>
      </c>
      <c r="X51" s="103" t="n"/>
      <c r="Y51" s="103" t="n"/>
    </row>
    <row r="52">
      <c r="A52" s="94" t="n">
        <v>51</v>
      </c>
      <c r="B52" s="94" t="inlineStr">
        <is>
          <t>1995-004031</t>
        </is>
      </c>
      <c r="C52" s="100" t="inlineStr">
        <is>
          <t>1432/52</t>
        </is>
      </c>
      <c r="D52" s="98" t="n">
        <v>34569</v>
      </c>
      <c r="E52" s="98" t="n">
        <v>34925</v>
      </c>
      <c r="F52" s="94" t="inlineStr">
        <is>
          <t>Radonna Kay Christopher</t>
        </is>
      </c>
      <c r="G52" s="94" t="inlineStr">
        <is>
          <t>French Energy, Inc.</t>
        </is>
      </c>
      <c r="H52" s="94" t="inlineStr">
        <is>
          <t>NW/4 Section 27-11N-25W</t>
        </is>
      </c>
      <c r="I52" s="94" t="inlineStr">
        <is>
          <t>3 years from 08/01/1995 (paid-up)</t>
        </is>
      </c>
      <c r="J52" s="94" t="n">
        <v>160</v>
      </c>
      <c r="K52" s="94" t="n">
        <v>2</v>
      </c>
      <c r="L52" s="98" t="inlineStr">
        <is>
          <t>HBP</t>
        </is>
      </c>
      <c r="M52" s="99" t="inlineStr">
        <is>
          <t>Unknown</t>
        </is>
      </c>
      <c r="N52" s="100" t="inlineStr">
        <is>
          <t>3/16</t>
        </is>
      </c>
      <c r="O52" s="101" t="inlineStr">
        <is>
          <t>PDF image reviewed / related top-lease form checked - key terms normalized</t>
        </is>
      </c>
      <c r="P52" s="101" t="inlineStr">
        <is>
          <t>PDF image checked - key terms/royalty/legal captured where legible, full clauses, exhibits, NMA, assignments, HBP/production still require verification.</t>
        </is>
      </c>
      <c r="Q52" s="101" t="inlineStr">
        <is>
          <t>1995-004031.pdf</t>
        </is>
      </c>
      <c r="R52" s="101" t="inlineStr">
        <is>
          <t>Cursory PDF-verified key terms only - not a stand-alone title opinion.</t>
        </is>
      </c>
      <c r="S52" s="94" t="inlineStr">
        <is>
          <t>Top/reversionary form, depth clause not fully abstracted from reviewed page.</t>
        </is>
      </c>
      <c r="T52" s="94" t="inlineStr">
        <is>
          <t>No, lessor covenant not to extend/renew existing lease appears in reviewed form.</t>
        </is>
      </c>
      <c r="U52" s="94" t="inlineStr">
        <is>
          <t>No</t>
        </is>
      </c>
      <c r="V52" s="94" t="inlineStr">
        <is>
          <t>YES - reversionary/top lease form, covers lessor's reversionary interest, subject to existing lease, vesting upon termination.</t>
        </is>
      </c>
      <c r="W52" s="102" t="inlineStr">
        <is>
          <t>View Image</t>
        </is>
      </c>
      <c r="X52" s="103" t="n"/>
      <c r="Y52" s="103" t="n"/>
    </row>
    <row r="53">
      <c r="A53" s="94" t="n">
        <v>52</v>
      </c>
      <c r="B53" s="94" t="inlineStr">
        <is>
          <t>1995-004030</t>
        </is>
      </c>
      <c r="C53" s="100" t="inlineStr">
        <is>
          <t>1432/48</t>
        </is>
      </c>
      <c r="D53" s="98" t="n">
        <v>34569</v>
      </c>
      <c r="E53" s="98" t="n">
        <v>34925</v>
      </c>
      <c r="F53" s="94" t="inlineStr">
        <is>
          <t>Betty Sites</t>
        </is>
      </c>
      <c r="G53" s="94" t="inlineStr">
        <is>
          <t>French Energy, Inc.</t>
        </is>
      </c>
      <c r="H53" s="94" t="inlineStr">
        <is>
          <t>NW/4 Section 27-11N-25W</t>
        </is>
      </c>
      <c r="I53" s="94" t="inlineStr">
        <is>
          <t>3 years from 08/01/1995 (paid-up)</t>
        </is>
      </c>
      <c r="J53" s="94" t="n">
        <v>160</v>
      </c>
      <c r="K53" s="94" t="n">
        <v>2</v>
      </c>
      <c r="L53" s="98" t="inlineStr">
        <is>
          <t>HBP</t>
        </is>
      </c>
      <c r="M53" s="99" t="inlineStr">
        <is>
          <t>Unknown</t>
        </is>
      </c>
      <c r="N53" s="100" t="inlineStr">
        <is>
          <t>3/16</t>
        </is>
      </c>
      <c r="O53" s="101" t="inlineStr">
        <is>
          <t>PDF image reviewed / related top-lease form checked - key terms normalized</t>
        </is>
      </c>
      <c r="P53" s="101" t="inlineStr">
        <is>
          <t>PDF image checked - key terms/royalty/legal captured where legible, full clauses, exhibits, NMA, assignments, HBP/production still require verification.</t>
        </is>
      </c>
      <c r="Q53" s="101" t="inlineStr">
        <is>
          <t>1995-004030.pdf</t>
        </is>
      </c>
      <c r="R53" s="101" t="inlineStr">
        <is>
          <t>Cursory PDF-verified key terms only - not a stand-alone title opinion.</t>
        </is>
      </c>
      <c r="S53" s="94" t="inlineStr">
        <is>
          <t>Top/reversionary form, depth clause not fully abstracted from reviewed page.</t>
        </is>
      </c>
      <c r="T53" s="94" t="inlineStr">
        <is>
          <t>No, lessor covenant not to extend/renew existing lease appears in reviewed form.</t>
        </is>
      </c>
      <c r="U53" s="94" t="inlineStr">
        <is>
          <t>No</t>
        </is>
      </c>
      <c r="V53" s="94" t="inlineStr">
        <is>
          <t>YES - reversionary/top lease form, covers lessor's reversionary interest, subject to existing lease, vesting upon termination.</t>
        </is>
      </c>
      <c r="W53" s="102" t="inlineStr">
        <is>
          <t>View Image</t>
        </is>
      </c>
      <c r="X53" s="103" t="n"/>
      <c r="Y53" s="103" t="n"/>
    </row>
    <row r="54">
      <c r="A54" s="94" t="n">
        <v>53</v>
      </c>
      <c r="B54" s="94" t="inlineStr">
        <is>
          <t>1995-004029</t>
        </is>
      </c>
      <c r="C54" s="100" t="inlineStr">
        <is>
          <t>1432/44</t>
        </is>
      </c>
      <c r="D54" s="98" t="n">
        <v>34569</v>
      </c>
      <c r="E54" s="98" t="n">
        <v>34925</v>
      </c>
      <c r="F54" s="94" t="inlineStr">
        <is>
          <t>Gary Kent Benton</t>
        </is>
      </c>
      <c r="G54" s="94" t="inlineStr">
        <is>
          <t>French Energy, Inc.</t>
        </is>
      </c>
      <c r="H54" s="94" t="inlineStr">
        <is>
          <t>NW/4 Section 27-11N-25W</t>
        </is>
      </c>
      <c r="I54" s="94" t="inlineStr">
        <is>
          <t>3 years from 08/01/1995 (paid-up)</t>
        </is>
      </c>
      <c r="J54" s="94" t="n">
        <v>160</v>
      </c>
      <c r="K54" s="94" t="n">
        <v>2</v>
      </c>
      <c r="L54" s="98" t="inlineStr">
        <is>
          <t>HBP</t>
        </is>
      </c>
      <c r="M54" s="99" t="inlineStr">
        <is>
          <t>Unknown</t>
        </is>
      </c>
      <c r="N54" s="100" t="inlineStr">
        <is>
          <t>3/16</t>
        </is>
      </c>
      <c r="O54" s="101" t="inlineStr">
        <is>
          <t>PDF image reviewed / related top-lease form checked - key terms normalized</t>
        </is>
      </c>
      <c r="P54" s="101" t="inlineStr">
        <is>
          <t>PDF image checked - key terms/royalty/legal captured where legible, full clauses, exhibits, NMA, assignments, HBP/production still require verification.</t>
        </is>
      </c>
      <c r="Q54" s="101" t="inlineStr">
        <is>
          <t>1995-004029.pdf</t>
        </is>
      </c>
      <c r="R54" s="101" t="inlineStr">
        <is>
          <t>Cursory PDF-verified key terms only - not a stand-alone title opinion.</t>
        </is>
      </c>
      <c r="S54" s="94" t="inlineStr">
        <is>
          <t>Top/reversionary form, depth clause not fully abstracted from reviewed page.</t>
        </is>
      </c>
      <c r="T54" s="94" t="inlineStr">
        <is>
          <t>No, lessor covenant not to extend/renew existing lease appears in reviewed form.</t>
        </is>
      </c>
      <c r="U54" s="94" t="inlineStr">
        <is>
          <t>No</t>
        </is>
      </c>
      <c r="V54" s="94" t="inlineStr">
        <is>
          <t>YES - reversionary/top lease form, covers lessor's reversionary interest, subject to existing lease, vesting upon termination.</t>
        </is>
      </c>
      <c r="W54" s="102" t="inlineStr">
        <is>
          <t>View Image</t>
        </is>
      </c>
      <c r="X54" s="103" t="n"/>
      <c r="Y54" s="103" t="n"/>
    </row>
    <row r="55">
      <c r="A55" s="94" t="n">
        <v>54</v>
      </c>
      <c r="B55" s="94" t="inlineStr">
        <is>
          <t>1995-004028</t>
        </is>
      </c>
      <c r="C55" s="100" t="inlineStr">
        <is>
          <t>1432/40</t>
        </is>
      </c>
      <c r="D55" s="98" t="n">
        <v>34569</v>
      </c>
      <c r="E55" s="98" t="n">
        <v>34925</v>
      </c>
      <c r="F55" s="94" t="inlineStr">
        <is>
          <t>Marshall E. Benton,
Nell G. Benton</t>
        </is>
      </c>
      <c r="G55" s="94" t="inlineStr">
        <is>
          <t>French Energy, Inc.</t>
        </is>
      </c>
      <c r="H55" s="94" t="inlineStr">
        <is>
          <t>NW/4 Section 27-11N-25W</t>
        </is>
      </c>
      <c r="I55" s="94" t="inlineStr">
        <is>
          <t>3 years from 08/01/1995 (paid-up)</t>
        </is>
      </c>
      <c r="J55" s="94" t="n">
        <v>160</v>
      </c>
      <c r="K55" s="94" t="n">
        <v>2</v>
      </c>
      <c r="L55" s="98" t="inlineStr">
        <is>
          <t>HBP</t>
        </is>
      </c>
      <c r="M55" s="99" t="inlineStr">
        <is>
          <t>Unknown</t>
        </is>
      </c>
      <c r="N55" s="100" t="inlineStr">
        <is>
          <t>3/16</t>
        </is>
      </c>
      <c r="O55" s="101" t="inlineStr">
        <is>
          <t>PDF image reviewed / related top-lease form checked - key terms normalized</t>
        </is>
      </c>
      <c r="P55" s="101" t="inlineStr">
        <is>
          <t>PDF image checked - key terms/royalty/legal captured where legible, full clauses, exhibits, NMA, assignments, HBP/production still require verification.</t>
        </is>
      </c>
      <c r="Q55" s="101" t="inlineStr">
        <is>
          <t>1995-004028.pdf</t>
        </is>
      </c>
      <c r="R55" s="101" t="inlineStr">
        <is>
          <t>Cursory PDF-verified key terms only - not a stand-alone title opinion.</t>
        </is>
      </c>
      <c r="S55" s="94" t="inlineStr">
        <is>
          <t>Top/reversionary form, depth clause not fully abstracted from reviewed page.</t>
        </is>
      </c>
      <c r="T55" s="94" t="inlineStr">
        <is>
          <t>No, lessor covenant not to extend/renew existing lease appears in reviewed form.</t>
        </is>
      </c>
      <c r="U55" s="94" t="inlineStr">
        <is>
          <t>No</t>
        </is>
      </c>
      <c r="V55" s="94" t="inlineStr">
        <is>
          <t>YES - reversionary/top lease form, covers lessor's reversionary interest, subject to existing lease, vesting upon termination.</t>
        </is>
      </c>
      <c r="W55" s="102" t="inlineStr">
        <is>
          <t>View Image</t>
        </is>
      </c>
      <c r="X55" s="103" t="n"/>
      <c r="Y55" s="103" t="n"/>
    </row>
    <row r="56">
      <c r="A56" s="94" t="n">
        <v>55</v>
      </c>
      <c r="B56" s="94" t="inlineStr">
        <is>
          <t>1995-004027</t>
        </is>
      </c>
      <c r="C56" s="100" t="inlineStr">
        <is>
          <t>1432/36</t>
        </is>
      </c>
      <c r="D56" s="98" t="n">
        <v>34570</v>
      </c>
      <c r="E56" s="98" t="n">
        <v>34925</v>
      </c>
      <c r="F56" s="94" t="inlineStr">
        <is>
          <t>Boyd M. Mead</t>
        </is>
      </c>
      <c r="G56" s="94" t="inlineStr">
        <is>
          <t>French Energy, Inc.</t>
        </is>
      </c>
      <c r="H56" s="94" t="inlineStr">
        <is>
          <t>SE/4 Section 27-11N-25W</t>
        </is>
      </c>
      <c r="I56" s="94" t="inlineStr">
        <is>
          <t>3 years from 08/01/1995 (paid-up)</t>
        </is>
      </c>
      <c r="J56" s="94" t="n">
        <v>160</v>
      </c>
      <c r="K56" s="94" t="n">
        <v>3</v>
      </c>
      <c r="L56" s="98" t="inlineStr">
        <is>
          <t>HBP</t>
        </is>
      </c>
      <c r="M56" s="99" t="inlineStr">
        <is>
          <t>Unknown</t>
        </is>
      </c>
      <c r="N56" s="100" t="inlineStr">
        <is>
          <t>3/16</t>
        </is>
      </c>
      <c r="O56" s="101" t="inlineStr">
        <is>
          <t>PDF image reviewed / related top-lease form checked - key terms normalized</t>
        </is>
      </c>
      <c r="P56" s="101" t="inlineStr">
        <is>
          <t>PDF image checked - key terms/royalty/legal captured where legible, full clauses, exhibits, NMA, assignments, HBP/production still require verification.</t>
        </is>
      </c>
      <c r="Q56" s="101" t="inlineStr">
        <is>
          <t>1995-004027.pdf</t>
        </is>
      </c>
      <c r="R56" s="101" t="inlineStr">
        <is>
          <t>Cursory PDF-verified key terms only - not a stand-alone title opinion.</t>
        </is>
      </c>
      <c r="S56" s="94" t="inlineStr">
        <is>
          <t>Top/reversionary form, depth clause not fully abstracted from reviewed page.</t>
        </is>
      </c>
      <c r="T56" s="94" t="inlineStr">
        <is>
          <t>No, lessor covenant not to extend/renew existing lease appears in reviewed form.</t>
        </is>
      </c>
      <c r="U56" s="94" t="inlineStr">
        <is>
          <t>No</t>
        </is>
      </c>
      <c r="V56" s="94" t="inlineStr">
        <is>
          <t>YES - reversionary/top lease form, covers lessor's reversionary interest, subject to existing lease, vesting upon termination.</t>
        </is>
      </c>
      <c r="W56" s="102" t="inlineStr">
        <is>
          <t>View Image</t>
        </is>
      </c>
      <c r="X56" s="103" t="n"/>
      <c r="Y56" s="103" t="n"/>
    </row>
    <row r="57">
      <c r="A57" s="94" t="n">
        <v>56</v>
      </c>
      <c r="B57" s="94" t="inlineStr">
        <is>
          <t>1995-004026</t>
        </is>
      </c>
      <c r="C57" s="100" t="inlineStr">
        <is>
          <t>1432/32</t>
        </is>
      </c>
      <c r="D57" s="98" t="n">
        <v>34554</v>
      </c>
      <c r="E57" s="98" t="n">
        <v>34925</v>
      </c>
      <c r="F57" s="94" t="inlineStr">
        <is>
          <t>Alfred R. Fuchs,
F. Jeanice Fuchs Aka Jeanice Fuchs</t>
        </is>
      </c>
      <c r="G57" s="94" t="inlineStr">
        <is>
          <t>French Energy, Inc.</t>
        </is>
      </c>
      <c r="H57" s="94" t="inlineStr">
        <is>
          <t>SE/4 Section 27-11N-25W</t>
        </is>
      </c>
      <c r="I57" s="94" t="inlineStr">
        <is>
          <t>3 years from 08/01/1995 (paid-up)</t>
        </is>
      </c>
      <c r="J57" s="94" t="n">
        <v>160</v>
      </c>
      <c r="K57" s="94" t="n">
        <v>3</v>
      </c>
      <c r="L57" s="98" t="inlineStr">
        <is>
          <t>HBP</t>
        </is>
      </c>
      <c r="M57" s="99" t="inlineStr">
        <is>
          <t>Unknown</t>
        </is>
      </c>
      <c r="N57" s="100" t="inlineStr">
        <is>
          <t>3/16</t>
        </is>
      </c>
      <c r="O57" s="101" t="inlineStr">
        <is>
          <t>PDF image reviewed / related top-lease form checked - key terms normalized</t>
        </is>
      </c>
      <c r="P57" s="101" t="inlineStr">
        <is>
          <t>PDF image checked - key terms/royalty/legal captured where legible, full clauses, exhibits, NMA, assignments, HBP/production still require verification.</t>
        </is>
      </c>
      <c r="Q57" s="101" t="inlineStr">
        <is>
          <t>1995-004026.pdf</t>
        </is>
      </c>
      <c r="R57" s="101" t="inlineStr">
        <is>
          <t>Cursory PDF-verified key terms only - not a stand-alone title opinion.</t>
        </is>
      </c>
      <c r="S57" s="94" t="inlineStr">
        <is>
          <t>Top/reversionary form, depth clause not fully abstracted from reviewed page.</t>
        </is>
      </c>
      <c r="T57" s="94" t="inlineStr">
        <is>
          <t>No, lessor covenant not to extend/renew existing lease appears in reviewed form.</t>
        </is>
      </c>
      <c r="U57" s="94" t="inlineStr">
        <is>
          <t>No</t>
        </is>
      </c>
      <c r="V57" s="94" t="inlineStr">
        <is>
          <t>YES - reversionary/top lease form, covers lessor's reversionary interest, subject to existing lease, vesting upon termination.</t>
        </is>
      </c>
      <c r="W57" s="102" t="inlineStr">
        <is>
          <t>View Image</t>
        </is>
      </c>
      <c r="X57" s="103" t="n"/>
      <c r="Y57" s="103" t="n"/>
    </row>
    <row r="58">
      <c r="A58" s="94" t="n">
        <v>57</v>
      </c>
      <c r="B58" s="94" t="inlineStr">
        <is>
          <t>1995-004025</t>
        </is>
      </c>
      <c r="C58" s="100" t="inlineStr">
        <is>
          <t>1432/28</t>
        </is>
      </c>
      <c r="D58" s="98" t="n">
        <v>34554</v>
      </c>
      <c r="E58" s="98" t="n">
        <v>34925</v>
      </c>
      <c r="F58" s="94" t="inlineStr">
        <is>
          <t>Howard G. Fuchs Trust</t>
        </is>
      </c>
      <c r="G58" s="94" t="inlineStr">
        <is>
          <t>French Energy, Inc.</t>
        </is>
      </c>
      <c r="H58" s="94" t="inlineStr">
        <is>
          <t>SE/4 Section 27-11N-25W</t>
        </is>
      </c>
      <c r="I58" s="94" t="inlineStr">
        <is>
          <t>3 years from 08/01/1995 (paid-up)</t>
        </is>
      </c>
      <c r="J58" s="94" t="n">
        <v>160</v>
      </c>
      <c r="K58" s="94" t="n">
        <v>3</v>
      </c>
      <c r="L58" s="98" t="inlineStr">
        <is>
          <t>HBP</t>
        </is>
      </c>
      <c r="M58" s="99" t="inlineStr">
        <is>
          <t>Unknown</t>
        </is>
      </c>
      <c r="N58" s="100" t="inlineStr">
        <is>
          <t>3/16</t>
        </is>
      </c>
      <c r="O58" s="101" t="inlineStr">
        <is>
          <t>PDF image reviewed / related top-lease form checked - key terms normalized</t>
        </is>
      </c>
      <c r="P58" s="101" t="inlineStr">
        <is>
          <t>PDF image checked - key terms/royalty/legal captured where legible, full clauses, exhibits, NMA, assignments, HBP/production still require verification.</t>
        </is>
      </c>
      <c r="Q58" s="101" t="inlineStr">
        <is>
          <t>1995-004025.pdf</t>
        </is>
      </c>
      <c r="R58" s="101" t="inlineStr">
        <is>
          <t>Cursory PDF-verified key terms only - not a stand-alone title opinion.</t>
        </is>
      </c>
      <c r="S58" s="94" t="inlineStr">
        <is>
          <t>Top/reversionary form, depth clause not fully abstracted from reviewed page.</t>
        </is>
      </c>
      <c r="T58" s="94" t="inlineStr">
        <is>
          <t>No, lessor covenant not to extend/renew existing lease appears in reviewed form.</t>
        </is>
      </c>
      <c r="U58" s="94" t="inlineStr">
        <is>
          <t>No</t>
        </is>
      </c>
      <c r="V58" s="94" t="inlineStr">
        <is>
          <t>YES - reversionary/top lease form, covers lessor's reversionary interest, subject to existing lease, vesting upon termination.</t>
        </is>
      </c>
      <c r="W58" s="102" t="inlineStr">
        <is>
          <t>View Image</t>
        </is>
      </c>
      <c r="X58" s="103" t="n"/>
      <c r="Y58" s="103" t="n"/>
    </row>
    <row r="59">
      <c r="A59" s="94" t="n">
        <v>58</v>
      </c>
      <c r="B59" s="94" t="inlineStr">
        <is>
          <t>1995-004024</t>
        </is>
      </c>
      <c r="C59" s="100" t="inlineStr">
        <is>
          <t>1432/24</t>
        </is>
      </c>
      <c r="D59" s="98" t="n">
        <v>34554</v>
      </c>
      <c r="E59" s="98" t="n">
        <v>34925</v>
      </c>
      <c r="F59" s="94" t="inlineStr">
        <is>
          <t>Chloe E. Davis Revocable Living Trust</t>
        </is>
      </c>
      <c r="G59" s="94" t="inlineStr">
        <is>
          <t>French Energy, Inc.</t>
        </is>
      </c>
      <c r="H59" s="94" t="inlineStr">
        <is>
          <t>NE/4 Section 27-11N-25W</t>
        </is>
      </c>
      <c r="I59" s="94" t="inlineStr">
        <is>
          <t>3 years from 08/01/1995 (paid-up)</t>
        </is>
      </c>
      <c r="J59" s="94" t="n">
        <v>160</v>
      </c>
      <c r="K59" s="94" t="n">
        <v>1</v>
      </c>
      <c r="L59" s="98" t="inlineStr">
        <is>
          <t>HBP</t>
        </is>
      </c>
      <c r="M59" s="99" t="inlineStr">
        <is>
          <t>Unknown</t>
        </is>
      </c>
      <c r="N59" s="100" t="inlineStr">
        <is>
          <t>3/16</t>
        </is>
      </c>
      <c r="O59" s="101" t="inlineStr">
        <is>
          <t>PDF image reviewed / related top-lease form checked - key terms normalized</t>
        </is>
      </c>
      <c r="P59" s="101" t="inlineStr">
        <is>
          <t>PDF image checked - key terms/royalty/legal captured where legible, full clauses, exhibits, NMA, assignments, HBP/production still require verification.</t>
        </is>
      </c>
      <c r="Q59" s="101" t="inlineStr">
        <is>
          <t>1995-004024.pdf</t>
        </is>
      </c>
      <c r="R59" s="101" t="inlineStr">
        <is>
          <t>Cursory PDF-verified key terms only - not a stand-alone title opinion.</t>
        </is>
      </c>
      <c r="S59" s="94" t="inlineStr">
        <is>
          <t>Top/reversionary form, depth clause not fully abstracted from reviewed page.</t>
        </is>
      </c>
      <c r="T59" s="94" t="inlineStr">
        <is>
          <t>No, lessor covenant not to extend/renew existing lease appears in reviewed form.</t>
        </is>
      </c>
      <c r="U59" s="94" t="inlineStr">
        <is>
          <t>No</t>
        </is>
      </c>
      <c r="V59" s="94" t="inlineStr">
        <is>
          <t>YES - reversionary/top lease form, covers lessor's reversionary interest, subject to existing lease, vesting upon termination.</t>
        </is>
      </c>
      <c r="W59" s="102" t="inlineStr">
        <is>
          <t>View Image</t>
        </is>
      </c>
      <c r="X59" s="103" t="n"/>
      <c r="Y59" s="103" t="n"/>
    </row>
    <row r="60">
      <c r="A60" s="94" t="n">
        <v>59</v>
      </c>
      <c r="B60" s="94" t="inlineStr">
        <is>
          <t>1995-004023</t>
        </is>
      </c>
      <c r="C60" s="100" t="inlineStr">
        <is>
          <t>1432/20</t>
        </is>
      </c>
      <c r="D60" s="98" t="n">
        <v>34555</v>
      </c>
      <c r="E60" s="98" t="n">
        <v>34925</v>
      </c>
      <c r="F60" s="94" t="inlineStr">
        <is>
          <t>Donald E. Gordon</t>
        </is>
      </c>
      <c r="G60" s="94" t="inlineStr">
        <is>
          <t>French Energy, Inc.</t>
        </is>
      </c>
      <c r="H60" s="94" t="inlineStr">
        <is>
          <t>NE/4 Section 27-11N-25W</t>
        </is>
      </c>
      <c r="I60" s="94" t="inlineStr">
        <is>
          <t>3 years from 08/01/1995 (paid-up)</t>
        </is>
      </c>
      <c r="J60" s="94" t="n">
        <v>160</v>
      </c>
      <c r="K60" s="94" t="n">
        <v>1</v>
      </c>
      <c r="L60" s="98" t="inlineStr">
        <is>
          <t>HBP</t>
        </is>
      </c>
      <c r="M60" s="99" t="inlineStr">
        <is>
          <t>Unknown</t>
        </is>
      </c>
      <c r="N60" s="100" t="inlineStr">
        <is>
          <t>3/16</t>
        </is>
      </c>
      <c r="O60" s="101" t="inlineStr">
        <is>
          <t>PDF image reviewed / related top-lease form checked - key terms normalized</t>
        </is>
      </c>
      <c r="P60" s="101" t="inlineStr">
        <is>
          <t>PDF image checked - key terms/royalty/legal captured where legible, full clauses, exhibits, NMA, assignments, HBP/production still require verification.</t>
        </is>
      </c>
      <c r="Q60" s="101" t="inlineStr">
        <is>
          <t>1995-004023.pdf</t>
        </is>
      </c>
      <c r="R60" s="101" t="inlineStr">
        <is>
          <t>Cursory PDF-verified key terms only - not a stand-alone title opinion.</t>
        </is>
      </c>
      <c r="S60" s="94" t="inlineStr">
        <is>
          <t>Top/reversionary form, depth clause not fully abstracted from reviewed page.</t>
        </is>
      </c>
      <c r="T60" s="94" t="inlineStr">
        <is>
          <t>No, lessor covenant not to extend/renew existing lease appears in reviewed form.</t>
        </is>
      </c>
      <c r="U60" s="94" t="inlineStr">
        <is>
          <t>No</t>
        </is>
      </c>
      <c r="V60" s="94" t="inlineStr">
        <is>
          <t>YES - reversionary/top lease form, covers lessor's reversionary interest, subject to existing lease, vesting upon termination.</t>
        </is>
      </c>
      <c r="W60" s="102" t="inlineStr">
        <is>
          <t>View Image</t>
        </is>
      </c>
      <c r="X60" s="103" t="n"/>
      <c r="Y60" s="103" t="n"/>
    </row>
    <row r="61">
      <c r="A61" s="94" t="n">
        <v>60</v>
      </c>
      <c r="B61" s="94" t="inlineStr">
        <is>
          <t>1995-002703</t>
        </is>
      </c>
      <c r="C61" s="100" t="inlineStr">
        <is>
          <t>1419/244</t>
        </is>
      </c>
      <c r="D61" s="98" t="n">
        <v>34806</v>
      </c>
      <c r="E61" s="98" t="n">
        <v>34842</v>
      </c>
      <c r="F61" s="94" t="inlineStr">
        <is>
          <t>Laura O. Bennett Trust</t>
        </is>
      </c>
      <c r="G61" s="94" t="inlineStr">
        <is>
          <t>Arrowhead Resources, Inc.</t>
        </is>
      </c>
      <c r="H61" s="94" t="inlineStr">
        <is>
          <t>SE/4 Section 27-11N-25W</t>
        </is>
      </c>
      <c r="I61" s="94" t="inlineStr">
        <is>
          <t>3 years (paid-up)</t>
        </is>
      </c>
      <c r="J61" s="94" t="n">
        <v>160</v>
      </c>
      <c r="K61" s="94" t="n">
        <v>3</v>
      </c>
      <c r="L61" s="98" t="inlineStr">
        <is>
          <t>HBP</t>
        </is>
      </c>
      <c r="M61" s="99" t="inlineStr">
        <is>
          <t>Unknown</t>
        </is>
      </c>
      <c r="N61" s="100" t="inlineStr">
        <is>
          <t>1/8</t>
        </is>
      </c>
      <c r="O61" s="101" t="inlineStr">
        <is>
          <t>PDF image reviewed - key lease terms verified</t>
        </is>
      </c>
      <c r="P61" s="101" t="inlineStr">
        <is>
          <t>PDF image checked - key terms/royalty/legal captured where legible, full clauses, exhibits, NMA, assignments, HBP/production still require verification.</t>
        </is>
      </c>
      <c r="Q61" s="101" t="inlineStr">
        <is>
          <t>1995-002703.pdf</t>
        </is>
      </c>
      <c r="R61" s="101" t="inlineStr">
        <is>
          <t>Cursory PDF-verified key terms only - not a stand-alone title opinion.</t>
        </is>
      </c>
      <c r="S61" s="94" t="inlineStr">
        <is>
          <t>No</t>
        </is>
      </c>
      <c r="T61" s="94" t="inlineStr">
        <is>
          <t>No</t>
        </is>
      </c>
      <c r="U61" s="94" t="inlineStr">
        <is>
          <t>No</t>
        </is>
      </c>
      <c r="V61" s="94" t="inlineStr">
        <is>
          <t>No</t>
        </is>
      </c>
      <c r="W61" s="102" t="inlineStr">
        <is>
          <t>View Image</t>
        </is>
      </c>
      <c r="X61" s="103" t="n"/>
      <c r="Y61" s="103" t="n"/>
    </row>
    <row r="62">
      <c r="A62" s="94" t="n">
        <v>61</v>
      </c>
      <c r="B62" s="94" t="inlineStr">
        <is>
          <t>1995-002702</t>
        </is>
      </c>
      <c r="C62" s="100" t="inlineStr">
        <is>
          <t>1419/241</t>
        </is>
      </c>
      <c r="D62" s="98" t="n">
        <v>34806</v>
      </c>
      <c r="E62" s="98" t="n">
        <v>34842</v>
      </c>
      <c r="F62" s="94" t="inlineStr">
        <is>
          <t>Darcy Coale</t>
        </is>
      </c>
      <c r="G62" s="94" t="inlineStr">
        <is>
          <t>Arrowhead Resources, Inc.</t>
        </is>
      </c>
      <c r="H62" s="94" t="inlineStr">
        <is>
          <t>SE/4 Section 27-11N-25W</t>
        </is>
      </c>
      <c r="I62" s="94" t="inlineStr">
        <is>
          <t>3 years (paid-up)</t>
        </is>
      </c>
      <c r="J62" s="94" t="n">
        <v>160</v>
      </c>
      <c r="K62" s="94" t="n">
        <v>3</v>
      </c>
      <c r="L62" s="98" t="inlineStr">
        <is>
          <t>HBP</t>
        </is>
      </c>
      <c r="M62" s="99" t="inlineStr">
        <is>
          <t>Unknown</t>
        </is>
      </c>
      <c r="N62" s="100" t="inlineStr">
        <is>
          <t>1/8</t>
        </is>
      </c>
      <c r="O62" s="101" t="inlineStr">
        <is>
          <t>PDF image reviewed - key lease terms verified</t>
        </is>
      </c>
      <c r="P62" s="101" t="inlineStr">
        <is>
          <t>PDF image checked - key terms/royalty/legal captured where legible, full clauses, exhibits, NMA, assignments, HBP/production still require verification.</t>
        </is>
      </c>
      <c r="Q62" s="101" t="inlineStr">
        <is>
          <t>1995-002702.pdf</t>
        </is>
      </c>
      <c r="R62" s="101" t="inlineStr">
        <is>
          <t>Cursory PDF-verified key terms only - not a stand-alone title opinion.</t>
        </is>
      </c>
      <c r="S62" s="94" t="inlineStr">
        <is>
          <t>No</t>
        </is>
      </c>
      <c r="T62" s="94" t="inlineStr">
        <is>
          <t>No</t>
        </is>
      </c>
      <c r="U62" s="94" t="inlineStr">
        <is>
          <t>No</t>
        </is>
      </c>
      <c r="V62" s="94" t="inlineStr">
        <is>
          <t>No</t>
        </is>
      </c>
      <c r="W62" s="102" t="inlineStr">
        <is>
          <t>View Image</t>
        </is>
      </c>
      <c r="X62" s="103" t="n"/>
      <c r="Y62" s="103" t="n"/>
    </row>
    <row r="63">
      <c r="A63" s="94" t="n">
        <v>62</v>
      </c>
      <c r="B63" s="94" t="inlineStr">
        <is>
          <t>1995-002701</t>
        </is>
      </c>
      <c r="C63" s="100" t="inlineStr">
        <is>
          <t>1419/238</t>
        </is>
      </c>
      <c r="D63" s="98" t="n">
        <v>34806</v>
      </c>
      <c r="E63" s="98" t="n">
        <v>34842</v>
      </c>
      <c r="F63" s="94" t="inlineStr">
        <is>
          <t>Bennett Family Trust</t>
        </is>
      </c>
      <c r="G63" s="94" t="inlineStr">
        <is>
          <t>Arrowhead Resources, Inc.</t>
        </is>
      </c>
      <c r="H63" s="94" t="inlineStr">
        <is>
          <t>SE/4 Section 27-11N-25W</t>
        </is>
      </c>
      <c r="I63" s="94" t="inlineStr">
        <is>
          <t>3 years (paid-up)</t>
        </is>
      </c>
      <c r="J63" s="94" t="n">
        <v>160</v>
      </c>
      <c r="K63" s="94" t="n">
        <v>3</v>
      </c>
      <c r="L63" s="98" t="inlineStr">
        <is>
          <t>HBP</t>
        </is>
      </c>
      <c r="M63" s="99" t="inlineStr">
        <is>
          <t>Unknown</t>
        </is>
      </c>
      <c r="N63" s="100" t="inlineStr">
        <is>
          <t>1/8</t>
        </is>
      </c>
      <c r="O63" s="101" t="inlineStr">
        <is>
          <t>PDF image reviewed - key lease terms verified</t>
        </is>
      </c>
      <c r="P63" s="101" t="inlineStr">
        <is>
          <t>PDF image checked - key terms/royalty/legal captured where legible, full clauses, exhibits, NMA, assignments, HBP/production still require verification.</t>
        </is>
      </c>
      <c r="Q63" s="101" t="inlineStr">
        <is>
          <t>1995-002701.pdf</t>
        </is>
      </c>
      <c r="R63" s="101" t="inlineStr">
        <is>
          <t>Cursory PDF-verified key terms only - not a stand-alone title opinion.</t>
        </is>
      </c>
      <c r="S63" s="94" t="inlineStr">
        <is>
          <t>No</t>
        </is>
      </c>
      <c r="T63" s="94" t="inlineStr">
        <is>
          <t>No</t>
        </is>
      </c>
      <c r="U63" s="94" t="inlineStr">
        <is>
          <t>No</t>
        </is>
      </c>
      <c r="V63" s="94" t="inlineStr">
        <is>
          <t>No</t>
        </is>
      </c>
      <c r="W63" s="102" t="inlineStr">
        <is>
          <t>View Image</t>
        </is>
      </c>
      <c r="X63" s="103" t="n"/>
      <c r="Y63" s="103" t="n"/>
    </row>
    <row r="64">
      <c r="A64" s="94" t="n">
        <v>63</v>
      </c>
      <c r="B64" s="94" t="inlineStr">
        <is>
          <t>1994-006197</t>
        </is>
      </c>
      <c r="C64" s="100" t="inlineStr">
        <is>
          <t>1387/232</t>
        </is>
      </c>
      <c r="D64" s="98" t="n">
        <v>34583</v>
      </c>
      <c r="E64" s="98" t="n">
        <v>34624</v>
      </c>
      <c r="F64" s="94" t="inlineStr">
        <is>
          <t>Mandrell Farms, Inc.</t>
        </is>
      </c>
      <c r="G64" s="94" t="inlineStr">
        <is>
          <t>T. S. Dudley Land Company, Inc.</t>
        </is>
      </c>
      <c r="H64" s="94" t="inlineStr">
        <is>
          <t>SW/4 Section 27-11N-25W, less 1.00-acre tract (159 acres)</t>
        </is>
      </c>
      <c r="I64" s="94" t="inlineStr">
        <is>
          <t>5 years (paid-up)</t>
        </is>
      </c>
      <c r="J64" s="94" t="n">
        <v>159</v>
      </c>
      <c r="K64" s="94" t="n">
        <v>4</v>
      </c>
      <c r="L64" s="98" t="inlineStr">
        <is>
          <t>HBP</t>
        </is>
      </c>
      <c r="M64" s="99" t="inlineStr">
        <is>
          <t>Unknown</t>
        </is>
      </c>
      <c r="N64" s="100" t="inlineStr">
        <is>
          <t>3/16</t>
        </is>
      </c>
      <c r="O64" s="101" t="inlineStr">
        <is>
          <t>PDF image reviewed - key lease terms verified</t>
        </is>
      </c>
      <c r="P64" s="101" t="inlineStr">
        <is>
          <t>PDF image checked - key terms/royalty/legal captured where legible, full clauses, exhibits, NMA, assignments, HBP/production still require verification.</t>
        </is>
      </c>
      <c r="Q64" s="101" t="inlineStr">
        <is>
          <t>1994-006197.pdf</t>
        </is>
      </c>
      <c r="R64" s="101" t="inlineStr">
        <is>
          <t>Cursory PDF-verified key terms only - not a stand-alone title opinion.</t>
        </is>
      </c>
      <c r="S64" s="94" t="inlineStr">
        <is>
          <t>No</t>
        </is>
      </c>
      <c r="T64" s="94" t="inlineStr">
        <is>
          <t>No</t>
        </is>
      </c>
      <c r="U64" s="94" t="inlineStr">
        <is>
          <t>No</t>
        </is>
      </c>
      <c r="V64" s="94" t="inlineStr">
        <is>
          <t>No</t>
        </is>
      </c>
      <c r="W64" s="102" t="inlineStr">
        <is>
          <t>View Image</t>
        </is>
      </c>
      <c r="X64" s="103" t="n"/>
      <c r="Y64" s="103" t="n"/>
    </row>
  </sheetData>
  <pageMargins left="0.75" right="0.75" top="1" bottom="1" header="0.5" footer="0.5"/>
</worksheet>
</file>

<file path=xl/worksheets/sheet6.xml><?xml version="1.0" encoding="utf-8"?>
<worksheet xmlns="http://schemas.openxmlformats.org/spreadsheetml/2006/main">
  <sheetPr filterMode="0">
    <tabColor rgb="00C00000"/>
    <outlinePr summaryBelow="1" summaryRight="1"/>
    <pageSetUpPr fitToPage="0"/>
  </sheetPr>
  <dimension ref="A1:N20"/>
  <sheetViews>
    <sheetView showFormulas="0" showGridLines="1" showRowColHeaders="1" showZeros="1" rightToLeft="0" tabSelected="0" showOutlineSymbols="1" defaultGridColor="1"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30" customWidth="1" style="41" min="1" max="1"/>
    <col width="26" customWidth="1" style="41" min="2" max="2"/>
    <col width="12" customWidth="1" style="41" min="3" max="3"/>
    <col width="46" customWidth="1" style="41" min="4" max="4"/>
    <col width="13" customWidth="1" style="41" min="5" max="5"/>
    <col width="9" customWidth="1" style="41" min="6" max="6"/>
    <col width="16" customWidth="1" style="41" min="7" max="7"/>
    <col width="20" customWidth="1" style="41" min="8" max="14"/>
  </cols>
  <sheetData>
    <row r="1" ht="15" customHeight="1" s="42">
      <c r="E1" s="106" t="inlineStr">
        <is>
          <t>Instrument</t>
        </is>
      </c>
      <c r="G1" s="43" t="inlineStr">
        <is>
          <t>BASE / SOURCE</t>
        </is>
      </c>
      <c r="H1" s="107" t="inlineStr">
        <is>
          <t>BASE / SOURCE</t>
        </is>
      </c>
      <c r="I1" s="107" t="inlineStr">
        <is>
          <t>ASSN</t>
        </is>
      </c>
      <c r="J1" s="107" t="inlineStr">
        <is>
          <t>NAME CHANGE</t>
        </is>
      </c>
      <c r="K1" s="107" t="inlineStr">
        <is>
          <t>MERGER / SUPPORT</t>
        </is>
      </c>
      <c r="L1" s="107" t="inlineStr">
        <is>
          <t>WB ASSN</t>
        </is>
      </c>
      <c r="M1" s="107" t="inlineStr">
        <is>
          <t>EXCLUDED</t>
        </is>
      </c>
      <c r="N1" s="107" t="inlineStr">
        <is>
          <t>AFF</t>
        </is>
      </c>
    </row>
    <row r="2" ht="55.2" customHeight="1" s="42">
      <c r="A2" s="108" t="inlineStr">
        <is>
          <t>WI</t>
        </is>
      </c>
      <c r="B2" s="106" t="inlineStr">
        <is>
          <t>TRACT</t>
        </is>
      </c>
      <c r="E2" s="106" t="inlineStr">
        <is>
          <t>Image Number</t>
        </is>
      </c>
      <c r="H2" s="109" t="inlineStr">
        <is>
          <t>SOURCE</t>
        </is>
      </c>
      <c r="I2" s="109" t="inlineStr">
        <is>
          <t>2017-004597
2019-002937
2019-002988</t>
        </is>
      </c>
      <c r="J2" s="109" t="inlineStr">
        <is>
          <t>2020-004390</t>
        </is>
      </c>
      <c r="K2" s="109" t="inlineStr">
        <is>
          <t>2025-001808
2026-001031</t>
        </is>
      </c>
      <c r="L2" s="109" t="inlineStr">
        <is>
          <t>2023-000993</t>
        </is>
      </c>
      <c r="M2" s="109" t="inlineStr">
        <is>
          <t>2020-004435
2020-004462
2022-003507
2022-004277
2022-004838
2023-000796</t>
        </is>
      </c>
      <c r="N2" s="109" t="inlineStr">
        <is>
          <t>2026-001031</t>
        </is>
      </c>
    </row>
    <row r="3" ht="55.2" customHeight="1" s="42">
      <c r="B3" s="106" t="inlineStr">
        <is>
          <t>DESCRIPTION</t>
        </is>
      </c>
      <c r="C3" s="110" t="inlineStr">
        <is>
          <t>Section 27-11N-25W (640-ac unit)</t>
        </is>
      </c>
      <c r="E3" s="106" t="inlineStr">
        <is>
          <t>Book / Page</t>
        </is>
      </c>
      <c r="G3" s="41" t="inlineStr">
        <is>
          <t>Report / Title</t>
        </is>
      </c>
      <c r="H3" s="109" t="inlineStr">
        <is>
          <t>Report / Title / OGL index</t>
        </is>
      </c>
      <c r="I3" s="109" t="inlineStr">
        <is>
          <t>2266/194
2307/894
2308/123</t>
        </is>
      </c>
      <c r="J3" s="109" t="inlineStr">
        <is>
          <t>2340/218</t>
        </is>
      </c>
      <c r="K3" s="109" t="inlineStr">
        <is>
          <t>2451/4
2480/824</t>
        </is>
      </c>
      <c r="L3" s="109" t="inlineStr">
        <is>
          <t>2401/214</t>
        </is>
      </c>
      <c r="M3" s="109" t="inlineStr">
        <is>
          <t>2340/403
2340/490
2389/581
2393/1
2395/415
2400/551</t>
        </is>
      </c>
      <c r="N3" s="109" t="inlineStr">
        <is>
          <t>2480/824</t>
        </is>
      </c>
    </row>
    <row r="4" ht="28.35" customHeight="1" s="42">
      <c r="E4" s="106" t="inlineStr">
        <is>
          <t>Date</t>
        </is>
      </c>
      <c r="H4" s="109" t="inlineStr">
        <is>
          <t>6/8/2026 report</t>
        </is>
      </c>
      <c r="I4" s="109" t="inlineStr">
        <is>
          <t>10/24/17
7/24/19
7/26/19</t>
        </is>
      </c>
      <c r="J4" s="109" t="inlineStr">
        <is>
          <t>11/18/20</t>
        </is>
      </c>
      <c r="K4" s="109" t="inlineStr">
        <is>
          <t>3/14/25
3/10/26</t>
        </is>
      </c>
      <c r="L4" s="109" t="inlineStr">
        <is>
          <t>8/9/23</t>
        </is>
      </c>
      <c r="M4" s="109" t="inlineStr">
        <is>
          <t>2020-2023</t>
        </is>
      </c>
      <c r="N4" s="109" t="inlineStr">
        <is>
          <t>3/10/26</t>
        </is>
      </c>
    </row>
    <row r="5" ht="84" customHeight="1" s="42">
      <c r="B5" s="106" t="inlineStr">
        <is>
          <t>TRACT ACRES</t>
        </is>
      </c>
      <c r="D5" s="44" t="n">
        <v>640</v>
      </c>
      <c r="E5" s="106" t="inlineStr">
        <is>
          <t>Conveyance</t>
        </is>
      </c>
      <c r="G5" s="111" t="inlineStr">
        <is>
          <t>Apparent Diversified leasehold WI (Track A path; Sec-27 640-ac unit). Per-tract NMA not derivable from index.</t>
        </is>
      </c>
      <c r="H5" s="111" t="inlineStr">
        <is>
          <t>Residual + apparent Track A source</t>
        </is>
      </c>
      <c r="I5" s="111" t="inlineStr">
        <is>
          <t>Track A into FourPoint</t>
        </is>
      </c>
      <c r="J5" s="111" t="inlineStr">
        <is>
          <t>FourPoint → Unbridled</t>
        </is>
      </c>
      <c r="K5" s="111" t="inlineStr">
        <is>
          <t>Maverick / Diversified support</t>
        </is>
      </c>
      <c r="L5" s="111" t="inlineStr">
        <is>
          <t>Wellbore carveout only</t>
        </is>
      </c>
      <c r="M5" s="111" t="inlineStr">
        <is>
          <t>Track B / DP Legacy path not carried</t>
        </is>
      </c>
      <c r="N5" s="111" t="inlineStr">
        <is>
          <t>Support only</t>
        </is>
      </c>
    </row>
    <row r="6" ht="15" customHeight="1" s="42">
      <c r="B6" s="106" t="inlineStr">
        <is>
          <t>BASE OGL</t>
        </is>
      </c>
      <c r="C6" s="112">
        <f>ROUND(SUBTOTAL(9,C9:C204),2)</f>
        <v/>
      </c>
      <c r="D6" s="44" t="inlineStr">
        <is>
          <t>Working Interest</t>
        </is>
      </c>
      <c r="E6" s="113">
        <f>ROUND(SUBTOTAL(9,E9:E204),10)</f>
        <v/>
      </c>
      <c r="F6" s="114" t="inlineStr">
        <is>
          <t>SURFACE</t>
        </is>
      </c>
      <c r="H6" s="115">
        <f>IF(ABS(H7)&lt;0.0000001,"","RECHECK")</f>
        <v/>
      </c>
      <c r="I6" s="115">
        <f>IF(ABS(I7)&lt;0.0000001,"","RECHECK")</f>
        <v/>
      </c>
      <c r="J6" s="115">
        <f>IF(ABS(J7)&lt;0.0000001,"","RECHECK")</f>
        <v/>
      </c>
      <c r="K6" s="115">
        <f>IF(ABS(K7)&lt;0.0000001,"","RECHECK")</f>
        <v/>
      </c>
      <c r="L6" s="115">
        <f>IF(ABS(L7)&lt;0.0000001,"","RECHECK")</f>
        <v/>
      </c>
      <c r="M6" s="115">
        <f>IF(ABS(M7)&lt;0.0000001,"","RECHECK")</f>
        <v/>
      </c>
      <c r="N6" s="115">
        <f>IF(ABS(N7)&lt;0.0000001,"","RECHECK")</f>
        <v/>
      </c>
    </row>
    <row r="7" ht="15" customHeight="1" s="42">
      <c r="G7" s="116">
        <f>SUBTOTAL(9,G10:G204)</f>
        <v/>
      </c>
      <c r="H7" s="116">
        <f>SUBTOTAL(9,H10:H204)</f>
        <v/>
      </c>
      <c r="I7" s="116">
        <f>SUBTOTAL(9,I10:I204)</f>
        <v/>
      </c>
      <c r="J7" s="116">
        <f>SUBTOTAL(9,J10:J204)</f>
        <v/>
      </c>
      <c r="K7" s="116">
        <f>SUBTOTAL(9,K10:K204)</f>
        <v/>
      </c>
      <c r="L7" s="116">
        <f>SUBTOTAL(9,L10:L204)</f>
        <v/>
      </c>
      <c r="M7" s="116">
        <f>SUBTOTAL(9,M10:M204)</f>
        <v/>
      </c>
      <c r="N7" s="116">
        <f>SUBTOTAL(9,N10:N204)</f>
        <v/>
      </c>
    </row>
    <row r="8" ht="15" customHeight="1" s="42">
      <c r="A8" s="117" t="inlineStr">
        <is>
          <t>NOTES</t>
        </is>
      </c>
      <c r="C8" s="118" t="inlineStr">
        <is>
          <t>NET ACRES</t>
        </is>
      </c>
      <c r="D8" s="119" t="inlineStr">
        <is>
          <t>OWNERS</t>
        </is>
      </c>
      <c r="E8" s="118" t="inlineStr">
        <is>
          <t>TOTAL</t>
        </is>
      </c>
    </row>
    <row r="10" ht="28.35" customHeight="1" s="42">
      <c r="A10" s="111" t="inlineStr">
        <is>
          <t>Residual 8/8 not chained to Diversified in this cursory report. Kept open so Section 27 ties to 640 acres.</t>
        </is>
      </c>
      <c r="B10" s="111" t="inlineStr">
        <is>
          <t>Residual after 448.333333 NMA apparent Diversified chain</t>
        </is>
      </c>
      <c r="C10" s="120">
        <f>E10*$D$5</f>
        <v/>
      </c>
      <c r="D10" s="110" t="inlineStr">
        <is>
          <t>Open / non-Diversified / unverified Section 27 leasehold</t>
        </is>
      </c>
      <c r="E10" s="121">
        <f>F10</f>
        <v/>
      </c>
      <c r="F10" s="122">
        <f>SUM(G10:N10)</f>
        <v/>
      </c>
      <c r="G10" s="123" t="n">
        <v>0.2994791671875</v>
      </c>
    </row>
    <row r="11" ht="55.2" customHeight="1" s="42">
      <c r="A11" s="111" t="inlineStr">
        <is>
          <t>Apparent Track A predecessor block. Source report carries 448.333333 NMA / 640 = 0.700520833 WI to Diversified path; internal split between N&amp;G/NG Family/EnerVest not decimalized in this cursory file.</t>
        </is>
      </c>
      <c r="B11" s="111" t="inlineStr">
        <is>
          <t>Track A OGLs / 2266/194 + 2307/894 + 2308/123</t>
        </is>
      </c>
      <c r="C11" s="120">
        <f>E11*$D$5</f>
        <v/>
      </c>
      <c r="D11" s="110" t="inlineStr">
        <is>
          <t>Nadel &amp; Gussman / NG Family / EnerVest predecessor block</t>
        </is>
      </c>
      <c r="E11" s="121">
        <f>F11</f>
        <v/>
      </c>
      <c r="F11" s="122">
        <f>SUM(G11:N11)</f>
        <v/>
      </c>
      <c r="G11" s="123" t="n">
        <v>0.7005208328125</v>
      </c>
      <c r="H11" s="123" t="n">
        <v>-0.7005208328125</v>
      </c>
    </row>
    <row r="12" ht="28.35" customHeight="1" s="42">
      <c r="A12" s="111" t="inlineStr">
        <is>
          <t>Track A assignments into FourPoint. 100% of assignors' Sec-27 interest carried forward.</t>
        </is>
      </c>
      <c r="B12" s="111" t="inlineStr">
        <is>
          <t>2017-004597; 2019-002937; 2019-002988</t>
        </is>
      </c>
      <c r="C12" s="120">
        <f>E12*$D$5</f>
        <v/>
      </c>
      <c r="D12" s="110" t="inlineStr">
        <is>
          <t>FourPoint Energy, LLC</t>
        </is>
      </c>
      <c r="E12" s="121">
        <f>F12</f>
        <v/>
      </c>
      <c r="F12" s="122">
        <f>SUM(G12:N12)</f>
        <v/>
      </c>
      <c r="H12" s="123" t="n">
        <v>0.7005208328125</v>
      </c>
      <c r="I12" s="123" t="n">
        <v>-0.7005208328125</v>
      </c>
    </row>
    <row r="13" ht="28.35" customHeight="1" s="42">
      <c r="A13" s="111" t="inlineStr">
        <is>
          <t>FourPoint public notice/name-change path to Unbridled; corporate succession support only.</t>
        </is>
      </c>
      <c r="B13" s="111" t="inlineStr">
        <is>
          <t>2020-004390 / Unbridled Resources</t>
        </is>
      </c>
      <c r="C13" s="120">
        <f>E13*$D$5</f>
        <v/>
      </c>
      <c r="D13" s="110" t="inlineStr">
        <is>
          <t>Unbridled Resources, LLC / MNR / Maverick Natural Resources, LLC</t>
        </is>
      </c>
      <c r="E13" s="121">
        <f>F13</f>
        <v/>
      </c>
      <c r="F13" s="122">
        <f>SUM(G13:N13)</f>
        <v/>
      </c>
      <c r="I13" s="123" t="n">
        <v>0.7005208328125</v>
      </c>
      <c r="J13" s="123" t="n">
        <v>-0.7005208328125</v>
      </c>
    </row>
    <row r="14" ht="37.3" customHeight="1" s="42">
      <c r="A14" s="111" t="inlineStr">
        <is>
          <t>Current apparent Section 27 owner. Booked decimal = 448.333333 / 640. NRI estimate at 3/16 burden ≈ 0.569173177, but NRI not booked here.</t>
        </is>
      </c>
      <c r="B14" s="111" t="inlineStr">
        <is>
          <t>Diversified successor path; support affidavit carried</t>
        </is>
      </c>
      <c r="C14" s="120">
        <f>E14*$D$5</f>
        <v/>
      </c>
      <c r="D14" s="110" t="inlineStr">
        <is>
          <t>Diversified Production, LLC / Diversified Energy successor path</t>
        </is>
      </c>
      <c r="E14" s="121">
        <f>F14</f>
        <v/>
      </c>
      <c r="F14" s="122">
        <f>SUM(G14:N14)</f>
        <v/>
      </c>
      <c r="J14" s="123" t="n">
        <v>0.7005208328125</v>
      </c>
    </row>
    <row r="15" ht="28.35" customHeight="1" s="42">
      <c r="A15" s="111" t="inlineStr">
        <is>
          <t>Wellbore assignment only. No tract WI decimal booked until Exhibit A / wellbore carveout is fully abstracted.</t>
        </is>
      </c>
      <c r="B15" s="111" t="inlineStr">
        <is>
          <t>2023-000993 (2401/214)</t>
        </is>
      </c>
      <c r="C15" s="120">
        <f>E15*$D$5</f>
        <v/>
      </c>
      <c r="D15" s="110" t="inlineStr">
        <is>
          <t>Teocalli Exploration, LLC</t>
        </is>
      </c>
      <c r="E15" s="121">
        <f>F15</f>
        <v/>
      </c>
      <c r="F15" s="122">
        <f>SUM(G15:N15)</f>
        <v/>
      </c>
      <c r="K15" s="123" t="n">
        <v>0</v>
      </c>
    </row>
    <row r="16" ht="37.3" customHeight="1" s="42">
      <c r="A16" s="111" t="inlineStr">
        <is>
          <t>Track B / DP Legacy / Tapstone documents shown for audit trail only. No Section 27 Diversified tract WI decimal carried from this path in this tab.</t>
        </is>
      </c>
      <c r="B16" s="111" t="inlineStr">
        <is>
          <t>Track B excluded docs</t>
        </is>
      </c>
      <c r="C16" s="120">
        <f>E16*$D$5</f>
        <v/>
      </c>
      <c r="D16" s="110" t="inlineStr">
        <is>
          <t>Chesapeake / Tapstone / DP Legacy / DP Sooner / Diversified Track B path</t>
        </is>
      </c>
      <c r="E16" s="121">
        <f>F16</f>
        <v/>
      </c>
      <c r="F16" s="122">
        <f>SUM(G16:N16)</f>
        <v/>
      </c>
      <c r="L16" s="123" t="n">
        <v>0</v>
      </c>
    </row>
    <row r="17" ht="19.4" customHeight="1" s="42">
      <c r="A17" s="111" t="inlineStr">
        <is>
          <t>Support affidavit only; no independent conveyance decimal booked.</t>
        </is>
      </c>
      <c r="B17" s="111" t="inlineStr">
        <is>
          <t>2026-001031 support affidavit</t>
        </is>
      </c>
      <c r="C17" s="120">
        <f>E17*$D$5</f>
        <v/>
      </c>
      <c r="D17" s="110" t="inlineStr">
        <is>
          <t>DP / Diversified support affidavit</t>
        </is>
      </c>
      <c r="E17" s="121">
        <f>F17</f>
        <v/>
      </c>
      <c r="F17" s="122">
        <f>SUM(G17:N17)</f>
        <v/>
      </c>
      <c r="M17" s="123" t="n">
        <v>0</v>
      </c>
    </row>
    <row r="18" ht="46.25" customHeight="1" s="42">
      <c r="A18" s="111" t="inlineStr">
        <is>
          <t>Legacy Sanguine / investor / Kaiser-Francis / Enogex / Chesapeake predecessor history remains behind Track A, but precise individual WI splits are not reliable from this cursory report alone.</t>
        </is>
      </c>
      <c r="B18" s="111" t="inlineStr">
        <is>
          <t>See Runsheet rows 20-107 and OGLs tab</t>
        </is>
      </c>
      <c r="C18" s="120">
        <f>E18*$D$5</f>
        <v/>
      </c>
      <c r="D18" s="110" t="inlineStr">
        <is>
          <t>Sanguine / investor group / Kaiser-Francis / Enogex / Chesapeake predecessors</t>
        </is>
      </c>
      <c r="E18" s="121">
        <f>F18</f>
        <v/>
      </c>
      <c r="F18" s="122">
        <f>SUM(G18:N18)</f>
        <v/>
      </c>
    </row>
    <row r="20" ht="55.2" customHeight="1" s="42">
      <c r="A20" s="57" t="inlineStr">
        <is>
          <t>Per-tract figures are the apparent SECTION-WIDE leased fraction applied for reference; per-tract net mineral acres are NOT derivable from the county index (cursory). See consolidated WI sheet and Title.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00BF8F00"/>
    <outlinePr summaryBelow="1" summaryRight="1"/>
    <pageSetUpPr fitToPage="0"/>
  </sheetPr>
  <dimension ref="A1:N20"/>
  <sheetViews>
    <sheetView showFormulas="0" showGridLines="1" showRowColHeaders="1" showZeros="1" rightToLeft="0" tabSelected="0" showOutlineSymbols="1" defaultGridColor="1"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30" customWidth="1" style="41" min="1" max="1"/>
    <col width="26" customWidth="1" style="41" min="2" max="2"/>
    <col width="12" customWidth="1" style="41" min="3" max="3"/>
    <col width="46" customWidth="1" style="41" min="4" max="4"/>
    <col width="13" customWidth="1" style="41" min="5" max="5"/>
    <col width="9" customWidth="1" style="41" min="6" max="6"/>
    <col width="16" customWidth="1" style="41" min="7" max="7"/>
    <col width="20" customWidth="1" style="41" min="8" max="14"/>
  </cols>
  <sheetData>
    <row r="1" ht="15" customHeight="1" s="42">
      <c r="E1" s="106" t="inlineStr">
        <is>
          <t>Instrument</t>
        </is>
      </c>
      <c r="G1" s="43" t="inlineStr">
        <is>
          <t>BASE / SOURCE</t>
        </is>
      </c>
      <c r="H1" s="107" t="inlineStr">
        <is>
          <t>BASE / SOURCE</t>
        </is>
      </c>
      <c r="I1" s="107" t="inlineStr">
        <is>
          <t>ASSN</t>
        </is>
      </c>
      <c r="J1" s="107" t="inlineStr">
        <is>
          <t>NAME CHANGE</t>
        </is>
      </c>
      <c r="K1" s="107" t="inlineStr">
        <is>
          <t>MERGER / SUPPORT</t>
        </is>
      </c>
      <c r="L1" s="107" t="inlineStr">
        <is>
          <t>WB ASSN</t>
        </is>
      </c>
      <c r="M1" s="107" t="inlineStr">
        <is>
          <t>EXCLUDED</t>
        </is>
      </c>
      <c r="N1" s="107" t="inlineStr">
        <is>
          <t>AFF</t>
        </is>
      </c>
    </row>
    <row r="2" ht="55.2" customHeight="1" s="42">
      <c r="A2" s="108" t="inlineStr">
        <is>
          <t>WI</t>
        </is>
      </c>
      <c r="B2" s="106" t="inlineStr">
        <is>
          <t>TRACT</t>
        </is>
      </c>
      <c r="E2" s="106" t="inlineStr">
        <is>
          <t>Image Number</t>
        </is>
      </c>
      <c r="H2" s="109" t="inlineStr">
        <is>
          <t>SOURCE</t>
        </is>
      </c>
      <c r="I2" s="109" t="inlineStr">
        <is>
          <t>2017-004597
2019-002937
2019-002988</t>
        </is>
      </c>
      <c r="J2" s="109" t="inlineStr">
        <is>
          <t>2020-004390</t>
        </is>
      </c>
      <c r="K2" s="109" t="inlineStr">
        <is>
          <t>2025-001808
2026-001031</t>
        </is>
      </c>
      <c r="L2" s="109" t="inlineStr">
        <is>
          <t>2023-000993</t>
        </is>
      </c>
      <c r="M2" s="109" t="inlineStr">
        <is>
          <t>2020-004435
2020-004462
2022-003507
2022-004277
2022-004838
2023-000796</t>
        </is>
      </c>
      <c r="N2" s="109" t="inlineStr">
        <is>
          <t>2026-001031</t>
        </is>
      </c>
    </row>
    <row r="3" ht="55.2" customHeight="1" s="42">
      <c r="B3" s="106" t="inlineStr">
        <is>
          <t>DESCRIPTION</t>
        </is>
      </c>
      <c r="C3" s="110" t="inlineStr">
        <is>
          <t>NE/4 Section 27-11N-25W</t>
        </is>
      </c>
      <c r="E3" s="106" t="inlineStr">
        <is>
          <t>Book / Page</t>
        </is>
      </c>
      <c r="G3" s="41" t="inlineStr">
        <is>
          <t>Report / Title</t>
        </is>
      </c>
      <c r="H3" s="109" t="inlineStr">
        <is>
          <t>Report / Title / OGL index</t>
        </is>
      </c>
      <c r="I3" s="109" t="inlineStr">
        <is>
          <t>2266/194
2307/894
2308/123</t>
        </is>
      </c>
      <c r="J3" s="109" t="inlineStr">
        <is>
          <t>2340/218</t>
        </is>
      </c>
      <c r="K3" s="109" t="inlineStr">
        <is>
          <t>2451/4
2480/824</t>
        </is>
      </c>
      <c r="L3" s="109" t="inlineStr">
        <is>
          <t>2401/214</t>
        </is>
      </c>
      <c r="M3" s="109" t="inlineStr">
        <is>
          <t>2340/403
2340/490
2389/581
2393/1
2395/415
2400/551</t>
        </is>
      </c>
      <c r="N3" s="109" t="inlineStr">
        <is>
          <t>2480/824</t>
        </is>
      </c>
    </row>
    <row r="4" ht="28.35" customHeight="1" s="42">
      <c r="E4" s="106" t="inlineStr">
        <is>
          <t>Date</t>
        </is>
      </c>
      <c r="H4" s="109" t="inlineStr">
        <is>
          <t>6/8/2026 report</t>
        </is>
      </c>
      <c r="I4" s="109" t="inlineStr">
        <is>
          <t>10/24/17
7/24/19
7/26/19</t>
        </is>
      </c>
      <c r="J4" s="109" t="inlineStr">
        <is>
          <t>11/18/20</t>
        </is>
      </c>
      <c r="K4" s="109" t="inlineStr">
        <is>
          <t>3/14/25
3/10/26</t>
        </is>
      </c>
      <c r="L4" s="109" t="inlineStr">
        <is>
          <t>8/9/23</t>
        </is>
      </c>
      <c r="M4" s="109" t="inlineStr">
        <is>
          <t>2020-2023</t>
        </is>
      </c>
      <c r="N4" s="109" t="inlineStr">
        <is>
          <t>3/10/26</t>
        </is>
      </c>
    </row>
    <row r="5" ht="84" customHeight="1" s="42">
      <c r="B5" s="106" t="inlineStr">
        <is>
          <t>TRACT ACRES</t>
        </is>
      </c>
      <c r="D5" s="44" t="n">
        <v>160</v>
      </c>
      <c r="E5" s="106" t="inlineStr">
        <is>
          <t>Conveyance</t>
        </is>
      </c>
      <c r="G5" s="111" t="inlineStr">
        <is>
          <t>Apparent Diversified leasehold WI (Track A path; Sec-27 640-ac unit). Per-tract NMA not derivable from index.</t>
        </is>
      </c>
      <c r="H5" s="111" t="inlineStr">
        <is>
          <t>Residual + apparent Track A source</t>
        </is>
      </c>
      <c r="I5" s="111" t="inlineStr">
        <is>
          <t>Track A into FourPoint</t>
        </is>
      </c>
      <c r="J5" s="111" t="inlineStr">
        <is>
          <t>FourPoint → Unbridled</t>
        </is>
      </c>
      <c r="K5" s="111" t="inlineStr">
        <is>
          <t>Maverick / Diversified support</t>
        </is>
      </c>
      <c r="L5" s="111" t="inlineStr">
        <is>
          <t>Wellbore carveout only</t>
        </is>
      </c>
      <c r="M5" s="111" t="inlineStr">
        <is>
          <t>Track B / DP Legacy path not carried</t>
        </is>
      </c>
      <c r="N5" s="111" t="inlineStr">
        <is>
          <t>Support only</t>
        </is>
      </c>
    </row>
    <row r="6" ht="15" customHeight="1" s="42">
      <c r="B6" s="106" t="inlineStr">
        <is>
          <t>BASE OGL</t>
        </is>
      </c>
      <c r="C6" s="112">
        <f>ROUND(SUBTOTAL(9,C9:C204),2)</f>
        <v/>
      </c>
      <c r="D6" s="44" t="inlineStr">
        <is>
          <t>Working Interest</t>
        </is>
      </c>
      <c r="E6" s="113">
        <f>ROUND(SUBTOTAL(9,E9:E204),10)</f>
        <v/>
      </c>
      <c r="F6" s="114" t="inlineStr">
        <is>
          <t>SURFACE</t>
        </is>
      </c>
      <c r="H6" s="115">
        <f>IF(ABS(H7)&lt;0.0000001,"","RECHECK")</f>
        <v/>
      </c>
      <c r="I6" s="115">
        <f>IF(ABS(I7)&lt;0.0000001,"","RECHECK")</f>
        <v/>
      </c>
      <c r="J6" s="115">
        <f>IF(ABS(J7)&lt;0.0000001,"","RECHECK")</f>
        <v/>
      </c>
      <c r="K6" s="115">
        <f>IF(ABS(K7)&lt;0.0000001,"","RECHECK")</f>
        <v/>
      </c>
      <c r="L6" s="115">
        <f>IF(ABS(L7)&lt;0.0000001,"","RECHECK")</f>
        <v/>
      </c>
      <c r="M6" s="115">
        <f>IF(ABS(M7)&lt;0.0000001,"","RECHECK")</f>
        <v/>
      </c>
      <c r="N6" s="115">
        <f>IF(ABS(N7)&lt;0.0000001,"","RECHECK")</f>
        <v/>
      </c>
    </row>
    <row r="7" ht="15" customHeight="1" s="42">
      <c r="G7" s="116">
        <f>SUBTOTAL(9,G10:G204)</f>
        <v/>
      </c>
      <c r="H7" s="116">
        <f>SUBTOTAL(9,H10:H204)</f>
        <v/>
      </c>
      <c r="I7" s="116">
        <f>SUBTOTAL(9,I10:I204)</f>
        <v/>
      </c>
      <c r="J7" s="116">
        <f>SUBTOTAL(9,J10:J204)</f>
        <v/>
      </c>
      <c r="K7" s="116">
        <f>SUBTOTAL(9,K10:K204)</f>
        <v/>
      </c>
      <c r="L7" s="116">
        <f>SUBTOTAL(9,L10:L204)</f>
        <v/>
      </c>
      <c r="M7" s="116">
        <f>SUBTOTAL(9,M10:M204)</f>
        <v/>
      </c>
      <c r="N7" s="116">
        <f>SUBTOTAL(9,N10:N204)</f>
        <v/>
      </c>
    </row>
    <row r="8" ht="15" customHeight="1" s="42">
      <c r="A8" s="117" t="inlineStr">
        <is>
          <t>NOTES</t>
        </is>
      </c>
      <c r="C8" s="118" t="inlineStr">
        <is>
          <t>NET ACRES</t>
        </is>
      </c>
      <c r="D8" s="119" t="inlineStr">
        <is>
          <t>OWNERS</t>
        </is>
      </c>
      <c r="E8" s="118" t="inlineStr">
        <is>
          <t>TOTAL</t>
        </is>
      </c>
    </row>
    <row r="10" ht="28.35" customHeight="1" s="42">
      <c r="A10" s="111" t="inlineStr">
        <is>
          <t>Residual 8/8 not chained to Diversified in this cursory report. Kept open so Section 27 ties to 640 acres.</t>
        </is>
      </c>
      <c r="B10" s="111" t="inlineStr">
        <is>
          <t>Residual after 448.333333 NMA apparent Diversified chain</t>
        </is>
      </c>
      <c r="C10" s="120">
        <f>E10*$D$5</f>
        <v/>
      </c>
      <c r="D10" s="110" t="inlineStr">
        <is>
          <t>Open / non-Diversified / unverified Section 27 leasehold</t>
        </is>
      </c>
      <c r="E10" s="121">
        <f>F10</f>
        <v/>
      </c>
      <c r="F10" s="122">
        <f>SUM(G10:N10)</f>
        <v/>
      </c>
      <c r="G10" s="123" t="n">
        <v>0.2994791671875</v>
      </c>
    </row>
    <row r="11" ht="55.2" customHeight="1" s="42">
      <c r="A11" s="111" t="inlineStr">
        <is>
          <t>Apparent Track A predecessor block. Source report carries 448.333333 NMA / 640 = 0.700520833 WI to Diversified path; internal split between N&amp;G/NG Family/EnerVest not decimalized in this cursory file.</t>
        </is>
      </c>
      <c r="B11" s="111" t="inlineStr">
        <is>
          <t>Track A OGLs / 2266/194 + 2307/894 + 2308/123</t>
        </is>
      </c>
      <c r="C11" s="120">
        <f>E11*$D$5</f>
        <v/>
      </c>
      <c r="D11" s="110" t="inlineStr">
        <is>
          <t>Nadel &amp; Gussman / NG Family / EnerVest predecessor block</t>
        </is>
      </c>
      <c r="E11" s="121">
        <f>F11</f>
        <v/>
      </c>
      <c r="F11" s="122">
        <f>SUM(G11:N11)</f>
        <v/>
      </c>
      <c r="G11" s="123" t="n">
        <v>0.7005208328125</v>
      </c>
      <c r="H11" s="123" t="n">
        <v>-0.7005208328125</v>
      </c>
    </row>
    <row r="12" ht="28.35" customHeight="1" s="42">
      <c r="A12" s="111" t="inlineStr">
        <is>
          <t>Track A assignments into FourPoint. 100% of assignors' Sec-27 interest carried forward.</t>
        </is>
      </c>
      <c r="B12" s="111" t="inlineStr">
        <is>
          <t>2017-004597; 2019-002937; 2019-002988</t>
        </is>
      </c>
      <c r="C12" s="120">
        <f>E12*$D$5</f>
        <v/>
      </c>
      <c r="D12" s="110" t="inlineStr">
        <is>
          <t>FourPoint Energy, LLC</t>
        </is>
      </c>
      <c r="E12" s="121">
        <f>F12</f>
        <v/>
      </c>
      <c r="F12" s="122">
        <f>SUM(G12:N12)</f>
        <v/>
      </c>
      <c r="H12" s="123" t="n">
        <v>0.7005208328125</v>
      </c>
      <c r="I12" s="123" t="n">
        <v>-0.7005208328125</v>
      </c>
    </row>
    <row r="13" ht="28.35" customHeight="1" s="42">
      <c r="A13" s="111" t="inlineStr">
        <is>
          <t>FourPoint public notice/name-change path to Unbridled; corporate succession support only.</t>
        </is>
      </c>
      <c r="B13" s="111" t="inlineStr">
        <is>
          <t>2020-004390 / Unbridled Resources</t>
        </is>
      </c>
      <c r="C13" s="120">
        <f>E13*$D$5</f>
        <v/>
      </c>
      <c r="D13" s="110" t="inlineStr">
        <is>
          <t>Unbridled Resources, LLC / MNR / Maverick Natural Resources, LLC</t>
        </is>
      </c>
      <c r="E13" s="121">
        <f>F13</f>
        <v/>
      </c>
      <c r="F13" s="122">
        <f>SUM(G13:N13)</f>
        <v/>
      </c>
      <c r="I13" s="123" t="n">
        <v>0.7005208328125</v>
      </c>
      <c r="J13" s="123" t="n">
        <v>-0.7005208328125</v>
      </c>
    </row>
    <row r="14" ht="37.3" customHeight="1" s="42">
      <c r="A14" s="111" t="inlineStr">
        <is>
          <t>Current apparent Section 27 owner. Booked decimal = 448.333333 / 640. NRI estimate at 3/16 burden ≈ 0.569173177, but NRI not booked here.</t>
        </is>
      </c>
      <c r="B14" s="111" t="inlineStr">
        <is>
          <t>Diversified successor path; support affidavit carried</t>
        </is>
      </c>
      <c r="C14" s="120">
        <f>E14*$D$5</f>
        <v/>
      </c>
      <c r="D14" s="110" t="inlineStr">
        <is>
          <t>Diversified Production, LLC / Diversified Energy successor path</t>
        </is>
      </c>
      <c r="E14" s="121">
        <f>F14</f>
        <v/>
      </c>
      <c r="F14" s="122">
        <f>SUM(G14:N14)</f>
        <v/>
      </c>
      <c r="J14" s="123" t="n">
        <v>0.7005208328125</v>
      </c>
    </row>
    <row r="15" ht="28.35" customHeight="1" s="42">
      <c r="A15" s="111" t="inlineStr">
        <is>
          <t>Wellbore assignment only. No tract WI decimal booked until Exhibit A / wellbore carveout is fully abstracted.</t>
        </is>
      </c>
      <c r="B15" s="111" t="inlineStr">
        <is>
          <t>2023-000993 (2401/214)</t>
        </is>
      </c>
      <c r="C15" s="120">
        <f>E15*$D$5</f>
        <v/>
      </c>
      <c r="D15" s="110" t="inlineStr">
        <is>
          <t>Teocalli Exploration, LLC</t>
        </is>
      </c>
      <c r="E15" s="121">
        <f>F15</f>
        <v/>
      </c>
      <c r="F15" s="122">
        <f>SUM(G15:N15)</f>
        <v/>
      </c>
      <c r="K15" s="123" t="n">
        <v>0</v>
      </c>
    </row>
    <row r="16" ht="37.3" customHeight="1" s="42">
      <c r="A16" s="111" t="inlineStr">
        <is>
          <t>Track B / DP Legacy / Tapstone documents shown for audit trail only. No Section 27 Diversified tract WI decimal carried from this path in this tab.</t>
        </is>
      </c>
      <c r="B16" s="111" t="inlineStr">
        <is>
          <t>Track B excluded docs</t>
        </is>
      </c>
      <c r="C16" s="120">
        <f>E16*$D$5</f>
        <v/>
      </c>
      <c r="D16" s="110" t="inlineStr">
        <is>
          <t>Chesapeake / Tapstone / DP Legacy / DP Sooner / Diversified Track B path</t>
        </is>
      </c>
      <c r="E16" s="121">
        <f>F16</f>
        <v/>
      </c>
      <c r="F16" s="122">
        <f>SUM(G16:N16)</f>
        <v/>
      </c>
      <c r="L16" s="123" t="n">
        <v>0</v>
      </c>
    </row>
    <row r="17" ht="19.4" customHeight="1" s="42">
      <c r="A17" s="111" t="inlineStr">
        <is>
          <t>Support affidavit only; no independent conveyance decimal booked.</t>
        </is>
      </c>
      <c r="B17" s="111" t="inlineStr">
        <is>
          <t>2026-001031 support affidavit</t>
        </is>
      </c>
      <c r="C17" s="120">
        <f>E17*$D$5</f>
        <v/>
      </c>
      <c r="D17" s="110" t="inlineStr">
        <is>
          <t>DP / Diversified support affidavit</t>
        </is>
      </c>
      <c r="E17" s="121">
        <f>F17</f>
        <v/>
      </c>
      <c r="F17" s="122">
        <f>SUM(G17:N17)</f>
        <v/>
      </c>
      <c r="M17" s="123" t="n">
        <v>0</v>
      </c>
    </row>
    <row r="18" ht="46.25" customHeight="1" s="42">
      <c r="A18" s="111" t="inlineStr">
        <is>
          <t>Legacy Sanguine / investor / Kaiser-Francis / Enogex / Chesapeake predecessor history remains behind Track A, but precise individual WI splits are not reliable from this cursory report alone.</t>
        </is>
      </c>
      <c r="B18" s="111" t="inlineStr">
        <is>
          <t>See Runsheet rows 20-107 and OGLs tab</t>
        </is>
      </c>
      <c r="C18" s="120">
        <f>E18*$D$5</f>
        <v/>
      </c>
      <c r="D18" s="110" t="inlineStr">
        <is>
          <t>Sanguine / investor group / Kaiser-Francis / Enogex / Chesapeake predecessors</t>
        </is>
      </c>
      <c r="E18" s="121">
        <f>F18</f>
        <v/>
      </c>
      <c r="F18" s="122">
        <f>SUM(G18:N18)</f>
        <v/>
      </c>
    </row>
    <row r="20" ht="55.2" customHeight="1" s="42">
      <c r="A20" s="57" t="inlineStr">
        <is>
          <t>Per-tract figures are the apparent SECTION-WIDE leased fraction applied for reference; per-tract net mineral acres are NOT derivable from the county index (cursory). See consolidated WI sheet and Title.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00BF8F00"/>
    <outlinePr summaryBelow="1" summaryRight="1"/>
    <pageSetUpPr fitToPage="0"/>
  </sheetPr>
  <dimension ref="A1:N20"/>
  <sheetViews>
    <sheetView showFormulas="0" showGridLines="1" showRowColHeaders="1" showZeros="1" rightToLeft="0" tabSelected="0" showOutlineSymbols="1" defaultGridColor="1"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30" customWidth="1" style="41" min="1" max="1"/>
    <col width="26" customWidth="1" style="41" min="2" max="2"/>
    <col width="12" customWidth="1" style="41" min="3" max="3"/>
    <col width="46" customWidth="1" style="41" min="4" max="4"/>
    <col width="13" customWidth="1" style="41" min="5" max="5"/>
    <col width="9" customWidth="1" style="41" min="6" max="6"/>
    <col width="16" customWidth="1" style="41" min="7" max="7"/>
    <col width="20" customWidth="1" style="41" min="8" max="14"/>
  </cols>
  <sheetData>
    <row r="1" ht="15" customHeight="1" s="42">
      <c r="E1" s="106" t="inlineStr">
        <is>
          <t>Instrument</t>
        </is>
      </c>
      <c r="G1" s="43" t="inlineStr">
        <is>
          <t>BASE / SOURCE</t>
        </is>
      </c>
      <c r="H1" s="107" t="inlineStr">
        <is>
          <t>BASE / SOURCE</t>
        </is>
      </c>
      <c r="I1" s="107" t="inlineStr">
        <is>
          <t>ASSN</t>
        </is>
      </c>
      <c r="J1" s="107" t="inlineStr">
        <is>
          <t>NAME CHANGE</t>
        </is>
      </c>
      <c r="K1" s="107" t="inlineStr">
        <is>
          <t>MERGER / SUPPORT</t>
        </is>
      </c>
      <c r="L1" s="107" t="inlineStr">
        <is>
          <t>WB ASSN</t>
        </is>
      </c>
      <c r="M1" s="107" t="inlineStr">
        <is>
          <t>EXCLUDED</t>
        </is>
      </c>
      <c r="N1" s="107" t="inlineStr">
        <is>
          <t>AFF</t>
        </is>
      </c>
    </row>
    <row r="2" ht="55.2" customHeight="1" s="42">
      <c r="A2" s="108" t="inlineStr">
        <is>
          <t>WI</t>
        </is>
      </c>
      <c r="B2" s="106" t="inlineStr">
        <is>
          <t>TRACT</t>
        </is>
      </c>
      <c r="E2" s="106" t="inlineStr">
        <is>
          <t>Image Number</t>
        </is>
      </c>
      <c r="H2" s="109" t="inlineStr">
        <is>
          <t>SOURCE</t>
        </is>
      </c>
      <c r="I2" s="109" t="inlineStr">
        <is>
          <t>2017-004597
2019-002937
2019-002988</t>
        </is>
      </c>
      <c r="J2" s="109" t="inlineStr">
        <is>
          <t>2020-004390</t>
        </is>
      </c>
      <c r="K2" s="109" t="inlineStr">
        <is>
          <t>2025-001808
2026-001031</t>
        </is>
      </c>
      <c r="L2" s="109" t="inlineStr">
        <is>
          <t>2023-000993</t>
        </is>
      </c>
      <c r="M2" s="109" t="inlineStr">
        <is>
          <t>2020-004435
2020-004462
2022-003507
2022-004277
2022-004838
2023-000796</t>
        </is>
      </c>
      <c r="N2" s="109" t="inlineStr">
        <is>
          <t>2026-001031</t>
        </is>
      </c>
    </row>
    <row r="3" ht="55.2" customHeight="1" s="42">
      <c r="B3" s="106" t="inlineStr">
        <is>
          <t>DESCRIPTION</t>
        </is>
      </c>
      <c r="C3" s="110" t="inlineStr">
        <is>
          <t>NW/4 Section 27-11N-25W</t>
        </is>
      </c>
      <c r="E3" s="106" t="inlineStr">
        <is>
          <t>Book / Page</t>
        </is>
      </c>
      <c r="G3" s="41" t="inlineStr">
        <is>
          <t>Report / Title</t>
        </is>
      </c>
      <c r="H3" s="109" t="inlineStr">
        <is>
          <t>Report / Title / OGL index</t>
        </is>
      </c>
      <c r="I3" s="109" t="inlineStr">
        <is>
          <t>2266/194
2307/894
2308/123</t>
        </is>
      </c>
      <c r="J3" s="109" t="inlineStr">
        <is>
          <t>2340/218</t>
        </is>
      </c>
      <c r="K3" s="109" t="inlineStr">
        <is>
          <t>2451/4
2480/824</t>
        </is>
      </c>
      <c r="L3" s="109" t="inlineStr">
        <is>
          <t>2401/214</t>
        </is>
      </c>
      <c r="M3" s="109" t="inlineStr">
        <is>
          <t>2340/403
2340/490
2389/581
2393/1
2395/415
2400/551</t>
        </is>
      </c>
      <c r="N3" s="109" t="inlineStr">
        <is>
          <t>2480/824</t>
        </is>
      </c>
    </row>
    <row r="4" ht="28.35" customHeight="1" s="42">
      <c r="E4" s="106" t="inlineStr">
        <is>
          <t>Date</t>
        </is>
      </c>
      <c r="H4" s="109" t="inlineStr">
        <is>
          <t>6/8/2026 report</t>
        </is>
      </c>
      <c r="I4" s="109" t="inlineStr">
        <is>
          <t>10/24/17
7/24/19
7/26/19</t>
        </is>
      </c>
      <c r="J4" s="109" t="inlineStr">
        <is>
          <t>11/18/20</t>
        </is>
      </c>
      <c r="K4" s="109" t="inlineStr">
        <is>
          <t>3/14/25
3/10/26</t>
        </is>
      </c>
      <c r="L4" s="109" t="inlineStr">
        <is>
          <t>8/9/23</t>
        </is>
      </c>
      <c r="M4" s="109" t="inlineStr">
        <is>
          <t>2020-2023</t>
        </is>
      </c>
      <c r="N4" s="109" t="inlineStr">
        <is>
          <t>3/10/26</t>
        </is>
      </c>
    </row>
    <row r="5" ht="84" customHeight="1" s="42">
      <c r="B5" s="106" t="inlineStr">
        <is>
          <t>TRACT ACRES</t>
        </is>
      </c>
      <c r="D5" s="44" t="n">
        <v>160</v>
      </c>
      <c r="E5" s="106" t="inlineStr">
        <is>
          <t>Conveyance</t>
        </is>
      </c>
      <c r="G5" s="111" t="inlineStr">
        <is>
          <t>Apparent Diversified leasehold WI (Track A path; Sec-27 640-ac unit). Per-tract NMA not derivable from index.</t>
        </is>
      </c>
      <c r="H5" s="111" t="inlineStr">
        <is>
          <t>Residual + apparent Track A source</t>
        </is>
      </c>
      <c r="I5" s="111" t="inlineStr">
        <is>
          <t>Track A into FourPoint</t>
        </is>
      </c>
      <c r="J5" s="111" t="inlineStr">
        <is>
          <t>FourPoint → Unbridled</t>
        </is>
      </c>
      <c r="K5" s="111" t="inlineStr">
        <is>
          <t>Maverick / Diversified support</t>
        </is>
      </c>
      <c r="L5" s="111" t="inlineStr">
        <is>
          <t>Wellbore carveout only</t>
        </is>
      </c>
      <c r="M5" s="111" t="inlineStr">
        <is>
          <t>Track B / DP Legacy path not carried</t>
        </is>
      </c>
      <c r="N5" s="111" t="inlineStr">
        <is>
          <t>Support only</t>
        </is>
      </c>
    </row>
    <row r="6" ht="15" customHeight="1" s="42">
      <c r="B6" s="106" t="inlineStr">
        <is>
          <t>BASE OGL</t>
        </is>
      </c>
      <c r="C6" s="112">
        <f>ROUND(SUBTOTAL(9,C9:C204),2)</f>
        <v/>
      </c>
      <c r="D6" s="44" t="inlineStr">
        <is>
          <t>Working Interest</t>
        </is>
      </c>
      <c r="E6" s="113">
        <f>ROUND(SUBTOTAL(9,E9:E204),10)</f>
        <v/>
      </c>
      <c r="F6" s="114" t="inlineStr">
        <is>
          <t>SURFACE</t>
        </is>
      </c>
      <c r="H6" s="115">
        <f>IF(ABS(H7)&lt;0.0000001,"","RECHECK")</f>
        <v/>
      </c>
      <c r="I6" s="115">
        <f>IF(ABS(I7)&lt;0.0000001,"","RECHECK")</f>
        <v/>
      </c>
      <c r="J6" s="115">
        <f>IF(ABS(J7)&lt;0.0000001,"","RECHECK")</f>
        <v/>
      </c>
      <c r="K6" s="115">
        <f>IF(ABS(K7)&lt;0.0000001,"","RECHECK")</f>
        <v/>
      </c>
      <c r="L6" s="115">
        <f>IF(ABS(L7)&lt;0.0000001,"","RECHECK")</f>
        <v/>
      </c>
      <c r="M6" s="115">
        <f>IF(ABS(M7)&lt;0.0000001,"","RECHECK")</f>
        <v/>
      </c>
      <c r="N6" s="115">
        <f>IF(ABS(N7)&lt;0.0000001,"","RECHECK")</f>
        <v/>
      </c>
    </row>
    <row r="7" ht="15" customHeight="1" s="42">
      <c r="G7" s="116">
        <f>SUBTOTAL(9,G10:G204)</f>
        <v/>
      </c>
      <c r="H7" s="116">
        <f>SUBTOTAL(9,H10:H204)</f>
        <v/>
      </c>
      <c r="I7" s="116">
        <f>SUBTOTAL(9,I10:I204)</f>
        <v/>
      </c>
      <c r="J7" s="116">
        <f>SUBTOTAL(9,J10:J204)</f>
        <v/>
      </c>
      <c r="K7" s="116">
        <f>SUBTOTAL(9,K10:K204)</f>
        <v/>
      </c>
      <c r="L7" s="116">
        <f>SUBTOTAL(9,L10:L204)</f>
        <v/>
      </c>
      <c r="M7" s="116">
        <f>SUBTOTAL(9,M10:M204)</f>
        <v/>
      </c>
      <c r="N7" s="116">
        <f>SUBTOTAL(9,N10:N204)</f>
        <v/>
      </c>
    </row>
    <row r="8" ht="15" customHeight="1" s="42">
      <c r="A8" s="117" t="inlineStr">
        <is>
          <t>NOTES</t>
        </is>
      </c>
      <c r="C8" s="118" t="inlineStr">
        <is>
          <t>NET ACRES</t>
        </is>
      </c>
      <c r="D8" s="119" t="inlineStr">
        <is>
          <t>OWNERS</t>
        </is>
      </c>
      <c r="E8" s="118" t="inlineStr">
        <is>
          <t>TOTAL</t>
        </is>
      </c>
    </row>
    <row r="10" ht="28.35" customHeight="1" s="42">
      <c r="A10" s="111" t="inlineStr">
        <is>
          <t>Residual 8/8 not chained to Diversified in this cursory report. Kept open so Section 27 ties to 640 acres.</t>
        </is>
      </c>
      <c r="B10" s="111" t="inlineStr">
        <is>
          <t>Residual after 448.333333 NMA apparent Diversified chain</t>
        </is>
      </c>
      <c r="C10" s="120">
        <f>E10*$D$5</f>
        <v/>
      </c>
      <c r="D10" s="110" t="inlineStr">
        <is>
          <t>Open / non-Diversified / unverified Section 27 leasehold</t>
        </is>
      </c>
      <c r="E10" s="121">
        <f>F10</f>
        <v/>
      </c>
      <c r="F10" s="122">
        <f>SUM(G10:N10)</f>
        <v/>
      </c>
      <c r="G10" s="123" t="n">
        <v>0.2994791671875</v>
      </c>
    </row>
    <row r="11" ht="55.2" customHeight="1" s="42">
      <c r="A11" s="111" t="inlineStr">
        <is>
          <t>Apparent Track A predecessor block. Source report carries 448.333333 NMA / 640 = 0.700520833 WI to Diversified path; internal split between N&amp;G/NG Family/EnerVest not decimalized in this cursory file.</t>
        </is>
      </c>
      <c r="B11" s="111" t="inlineStr">
        <is>
          <t>Track A OGLs / 2266/194 + 2307/894 + 2308/123</t>
        </is>
      </c>
      <c r="C11" s="120">
        <f>E11*$D$5</f>
        <v/>
      </c>
      <c r="D11" s="110" t="inlineStr">
        <is>
          <t>Nadel &amp; Gussman / NG Family / EnerVest predecessor block</t>
        </is>
      </c>
      <c r="E11" s="121">
        <f>F11</f>
        <v/>
      </c>
      <c r="F11" s="122">
        <f>SUM(G11:N11)</f>
        <v/>
      </c>
      <c r="G11" s="123" t="n">
        <v>0.7005208328125</v>
      </c>
      <c r="H11" s="123" t="n">
        <v>-0.7005208328125</v>
      </c>
    </row>
    <row r="12" ht="28.35" customHeight="1" s="42">
      <c r="A12" s="111" t="inlineStr">
        <is>
          <t>Track A assignments into FourPoint. 100% of assignors' Sec-27 interest carried forward.</t>
        </is>
      </c>
      <c r="B12" s="111" t="inlineStr">
        <is>
          <t>2017-004597; 2019-002937; 2019-002988</t>
        </is>
      </c>
      <c r="C12" s="120">
        <f>E12*$D$5</f>
        <v/>
      </c>
      <c r="D12" s="110" t="inlineStr">
        <is>
          <t>FourPoint Energy, LLC</t>
        </is>
      </c>
      <c r="E12" s="121">
        <f>F12</f>
        <v/>
      </c>
      <c r="F12" s="122">
        <f>SUM(G12:N12)</f>
        <v/>
      </c>
      <c r="H12" s="123" t="n">
        <v>0.7005208328125</v>
      </c>
      <c r="I12" s="123" t="n">
        <v>-0.7005208328125</v>
      </c>
    </row>
    <row r="13" ht="28.35" customHeight="1" s="42">
      <c r="A13" s="111" t="inlineStr">
        <is>
          <t>FourPoint public notice/name-change path to Unbridled; corporate succession support only.</t>
        </is>
      </c>
      <c r="B13" s="111" t="inlineStr">
        <is>
          <t>2020-004390 / Unbridled Resources</t>
        </is>
      </c>
      <c r="C13" s="120">
        <f>E13*$D$5</f>
        <v/>
      </c>
      <c r="D13" s="110" t="inlineStr">
        <is>
          <t>Unbridled Resources, LLC / MNR / Maverick Natural Resources, LLC</t>
        </is>
      </c>
      <c r="E13" s="121">
        <f>F13</f>
        <v/>
      </c>
      <c r="F13" s="122">
        <f>SUM(G13:N13)</f>
        <v/>
      </c>
      <c r="I13" s="123" t="n">
        <v>0.7005208328125</v>
      </c>
      <c r="J13" s="123" t="n">
        <v>-0.7005208328125</v>
      </c>
    </row>
    <row r="14" ht="37.3" customHeight="1" s="42">
      <c r="A14" s="111" t="inlineStr">
        <is>
          <t>Current apparent Section 27 owner. Booked decimal = 448.333333 / 640. NRI estimate at 3/16 burden ≈ 0.569173177, but NRI not booked here.</t>
        </is>
      </c>
      <c r="B14" s="111" t="inlineStr">
        <is>
          <t>Diversified successor path; support affidavit carried</t>
        </is>
      </c>
      <c r="C14" s="120">
        <f>E14*$D$5</f>
        <v/>
      </c>
      <c r="D14" s="110" t="inlineStr">
        <is>
          <t>Diversified Production, LLC / Diversified Energy successor path</t>
        </is>
      </c>
      <c r="E14" s="121">
        <f>F14</f>
        <v/>
      </c>
      <c r="F14" s="122">
        <f>SUM(G14:N14)</f>
        <v/>
      </c>
      <c r="J14" s="123" t="n">
        <v>0.7005208328125</v>
      </c>
    </row>
    <row r="15" ht="28.35" customHeight="1" s="42">
      <c r="A15" s="111" t="inlineStr">
        <is>
          <t>Wellbore assignment only. No tract WI decimal booked until Exhibit A / wellbore carveout is fully abstracted.</t>
        </is>
      </c>
      <c r="B15" s="111" t="inlineStr">
        <is>
          <t>2023-000993 (2401/214)</t>
        </is>
      </c>
      <c r="C15" s="120">
        <f>E15*$D$5</f>
        <v/>
      </c>
      <c r="D15" s="110" t="inlineStr">
        <is>
          <t>Teocalli Exploration, LLC</t>
        </is>
      </c>
      <c r="E15" s="121">
        <f>F15</f>
        <v/>
      </c>
      <c r="F15" s="122">
        <f>SUM(G15:N15)</f>
        <v/>
      </c>
      <c r="K15" s="123" t="n">
        <v>0</v>
      </c>
    </row>
    <row r="16" ht="37.3" customHeight="1" s="42">
      <c r="A16" s="111" t="inlineStr">
        <is>
          <t>Track B / DP Legacy / Tapstone documents shown for audit trail only. No Section 27 Diversified tract WI decimal carried from this path in this tab.</t>
        </is>
      </c>
      <c r="B16" s="111" t="inlineStr">
        <is>
          <t>Track B excluded docs</t>
        </is>
      </c>
      <c r="C16" s="120">
        <f>E16*$D$5</f>
        <v/>
      </c>
      <c r="D16" s="110" t="inlineStr">
        <is>
          <t>Chesapeake / Tapstone / DP Legacy / DP Sooner / Diversified Track B path</t>
        </is>
      </c>
      <c r="E16" s="121">
        <f>F16</f>
        <v/>
      </c>
      <c r="F16" s="122">
        <f>SUM(G16:N16)</f>
        <v/>
      </c>
      <c r="L16" s="123" t="n">
        <v>0</v>
      </c>
    </row>
    <row r="17" ht="19.4" customHeight="1" s="42">
      <c r="A17" s="111" t="inlineStr">
        <is>
          <t>Support affidavit only; no independent conveyance decimal booked.</t>
        </is>
      </c>
      <c r="B17" s="111" t="inlineStr">
        <is>
          <t>2026-001031 support affidavit</t>
        </is>
      </c>
      <c r="C17" s="120">
        <f>E17*$D$5</f>
        <v/>
      </c>
      <c r="D17" s="110" t="inlineStr">
        <is>
          <t>DP / Diversified support affidavit</t>
        </is>
      </c>
      <c r="E17" s="121">
        <f>F17</f>
        <v/>
      </c>
      <c r="F17" s="122">
        <f>SUM(G17:N17)</f>
        <v/>
      </c>
      <c r="M17" s="123" t="n">
        <v>0</v>
      </c>
    </row>
    <row r="18" ht="46.25" customHeight="1" s="42">
      <c r="A18" s="111" t="inlineStr">
        <is>
          <t>Legacy Sanguine / investor / Kaiser-Francis / Enogex / Chesapeake predecessor history remains behind Track A, but precise individual WI splits are not reliable from this cursory report alone.</t>
        </is>
      </c>
      <c r="B18" s="111" t="inlineStr">
        <is>
          <t>See Runsheet rows 20-107 and OGLs tab</t>
        </is>
      </c>
      <c r="C18" s="120">
        <f>E18*$D$5</f>
        <v/>
      </c>
      <c r="D18" s="110" t="inlineStr">
        <is>
          <t>Sanguine / investor group / Kaiser-Francis / Enogex / Chesapeake predecessors</t>
        </is>
      </c>
      <c r="E18" s="121">
        <f>F18</f>
        <v/>
      </c>
      <c r="F18" s="122">
        <f>SUM(G18:N18)</f>
        <v/>
      </c>
    </row>
    <row r="20" ht="55.2" customHeight="1" s="42">
      <c r="A20" s="57" t="inlineStr">
        <is>
          <t>Per-tract figures are the apparent SECTION-WIDE leased fraction applied for reference; per-tract net mineral acres are NOT derivable from the county index (cursory). See consolidated WI sheet and Title.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00BF8F00"/>
    <outlinePr summaryBelow="1" summaryRight="1"/>
    <pageSetUpPr fitToPage="0"/>
  </sheetPr>
  <dimension ref="A1:N20"/>
  <sheetViews>
    <sheetView showFormulas="0" showGridLines="1" showRowColHeaders="1" showZeros="1" rightToLeft="0" tabSelected="0" showOutlineSymbols="1" defaultGridColor="1"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30" customWidth="1" style="41" min="1" max="1"/>
    <col width="26" customWidth="1" style="41" min="2" max="2"/>
    <col width="12" customWidth="1" style="41" min="3" max="3"/>
    <col width="46" customWidth="1" style="41" min="4" max="4"/>
    <col width="13" customWidth="1" style="41" min="5" max="5"/>
    <col width="9" customWidth="1" style="41" min="6" max="6"/>
    <col width="16" customWidth="1" style="41" min="7" max="7"/>
    <col width="20" customWidth="1" style="41" min="8" max="14"/>
  </cols>
  <sheetData>
    <row r="1" ht="15" customHeight="1" s="42">
      <c r="E1" s="106" t="inlineStr">
        <is>
          <t>Instrument</t>
        </is>
      </c>
      <c r="G1" s="43" t="inlineStr">
        <is>
          <t>BASE / SOURCE</t>
        </is>
      </c>
      <c r="H1" s="107" t="inlineStr">
        <is>
          <t>BASE / SOURCE</t>
        </is>
      </c>
      <c r="I1" s="107" t="inlineStr">
        <is>
          <t>ASSN</t>
        </is>
      </c>
      <c r="J1" s="107" t="inlineStr">
        <is>
          <t>NAME CHANGE</t>
        </is>
      </c>
      <c r="K1" s="107" t="inlineStr">
        <is>
          <t>MERGER / SUPPORT</t>
        </is>
      </c>
      <c r="L1" s="107" t="inlineStr">
        <is>
          <t>WB ASSN</t>
        </is>
      </c>
      <c r="M1" s="107" t="inlineStr">
        <is>
          <t>EXCLUDED</t>
        </is>
      </c>
      <c r="N1" s="107" t="inlineStr">
        <is>
          <t>AFF</t>
        </is>
      </c>
    </row>
    <row r="2" ht="55.2" customHeight="1" s="42">
      <c r="A2" s="108" t="inlineStr">
        <is>
          <t>WI</t>
        </is>
      </c>
      <c r="B2" s="106" t="inlineStr">
        <is>
          <t>TRACT</t>
        </is>
      </c>
      <c r="E2" s="106" t="inlineStr">
        <is>
          <t>Image Number</t>
        </is>
      </c>
      <c r="H2" s="109" t="inlineStr">
        <is>
          <t>SOURCE</t>
        </is>
      </c>
      <c r="I2" s="109" t="inlineStr">
        <is>
          <t>2017-004597
2019-002937
2019-002988</t>
        </is>
      </c>
      <c r="J2" s="109" t="inlineStr">
        <is>
          <t>2020-004390</t>
        </is>
      </c>
      <c r="K2" s="109" t="inlineStr">
        <is>
          <t>2025-001808
2026-001031</t>
        </is>
      </c>
      <c r="L2" s="109" t="inlineStr">
        <is>
          <t>2023-000993</t>
        </is>
      </c>
      <c r="M2" s="109" t="inlineStr">
        <is>
          <t>2020-004435
2020-004462
2022-003507
2022-004277
2022-004838
2023-000796</t>
        </is>
      </c>
      <c r="N2" s="109" t="inlineStr">
        <is>
          <t>2026-001031</t>
        </is>
      </c>
    </row>
    <row r="3" ht="55.2" customHeight="1" s="42">
      <c r="B3" s="106" t="inlineStr">
        <is>
          <t>DESCRIPTION</t>
        </is>
      </c>
      <c r="C3" s="110" t="inlineStr">
        <is>
          <t>SE/4 Section 27-11N-25W</t>
        </is>
      </c>
      <c r="E3" s="106" t="inlineStr">
        <is>
          <t>Book / Page</t>
        </is>
      </c>
      <c r="G3" s="41" t="inlineStr">
        <is>
          <t>Report / Title</t>
        </is>
      </c>
      <c r="H3" s="109" t="inlineStr">
        <is>
          <t>Report / Title / OGL index</t>
        </is>
      </c>
      <c r="I3" s="109" t="inlineStr">
        <is>
          <t>2266/194
2307/894
2308/123</t>
        </is>
      </c>
      <c r="J3" s="109" t="inlineStr">
        <is>
          <t>2340/218</t>
        </is>
      </c>
      <c r="K3" s="109" t="inlineStr">
        <is>
          <t>2451/4
2480/824</t>
        </is>
      </c>
      <c r="L3" s="109" t="inlineStr">
        <is>
          <t>2401/214</t>
        </is>
      </c>
      <c r="M3" s="109" t="inlineStr">
        <is>
          <t>2340/403
2340/490
2389/581
2393/1
2395/415
2400/551</t>
        </is>
      </c>
      <c r="N3" s="109" t="inlineStr">
        <is>
          <t>2480/824</t>
        </is>
      </c>
    </row>
    <row r="4" ht="28.35" customHeight="1" s="42">
      <c r="E4" s="106" t="inlineStr">
        <is>
          <t>Date</t>
        </is>
      </c>
      <c r="H4" s="109" t="inlineStr">
        <is>
          <t>6/8/2026 report</t>
        </is>
      </c>
      <c r="I4" s="109" t="inlineStr">
        <is>
          <t>10/24/17
7/24/19
7/26/19</t>
        </is>
      </c>
      <c r="J4" s="109" t="inlineStr">
        <is>
          <t>11/18/20</t>
        </is>
      </c>
      <c r="K4" s="109" t="inlineStr">
        <is>
          <t>3/14/25
3/10/26</t>
        </is>
      </c>
      <c r="L4" s="109" t="inlineStr">
        <is>
          <t>8/9/23</t>
        </is>
      </c>
      <c r="M4" s="109" t="inlineStr">
        <is>
          <t>2020-2023</t>
        </is>
      </c>
      <c r="N4" s="109" t="inlineStr">
        <is>
          <t>3/10/26</t>
        </is>
      </c>
    </row>
    <row r="5" ht="84" customHeight="1" s="42">
      <c r="B5" s="106" t="inlineStr">
        <is>
          <t>TRACT ACRES</t>
        </is>
      </c>
      <c r="D5" s="44" t="n">
        <v>160</v>
      </c>
      <c r="E5" s="106" t="inlineStr">
        <is>
          <t>Conveyance</t>
        </is>
      </c>
      <c r="G5" s="111" t="inlineStr">
        <is>
          <t>Apparent Diversified leasehold WI (Track A path; Sec-27 640-ac unit). Per-tract NMA not derivable from index.</t>
        </is>
      </c>
      <c r="H5" s="111" t="inlineStr">
        <is>
          <t>Residual + apparent Track A source</t>
        </is>
      </c>
      <c r="I5" s="111" t="inlineStr">
        <is>
          <t>Track A into FourPoint</t>
        </is>
      </c>
      <c r="J5" s="111" t="inlineStr">
        <is>
          <t>FourPoint → Unbridled</t>
        </is>
      </c>
      <c r="K5" s="111" t="inlineStr">
        <is>
          <t>Maverick / Diversified support</t>
        </is>
      </c>
      <c r="L5" s="111" t="inlineStr">
        <is>
          <t>Wellbore carveout only</t>
        </is>
      </c>
      <c r="M5" s="111" t="inlineStr">
        <is>
          <t>Track B / DP Legacy path not carried</t>
        </is>
      </c>
      <c r="N5" s="111" t="inlineStr">
        <is>
          <t>Support only</t>
        </is>
      </c>
    </row>
    <row r="6" ht="15" customHeight="1" s="42">
      <c r="B6" s="106" t="inlineStr">
        <is>
          <t>BASE OGL</t>
        </is>
      </c>
      <c r="C6" s="112">
        <f>ROUND(SUBTOTAL(9,C9:C204),2)</f>
        <v/>
      </c>
      <c r="D6" s="44" t="inlineStr">
        <is>
          <t>Working Interest</t>
        </is>
      </c>
      <c r="E6" s="113">
        <f>ROUND(SUBTOTAL(9,E9:E204),10)</f>
        <v/>
      </c>
      <c r="F6" s="114" t="inlineStr">
        <is>
          <t>SURFACE</t>
        </is>
      </c>
      <c r="H6" s="115">
        <f>IF(ABS(H7)&lt;0.0000001,"","RECHECK")</f>
        <v/>
      </c>
      <c r="I6" s="115">
        <f>IF(ABS(I7)&lt;0.0000001,"","RECHECK")</f>
        <v/>
      </c>
      <c r="J6" s="115">
        <f>IF(ABS(J7)&lt;0.0000001,"","RECHECK")</f>
        <v/>
      </c>
      <c r="K6" s="115">
        <f>IF(ABS(K7)&lt;0.0000001,"","RECHECK")</f>
        <v/>
      </c>
      <c r="L6" s="115">
        <f>IF(ABS(L7)&lt;0.0000001,"","RECHECK")</f>
        <v/>
      </c>
      <c r="M6" s="115">
        <f>IF(ABS(M7)&lt;0.0000001,"","RECHECK")</f>
        <v/>
      </c>
      <c r="N6" s="115">
        <f>IF(ABS(N7)&lt;0.0000001,"","RECHECK")</f>
        <v/>
      </c>
    </row>
    <row r="7" ht="15" customHeight="1" s="42">
      <c r="G7" s="116">
        <f>SUBTOTAL(9,G10:G204)</f>
        <v/>
      </c>
      <c r="H7" s="116">
        <f>SUBTOTAL(9,H10:H204)</f>
        <v/>
      </c>
      <c r="I7" s="116">
        <f>SUBTOTAL(9,I10:I204)</f>
        <v/>
      </c>
      <c r="J7" s="116">
        <f>SUBTOTAL(9,J10:J204)</f>
        <v/>
      </c>
      <c r="K7" s="116">
        <f>SUBTOTAL(9,K10:K204)</f>
        <v/>
      </c>
      <c r="L7" s="116">
        <f>SUBTOTAL(9,L10:L204)</f>
        <v/>
      </c>
      <c r="M7" s="116">
        <f>SUBTOTAL(9,M10:M204)</f>
        <v/>
      </c>
      <c r="N7" s="116">
        <f>SUBTOTAL(9,N10:N204)</f>
        <v/>
      </c>
    </row>
    <row r="8" ht="15" customHeight="1" s="42">
      <c r="A8" s="117" t="inlineStr">
        <is>
          <t>NOTES</t>
        </is>
      </c>
      <c r="C8" s="118" t="inlineStr">
        <is>
          <t>NET ACRES</t>
        </is>
      </c>
      <c r="D8" s="119" t="inlineStr">
        <is>
          <t>OWNERS</t>
        </is>
      </c>
      <c r="E8" s="118" t="inlineStr">
        <is>
          <t>TOTAL</t>
        </is>
      </c>
    </row>
    <row r="10" ht="28.35" customHeight="1" s="42">
      <c r="A10" s="111" t="inlineStr">
        <is>
          <t>Residual 8/8 not chained to Diversified in this cursory report. Kept open so Section 27 ties to 640 acres.</t>
        </is>
      </c>
      <c r="B10" s="111" t="inlineStr">
        <is>
          <t>Residual after 448.333333 NMA apparent Diversified chain</t>
        </is>
      </c>
      <c r="C10" s="120">
        <f>E10*$D$5</f>
        <v/>
      </c>
      <c r="D10" s="110" t="inlineStr">
        <is>
          <t>Open / non-Diversified / unverified Section 27 leasehold</t>
        </is>
      </c>
      <c r="E10" s="121">
        <f>F10</f>
        <v/>
      </c>
      <c r="F10" s="122">
        <f>SUM(G10:N10)</f>
        <v/>
      </c>
      <c r="G10" s="123" t="n">
        <v>0.2994791671875</v>
      </c>
    </row>
    <row r="11" ht="55.2" customHeight="1" s="42">
      <c r="A11" s="111" t="inlineStr">
        <is>
          <t>Apparent Track A predecessor block. Source report carries 448.333333 NMA / 640 = 0.700520833 WI to Diversified path; internal split between N&amp;G/NG Family/EnerVest not decimalized in this cursory file.</t>
        </is>
      </c>
      <c r="B11" s="111" t="inlineStr">
        <is>
          <t>Track A OGLs / 2266/194 + 2307/894 + 2308/123</t>
        </is>
      </c>
      <c r="C11" s="120">
        <f>E11*$D$5</f>
        <v/>
      </c>
      <c r="D11" s="110" t="inlineStr">
        <is>
          <t>Nadel &amp; Gussman / NG Family / EnerVest predecessor block</t>
        </is>
      </c>
      <c r="E11" s="121">
        <f>F11</f>
        <v/>
      </c>
      <c r="F11" s="122">
        <f>SUM(G11:N11)</f>
        <v/>
      </c>
      <c r="G11" s="123" t="n">
        <v>0.7005208328125</v>
      </c>
      <c r="H11" s="123" t="n">
        <v>-0.7005208328125</v>
      </c>
    </row>
    <row r="12" ht="28.35" customHeight="1" s="42">
      <c r="A12" s="111" t="inlineStr">
        <is>
          <t>Track A assignments into FourPoint. 100% of assignors' Sec-27 interest carried forward.</t>
        </is>
      </c>
      <c r="B12" s="111" t="inlineStr">
        <is>
          <t>2017-004597; 2019-002937; 2019-002988</t>
        </is>
      </c>
      <c r="C12" s="120">
        <f>E12*$D$5</f>
        <v/>
      </c>
      <c r="D12" s="110" t="inlineStr">
        <is>
          <t>FourPoint Energy, LLC</t>
        </is>
      </c>
      <c r="E12" s="121">
        <f>F12</f>
        <v/>
      </c>
      <c r="F12" s="122">
        <f>SUM(G12:N12)</f>
        <v/>
      </c>
      <c r="H12" s="123" t="n">
        <v>0.7005208328125</v>
      </c>
      <c r="I12" s="123" t="n">
        <v>-0.7005208328125</v>
      </c>
    </row>
    <row r="13" ht="28.35" customHeight="1" s="42">
      <c r="A13" s="111" t="inlineStr">
        <is>
          <t>FourPoint public notice/name-change path to Unbridled; corporate succession support only.</t>
        </is>
      </c>
      <c r="B13" s="111" t="inlineStr">
        <is>
          <t>2020-004390 / Unbridled Resources</t>
        </is>
      </c>
      <c r="C13" s="120">
        <f>E13*$D$5</f>
        <v/>
      </c>
      <c r="D13" s="110" t="inlineStr">
        <is>
          <t>Unbridled Resources, LLC / MNR / Maverick Natural Resources, LLC</t>
        </is>
      </c>
      <c r="E13" s="121">
        <f>F13</f>
        <v/>
      </c>
      <c r="F13" s="122">
        <f>SUM(G13:N13)</f>
        <v/>
      </c>
      <c r="I13" s="123" t="n">
        <v>0.7005208328125</v>
      </c>
      <c r="J13" s="123" t="n">
        <v>-0.7005208328125</v>
      </c>
    </row>
    <row r="14" ht="37.3" customHeight="1" s="42">
      <c r="A14" s="111" t="inlineStr">
        <is>
          <t>Current apparent Section 27 owner. Booked decimal = 448.333333 / 640. NRI estimate at 3/16 burden ≈ 0.569173177, but NRI not booked here.</t>
        </is>
      </c>
      <c r="B14" s="111" t="inlineStr">
        <is>
          <t>Diversified successor path; support affidavit carried</t>
        </is>
      </c>
      <c r="C14" s="120">
        <f>E14*$D$5</f>
        <v/>
      </c>
      <c r="D14" s="110" t="inlineStr">
        <is>
          <t>Diversified Production, LLC / Diversified Energy successor path</t>
        </is>
      </c>
      <c r="E14" s="121">
        <f>F14</f>
        <v/>
      </c>
      <c r="F14" s="122">
        <f>SUM(G14:N14)</f>
        <v/>
      </c>
      <c r="J14" s="123" t="n">
        <v>0.7005208328125</v>
      </c>
    </row>
    <row r="15" ht="28.35" customHeight="1" s="42">
      <c r="A15" s="111" t="inlineStr">
        <is>
          <t>Wellbore assignment only. No tract WI decimal booked until Exhibit A / wellbore carveout is fully abstracted.</t>
        </is>
      </c>
      <c r="B15" s="111" t="inlineStr">
        <is>
          <t>2023-000993 (2401/214)</t>
        </is>
      </c>
      <c r="C15" s="120">
        <f>E15*$D$5</f>
        <v/>
      </c>
      <c r="D15" s="110" t="inlineStr">
        <is>
          <t>Teocalli Exploration, LLC</t>
        </is>
      </c>
      <c r="E15" s="121">
        <f>F15</f>
        <v/>
      </c>
      <c r="F15" s="122">
        <f>SUM(G15:N15)</f>
        <v/>
      </c>
      <c r="K15" s="123" t="n">
        <v>0</v>
      </c>
    </row>
    <row r="16" ht="37.3" customHeight="1" s="42">
      <c r="A16" s="111" t="inlineStr">
        <is>
          <t>Track B / DP Legacy / Tapstone documents shown for audit trail only. No Section 27 Diversified tract WI decimal carried from this path in this tab.</t>
        </is>
      </c>
      <c r="B16" s="111" t="inlineStr">
        <is>
          <t>Track B excluded docs</t>
        </is>
      </c>
      <c r="C16" s="120">
        <f>E16*$D$5</f>
        <v/>
      </c>
      <c r="D16" s="110" t="inlineStr">
        <is>
          <t>Chesapeake / Tapstone / DP Legacy / DP Sooner / Diversified Track B path</t>
        </is>
      </c>
      <c r="E16" s="121">
        <f>F16</f>
        <v/>
      </c>
      <c r="F16" s="122">
        <f>SUM(G16:N16)</f>
        <v/>
      </c>
      <c r="L16" s="123" t="n">
        <v>0</v>
      </c>
    </row>
    <row r="17" ht="19.4" customHeight="1" s="42">
      <c r="A17" s="111" t="inlineStr">
        <is>
          <t>Support affidavit only; no independent conveyance decimal booked.</t>
        </is>
      </c>
      <c r="B17" s="111" t="inlineStr">
        <is>
          <t>2026-001031 support affidavit</t>
        </is>
      </c>
      <c r="C17" s="120">
        <f>E17*$D$5</f>
        <v/>
      </c>
      <c r="D17" s="110" t="inlineStr">
        <is>
          <t>DP / Diversified support affidavit</t>
        </is>
      </c>
      <c r="E17" s="121">
        <f>F17</f>
        <v/>
      </c>
      <c r="F17" s="122">
        <f>SUM(G17:N17)</f>
        <v/>
      </c>
      <c r="M17" s="123" t="n">
        <v>0</v>
      </c>
    </row>
    <row r="18" ht="46.25" customHeight="1" s="42">
      <c r="A18" s="111" t="inlineStr">
        <is>
          <t>Legacy Sanguine / investor / Kaiser-Francis / Enogex / Chesapeake predecessor history remains behind Track A, but precise individual WI splits are not reliable from this cursory report alone.</t>
        </is>
      </c>
      <c r="B18" s="111" t="inlineStr">
        <is>
          <t>See Runsheet rows 20-107 and OGLs tab</t>
        </is>
      </c>
      <c r="C18" s="120">
        <f>E18*$D$5</f>
        <v/>
      </c>
      <c r="D18" s="110" t="inlineStr">
        <is>
          <t>Sanguine / investor group / Kaiser-Francis / Enogex / Chesapeake predecessors</t>
        </is>
      </c>
      <c r="E18" s="121">
        <f>F18</f>
        <v/>
      </c>
      <c r="F18" s="122">
        <f>SUM(G18:N18)</f>
        <v/>
      </c>
    </row>
    <row r="20" ht="55.2" customHeight="1" s="42">
      <c r="A20" s="57" t="inlineStr">
        <is>
          <t>Per-tract figures are the apparent SECTION-WIDE leased fraction applied for reference; per-tract net mineral acres are NOT derivable from the county index (cursory). See consolidated WI sheet and Title.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00BF8F00"/>
    <outlinePr summaryBelow="1" summaryRight="1"/>
    <pageSetUpPr fitToPage="0"/>
  </sheetPr>
  <dimension ref="A1:N20"/>
  <sheetViews>
    <sheetView showFormulas="0" showGridLines="1" showRowColHeaders="1" showZeros="1" rightToLeft="0" tabSelected="0" showOutlineSymbols="1" defaultGridColor="1"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30" customWidth="1" style="41" min="1" max="1"/>
    <col width="26" customWidth="1" style="41" min="2" max="2"/>
    <col width="12" customWidth="1" style="41" min="3" max="3"/>
    <col width="46" customWidth="1" style="41" min="4" max="4"/>
    <col width="13" customWidth="1" style="41" min="5" max="5"/>
    <col width="9" customWidth="1" style="41" min="6" max="6"/>
    <col width="16" customWidth="1" style="41" min="7" max="7"/>
    <col width="20" customWidth="1" style="41" min="8" max="14"/>
  </cols>
  <sheetData>
    <row r="1" ht="15" customHeight="1" s="42">
      <c r="E1" s="106" t="inlineStr">
        <is>
          <t>Instrument</t>
        </is>
      </c>
      <c r="G1" s="43" t="inlineStr">
        <is>
          <t>BASE / SOURCE</t>
        </is>
      </c>
      <c r="H1" s="107" t="inlineStr">
        <is>
          <t>BASE / SOURCE</t>
        </is>
      </c>
      <c r="I1" s="107" t="inlineStr">
        <is>
          <t>ASSN</t>
        </is>
      </c>
      <c r="J1" s="107" t="inlineStr">
        <is>
          <t>NAME CHANGE</t>
        </is>
      </c>
      <c r="K1" s="107" t="inlineStr">
        <is>
          <t>MERGER / SUPPORT</t>
        </is>
      </c>
      <c r="L1" s="107" t="inlineStr">
        <is>
          <t>WB ASSN</t>
        </is>
      </c>
      <c r="M1" s="107" t="inlineStr">
        <is>
          <t>EXCLUDED</t>
        </is>
      </c>
      <c r="N1" s="107" t="inlineStr">
        <is>
          <t>AFF</t>
        </is>
      </c>
    </row>
    <row r="2" ht="55.2" customHeight="1" s="42">
      <c r="A2" s="108" t="inlineStr">
        <is>
          <t>WI</t>
        </is>
      </c>
      <c r="B2" s="106" t="inlineStr">
        <is>
          <t>TRACT</t>
        </is>
      </c>
      <c r="E2" s="106" t="inlineStr">
        <is>
          <t>Image Number</t>
        </is>
      </c>
      <c r="H2" s="109" t="inlineStr">
        <is>
          <t>SOURCE</t>
        </is>
      </c>
      <c r="I2" s="109" t="inlineStr">
        <is>
          <t>2017-004597
2019-002937
2019-002988</t>
        </is>
      </c>
      <c r="J2" s="109" t="inlineStr">
        <is>
          <t>2020-004390</t>
        </is>
      </c>
      <c r="K2" s="109" t="inlineStr">
        <is>
          <t>2025-001808
2026-001031</t>
        </is>
      </c>
      <c r="L2" s="109" t="inlineStr">
        <is>
          <t>2023-000993</t>
        </is>
      </c>
      <c r="M2" s="109" t="inlineStr">
        <is>
          <t>2020-004435
2020-004462
2022-003507
2022-004277
2022-004838
2023-000796</t>
        </is>
      </c>
      <c r="N2" s="109" t="inlineStr">
        <is>
          <t>2026-001031</t>
        </is>
      </c>
    </row>
    <row r="3" ht="55.2" customHeight="1" s="42">
      <c r="B3" s="106" t="inlineStr">
        <is>
          <t>DESCRIPTION</t>
        </is>
      </c>
      <c r="C3" s="110" t="inlineStr">
        <is>
          <t>SW/4 Sec 27-11N-25W, less 1 ac</t>
        </is>
      </c>
      <c r="E3" s="106" t="inlineStr">
        <is>
          <t>Book / Page</t>
        </is>
      </c>
      <c r="G3" s="41" t="inlineStr">
        <is>
          <t>Report / Title</t>
        </is>
      </c>
      <c r="H3" s="109" t="inlineStr">
        <is>
          <t>Report / Title / OGL index</t>
        </is>
      </c>
      <c r="I3" s="109" t="inlineStr">
        <is>
          <t>2266/194
2307/894
2308/123</t>
        </is>
      </c>
      <c r="J3" s="109" t="inlineStr">
        <is>
          <t>2340/218</t>
        </is>
      </c>
      <c r="K3" s="109" t="inlineStr">
        <is>
          <t>2451/4
2480/824</t>
        </is>
      </c>
      <c r="L3" s="109" t="inlineStr">
        <is>
          <t>2401/214</t>
        </is>
      </c>
      <c r="M3" s="109" t="inlineStr">
        <is>
          <t>2340/403
2340/490
2389/581
2393/1
2395/415
2400/551</t>
        </is>
      </c>
      <c r="N3" s="109" t="inlineStr">
        <is>
          <t>2480/824</t>
        </is>
      </c>
    </row>
    <row r="4" ht="28.35" customHeight="1" s="42">
      <c r="E4" s="106" t="inlineStr">
        <is>
          <t>Date</t>
        </is>
      </c>
      <c r="H4" s="109" t="inlineStr">
        <is>
          <t>6/8/2026 report</t>
        </is>
      </c>
      <c r="I4" s="109" t="inlineStr">
        <is>
          <t>10/24/17
7/24/19
7/26/19</t>
        </is>
      </c>
      <c r="J4" s="109" t="inlineStr">
        <is>
          <t>11/18/20</t>
        </is>
      </c>
      <c r="K4" s="109" t="inlineStr">
        <is>
          <t>3/14/25
3/10/26</t>
        </is>
      </c>
      <c r="L4" s="109" t="inlineStr">
        <is>
          <t>8/9/23</t>
        </is>
      </c>
      <c r="M4" s="109" t="inlineStr">
        <is>
          <t>2020-2023</t>
        </is>
      </c>
      <c r="N4" s="109" t="inlineStr">
        <is>
          <t>3/10/26</t>
        </is>
      </c>
    </row>
    <row r="5" ht="84" customHeight="1" s="42">
      <c r="B5" s="106" t="inlineStr">
        <is>
          <t>TRACT ACRES</t>
        </is>
      </c>
      <c r="D5" s="44" t="n">
        <v>159</v>
      </c>
      <c r="E5" s="106" t="inlineStr">
        <is>
          <t>Conveyance</t>
        </is>
      </c>
      <c r="G5" s="111" t="inlineStr">
        <is>
          <t>Apparent Diversified leasehold WI (Track A path; Sec-27 640-ac unit). Per-tract NMA not derivable from index.</t>
        </is>
      </c>
      <c r="H5" s="111" t="inlineStr">
        <is>
          <t>Residual + apparent Track A source</t>
        </is>
      </c>
      <c r="I5" s="111" t="inlineStr">
        <is>
          <t>Track A into FourPoint</t>
        </is>
      </c>
      <c r="J5" s="111" t="inlineStr">
        <is>
          <t>FourPoint → Unbridled</t>
        </is>
      </c>
      <c r="K5" s="111" t="inlineStr">
        <is>
          <t>Maverick / Diversified support</t>
        </is>
      </c>
      <c r="L5" s="111" t="inlineStr">
        <is>
          <t>Wellbore carveout only</t>
        </is>
      </c>
      <c r="M5" s="111" t="inlineStr">
        <is>
          <t>Track B / DP Legacy path not carried</t>
        </is>
      </c>
      <c r="N5" s="111" t="inlineStr">
        <is>
          <t>Support only</t>
        </is>
      </c>
    </row>
    <row r="6" ht="15" customHeight="1" s="42">
      <c r="B6" s="106" t="inlineStr">
        <is>
          <t>BASE OGL</t>
        </is>
      </c>
      <c r="C6" s="112">
        <f>ROUND(SUBTOTAL(9,C9:C204),2)</f>
        <v/>
      </c>
      <c r="D6" s="44" t="inlineStr">
        <is>
          <t>Working Interest</t>
        </is>
      </c>
      <c r="E6" s="113">
        <f>ROUND(SUBTOTAL(9,E9:E204),10)</f>
        <v/>
      </c>
      <c r="F6" s="114" t="inlineStr">
        <is>
          <t>SURFACE</t>
        </is>
      </c>
      <c r="H6" s="115">
        <f>IF(ABS(H7)&lt;0.0000001,"","RECHECK")</f>
        <v/>
      </c>
      <c r="I6" s="115">
        <f>IF(ABS(I7)&lt;0.0000001,"","RECHECK")</f>
        <v/>
      </c>
      <c r="J6" s="115">
        <f>IF(ABS(J7)&lt;0.0000001,"","RECHECK")</f>
        <v/>
      </c>
      <c r="K6" s="115">
        <f>IF(ABS(K7)&lt;0.0000001,"","RECHECK")</f>
        <v/>
      </c>
      <c r="L6" s="115">
        <f>IF(ABS(L7)&lt;0.0000001,"","RECHECK")</f>
        <v/>
      </c>
      <c r="M6" s="115">
        <f>IF(ABS(M7)&lt;0.0000001,"","RECHECK")</f>
        <v/>
      </c>
      <c r="N6" s="115">
        <f>IF(ABS(N7)&lt;0.0000001,"","RECHECK")</f>
        <v/>
      </c>
    </row>
    <row r="7" ht="15" customHeight="1" s="42">
      <c r="G7" s="116">
        <f>SUBTOTAL(9,G10:G204)</f>
        <v/>
      </c>
      <c r="H7" s="116">
        <f>SUBTOTAL(9,H10:H204)</f>
        <v/>
      </c>
      <c r="I7" s="116">
        <f>SUBTOTAL(9,I10:I204)</f>
        <v/>
      </c>
      <c r="J7" s="116">
        <f>SUBTOTAL(9,J10:J204)</f>
        <v/>
      </c>
      <c r="K7" s="116">
        <f>SUBTOTAL(9,K10:K204)</f>
        <v/>
      </c>
      <c r="L7" s="116">
        <f>SUBTOTAL(9,L10:L204)</f>
        <v/>
      </c>
      <c r="M7" s="116">
        <f>SUBTOTAL(9,M10:M204)</f>
        <v/>
      </c>
      <c r="N7" s="116">
        <f>SUBTOTAL(9,N10:N204)</f>
        <v/>
      </c>
    </row>
    <row r="8" ht="15" customHeight="1" s="42">
      <c r="A8" s="117" t="inlineStr">
        <is>
          <t>NOTES</t>
        </is>
      </c>
      <c r="C8" s="118" t="inlineStr">
        <is>
          <t>NET ACRES</t>
        </is>
      </c>
      <c r="D8" s="119" t="inlineStr">
        <is>
          <t>OWNERS</t>
        </is>
      </c>
      <c r="E8" s="118" t="inlineStr">
        <is>
          <t>TOTAL</t>
        </is>
      </c>
    </row>
    <row r="10" ht="28.35" customHeight="1" s="42">
      <c r="A10" s="111" t="inlineStr">
        <is>
          <t>Residual 8/8 not chained to Diversified in this cursory report. Kept open so Section 27 ties to 640 acres.</t>
        </is>
      </c>
      <c r="B10" s="111" t="inlineStr">
        <is>
          <t>Residual after 448.333333 NMA apparent Diversified chain</t>
        </is>
      </c>
      <c r="C10" s="120">
        <f>E10*$D$5</f>
        <v/>
      </c>
      <c r="D10" s="110" t="inlineStr">
        <is>
          <t>Open / non-Diversified / unverified Section 27 leasehold</t>
        </is>
      </c>
      <c r="E10" s="121">
        <f>F10</f>
        <v/>
      </c>
      <c r="F10" s="122">
        <f>SUM(G10:N10)</f>
        <v/>
      </c>
      <c r="G10" s="123" t="n">
        <v>0.2994791671875</v>
      </c>
    </row>
    <row r="11" ht="55.2" customHeight="1" s="42">
      <c r="A11" s="111" t="inlineStr">
        <is>
          <t>Apparent Track A predecessor block. Source report carries 448.333333 NMA / 640 = 0.700520833 WI to Diversified path; internal split between N&amp;G/NG Family/EnerVest not decimalized in this cursory file.</t>
        </is>
      </c>
      <c r="B11" s="111" t="inlineStr">
        <is>
          <t>Track A OGLs / 2266/194 + 2307/894 + 2308/123</t>
        </is>
      </c>
      <c r="C11" s="120">
        <f>E11*$D$5</f>
        <v/>
      </c>
      <c r="D11" s="110" t="inlineStr">
        <is>
          <t>Nadel &amp; Gussman / NG Family / EnerVest predecessor block</t>
        </is>
      </c>
      <c r="E11" s="121">
        <f>F11</f>
        <v/>
      </c>
      <c r="F11" s="122">
        <f>SUM(G11:N11)</f>
        <v/>
      </c>
      <c r="G11" s="123" t="n">
        <v>0.7005208328125</v>
      </c>
      <c r="H11" s="123" t="n">
        <v>-0.7005208328125</v>
      </c>
    </row>
    <row r="12" ht="28.35" customHeight="1" s="42">
      <c r="A12" s="111" t="inlineStr">
        <is>
          <t>Track A assignments into FourPoint. 100% of assignors' Sec-27 interest carried forward.</t>
        </is>
      </c>
      <c r="B12" s="111" t="inlineStr">
        <is>
          <t>2017-004597; 2019-002937; 2019-002988</t>
        </is>
      </c>
      <c r="C12" s="120">
        <f>E12*$D$5</f>
        <v/>
      </c>
      <c r="D12" s="110" t="inlineStr">
        <is>
          <t>FourPoint Energy, LLC</t>
        </is>
      </c>
      <c r="E12" s="121">
        <f>F12</f>
        <v/>
      </c>
      <c r="F12" s="122">
        <f>SUM(G12:N12)</f>
        <v/>
      </c>
      <c r="H12" s="123" t="n">
        <v>0.7005208328125</v>
      </c>
      <c r="I12" s="123" t="n">
        <v>-0.7005208328125</v>
      </c>
    </row>
    <row r="13" ht="28.35" customHeight="1" s="42">
      <c r="A13" s="111" t="inlineStr">
        <is>
          <t>FourPoint public notice/name-change path to Unbridled; corporate succession support only.</t>
        </is>
      </c>
      <c r="B13" s="111" t="inlineStr">
        <is>
          <t>2020-004390 / Unbridled Resources</t>
        </is>
      </c>
      <c r="C13" s="120">
        <f>E13*$D$5</f>
        <v/>
      </c>
      <c r="D13" s="110" t="inlineStr">
        <is>
          <t>Unbridled Resources, LLC / MNR / Maverick Natural Resources, LLC</t>
        </is>
      </c>
      <c r="E13" s="121">
        <f>F13</f>
        <v/>
      </c>
      <c r="F13" s="122">
        <f>SUM(G13:N13)</f>
        <v/>
      </c>
      <c r="I13" s="123" t="n">
        <v>0.7005208328125</v>
      </c>
      <c r="J13" s="123" t="n">
        <v>-0.7005208328125</v>
      </c>
    </row>
    <row r="14" ht="37.3" customHeight="1" s="42">
      <c r="A14" s="111" t="inlineStr">
        <is>
          <t>Current apparent Section 27 owner. Booked decimal = 448.333333 / 640. NRI estimate at 3/16 burden ≈ 0.569173177, but NRI not booked here.</t>
        </is>
      </c>
      <c r="B14" s="111" t="inlineStr">
        <is>
          <t>Diversified successor path; support affidavit carried</t>
        </is>
      </c>
      <c r="C14" s="120">
        <f>E14*$D$5</f>
        <v/>
      </c>
      <c r="D14" s="110" t="inlineStr">
        <is>
          <t>Diversified Production, LLC / Diversified Energy successor path</t>
        </is>
      </c>
      <c r="E14" s="121">
        <f>F14</f>
        <v/>
      </c>
      <c r="F14" s="122">
        <f>SUM(G14:N14)</f>
        <v/>
      </c>
      <c r="J14" s="123" t="n">
        <v>0.7005208328125</v>
      </c>
    </row>
    <row r="15" ht="28.35" customHeight="1" s="42">
      <c r="A15" s="111" t="inlineStr">
        <is>
          <t>Wellbore assignment only. No tract WI decimal booked until Exhibit A / wellbore carveout is fully abstracted.</t>
        </is>
      </c>
      <c r="B15" s="111" t="inlineStr">
        <is>
          <t>2023-000993 (2401/214)</t>
        </is>
      </c>
      <c r="C15" s="120">
        <f>E15*$D$5</f>
        <v/>
      </c>
      <c r="D15" s="110" t="inlineStr">
        <is>
          <t>Teocalli Exploration, LLC</t>
        </is>
      </c>
      <c r="E15" s="121">
        <f>F15</f>
        <v/>
      </c>
      <c r="F15" s="122">
        <f>SUM(G15:N15)</f>
        <v/>
      </c>
      <c r="K15" s="123" t="n">
        <v>0</v>
      </c>
    </row>
    <row r="16" ht="37.3" customHeight="1" s="42">
      <c r="A16" s="111" t="inlineStr">
        <is>
          <t>Track B / DP Legacy / Tapstone documents shown for audit trail only. No Section 27 Diversified tract WI decimal carried from this path in this tab.</t>
        </is>
      </c>
      <c r="B16" s="111" t="inlineStr">
        <is>
          <t>Track B excluded docs</t>
        </is>
      </c>
      <c r="C16" s="120">
        <f>E16*$D$5</f>
        <v/>
      </c>
      <c r="D16" s="110" t="inlineStr">
        <is>
          <t>Chesapeake / Tapstone / DP Legacy / DP Sooner / Diversified Track B path</t>
        </is>
      </c>
      <c r="E16" s="121">
        <f>F16</f>
        <v/>
      </c>
      <c r="F16" s="122">
        <f>SUM(G16:N16)</f>
        <v/>
      </c>
      <c r="L16" s="123" t="n">
        <v>0</v>
      </c>
    </row>
    <row r="17" ht="19.4" customHeight="1" s="42">
      <c r="A17" s="111" t="inlineStr">
        <is>
          <t>Support affidavit only; no independent conveyance decimal booked.</t>
        </is>
      </c>
      <c r="B17" s="111" t="inlineStr">
        <is>
          <t>2026-001031 support affidavit</t>
        </is>
      </c>
      <c r="C17" s="120">
        <f>E17*$D$5</f>
        <v/>
      </c>
      <c r="D17" s="110" t="inlineStr">
        <is>
          <t>DP / Diversified support affidavit</t>
        </is>
      </c>
      <c r="E17" s="121">
        <f>F17</f>
        <v/>
      </c>
      <c r="F17" s="122">
        <f>SUM(G17:N17)</f>
        <v/>
      </c>
      <c r="M17" s="123" t="n">
        <v>0</v>
      </c>
    </row>
    <row r="18" ht="46.25" customHeight="1" s="42">
      <c r="A18" s="111" t="inlineStr">
        <is>
          <t>Legacy Sanguine / investor / Kaiser-Francis / Enogex / Chesapeake predecessor history remains behind Track A, but precise individual WI splits are not reliable from this cursory report alone.</t>
        </is>
      </c>
      <c r="B18" s="111" t="inlineStr">
        <is>
          <t>See Runsheet rows 20-107 and OGLs tab</t>
        </is>
      </c>
      <c r="C18" s="120">
        <f>E18*$D$5</f>
        <v/>
      </c>
      <c r="D18" s="110" t="inlineStr">
        <is>
          <t>Sanguine / investor group / Kaiser-Francis / Enogex / Chesapeake predecessors</t>
        </is>
      </c>
      <c r="E18" s="121">
        <f>F18</f>
        <v/>
      </c>
      <c r="F18" s="122">
        <f>SUM(G18:N18)</f>
        <v/>
      </c>
    </row>
    <row r="20" ht="55.2" customHeight="1" s="42">
      <c r="A20" s="57" t="inlineStr">
        <is>
          <t>Per-tract figures are the apparent SECTION-WIDE leased fraction applied for reference; per-tract net mineral acres are NOT derivable from the county index (cursory). See consolidated WI sheet and Title.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00BF8F00"/>
    <outlinePr summaryBelow="1" summaryRight="1"/>
    <pageSetUpPr fitToPage="0"/>
  </sheetPr>
  <dimension ref="A1:N20"/>
  <sheetViews>
    <sheetView showFormulas="0" showGridLines="1" showRowColHeaders="1" showZeros="1" rightToLeft="0" tabSelected="0" showOutlineSymbols="1" defaultGridColor="1"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30" customWidth="1" style="41" min="1" max="1"/>
    <col width="26" customWidth="1" style="41" min="2" max="2"/>
    <col width="12" customWidth="1" style="41" min="3" max="3"/>
    <col width="46" customWidth="1" style="41" min="4" max="4"/>
    <col width="13" customWidth="1" style="41" min="5" max="5"/>
    <col width="9" customWidth="1" style="41" min="6" max="6"/>
    <col width="16" customWidth="1" style="41" min="7" max="7"/>
    <col width="20" customWidth="1" style="41" min="8" max="14"/>
  </cols>
  <sheetData>
    <row r="1" ht="15" customHeight="1" s="42">
      <c r="E1" s="106" t="inlineStr">
        <is>
          <t>Instrument</t>
        </is>
      </c>
      <c r="G1" s="43" t="inlineStr">
        <is>
          <t>BASE / SOURCE</t>
        </is>
      </c>
      <c r="H1" s="107" t="inlineStr">
        <is>
          <t>BASE / SOURCE</t>
        </is>
      </c>
      <c r="I1" s="107" t="inlineStr">
        <is>
          <t>ASSN</t>
        </is>
      </c>
      <c r="J1" s="107" t="inlineStr">
        <is>
          <t>NAME CHANGE</t>
        </is>
      </c>
      <c r="K1" s="107" t="inlineStr">
        <is>
          <t>MERGER / SUPPORT</t>
        </is>
      </c>
      <c r="L1" s="107" t="inlineStr">
        <is>
          <t>WB ASSN</t>
        </is>
      </c>
      <c r="M1" s="107" t="inlineStr">
        <is>
          <t>EXCLUDED</t>
        </is>
      </c>
      <c r="N1" s="107" t="inlineStr">
        <is>
          <t>AFF</t>
        </is>
      </c>
    </row>
    <row r="2" ht="55.2" customHeight="1" s="42">
      <c r="A2" s="108" t="inlineStr">
        <is>
          <t>WI</t>
        </is>
      </c>
      <c r="B2" s="106" t="inlineStr">
        <is>
          <t>TRACT</t>
        </is>
      </c>
      <c r="E2" s="106" t="inlineStr">
        <is>
          <t>Image Number</t>
        </is>
      </c>
      <c r="H2" s="109" t="inlineStr">
        <is>
          <t>SOURCE</t>
        </is>
      </c>
      <c r="I2" s="109" t="inlineStr">
        <is>
          <t>2017-004597
2019-002937
2019-002988</t>
        </is>
      </c>
      <c r="J2" s="109" t="inlineStr">
        <is>
          <t>2020-004390</t>
        </is>
      </c>
      <c r="K2" s="109" t="inlineStr">
        <is>
          <t>2025-001808
2026-001031</t>
        </is>
      </c>
      <c r="L2" s="109" t="inlineStr">
        <is>
          <t>2023-000993</t>
        </is>
      </c>
      <c r="M2" s="109" t="inlineStr">
        <is>
          <t>2020-004435
2020-004462
2022-003507
2022-004277
2022-004838
2023-000796</t>
        </is>
      </c>
      <c r="N2" s="109" t="inlineStr">
        <is>
          <t>2026-001031</t>
        </is>
      </c>
    </row>
    <row r="3" ht="55.2" customHeight="1" s="42">
      <c r="B3" s="106" t="inlineStr">
        <is>
          <t>DESCRIPTION</t>
        </is>
      </c>
      <c r="C3" s="110" t="inlineStr">
        <is>
          <t>1.00-ac Buffalo Church tract in SW/4</t>
        </is>
      </c>
      <c r="E3" s="106" t="inlineStr">
        <is>
          <t>Book / Page</t>
        </is>
      </c>
      <c r="G3" s="41" t="inlineStr">
        <is>
          <t>Report / Title</t>
        </is>
      </c>
      <c r="H3" s="109" t="inlineStr">
        <is>
          <t>Report / Title / OGL index</t>
        </is>
      </c>
      <c r="I3" s="109" t="inlineStr">
        <is>
          <t>2266/194
2307/894
2308/123</t>
        </is>
      </c>
      <c r="J3" s="109" t="inlineStr">
        <is>
          <t>2340/218</t>
        </is>
      </c>
      <c r="K3" s="109" t="inlineStr">
        <is>
          <t>2451/4
2480/824</t>
        </is>
      </c>
      <c r="L3" s="109" t="inlineStr">
        <is>
          <t>2401/214</t>
        </is>
      </c>
      <c r="M3" s="109" t="inlineStr">
        <is>
          <t>2340/403
2340/490
2389/581
2393/1
2395/415
2400/551</t>
        </is>
      </c>
      <c r="N3" s="109" t="inlineStr">
        <is>
          <t>2480/824</t>
        </is>
      </c>
    </row>
    <row r="4" ht="28.35" customHeight="1" s="42">
      <c r="E4" s="106" t="inlineStr">
        <is>
          <t>Date</t>
        </is>
      </c>
      <c r="H4" s="109" t="inlineStr">
        <is>
          <t>6/8/2026 report</t>
        </is>
      </c>
      <c r="I4" s="109" t="inlineStr">
        <is>
          <t>10/24/17
7/24/19
7/26/19</t>
        </is>
      </c>
      <c r="J4" s="109" t="inlineStr">
        <is>
          <t>11/18/20</t>
        </is>
      </c>
      <c r="K4" s="109" t="inlineStr">
        <is>
          <t>3/14/25
3/10/26</t>
        </is>
      </c>
      <c r="L4" s="109" t="inlineStr">
        <is>
          <t>8/9/23</t>
        </is>
      </c>
      <c r="M4" s="109" t="inlineStr">
        <is>
          <t>2020-2023</t>
        </is>
      </c>
      <c r="N4" s="109" t="inlineStr">
        <is>
          <t>3/10/26</t>
        </is>
      </c>
    </row>
    <row r="5" ht="84" customHeight="1" s="42">
      <c r="B5" s="106" t="inlineStr">
        <is>
          <t>TRACT ACRES</t>
        </is>
      </c>
      <c r="D5" s="44" t="n">
        <v>1</v>
      </c>
      <c r="E5" s="106" t="inlineStr">
        <is>
          <t>Conveyance</t>
        </is>
      </c>
      <c r="G5" s="111" t="inlineStr">
        <is>
          <t>Apparent Diversified leasehold WI (Track A path; Sec-27 640-ac unit). Per-tract NMA not derivable from index.</t>
        </is>
      </c>
      <c r="H5" s="111" t="inlineStr">
        <is>
          <t>Residual + apparent Track A source</t>
        </is>
      </c>
      <c r="I5" s="111" t="inlineStr">
        <is>
          <t>Track A into FourPoint</t>
        </is>
      </c>
      <c r="J5" s="111" t="inlineStr">
        <is>
          <t>FourPoint → Unbridled</t>
        </is>
      </c>
      <c r="K5" s="111" t="inlineStr">
        <is>
          <t>Maverick / Diversified support</t>
        </is>
      </c>
      <c r="L5" s="111" t="inlineStr">
        <is>
          <t>Wellbore carveout only</t>
        </is>
      </c>
      <c r="M5" s="111" t="inlineStr">
        <is>
          <t>Track B / DP Legacy path not carried</t>
        </is>
      </c>
      <c r="N5" s="111" t="inlineStr">
        <is>
          <t>Support only</t>
        </is>
      </c>
    </row>
    <row r="6" ht="15" customHeight="1" s="42">
      <c r="B6" s="106" t="inlineStr">
        <is>
          <t>BASE OGL</t>
        </is>
      </c>
      <c r="C6" s="112">
        <f>ROUND(SUBTOTAL(9,C9:C204),2)</f>
        <v/>
      </c>
      <c r="D6" s="44" t="inlineStr">
        <is>
          <t>Working Interest</t>
        </is>
      </c>
      <c r="E6" s="113">
        <f>ROUND(SUBTOTAL(9,E9:E204),10)</f>
        <v/>
      </c>
      <c r="F6" s="114" t="inlineStr">
        <is>
          <t>SURFACE</t>
        </is>
      </c>
      <c r="H6" s="115">
        <f>IF(ABS(H7)&lt;0.0000001,"","RECHECK")</f>
        <v/>
      </c>
      <c r="I6" s="115">
        <f>IF(ABS(I7)&lt;0.0000001,"","RECHECK")</f>
        <v/>
      </c>
      <c r="J6" s="115">
        <f>IF(ABS(J7)&lt;0.0000001,"","RECHECK")</f>
        <v/>
      </c>
      <c r="K6" s="115">
        <f>IF(ABS(K7)&lt;0.0000001,"","RECHECK")</f>
        <v/>
      </c>
      <c r="L6" s="115">
        <f>IF(ABS(L7)&lt;0.0000001,"","RECHECK")</f>
        <v/>
      </c>
      <c r="M6" s="115">
        <f>IF(ABS(M7)&lt;0.0000001,"","RECHECK")</f>
        <v/>
      </c>
      <c r="N6" s="115">
        <f>IF(ABS(N7)&lt;0.0000001,"","RECHECK")</f>
        <v/>
      </c>
    </row>
    <row r="7" ht="15" customHeight="1" s="42">
      <c r="G7" s="116">
        <f>SUBTOTAL(9,G10:G204)</f>
        <v/>
      </c>
      <c r="H7" s="116">
        <f>SUBTOTAL(9,H10:H204)</f>
        <v/>
      </c>
      <c r="I7" s="116">
        <f>SUBTOTAL(9,I10:I204)</f>
        <v/>
      </c>
      <c r="J7" s="116">
        <f>SUBTOTAL(9,J10:J204)</f>
        <v/>
      </c>
      <c r="K7" s="116">
        <f>SUBTOTAL(9,K10:K204)</f>
        <v/>
      </c>
      <c r="L7" s="116">
        <f>SUBTOTAL(9,L10:L204)</f>
        <v/>
      </c>
      <c r="M7" s="116">
        <f>SUBTOTAL(9,M10:M204)</f>
        <v/>
      </c>
      <c r="N7" s="116">
        <f>SUBTOTAL(9,N10:N204)</f>
        <v/>
      </c>
    </row>
    <row r="8" ht="15" customHeight="1" s="42">
      <c r="A8" s="117" t="inlineStr">
        <is>
          <t>NOTES</t>
        </is>
      </c>
      <c r="C8" s="118" t="inlineStr">
        <is>
          <t>NET ACRES</t>
        </is>
      </c>
      <c r="D8" s="119" t="inlineStr">
        <is>
          <t>OWNERS</t>
        </is>
      </c>
      <c r="E8" s="118" t="inlineStr">
        <is>
          <t>TOTAL</t>
        </is>
      </c>
    </row>
    <row r="10" ht="28.35" customHeight="1" s="42">
      <c r="A10" s="111" t="inlineStr">
        <is>
          <t>Residual 8/8 not chained to Diversified in this cursory report. Kept open so Section 27 ties to 640 acres.</t>
        </is>
      </c>
      <c r="B10" s="111" t="inlineStr">
        <is>
          <t>Residual after 448.333333 NMA apparent Diversified chain</t>
        </is>
      </c>
      <c r="C10" s="120">
        <f>E10*$D$5</f>
        <v/>
      </c>
      <c r="D10" s="110" t="inlineStr">
        <is>
          <t>Open / non-Diversified / unverified Section 27 leasehold</t>
        </is>
      </c>
      <c r="E10" s="121">
        <f>F10</f>
        <v/>
      </c>
      <c r="F10" s="122">
        <f>SUM(G10:N10)</f>
        <v/>
      </c>
      <c r="G10" s="123" t="n">
        <v>0.2994791671875</v>
      </c>
    </row>
    <row r="11" ht="55.2" customHeight="1" s="42">
      <c r="A11" s="111" t="inlineStr">
        <is>
          <t>Apparent Track A predecessor block. Source report carries 448.333333 NMA / 640 = 0.700520833 WI to Diversified path; internal split between N&amp;G/NG Family/EnerVest not decimalized in this cursory file.</t>
        </is>
      </c>
      <c r="B11" s="111" t="inlineStr">
        <is>
          <t>Track A OGLs / 2266/194 + 2307/894 + 2308/123</t>
        </is>
      </c>
      <c r="C11" s="120">
        <f>E11*$D$5</f>
        <v/>
      </c>
      <c r="D11" s="110" t="inlineStr">
        <is>
          <t>Nadel &amp; Gussman / NG Family / EnerVest predecessor block</t>
        </is>
      </c>
      <c r="E11" s="121">
        <f>F11</f>
        <v/>
      </c>
      <c r="F11" s="122">
        <f>SUM(G11:N11)</f>
        <v/>
      </c>
      <c r="G11" s="123" t="n">
        <v>0.7005208328125</v>
      </c>
      <c r="H11" s="123" t="n">
        <v>-0.7005208328125</v>
      </c>
    </row>
    <row r="12" ht="28.35" customHeight="1" s="42">
      <c r="A12" s="111" t="inlineStr">
        <is>
          <t>Track A assignments into FourPoint. 100% of assignors' Sec-27 interest carried forward.</t>
        </is>
      </c>
      <c r="B12" s="111" t="inlineStr">
        <is>
          <t>2017-004597; 2019-002937; 2019-002988</t>
        </is>
      </c>
      <c r="C12" s="120">
        <f>E12*$D$5</f>
        <v/>
      </c>
      <c r="D12" s="110" t="inlineStr">
        <is>
          <t>FourPoint Energy, LLC</t>
        </is>
      </c>
      <c r="E12" s="121">
        <f>F12</f>
        <v/>
      </c>
      <c r="F12" s="122">
        <f>SUM(G12:N12)</f>
        <v/>
      </c>
      <c r="H12" s="123" t="n">
        <v>0.7005208328125</v>
      </c>
      <c r="I12" s="123" t="n">
        <v>-0.7005208328125</v>
      </c>
    </row>
    <row r="13" ht="28.35" customHeight="1" s="42">
      <c r="A13" s="111" t="inlineStr">
        <is>
          <t>FourPoint public notice/name-change path to Unbridled; corporate succession support only.</t>
        </is>
      </c>
      <c r="B13" s="111" t="inlineStr">
        <is>
          <t>2020-004390 / Unbridled Resources</t>
        </is>
      </c>
      <c r="C13" s="120">
        <f>E13*$D$5</f>
        <v/>
      </c>
      <c r="D13" s="110" t="inlineStr">
        <is>
          <t>Unbridled Resources, LLC / MNR / Maverick Natural Resources, LLC</t>
        </is>
      </c>
      <c r="E13" s="121">
        <f>F13</f>
        <v/>
      </c>
      <c r="F13" s="122">
        <f>SUM(G13:N13)</f>
        <v/>
      </c>
      <c r="I13" s="123" t="n">
        <v>0.7005208328125</v>
      </c>
      <c r="J13" s="123" t="n">
        <v>-0.7005208328125</v>
      </c>
    </row>
    <row r="14" ht="37.3" customHeight="1" s="42">
      <c r="A14" s="111" t="inlineStr">
        <is>
          <t>Current apparent Section 27 owner. Booked decimal = 448.333333 / 640. NRI estimate at 3/16 burden ≈ 0.569173177, but NRI not booked here.</t>
        </is>
      </c>
      <c r="B14" s="111" t="inlineStr">
        <is>
          <t>Diversified successor path; support affidavit carried</t>
        </is>
      </c>
      <c r="C14" s="120">
        <f>E14*$D$5</f>
        <v/>
      </c>
      <c r="D14" s="110" t="inlineStr">
        <is>
          <t>Diversified Production, LLC / Diversified Energy successor path</t>
        </is>
      </c>
      <c r="E14" s="121">
        <f>F14</f>
        <v/>
      </c>
      <c r="F14" s="122">
        <f>SUM(G14:N14)</f>
        <v/>
      </c>
      <c r="J14" s="123" t="n">
        <v>0.7005208328125</v>
      </c>
    </row>
    <row r="15" ht="28.35" customHeight="1" s="42">
      <c r="A15" s="111" t="inlineStr">
        <is>
          <t>Wellbore assignment only. No tract WI decimal booked until Exhibit A / wellbore carveout is fully abstracted.</t>
        </is>
      </c>
      <c r="B15" s="111" t="inlineStr">
        <is>
          <t>2023-000993 (2401/214)</t>
        </is>
      </c>
      <c r="C15" s="120">
        <f>E15*$D$5</f>
        <v/>
      </c>
      <c r="D15" s="110" t="inlineStr">
        <is>
          <t>Teocalli Exploration, LLC</t>
        </is>
      </c>
      <c r="E15" s="121">
        <f>F15</f>
        <v/>
      </c>
      <c r="F15" s="122">
        <f>SUM(G15:N15)</f>
        <v/>
      </c>
      <c r="K15" s="123" t="n">
        <v>0</v>
      </c>
    </row>
    <row r="16" ht="37.3" customHeight="1" s="42">
      <c r="A16" s="111" t="inlineStr">
        <is>
          <t>Track B / DP Legacy / Tapstone documents shown for audit trail only. No Section 27 Diversified tract WI decimal carried from this path in this tab.</t>
        </is>
      </c>
      <c r="B16" s="111" t="inlineStr">
        <is>
          <t>Track B excluded docs</t>
        </is>
      </c>
      <c r="C16" s="120">
        <f>E16*$D$5</f>
        <v/>
      </c>
      <c r="D16" s="110" t="inlineStr">
        <is>
          <t>Chesapeake / Tapstone / DP Legacy / DP Sooner / Diversified Track B path</t>
        </is>
      </c>
      <c r="E16" s="121">
        <f>F16</f>
        <v/>
      </c>
      <c r="F16" s="122">
        <f>SUM(G16:N16)</f>
        <v/>
      </c>
      <c r="L16" s="123" t="n">
        <v>0</v>
      </c>
    </row>
    <row r="17" ht="19.4" customHeight="1" s="42">
      <c r="A17" s="111" t="inlineStr">
        <is>
          <t>Support affidavit only; no independent conveyance decimal booked.</t>
        </is>
      </c>
      <c r="B17" s="111" t="inlineStr">
        <is>
          <t>2026-001031 support affidavit</t>
        </is>
      </c>
      <c r="C17" s="120">
        <f>E17*$D$5</f>
        <v/>
      </c>
      <c r="D17" s="110" t="inlineStr">
        <is>
          <t>DP / Diversified support affidavit</t>
        </is>
      </c>
      <c r="E17" s="121">
        <f>F17</f>
        <v/>
      </c>
      <c r="F17" s="122">
        <f>SUM(G17:N17)</f>
        <v/>
      </c>
      <c r="M17" s="123" t="n">
        <v>0</v>
      </c>
    </row>
    <row r="18" ht="46.25" customHeight="1" s="42">
      <c r="A18" s="111" t="inlineStr">
        <is>
          <t>Legacy Sanguine / investor / Kaiser-Francis / Enogex / Chesapeake predecessor history remains behind Track A, but precise individual WI splits are not reliable from this cursory report alone.</t>
        </is>
      </c>
      <c r="B18" s="111" t="inlineStr">
        <is>
          <t>See Runsheet rows 20-107 and OGLs tab</t>
        </is>
      </c>
      <c r="C18" s="120">
        <f>E18*$D$5</f>
        <v/>
      </c>
      <c r="D18" s="110" t="inlineStr">
        <is>
          <t>Sanguine / investor group / Kaiser-Francis / Enogex / Chesapeake predecessors</t>
        </is>
      </c>
      <c r="E18" s="121">
        <f>F18</f>
        <v/>
      </c>
      <c r="F18" s="122">
        <f>SUM(G18:N18)</f>
        <v/>
      </c>
    </row>
    <row r="20" ht="55.2" customHeight="1" s="42">
      <c r="A20" s="57" t="inlineStr">
        <is>
          <t>Per-tract figures are the apparent SECTION-WIDE leased fraction applied for reference; per-tract net mineral acres are NOT derivable from the county index (cursory). See consolidated WI sheet and Title.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tabColor rgb="007030A0"/>
    <outlinePr summaryBelow="1" summaryRight="1"/>
    <pageSetUpPr/>
  </sheetPr>
  <dimension ref="A1:Q200"/>
  <sheetViews>
    <sheetView workbookViewId="0">
      <selection activeCell="A1" sqref="A1"/>
    </sheetView>
  </sheetViews>
  <sheetFormatPr baseColWidth="8" defaultRowHeight="15"/>
  <cols>
    <col width="6.7109375" customWidth="1" style="42" min="1" max="1"/>
    <col width="12.42578125" customWidth="1" style="42" min="2" max="2"/>
    <col width="21.140625" customWidth="1" style="42" min="3" max="3"/>
    <col width="17.42578125" customWidth="1" style="42" min="4" max="4"/>
    <col width="22.140625" customWidth="1" style="42" min="5" max="5"/>
    <col width="43.42578125" customWidth="1" style="42" min="6" max="6"/>
    <col width="41.7109375" customWidth="1" style="42" min="7" max="7"/>
    <col width="10.7109375" customWidth="1" style="42" min="8" max="8"/>
    <col width="20.42578125" customWidth="1" style="42" min="9" max="9"/>
    <col width="12.28515625" customWidth="1" style="42" min="10" max="10"/>
    <col width="11.5703125" customWidth="1" style="42" min="11" max="11"/>
    <col width="10.140625" customWidth="1" style="42" min="12" max="12"/>
    <col width="26.140625" customWidth="1" style="42" min="13" max="13"/>
    <col width="16.140625" customWidth="1" style="42" min="14" max="14"/>
    <col width="14.7109375" customWidth="1" style="42" min="15" max="15"/>
    <col width="12.85546875" customWidth="1" style="42" min="16" max="16"/>
    <col width="22.85546875" customWidth="1" style="42" min="17" max="17"/>
    <col width="8.7109375" customWidth="1" style="42" min="18" max="18"/>
    <col width="8.7109375" customWidth="1" style="42" min="20" max="20"/>
  </cols>
  <sheetData>
    <row r="1">
      <c r="A1" s="124" t="inlineStr">
        <is>
          <t>Wells</t>
        </is>
      </c>
      <c r="B1" s="124" t="n"/>
      <c r="C1" s="124" t="n"/>
      <c r="D1" s="124" t="n"/>
      <c r="E1" s="124" t="n"/>
      <c r="F1" s="124" t="n"/>
      <c r="G1" s="124" t="n"/>
      <c r="H1" s="124" t="n"/>
      <c r="I1" s="124" t="n"/>
      <c r="J1" s="124" t="n"/>
      <c r="K1" s="124" t="n"/>
      <c r="L1" s="124" t="n"/>
      <c r="M1" s="125" t="n"/>
      <c r="N1" s="124" t="n"/>
      <c r="O1" s="124" t="n"/>
      <c r="P1" s="126" t="n"/>
      <c r="Q1" s="126" t="n"/>
    </row>
    <row r="2">
      <c r="A2" s="127" t="inlineStr">
        <is>
          <t>Well #</t>
        </is>
      </c>
      <c r="B2" s="127" t="inlineStr">
        <is>
          <t>API #</t>
        </is>
      </c>
      <c r="C2" s="127" t="inlineStr">
        <is>
          <t>Current Operator</t>
        </is>
      </c>
      <c r="D2" s="127" t="inlineStr">
        <is>
          <t>Well Name</t>
        </is>
      </c>
      <c r="E2" s="127" t="inlineStr">
        <is>
          <t>Formation</t>
        </is>
      </c>
      <c r="F2" s="127" t="inlineStr">
        <is>
          <t>Surface Location</t>
        </is>
      </c>
      <c r="G2" s="127" t="inlineStr">
        <is>
          <t>Bottom Hole Location</t>
        </is>
      </c>
      <c r="H2" s="127" t="inlineStr">
        <is>
          <t>Spud Date</t>
        </is>
      </c>
      <c r="I2" s="127" t="inlineStr">
        <is>
          <t>Perforated Interval(s)</t>
        </is>
      </c>
      <c r="J2" s="127" t="inlineStr">
        <is>
          <t>TD &amp; TVD</t>
        </is>
      </c>
      <c r="K2" s="127" t="inlineStr">
        <is>
          <t>Spacing</t>
        </is>
      </c>
      <c r="L2" s="127" t="inlineStr">
        <is>
          <t>MU Order</t>
        </is>
      </c>
      <c r="M2" s="128" t="inlineStr">
        <is>
          <t>Type</t>
        </is>
      </c>
      <c r="N2" s="127" t="inlineStr">
        <is>
          <t>Completion Date</t>
        </is>
      </c>
      <c r="O2" s="127" t="inlineStr">
        <is>
          <t>Last Production</t>
        </is>
      </c>
      <c r="P2" s="127" t="inlineStr">
        <is>
          <t>Plugging</t>
        </is>
      </c>
      <c r="Q2" s="127" t="inlineStr">
        <is>
          <t>Allocation</t>
        </is>
      </c>
    </row>
    <row r="3">
      <c r="A3" s="129" t="n">
        <v>1</v>
      </c>
      <c r="B3" s="129" t="inlineStr">
        <is>
          <t>35-009-21146 / 3500921146</t>
        </is>
      </c>
      <c r="C3" s="129" t="inlineStr">
        <is>
          <t>BCE-MACH II LLC (OCC RBDMS current operator; operator list status OPEN)</t>
        </is>
      </c>
      <c r="D3" s="129" t="inlineStr">
        <is>
          <t>MANDRELL #2-27</t>
        </is>
      </c>
      <c r="E3" s="129" t="inlineStr">
        <is>
          <t>Gas well. Producing formation name not explicitly populated in OCC legacy completion extract; pull imaged Form 1002A for named reservoir/perf detail.</t>
        </is>
      </c>
      <c r="F3" s="129" t="inlineStr">
        <is>
          <t>W/2 SE/4, Sec. 27-11N-25W, Beckham Co., OK; 660' FWL &amp; 1320' FSL; OCC RBDMS SH lat/long 35.39678, -99.82972.</t>
        </is>
      </c>
      <c r="G3" s="129" t="inlineStr">
        <is>
          <t>N/A for vertical/SH well in OCC legacy completion dataset; no BHL fields reported.</t>
        </is>
      </c>
      <c r="H3" s="130" t="inlineStr">
        <is>
          <t>07/18/1999 (OCC legacy completion)</t>
        </is>
      </c>
      <c r="I3" s="130" t="inlineStr">
        <is>
          <t>Not present in OCC legacy completion extract; pull imaged Form 1002A/well file.</t>
        </is>
      </c>
      <c r="J3" s="130" t="inlineStr">
        <is>
          <t>Measured TD 17,860'; TVD not reported in legacy completion extract.</t>
        </is>
      </c>
      <c r="K3" s="129" t="inlineStr">
        <is>
          <t>OCC Order 212526 listed in legacy completion extract.</t>
        </is>
      </c>
      <c r="L3" s="131" t="inlineStr">
        <is>
          <t>N/A - vertical/SH well; no multi-unit order identified in public completion datasets.</t>
        </is>
      </c>
      <c r="M3" s="132" t="inlineStr">
        <is>
          <t>OCC RBDMS/legacy: AC / GAS / GAS; SH well.</t>
        </is>
      </c>
      <c r="N3" s="130" t="inlineStr">
        <is>
          <t>01/14/2000; drilling finished 09/25/1999; first production 11/07/1999.</t>
        </is>
      </c>
      <c r="O3" s="129" t="inlineStr">
        <is>
          <t>OTC production still required for monthly volumes/HBP. OCC legacy lease/PUN 104803-009-0-0000 and AC status support possible HBP but do not prove lease-specific paying production.</t>
        </is>
      </c>
      <c r="P3" s="130" t="inlineStr">
        <is>
          <t>Active (OCC status AC); no plugging record in RBDMS master.</t>
        </is>
      </c>
      <c r="Q3" s="129" t="inlineStr">
        <is>
          <t>Lease-specific allocation still requires OTC production and lease/unit/order review; OCC data verifies PUN 104803 and Order 212526.</t>
        </is>
      </c>
    </row>
    <row r="4">
      <c r="A4" s="129" t="n">
        <v>2</v>
      </c>
      <c r="B4" s="129" t="inlineStr">
        <is>
          <t>35-009-21241 / 3500921241</t>
        </is>
      </c>
      <c r="C4" s="129" t="inlineStr">
        <is>
          <t>BCE-MACH II LLC (OCC RBDMS current operator; operator list status OPEN)</t>
        </is>
      </c>
      <c r="D4" s="129" t="inlineStr">
        <is>
          <t>BETTY SITES #1-27</t>
        </is>
      </c>
      <c r="E4" s="129" t="inlineStr">
        <is>
          <t>Gas well. Producing formation name not explicitly populated in OCC legacy completion extract; pull imaged Form 1002A for named reservoir/perf detail.</t>
        </is>
      </c>
      <c r="F4" s="129" t="inlineStr">
        <is>
          <t>S2 S2 S2 NW/4, Sec. 27-11N-25W, Beckham Co., OK; 1320' FWL &amp; 200' FSL; OCC RBDMS SH lat/long 35.40097, -99.83667.</t>
        </is>
      </c>
      <c r="G4" s="129" t="inlineStr">
        <is>
          <t>N/A for vertical/SH well in OCC legacy completion dataset; no BHL fields reported.</t>
        </is>
      </c>
      <c r="H4" s="130" t="inlineStr">
        <is>
          <t>12/11/2001 (OCC legacy completion)</t>
        </is>
      </c>
      <c r="I4" s="130" t="inlineStr">
        <is>
          <t>Not present in OCC legacy completion extract; pull imaged Form 1002A/well file.</t>
        </is>
      </c>
      <c r="J4" s="130" t="inlineStr">
        <is>
          <t>Measured TD 19,423'; TVD not reported in legacy completion extract.</t>
        </is>
      </c>
      <c r="K4" s="129" t="inlineStr">
        <is>
          <t>OCC Order 212526 listed in legacy completion extract; alternate legacy entry also lists 147147.</t>
        </is>
      </c>
      <c r="L4" s="131" t="inlineStr">
        <is>
          <t>N/A - vertical/SH well; no multi-unit order identified in public completion datasets.</t>
        </is>
      </c>
      <c r="M4" s="132" t="inlineStr">
        <is>
          <t>OCC RBDMS/legacy: AC / GAS / GAS; SH well.</t>
        </is>
      </c>
      <c r="N4" s="130" t="inlineStr">
        <is>
          <t>06/01/2003 legacy completion; alternate/recompletion record 03/13/2005; first production 05/21/2002; drilling finished 03/28/2002.</t>
        </is>
      </c>
      <c r="O4" s="133" t="inlineStr">
        <is>
          <t>OTC production still required for monthly volumes/HBP. OCC legacy lease/PUN 109427-009-0-0000 and AC status support possible HBP but do not prove lease-specific paying production.</t>
        </is>
      </c>
      <c r="P4" s="130" t="inlineStr">
        <is>
          <t>Active (OCC status AC).</t>
        </is>
      </c>
      <c r="Q4" s="129" t="inlineStr">
        <is>
          <t>Lease-specific allocation still requires OTC production and lease/unit/order review; OCC data verifies PUN 109427 and Order 212526.</t>
        </is>
      </c>
    </row>
    <row r="5">
      <c r="A5" s="129" t="n">
        <v>3</v>
      </c>
      <c r="B5" s="129" t="inlineStr">
        <is>
          <t>35-009-21990 / 3500921990</t>
        </is>
      </c>
      <c r="C5" s="129" t="inlineStr">
        <is>
          <t>PRESIDIO PETROLEUM LLC (OCC RBDMS current operator; operator list status OPEN)</t>
        </is>
      </c>
      <c r="D5" s="129" t="inlineStr">
        <is>
          <t>SITES #1H-2215</t>
        </is>
      </c>
      <c r="E5" s="129" t="inlineStr">
        <is>
          <t>HOGSHOOTER (formation code 405HGSR). OCC remarks: Order 677424 / CD 201800813 authorizes Cottage Grove, Hogshooter, and Checkerboard nomenclature.</t>
        </is>
      </c>
      <c r="F5" s="129" t="inlineStr">
        <is>
          <t>NW NW NE NW, Sec. 27-11N-25W, Beckham Co., OK; 1400' FWL &amp; 300' FNL; OCC RBDMS SH lat/long 35.40682, -99.83643.</t>
        </is>
      </c>
      <c r="G5" s="129" t="inlineStr">
        <is>
          <t>Horizontal well; BHL not populated in OCC completion base file (0/blank). Pull imaged plat/Form 1002A and OCC order 688488 for BHL/allocation.</t>
        </is>
      </c>
      <c r="H5" s="130" t="inlineStr">
        <is>
          <t>03/14/2018 (OCC current completion master)</t>
        </is>
      </c>
      <c r="I5" s="130" t="inlineStr">
        <is>
          <t>12,448'-20,873' (Hogshooter). Acid: 336 bbl 15% HCl. Frac: 213,054 bbl fluid + 8,079,540 lb 40/70 sand.</t>
        </is>
      </c>
      <c r="J5" s="130" t="inlineStr">
        <is>
          <t>MD 20,980'; TVD not populated in OCC completion base file; DF 2,130' / GF 2,114'.</t>
        </is>
      </c>
      <c r="K5" s="129" t="inlineStr">
        <is>
          <t>OCC Order 677424 / CD 201800813 noted for nomenclature; Location Exception Order 688488; spacing-order field blank in completion dataset.</t>
        </is>
      </c>
      <c r="L5" s="131" t="inlineStr">
        <is>
          <t>Not confirmed from public dataset; horizontal #1H-2215 likely requires OCC imaged order/plat review for final allocation.</t>
        </is>
      </c>
      <c r="M5" s="134" t="inlineStr">
        <is>
          <t>OCC RBDMS/current completion: AC / OIL / OIL; horizontal oil well; completion review status Accepted.</t>
        </is>
      </c>
      <c r="N5" s="130" t="inlineStr">
        <is>
          <t>05/16/2018; drilling finished 04/26/2018; first production/first sales 05/16/2018.</t>
        </is>
      </c>
      <c r="O5" s="133" t="inlineStr">
        <is>
          <t>OTC production still required for monthly volumes/HBP. OCC PUN 129-223460-0-0000. Completion test 07/16/2018: 125 BOPD, 1,783 MCFD, 378 BWPD; flowing; FTP 356; choke 64/64.</t>
        </is>
      </c>
      <c r="P5" s="130" t="inlineStr">
        <is>
          <t>Active (OCC status AC).</t>
        </is>
      </c>
      <c r="Q5" s="129" t="inlineStr">
        <is>
          <t>Horizontal allocation not verified; use OCC imaged order/plat and OTC PUN 129-223460-0-0000 before carrying allocation factor.</t>
        </is>
      </c>
    </row>
    <row r="6">
      <c r="A6" s="129" t="n">
        <v>4</v>
      </c>
      <c r="B6" s="129" t="inlineStr">
        <is>
          <t>35-009-20319 / 3500920319</t>
        </is>
      </c>
      <c r="C6" s="129" t="inlineStr">
        <is>
          <t>BLACKJACK OIL &amp; GAS INC (last RBDMS operator; OCC operator list status CLOSED)</t>
        </is>
      </c>
      <c r="D6" s="129" t="inlineStr">
        <is>
          <t>MANDRELL #1-27</t>
        </is>
      </c>
      <c r="E6" s="129" t="inlineStr">
        <is>
          <t>Historical gas well; producing formation name not explicitly populated in OCC legacy completion extract.</t>
        </is>
      </c>
      <c r="F6" s="129" t="inlineStr">
        <is>
          <t>C SW/4, Sec. 27-11N-25W, Beckham Co., OK; 1320' FWL &amp; 1320' FSL; OCC RBDMS SH lat/long 35.3963374, -99.8368314.</t>
        </is>
      </c>
      <c r="G6" s="129" t="inlineStr">
        <is>
          <t>N/A for plugged vertical/SH well; no BHL fields reported.</t>
        </is>
      </c>
      <c r="H6" s="129" t="inlineStr">
        <is>
          <t>02/14/1980 (OCC legacy completion)</t>
        </is>
      </c>
      <c r="I6" s="129" t="inlineStr">
        <is>
          <t>Not present in OCC legacy completion extract; pull imaged completion/well docs if needed.</t>
        </is>
      </c>
      <c r="J6" s="129" t="inlineStr">
        <is>
          <t>Measured TD 16,015'; TVD not reported in legacy completion extract.</t>
        </is>
      </c>
      <c r="K6" s="129" t="inlineStr">
        <is>
          <t>OCC Order 147147 listed in legacy completion extract.</t>
        </is>
      </c>
      <c r="L6" s="129" t="inlineStr">
        <is>
          <t>N/A - vertical/SH well; no multi-unit order identified.</t>
        </is>
      </c>
      <c r="M6" s="135" t="inlineStr">
        <is>
          <t>OCC RBDMS/legacy: PA / GAS / PLUGGED; SH well.</t>
        </is>
      </c>
      <c r="N6" s="129" t="inlineStr">
        <is>
          <t>07/06/1980; drilling finished 05/27/1980.</t>
        </is>
      </c>
      <c r="O6" s="129" t="inlineStr">
        <is>
          <t>Plugged; no current HBP support from this well. Historical legacy lease/PUN 67875-009-0-0000.</t>
        </is>
      </c>
      <c r="P6" s="129" t="inlineStr">
        <is>
          <t>Plugged &amp; abandoned (OCC status PA); plugging date not populated in public completion extracts.</t>
        </is>
      </c>
      <c r="Q6" s="129" t="inlineStr">
        <is>
          <t>Historical plugged well only; no current production allocation carried.</t>
        </is>
      </c>
    </row>
    <row r="7">
      <c r="M7" s="136" t="n"/>
    </row>
    <row r="8">
      <c r="A8" s="137" t="inlineStr">
        <is>
          <t>SOURCE: OCC RBDMS well master (oklahoma.gov OCC oil-gas data files), accessed 6/7/2026. Core fields (API, operator, status, type, surface location, lat/long) are VERIFIED from RBDMS. Completion details (spud, TD/TVD, perforations, completion date, spacing/MU order, production) are NOT in the master and are flagged Needs Verification - retrieve per-API at OCC Well Records: public.occ.ok.gov/OGCDWellRecords (search by API) and OTC gross production for HBP/PUN. KEY FINDING: Sec 27 has 3 ACTIVE wells (HBP supported) but operators of record are BCE-MACH II LLC and Presidio Petroleum LLC - reconcile against the Diversified leasehold chain.</t>
        </is>
      </c>
    </row>
    <row r="9">
      <c r="H9" s="138" t="n"/>
      <c r="N9" s="138" t="n"/>
    </row>
    <row r="10">
      <c r="H10" s="138" t="n"/>
      <c r="N10" s="138" t="n"/>
    </row>
    <row r="11">
      <c r="H11" s="138" t="n"/>
      <c r="N11" s="138" t="n"/>
    </row>
    <row r="12">
      <c r="H12" s="138" t="n"/>
      <c r="N12" s="138" t="n"/>
    </row>
    <row r="13">
      <c r="H13" s="138" t="n"/>
      <c r="N13" s="138" t="n"/>
    </row>
    <row r="14">
      <c r="H14" s="138" t="n"/>
      <c r="N14" s="138" t="n"/>
    </row>
    <row r="15">
      <c r="H15" s="138" t="n"/>
      <c r="N15" s="138" t="n"/>
    </row>
    <row r="16">
      <c r="H16" s="138" t="n"/>
      <c r="N16" s="138" t="n"/>
    </row>
    <row r="17">
      <c r="H17" s="138" t="n"/>
      <c r="N17" s="138" t="n"/>
    </row>
    <row r="18">
      <c r="H18" s="138" t="n"/>
      <c r="N18" s="138" t="n"/>
    </row>
    <row r="19">
      <c r="H19" s="138" t="n"/>
      <c r="N19" s="138" t="n"/>
    </row>
    <row r="20">
      <c r="H20" s="138" t="n"/>
      <c r="N20" s="138" t="n"/>
    </row>
    <row r="21">
      <c r="H21" s="138" t="n"/>
      <c r="N21" s="138" t="n"/>
    </row>
    <row r="22">
      <c r="H22" s="138" t="n"/>
      <c r="N22" s="138" t="n"/>
    </row>
    <row r="23">
      <c r="H23" s="138" t="n"/>
      <c r="N23" s="138" t="n"/>
    </row>
    <row r="24">
      <c r="H24" s="138" t="n"/>
      <c r="N24" s="138" t="n"/>
    </row>
    <row r="25">
      <c r="H25" s="138" t="n"/>
      <c r="N25" s="138" t="n"/>
    </row>
    <row r="26">
      <c r="H26" s="138" t="n"/>
      <c r="N26" s="138" t="n"/>
    </row>
    <row r="27">
      <c r="H27" s="138" t="n"/>
      <c r="N27" s="138" t="n"/>
    </row>
    <row r="28">
      <c r="H28" s="138" t="n"/>
      <c r="N28" s="138" t="n"/>
    </row>
    <row r="29">
      <c r="H29" s="138" t="n"/>
      <c r="N29" s="138" t="n"/>
    </row>
    <row r="30">
      <c r="H30" s="138" t="n"/>
      <c r="N30" s="138" t="n"/>
    </row>
    <row r="31">
      <c r="H31" s="138" t="n"/>
      <c r="N31" s="138" t="n"/>
    </row>
    <row r="32">
      <c r="H32" s="138" t="n"/>
      <c r="N32" s="138" t="n"/>
    </row>
    <row r="33">
      <c r="H33" s="138" t="n"/>
      <c r="N33" s="138" t="n"/>
    </row>
    <row r="34">
      <c r="H34" s="138" t="n"/>
      <c r="N34" s="138" t="n"/>
    </row>
    <row r="35">
      <c r="H35" s="138" t="n"/>
      <c r="N35" s="138" t="n"/>
    </row>
    <row r="36">
      <c r="H36" s="138" t="n"/>
      <c r="N36" s="138" t="n"/>
    </row>
    <row r="37">
      <c r="H37" s="138" t="n"/>
      <c r="N37" s="138" t="n"/>
    </row>
    <row r="38">
      <c r="H38" s="138" t="n"/>
      <c r="N38" s="138" t="n"/>
    </row>
    <row r="39">
      <c r="H39" s="138" t="n"/>
      <c r="N39" s="138" t="n"/>
    </row>
    <row r="40">
      <c r="H40" s="138" t="n"/>
      <c r="N40" s="138" t="n"/>
    </row>
    <row r="41">
      <c r="H41" s="138" t="n"/>
      <c r="N41" s="138" t="n"/>
    </row>
    <row r="42">
      <c r="H42" s="138" t="n"/>
      <c r="N42" s="138" t="n"/>
    </row>
    <row r="43">
      <c r="H43" s="138" t="n"/>
      <c r="N43" s="138" t="n"/>
    </row>
    <row r="44">
      <c r="H44" s="138" t="n"/>
      <c r="N44" s="138" t="n"/>
    </row>
    <row r="45">
      <c r="H45" s="138" t="n"/>
      <c r="N45" s="138" t="n"/>
    </row>
    <row r="46">
      <c r="H46" s="138" t="n"/>
      <c r="N46" s="138" t="n"/>
    </row>
    <row r="47">
      <c r="H47" s="138" t="n"/>
      <c r="N47" s="138" t="n"/>
    </row>
    <row r="48">
      <c r="H48" s="138" t="n"/>
      <c r="N48" s="138" t="n"/>
    </row>
    <row r="49">
      <c r="H49" s="138" t="n"/>
      <c r="N49" s="138" t="n"/>
    </row>
    <row r="50">
      <c r="H50" s="138" t="n"/>
      <c r="N50" s="138" t="n"/>
    </row>
    <row r="51">
      <c r="H51" s="138" t="n"/>
      <c r="N51" s="138" t="n"/>
    </row>
    <row r="52">
      <c r="H52" s="138" t="n"/>
      <c r="N52" s="138" t="n"/>
    </row>
    <row r="53">
      <c r="H53" s="138" t="n"/>
      <c r="N53" s="138" t="n"/>
    </row>
    <row r="54">
      <c r="H54" s="138" t="n"/>
      <c r="N54" s="138" t="n"/>
    </row>
    <row r="55">
      <c r="H55" s="138" t="n"/>
      <c r="N55" s="138" t="n"/>
    </row>
    <row r="56">
      <c r="H56" s="138" t="n"/>
      <c r="N56" s="138" t="n"/>
    </row>
    <row r="57">
      <c r="H57" s="138" t="n"/>
      <c r="N57" s="138" t="n"/>
    </row>
    <row r="58">
      <c r="H58" s="138" t="n"/>
      <c r="N58" s="138" t="n"/>
    </row>
    <row r="59">
      <c r="H59" s="138" t="n"/>
      <c r="N59" s="138" t="n"/>
    </row>
    <row r="60">
      <c r="H60" s="138" t="n"/>
      <c r="N60" s="138" t="n"/>
    </row>
    <row r="61">
      <c r="H61" s="138" t="n"/>
      <c r="N61" s="138" t="n"/>
    </row>
    <row r="62">
      <c r="H62" s="138" t="n"/>
      <c r="N62" s="138" t="n"/>
    </row>
    <row r="63">
      <c r="H63" s="138" t="n"/>
      <c r="N63" s="138" t="n"/>
    </row>
    <row r="64">
      <c r="H64" s="138" t="n"/>
      <c r="N64" s="138" t="n"/>
    </row>
    <row r="65">
      <c r="H65" s="138" t="n"/>
      <c r="N65" s="138" t="n"/>
    </row>
    <row r="66">
      <c r="H66" s="138" t="n"/>
      <c r="N66" s="138" t="n"/>
    </row>
    <row r="67">
      <c r="H67" s="138" t="n"/>
      <c r="N67" s="138" t="n"/>
    </row>
    <row r="68">
      <c r="H68" s="138" t="n"/>
      <c r="N68" s="138" t="n"/>
    </row>
    <row r="69">
      <c r="H69" s="138" t="n"/>
      <c r="N69" s="138" t="n"/>
    </row>
    <row r="70">
      <c r="H70" s="138" t="n"/>
      <c r="N70" s="138" t="n"/>
    </row>
    <row r="71">
      <c r="H71" s="138" t="n"/>
      <c r="N71" s="138" t="n"/>
    </row>
    <row r="72">
      <c r="H72" s="138" t="n"/>
      <c r="N72" s="138" t="n"/>
    </row>
    <row r="73">
      <c r="H73" s="138" t="n"/>
      <c r="N73" s="138" t="n"/>
    </row>
    <row r="74">
      <c r="H74" s="138" t="n"/>
      <c r="N74" s="138" t="n"/>
    </row>
    <row r="75">
      <c r="H75" s="138" t="n"/>
      <c r="N75" s="138" t="n"/>
    </row>
    <row r="76">
      <c r="H76" s="138" t="n"/>
      <c r="N76" s="138" t="n"/>
    </row>
    <row r="77">
      <c r="H77" s="138" t="n"/>
      <c r="N77" s="138" t="n"/>
    </row>
    <row r="78">
      <c r="H78" s="138" t="n"/>
      <c r="N78" s="138" t="n"/>
    </row>
    <row r="79">
      <c r="H79" s="138" t="n"/>
      <c r="N79" s="138" t="n"/>
    </row>
    <row r="80">
      <c r="H80" s="138" t="n"/>
      <c r="N80" s="138" t="n"/>
    </row>
    <row r="81">
      <c r="H81" s="138" t="n"/>
      <c r="N81" s="138" t="n"/>
    </row>
    <row r="82">
      <c r="H82" s="138" t="n"/>
      <c r="N82" s="138" t="n"/>
    </row>
    <row r="83">
      <c r="H83" s="138" t="n"/>
      <c r="N83" s="138" t="n"/>
    </row>
    <row r="84">
      <c r="H84" s="138" t="n"/>
      <c r="N84" s="138" t="n"/>
    </row>
    <row r="85">
      <c r="H85" s="138" t="n"/>
      <c r="N85" s="138" t="n"/>
    </row>
    <row r="86">
      <c r="H86" s="138" t="n"/>
      <c r="N86" s="138" t="n"/>
    </row>
    <row r="87">
      <c r="H87" s="138" t="n"/>
      <c r="N87" s="138" t="n"/>
    </row>
    <row r="88">
      <c r="H88" s="138" t="n"/>
      <c r="N88" s="138" t="n"/>
    </row>
    <row r="89">
      <c r="H89" s="138" t="n"/>
      <c r="N89" s="138" t="n"/>
    </row>
    <row r="90">
      <c r="H90" s="138" t="n"/>
      <c r="N90" s="138" t="n"/>
    </row>
    <row r="91">
      <c r="H91" s="138" t="n"/>
      <c r="N91" s="138" t="n"/>
    </row>
    <row r="92">
      <c r="H92" s="138" t="n"/>
      <c r="N92" s="138" t="n"/>
    </row>
    <row r="93">
      <c r="H93" s="138" t="n"/>
      <c r="N93" s="138" t="n"/>
    </row>
    <row r="94">
      <c r="H94" s="138" t="n"/>
      <c r="N94" s="138" t="n"/>
    </row>
    <row r="95">
      <c r="H95" s="138" t="n"/>
      <c r="N95" s="138" t="n"/>
    </row>
    <row r="96">
      <c r="H96" s="138" t="n"/>
      <c r="N96" s="138" t="n"/>
    </row>
    <row r="97">
      <c r="H97" s="138" t="n"/>
      <c r="N97" s="138" t="n"/>
    </row>
    <row r="98">
      <c r="H98" s="138" t="n"/>
      <c r="N98" s="138" t="n"/>
    </row>
    <row r="99">
      <c r="H99" s="138" t="n"/>
      <c r="N99" s="138" t="n"/>
    </row>
    <row r="100">
      <c r="H100" s="138" t="n"/>
      <c r="N100" s="138" t="n"/>
    </row>
    <row r="101">
      <c r="H101" s="138" t="n"/>
      <c r="N101" s="138" t="n"/>
    </row>
    <row r="102">
      <c r="H102" s="138" t="n"/>
      <c r="N102" s="138" t="n"/>
    </row>
    <row r="103">
      <c r="H103" s="138" t="n"/>
      <c r="N103" s="138" t="n"/>
    </row>
    <row r="104">
      <c r="H104" s="138" t="n"/>
      <c r="N104" s="138" t="n"/>
    </row>
    <row r="105">
      <c r="H105" s="138" t="n"/>
      <c r="N105" s="138" t="n"/>
    </row>
    <row r="106">
      <c r="H106" s="138" t="n"/>
      <c r="N106" s="138" t="n"/>
    </row>
    <row r="107">
      <c r="H107" s="138" t="n"/>
      <c r="N107" s="138" t="n"/>
    </row>
    <row r="108">
      <c r="H108" s="138" t="n"/>
      <c r="N108" s="138" t="n"/>
    </row>
    <row r="109">
      <c r="H109" s="138" t="n"/>
      <c r="N109" s="138" t="n"/>
    </row>
    <row r="110">
      <c r="H110" s="138" t="n"/>
      <c r="N110" s="138" t="n"/>
    </row>
    <row r="111">
      <c r="H111" s="138" t="n"/>
      <c r="N111" s="138" t="n"/>
    </row>
    <row r="112">
      <c r="H112" s="138" t="n"/>
      <c r="N112" s="138" t="n"/>
    </row>
    <row r="113">
      <c r="H113" s="138" t="n"/>
      <c r="N113" s="138" t="n"/>
    </row>
    <row r="114">
      <c r="H114" s="138" t="n"/>
      <c r="N114" s="138" t="n"/>
    </row>
    <row r="115">
      <c r="H115" s="138" t="n"/>
      <c r="N115" s="138" t="n"/>
    </row>
    <row r="116">
      <c r="H116" s="138" t="n"/>
      <c r="N116" s="138" t="n"/>
    </row>
    <row r="117">
      <c r="H117" s="138" t="n"/>
      <c r="N117" s="138" t="n"/>
    </row>
    <row r="118">
      <c r="H118" s="138" t="n"/>
      <c r="N118" s="138" t="n"/>
    </row>
    <row r="119">
      <c r="H119" s="138" t="n"/>
      <c r="N119" s="138" t="n"/>
    </row>
    <row r="120">
      <c r="H120" s="138" t="n"/>
      <c r="N120" s="138" t="n"/>
    </row>
    <row r="121">
      <c r="H121" s="138" t="n"/>
      <c r="N121" s="138" t="n"/>
    </row>
    <row r="122">
      <c r="H122" s="138" t="n"/>
      <c r="N122" s="138" t="n"/>
    </row>
    <row r="123">
      <c r="H123" s="138" t="n"/>
      <c r="N123" s="138" t="n"/>
    </row>
    <row r="124">
      <c r="H124" s="138" t="n"/>
      <c r="N124" s="138" t="n"/>
    </row>
    <row r="125">
      <c r="H125" s="138" t="n"/>
      <c r="N125" s="138" t="n"/>
    </row>
    <row r="126">
      <c r="H126" s="138" t="n"/>
      <c r="N126" s="138" t="n"/>
    </row>
    <row r="127">
      <c r="H127" s="138" t="n"/>
      <c r="N127" s="138" t="n"/>
    </row>
    <row r="128">
      <c r="H128" s="138" t="n"/>
      <c r="N128" s="138" t="n"/>
    </row>
    <row r="129">
      <c r="H129" s="138" t="n"/>
      <c r="N129" s="138" t="n"/>
    </row>
    <row r="130">
      <c r="H130" s="138" t="n"/>
      <c r="N130" s="138" t="n"/>
    </row>
    <row r="131">
      <c r="H131" s="138" t="n"/>
      <c r="N131" s="138" t="n"/>
    </row>
    <row r="132">
      <c r="H132" s="138" t="n"/>
      <c r="N132" s="138" t="n"/>
    </row>
    <row r="133">
      <c r="H133" s="138" t="n"/>
      <c r="N133" s="138" t="n"/>
    </row>
    <row r="134">
      <c r="H134" s="138" t="n"/>
      <c r="N134" s="138" t="n"/>
    </row>
    <row r="135">
      <c r="H135" s="138" t="n"/>
      <c r="N135" s="138" t="n"/>
    </row>
    <row r="136">
      <c r="H136" s="138" t="n"/>
      <c r="N136" s="138" t="n"/>
    </row>
    <row r="137">
      <c r="H137" s="138" t="n"/>
      <c r="N137" s="138" t="n"/>
    </row>
    <row r="138">
      <c r="H138" s="138" t="n"/>
      <c r="N138" s="138" t="n"/>
    </row>
    <row r="139">
      <c r="H139" s="138" t="n"/>
      <c r="N139" s="138" t="n"/>
    </row>
    <row r="140">
      <c r="H140" s="138" t="n"/>
      <c r="N140" s="138" t="n"/>
    </row>
    <row r="141">
      <c r="H141" s="138" t="n"/>
      <c r="N141" s="138" t="n"/>
    </row>
    <row r="142">
      <c r="H142" s="138" t="n"/>
      <c r="N142" s="138" t="n"/>
    </row>
    <row r="143">
      <c r="H143" s="138" t="n"/>
      <c r="N143" s="138" t="n"/>
    </row>
    <row r="144">
      <c r="H144" s="138" t="n"/>
      <c r="N144" s="138" t="n"/>
    </row>
    <row r="145">
      <c r="H145" s="138" t="n"/>
      <c r="N145" s="138" t="n"/>
    </row>
    <row r="146">
      <c r="H146" s="138" t="n"/>
      <c r="N146" s="138" t="n"/>
    </row>
    <row r="147">
      <c r="H147" s="138" t="n"/>
      <c r="N147" s="138" t="n"/>
    </row>
    <row r="148">
      <c r="H148" s="138" t="n"/>
      <c r="N148" s="138" t="n"/>
    </row>
    <row r="149">
      <c r="H149" s="138" t="n"/>
      <c r="N149" s="138" t="n"/>
    </row>
    <row r="150">
      <c r="H150" s="138" t="n"/>
      <c r="N150" s="138" t="n"/>
    </row>
    <row r="151">
      <c r="H151" s="138" t="n"/>
      <c r="N151" s="138" t="n"/>
    </row>
    <row r="152">
      <c r="H152" s="138" t="n"/>
      <c r="N152" s="138" t="n"/>
    </row>
    <row r="153">
      <c r="H153" s="138" t="n"/>
      <c r="N153" s="138" t="n"/>
    </row>
    <row r="154">
      <c r="H154" s="138" t="n"/>
      <c r="N154" s="138" t="n"/>
    </row>
    <row r="155">
      <c r="H155" s="138" t="n"/>
      <c r="N155" s="138" t="n"/>
    </row>
    <row r="156">
      <c r="H156" s="138" t="n"/>
      <c r="N156" s="138" t="n"/>
    </row>
    <row r="157">
      <c r="H157" s="138" t="n"/>
      <c r="N157" s="138" t="n"/>
    </row>
    <row r="158">
      <c r="H158" s="138" t="n"/>
      <c r="N158" s="138" t="n"/>
    </row>
    <row r="159">
      <c r="H159" s="138" t="n"/>
      <c r="N159" s="138" t="n"/>
    </row>
    <row r="160">
      <c r="H160" s="138" t="n"/>
      <c r="N160" s="138" t="n"/>
    </row>
    <row r="161">
      <c r="H161" s="138" t="n"/>
      <c r="N161" s="138" t="n"/>
    </row>
    <row r="162">
      <c r="H162" s="138" t="n"/>
      <c r="N162" s="138" t="n"/>
    </row>
    <row r="163">
      <c r="H163" s="138" t="n"/>
      <c r="N163" s="138" t="n"/>
    </row>
    <row r="164">
      <c r="H164" s="138" t="n"/>
      <c r="N164" s="138" t="n"/>
    </row>
    <row r="165">
      <c r="H165" s="138" t="n"/>
      <c r="N165" s="138" t="n"/>
    </row>
    <row r="166">
      <c r="H166" s="138" t="n"/>
      <c r="N166" s="138" t="n"/>
    </row>
    <row r="167">
      <c r="H167" s="138" t="n"/>
      <c r="N167" s="138" t="n"/>
    </row>
    <row r="168">
      <c r="H168" s="138" t="n"/>
      <c r="N168" s="138" t="n"/>
    </row>
    <row r="169">
      <c r="H169" s="138" t="n"/>
      <c r="N169" s="138" t="n"/>
    </row>
    <row r="170">
      <c r="H170" s="138" t="n"/>
      <c r="N170" s="138" t="n"/>
    </row>
    <row r="171">
      <c r="H171" s="138" t="n"/>
      <c r="N171" s="138" t="n"/>
    </row>
    <row r="172">
      <c r="H172" s="138" t="n"/>
      <c r="N172" s="138" t="n"/>
    </row>
    <row r="173">
      <c r="H173" s="138" t="n"/>
      <c r="N173" s="138" t="n"/>
    </row>
    <row r="174">
      <c r="H174" s="138" t="n"/>
      <c r="N174" s="138" t="n"/>
    </row>
    <row r="175">
      <c r="H175" s="138" t="n"/>
      <c r="N175" s="138" t="n"/>
    </row>
    <row r="176">
      <c r="H176" s="138" t="n"/>
      <c r="N176" s="138" t="n"/>
    </row>
    <row r="177">
      <c r="H177" s="138" t="n"/>
      <c r="N177" s="138" t="n"/>
    </row>
    <row r="178">
      <c r="H178" s="138" t="n"/>
      <c r="N178" s="138" t="n"/>
    </row>
    <row r="179">
      <c r="H179" s="138" t="n"/>
      <c r="N179" s="138" t="n"/>
    </row>
    <row r="180">
      <c r="H180" s="138" t="n"/>
      <c r="N180" s="138" t="n"/>
    </row>
    <row r="181">
      <c r="H181" s="138" t="n"/>
      <c r="N181" s="138" t="n"/>
    </row>
    <row r="182">
      <c r="H182" s="138" t="n"/>
      <c r="N182" s="138" t="n"/>
    </row>
    <row r="183">
      <c r="H183" s="138" t="n"/>
      <c r="N183" s="138" t="n"/>
    </row>
    <row r="184">
      <c r="H184" s="138" t="n"/>
      <c r="N184" s="138" t="n"/>
    </row>
    <row r="185">
      <c r="H185" s="138" t="n"/>
      <c r="N185" s="138" t="n"/>
    </row>
    <row r="186">
      <c r="H186" s="138" t="n"/>
      <c r="N186" s="138" t="n"/>
    </row>
    <row r="187">
      <c r="H187" s="138" t="n"/>
      <c r="N187" s="138" t="n"/>
    </row>
    <row r="188">
      <c r="H188" s="138" t="n"/>
      <c r="N188" s="138" t="n"/>
    </row>
    <row r="189">
      <c r="H189" s="138" t="n"/>
      <c r="N189" s="138" t="n"/>
    </row>
    <row r="190">
      <c r="H190" s="138" t="n"/>
      <c r="N190" s="138" t="n"/>
    </row>
    <row r="191">
      <c r="H191" s="138" t="n"/>
      <c r="N191" s="138" t="n"/>
    </row>
    <row r="192">
      <c r="H192" s="138" t="n"/>
      <c r="N192" s="138" t="n"/>
    </row>
    <row r="193">
      <c r="H193" s="138" t="n"/>
      <c r="N193" s="138" t="n"/>
    </row>
    <row r="194">
      <c r="H194" s="138" t="n"/>
      <c r="N194" s="138" t="n"/>
    </row>
    <row r="195">
      <c r="H195" s="138" t="n"/>
      <c r="N195" s="138" t="n"/>
    </row>
    <row r="196">
      <c r="H196" s="138" t="n"/>
      <c r="N196" s="138" t="n"/>
    </row>
    <row r="197">
      <c r="H197" s="138" t="n"/>
      <c r="N197" s="138" t="n"/>
    </row>
    <row r="198">
      <c r="H198" s="138" t="n"/>
      <c r="N198" s="138" t="n"/>
    </row>
    <row r="199">
      <c r="H199" s="138" t="n"/>
      <c r="N199" s="138" t="n"/>
    </row>
    <row r="200">
      <c r="H200" s="138" t="n"/>
      <c r="N200" s="138" t="n"/>
    </row>
  </sheetData>
  <mergeCells count="1">
    <mergeCell ref="A8:Q8"/>
  </mergeCells>
  <pageMargins left="0.75" right="0.75" top="1" bottom="1" header="0.5" footer="0.5"/>
</worksheet>
</file>

<file path=xl/worksheets/sheet13.xml><?xml version="1.0" encoding="utf-8"?>
<worksheet xmlns="http://schemas.openxmlformats.org/spreadsheetml/2006/main">
  <sheetPr>
    <tabColor rgb="00385723"/>
    <outlinePr summaryBelow="1" summaryRight="1"/>
    <pageSetUpPr/>
  </sheetPr>
  <dimension ref="A1:K83"/>
  <sheetViews>
    <sheetView workbookViewId="0">
      <pane ySplit="2" topLeftCell="A3" activePane="bottomLeft" state="frozen"/>
      <selection pane="bottomLeft" activeCell="A1" sqref="A1"/>
    </sheetView>
  </sheetViews>
  <sheetFormatPr baseColWidth="8" defaultRowHeight="15"/>
  <cols>
    <col width="8" customWidth="1" style="42" min="1" max="1"/>
    <col width="7" customWidth="1" style="42" min="2" max="2"/>
    <col width="30" customWidth="1" style="42" min="3" max="3"/>
    <col width="30" customWidth="1" style="42" min="4" max="4"/>
    <col width="16" customWidth="1" style="42" min="5" max="5"/>
    <col width="14" customWidth="1" style="42" min="6" max="6"/>
    <col width="16" customWidth="1" style="42" min="7" max="7"/>
    <col width="11" customWidth="1" style="42" min="8" max="8"/>
    <col width="34" customWidth="1" style="42" min="9" max="9"/>
    <col width="10" customWidth="1" style="42" min="10" max="10"/>
    <col width="22" customWidth="1" style="42" min="11" max="11"/>
  </cols>
  <sheetData>
    <row r="1">
      <c r="A1" s="139" t="inlineStr">
        <is>
          <t>SOURCE: Beckham County Section 27 grantor index (11N_25W_27_Index.pdf, 27 ledger pages rendered &amp; read visually). Confidence H = typed entry independently cross-checked against the working report's Runsheet/OGLs; M = typed/legible; L = handwritten/partially legible. This index VERIFIES the leasehold (OGL/assignment/ORRI) layer of the report. It does NOT contain the 2017-2026 corporate assignment instruments (2266/194, 2307/894, 2308/123, 2340/218, 2401/214, 2451/4, 2480/824) — those remain as cited in the report and were NOT independently verifiable from this index (no OKCountyRecords API access in this environment).</t>
        </is>
      </c>
    </row>
    <row r="2">
      <c r="A2" s="140" t="inlineStr">
        <is>
          <t>Ledger Pg</t>
        </is>
      </c>
      <c r="B2" s="140" t="inlineStr">
        <is>
          <t>Seq #</t>
        </is>
      </c>
      <c r="C2" s="140" t="inlineStr">
        <is>
          <t>Grantor</t>
        </is>
      </c>
      <c r="D2" s="140" t="inlineStr">
        <is>
          <t>Grantee</t>
        </is>
      </c>
      <c r="E2" s="140" t="inlineStr">
        <is>
          <t>Kind</t>
        </is>
      </c>
      <c r="F2" s="140" t="inlineStr">
        <is>
          <t>Acres/Qtrs</t>
        </is>
      </c>
      <c r="G2" s="140" t="inlineStr">
        <is>
          <t>Book/Page</t>
        </is>
      </c>
      <c r="H2" s="140" t="inlineStr">
        <is>
          <t>Date</t>
        </is>
      </c>
      <c r="I2" s="140" t="inlineStr">
        <is>
          <t>Remarks</t>
        </is>
      </c>
      <c r="J2" s="140" t="inlineStr">
        <is>
          <t>Confidence</t>
        </is>
      </c>
      <c r="K2" s="140" t="inlineStr">
        <is>
          <t>Workbook Cross-check</t>
        </is>
      </c>
    </row>
    <row r="3">
      <c r="A3" s="141" t="inlineStr">
        <is>
          <t>0</t>
        </is>
      </c>
      <c r="B3" s="141" t="inlineStr">
        <is>
          <t>-</t>
        </is>
      </c>
      <c r="C3" s="141" t="inlineStr">
        <is>
          <t>United States / early patentees</t>
        </is>
      </c>
      <c r="D3" s="141" t="inlineStr">
        <is>
          <t>various</t>
        </is>
      </c>
      <c r="E3" s="141" t="inlineStr">
        <is>
          <t>Patent/early deeds</t>
        </is>
      </c>
      <c r="F3" s="141" t="inlineStr">
        <is>
          <t>Sec 27</t>
        </is>
      </c>
      <c r="G3" s="141" t="inlineStr">
        <is>
          <t>159;157;3/62;160-4-136;80-6-184</t>
        </is>
      </c>
      <c r="H3" s="141" t="inlineStr">
        <is>
          <t>1900s</t>
        </is>
      </c>
      <c r="I3" s="141" t="inlineStr">
        <is>
          <t>oldest chain; sparse</t>
        </is>
      </c>
      <c r="J3" s="141" t="inlineStr">
        <is>
          <t>L</t>
        </is>
      </c>
      <c r="K3" s="141" t="inlineStr"/>
    </row>
    <row r="4">
      <c r="A4" s="141" t="inlineStr">
        <is>
          <t>1</t>
        </is>
      </c>
      <c r="B4" s="141" t="inlineStr">
        <is>
          <t>-</t>
        </is>
      </c>
      <c r="C4" s="141" t="inlineStr">
        <is>
          <t>Bankhead, Coffey, Brower, Martin, Nelson, Davis, Jefferson et al.</t>
        </is>
      </c>
      <c r="D4" s="141" t="inlineStr">
        <is>
          <t>various</t>
        </is>
      </c>
      <c r="E4" s="141" t="inlineStr">
        <is>
          <t>WD/Mtg/Rel (old chain)</t>
        </is>
      </c>
      <c r="F4" s="141" t="inlineStr">
        <is>
          <t>Sec 27 qtrs</t>
        </is>
      </c>
      <c r="G4" s="141" t="inlineStr">
        <is>
          <t>120/1/39;120/6/24;120/2/422;160/8/523;160/4/260</t>
        </is>
      </c>
      <c r="H4" s="141" t="inlineStr">
        <is>
          <t>1900s-1940s</t>
        </is>
      </c>
      <c r="I4" s="141" t="inlineStr">
        <is>
          <t>grantor index Page 1; surface/mineral chain</t>
        </is>
      </c>
      <c r="J4" s="141" t="inlineStr">
        <is>
          <t>L</t>
        </is>
      </c>
      <c r="K4" s="141" t="inlineStr"/>
    </row>
    <row r="5">
      <c r="A5" s="141" t="inlineStr">
        <is>
          <t>2</t>
        </is>
      </c>
      <c r="B5" s="141" t="inlineStr">
        <is>
          <t>-</t>
        </is>
      </c>
      <c r="C5" s="141" t="inlineStr">
        <is>
          <t>Davis, Brower, Martin, Murray, Coffey, Burris, Bankhead et al.</t>
        </is>
      </c>
      <c r="D5" s="141" t="inlineStr">
        <is>
          <t>various</t>
        </is>
      </c>
      <c r="E5" s="141" t="inlineStr">
        <is>
          <t>Mtg/Rel/WD (old chain)</t>
        </is>
      </c>
      <c r="F5" s="141" t="inlineStr">
        <is>
          <t>Sec 27 qtrs</t>
        </is>
      </c>
      <c r="G5" s="141" t="inlineStr">
        <is>
          <t>(various, handwritten)</t>
        </is>
      </c>
      <c r="H5" s="141" t="inlineStr">
        <is>
          <t>1900s-1950s</t>
        </is>
      </c>
      <c r="I5" s="141" t="inlineStr">
        <is>
          <t>grantor index Page 2</t>
        </is>
      </c>
      <c r="J5" s="141" t="inlineStr">
        <is>
          <t>L</t>
        </is>
      </c>
      <c r="K5" s="141" t="inlineStr"/>
    </row>
    <row r="6">
      <c r="A6" s="141" t="inlineStr">
        <is>
          <t>12</t>
        </is>
      </c>
      <c r="B6" s="141" t="inlineStr">
        <is>
          <t>-</t>
        </is>
      </c>
      <c r="C6" s="141" t="inlineStr">
        <is>
          <t>Mandrell Farms, Inc.</t>
        </is>
      </c>
      <c r="D6" s="141" t="inlineStr">
        <is>
          <t>T. S. Dudley Land Co., Inc.</t>
        </is>
      </c>
      <c r="E6" s="141" t="inlineStr">
        <is>
          <t>OL</t>
        </is>
      </c>
      <c r="F6" s="141" t="inlineStr">
        <is>
          <t>SW/4</t>
        </is>
      </c>
      <c r="G6" s="141" t="inlineStr">
        <is>
          <t>1387/232</t>
        </is>
      </c>
      <c r="H6" s="141" t="inlineStr">
        <is>
          <t>1994</t>
        </is>
      </c>
      <c r="I6" s="141" t="inlineStr">
        <is>
          <t>Mandrell Farms base lease (Tract 4)</t>
        </is>
      </c>
      <c r="J6" s="141" t="inlineStr">
        <is>
          <t>H</t>
        </is>
      </c>
      <c r="K6" s="141" t="inlineStr">
        <is>
          <t>WB Tract4 1387/232</t>
        </is>
      </c>
    </row>
    <row r="7">
      <c r="A7" s="141" t="inlineStr">
        <is>
          <t>12</t>
        </is>
      </c>
      <c r="B7" s="141" t="inlineStr">
        <is>
          <t>-</t>
        </is>
      </c>
      <c r="C7" s="141" t="inlineStr">
        <is>
          <t>T. S. Dudley Land Co., Inc.</t>
        </is>
      </c>
      <c r="D7" s="141" t="inlineStr">
        <is>
          <t>Apache Corporation</t>
        </is>
      </c>
      <c r="E7" s="141" t="inlineStr">
        <is>
          <t>Assign</t>
        </is>
      </c>
      <c r="F7" s="141" t="inlineStr">
        <is>
          <t>SW/4</t>
        </is>
      </c>
      <c r="G7" s="141" t="inlineStr">
        <is>
          <t>1401/173</t>
        </is>
      </c>
      <c r="H7" s="141" t="inlineStr">
        <is>
          <t>1995</t>
        </is>
      </c>
      <c r="I7" s="141" t="inlineStr">
        <is>
          <t>leasehold assignment</t>
        </is>
      </c>
      <c r="J7" s="141" t="inlineStr">
        <is>
          <t>M</t>
        </is>
      </c>
      <c r="K7" s="141" t="inlineStr"/>
    </row>
    <row r="8">
      <c r="A8" s="141" t="inlineStr">
        <is>
          <t>12</t>
        </is>
      </c>
      <c r="B8" s="141" t="inlineStr">
        <is>
          <t>-</t>
        </is>
      </c>
      <c r="C8" s="141" t="inlineStr">
        <is>
          <t>Apache Corporation</t>
        </is>
      </c>
      <c r="D8" s="141" t="inlineStr">
        <is>
          <t>Mandrell Farms, Inc.</t>
        </is>
      </c>
      <c r="E8" s="141" t="inlineStr">
        <is>
          <t>Release</t>
        </is>
      </c>
      <c r="F8" s="141" t="inlineStr">
        <is>
          <t>SW/4</t>
        </is>
      </c>
      <c r="G8" s="141" t="inlineStr">
        <is>
          <t>1410/54 (ref 1397-232)</t>
        </is>
      </c>
      <c r="H8" s="141" t="inlineStr">
        <is>
          <t>4-19-95</t>
        </is>
      </c>
      <c r="I8" s="141" t="inlineStr">
        <is>
          <t>release</t>
        </is>
      </c>
      <c r="J8" s="141" t="inlineStr">
        <is>
          <t>M</t>
        </is>
      </c>
      <c r="K8" s="141" t="inlineStr"/>
    </row>
    <row r="9">
      <c r="A9" s="141" t="inlineStr">
        <is>
          <t>12</t>
        </is>
      </c>
      <c r="B9" s="141" t="inlineStr">
        <is>
          <t>-</t>
        </is>
      </c>
      <c r="C9" s="141" t="inlineStr">
        <is>
          <t>Bennett Family Trust</t>
        </is>
      </c>
      <c r="D9" s="141" t="inlineStr">
        <is>
          <t>Arrowhead Resources, Inc.</t>
        </is>
      </c>
      <c r="E9" s="141" t="inlineStr">
        <is>
          <t>OL</t>
        </is>
      </c>
      <c r="F9" s="141" t="inlineStr">
        <is>
          <t>SE/4</t>
        </is>
      </c>
      <c r="G9" s="141" t="inlineStr">
        <is>
          <t>1419/238</t>
        </is>
      </c>
      <c r="H9" s="141" t="inlineStr">
        <is>
          <t>5-23-95</t>
        </is>
      </c>
      <c r="I9" s="141" t="inlineStr">
        <is>
          <t>3yr</t>
        </is>
      </c>
      <c r="J9" s="141" t="inlineStr">
        <is>
          <t>M</t>
        </is>
      </c>
      <c r="K9" s="141" t="inlineStr"/>
    </row>
    <row r="10">
      <c r="A10" s="141" t="inlineStr">
        <is>
          <t>12</t>
        </is>
      </c>
      <c r="B10" s="141" t="inlineStr">
        <is>
          <t>-</t>
        </is>
      </c>
      <c r="C10" s="141" t="inlineStr">
        <is>
          <t>Darcy Coale Agency</t>
        </is>
      </c>
      <c r="D10" s="141" t="inlineStr">
        <is>
          <t>Arrowhead Resources, Inc.</t>
        </is>
      </c>
      <c r="E10" s="141" t="inlineStr">
        <is>
          <t>OL</t>
        </is>
      </c>
      <c r="F10" s="141" t="inlineStr">
        <is>
          <t>SE/4</t>
        </is>
      </c>
      <c r="G10" s="141" t="inlineStr">
        <is>
          <t>1419/241</t>
        </is>
      </c>
      <c r="H10" s="141" t="inlineStr">
        <is>
          <t>5-23-95</t>
        </is>
      </c>
      <c r="I10" s="141" t="inlineStr">
        <is>
          <t>3yr</t>
        </is>
      </c>
      <c r="J10" s="141" t="inlineStr">
        <is>
          <t>M</t>
        </is>
      </c>
      <c r="K10" s="141" t="inlineStr"/>
    </row>
    <row r="11">
      <c r="A11" s="141" t="inlineStr">
        <is>
          <t>12</t>
        </is>
      </c>
      <c r="B11" s="141" t="inlineStr">
        <is>
          <t>-</t>
        </is>
      </c>
      <c r="C11" s="141" t="inlineStr">
        <is>
          <t>Laura D. Bennett Trust</t>
        </is>
      </c>
      <c r="D11" s="141" t="inlineStr">
        <is>
          <t>Arrowhead Resources, Inc.</t>
        </is>
      </c>
      <c r="E11" s="141" t="inlineStr">
        <is>
          <t>OL</t>
        </is>
      </c>
      <c r="F11" s="141" t="inlineStr">
        <is>
          <t>SE/4</t>
        </is>
      </c>
      <c r="G11" s="141" t="inlineStr">
        <is>
          <t>1419/244</t>
        </is>
      </c>
      <c r="H11" s="141" t="inlineStr">
        <is>
          <t>5-23-95</t>
        </is>
      </c>
      <c r="I11" s="141" t="inlineStr">
        <is>
          <t>3yr</t>
        </is>
      </c>
      <c r="J11" s="141" t="inlineStr">
        <is>
          <t>M</t>
        </is>
      </c>
      <c r="K11" s="141" t="inlineStr"/>
    </row>
    <row r="12">
      <c r="A12" s="141" t="inlineStr">
        <is>
          <t>12</t>
        </is>
      </c>
      <c r="B12" s="141" t="inlineStr">
        <is>
          <t>-</t>
        </is>
      </c>
      <c r="C12" s="141" t="inlineStr">
        <is>
          <t>Gordon, Donald E.</t>
        </is>
      </c>
      <c r="D12" s="141" t="inlineStr">
        <is>
          <t>French Energy, Inc.</t>
        </is>
      </c>
      <c r="E12" s="141" t="inlineStr">
        <is>
          <t>OL</t>
        </is>
      </c>
      <c r="F12" s="141" t="inlineStr">
        <is>
          <t>NE/4</t>
        </is>
      </c>
      <c r="G12" s="141" t="inlineStr">
        <is>
          <t>1432/20</t>
        </is>
      </c>
      <c r="H12" s="141" t="inlineStr">
        <is>
          <t>8-14-95</t>
        </is>
      </c>
      <c r="I12" s="141" t="inlineStr">
        <is>
          <t>French Energy top-lease block</t>
        </is>
      </c>
      <c r="J12" s="141" t="inlineStr">
        <is>
          <t>H</t>
        </is>
      </c>
      <c r="K12" s="141" t="inlineStr">
        <is>
          <t>WB 1432/20</t>
        </is>
      </c>
    </row>
    <row r="13">
      <c r="A13" s="141" t="inlineStr">
        <is>
          <t>12</t>
        </is>
      </c>
      <c r="B13" s="141" t="inlineStr">
        <is>
          <t>-</t>
        </is>
      </c>
      <c r="C13" s="141" t="inlineStr">
        <is>
          <t>Davis, Chloe E. Rev. Living Trust</t>
        </is>
      </c>
      <c r="D13" s="141" t="inlineStr">
        <is>
          <t>French Energy, Inc.</t>
        </is>
      </c>
      <c r="E13" s="141" t="inlineStr">
        <is>
          <t>OL</t>
        </is>
      </c>
      <c r="F13" s="141" t="inlineStr">
        <is>
          <t>NE/4</t>
        </is>
      </c>
      <c r="G13" s="141" t="inlineStr">
        <is>
          <t>1432/24</t>
        </is>
      </c>
      <c r="H13" s="141" t="inlineStr">
        <is>
          <t>8-14-95</t>
        </is>
      </c>
      <c r="I13" s="141" t="inlineStr"/>
      <c r="J13" s="141" t="inlineStr">
        <is>
          <t>H</t>
        </is>
      </c>
      <c r="K13" s="141" t="inlineStr">
        <is>
          <t>WB 1432/24</t>
        </is>
      </c>
    </row>
    <row r="14">
      <c r="A14" s="141" t="inlineStr">
        <is>
          <t>12</t>
        </is>
      </c>
      <c r="B14" s="141" t="inlineStr">
        <is>
          <t>-</t>
        </is>
      </c>
      <c r="C14" s="141" t="inlineStr">
        <is>
          <t>Fuchs, Howard G. Trust</t>
        </is>
      </c>
      <c r="D14" s="141" t="inlineStr">
        <is>
          <t>French Energy, Inc.</t>
        </is>
      </c>
      <c r="E14" s="141" t="inlineStr">
        <is>
          <t>OL</t>
        </is>
      </c>
      <c r="F14" s="141" t="inlineStr">
        <is>
          <t>SE/4</t>
        </is>
      </c>
      <c r="G14" s="141" t="inlineStr">
        <is>
          <t>1432/28</t>
        </is>
      </c>
      <c r="H14" s="141" t="inlineStr">
        <is>
          <t>8-14-95</t>
        </is>
      </c>
      <c r="I14" s="141" t="inlineStr"/>
      <c r="J14" s="141" t="inlineStr">
        <is>
          <t>H</t>
        </is>
      </c>
      <c r="K14" s="141" t="inlineStr">
        <is>
          <t>WB 1432/28</t>
        </is>
      </c>
    </row>
    <row r="15">
      <c r="A15" s="141" t="inlineStr">
        <is>
          <t>12</t>
        </is>
      </c>
      <c r="B15" s="141" t="inlineStr">
        <is>
          <t>-</t>
        </is>
      </c>
      <c r="C15" s="141" t="inlineStr">
        <is>
          <t>Fuchs, Alfred R. &amp; F. Jeanice</t>
        </is>
      </c>
      <c r="D15" s="141" t="inlineStr">
        <is>
          <t>French Energy, Inc.</t>
        </is>
      </c>
      <c r="E15" s="141" t="inlineStr">
        <is>
          <t>OL</t>
        </is>
      </c>
      <c r="F15" s="141" t="inlineStr">
        <is>
          <t>SE/4</t>
        </is>
      </c>
      <c r="G15" s="141" t="inlineStr">
        <is>
          <t>1432/32</t>
        </is>
      </c>
      <c r="H15" s="141" t="inlineStr">
        <is>
          <t>8-14-95</t>
        </is>
      </c>
      <c r="I15" s="141" t="inlineStr"/>
      <c r="J15" s="141" t="inlineStr">
        <is>
          <t>H</t>
        </is>
      </c>
      <c r="K15" s="141" t="inlineStr">
        <is>
          <t>WB 1432/32</t>
        </is>
      </c>
    </row>
    <row r="16">
      <c r="A16" s="141" t="inlineStr">
        <is>
          <t>12</t>
        </is>
      </c>
      <c r="B16" s="141" t="inlineStr">
        <is>
          <t>-</t>
        </is>
      </c>
      <c r="C16" s="141" t="inlineStr">
        <is>
          <t>Mead, Boyd M.</t>
        </is>
      </c>
      <c r="D16" s="141" t="inlineStr">
        <is>
          <t>French Energy, Inc.</t>
        </is>
      </c>
      <c r="E16" s="141" t="inlineStr">
        <is>
          <t>OL</t>
        </is>
      </c>
      <c r="F16" s="141" t="inlineStr">
        <is>
          <t>SE/4</t>
        </is>
      </c>
      <c r="G16" s="141" t="inlineStr">
        <is>
          <t>1432/36</t>
        </is>
      </c>
      <c r="H16" s="141" t="inlineStr">
        <is>
          <t>8-14-95</t>
        </is>
      </c>
      <c r="I16" s="141" t="inlineStr"/>
      <c r="J16" s="141" t="inlineStr">
        <is>
          <t>H</t>
        </is>
      </c>
      <c r="K16" s="141" t="inlineStr">
        <is>
          <t>WB 1432/36</t>
        </is>
      </c>
    </row>
    <row r="17">
      <c r="A17" s="141" t="inlineStr">
        <is>
          <t>12</t>
        </is>
      </c>
      <c r="B17" s="141" t="inlineStr">
        <is>
          <t>-</t>
        </is>
      </c>
      <c r="C17" s="141" t="inlineStr">
        <is>
          <t>Benton, Marshall E. &amp; Nell</t>
        </is>
      </c>
      <c r="D17" s="141" t="inlineStr">
        <is>
          <t>French Energy, Inc.</t>
        </is>
      </c>
      <c r="E17" s="141" t="inlineStr">
        <is>
          <t>OL</t>
        </is>
      </c>
      <c r="F17" s="141" t="inlineStr">
        <is>
          <t>NW/4</t>
        </is>
      </c>
      <c r="G17" s="141" t="inlineStr">
        <is>
          <t>1432/40</t>
        </is>
      </c>
      <c r="H17" s="141" t="inlineStr">
        <is>
          <t>8-14-95</t>
        </is>
      </c>
      <c r="I17" s="141" t="inlineStr"/>
      <c r="J17" s="141" t="inlineStr">
        <is>
          <t>H</t>
        </is>
      </c>
      <c r="K17" s="141" t="inlineStr">
        <is>
          <t>WB 1432/40</t>
        </is>
      </c>
    </row>
    <row r="18">
      <c r="A18" s="141" t="inlineStr">
        <is>
          <t>12</t>
        </is>
      </c>
      <c r="B18" s="141" t="inlineStr">
        <is>
          <t>-</t>
        </is>
      </c>
      <c r="C18" s="141" t="inlineStr">
        <is>
          <t>Benton, Gary Kent</t>
        </is>
      </c>
      <c r="D18" s="141" t="inlineStr">
        <is>
          <t>French Energy, Inc.</t>
        </is>
      </c>
      <c r="E18" s="141" t="inlineStr">
        <is>
          <t>OL</t>
        </is>
      </c>
      <c r="F18" s="141" t="inlineStr">
        <is>
          <t>NW/4</t>
        </is>
      </c>
      <c r="G18" s="141" t="inlineStr">
        <is>
          <t>1432/44</t>
        </is>
      </c>
      <c r="H18" s="141" t="inlineStr">
        <is>
          <t>8-14-95</t>
        </is>
      </c>
      <c r="I18" s="141" t="inlineStr"/>
      <c r="J18" s="141" t="inlineStr">
        <is>
          <t>H</t>
        </is>
      </c>
      <c r="K18" s="141" t="inlineStr">
        <is>
          <t>WB 1432/44</t>
        </is>
      </c>
    </row>
    <row r="19">
      <c r="A19" s="141" t="inlineStr">
        <is>
          <t>12</t>
        </is>
      </c>
      <c r="B19" s="141" t="inlineStr">
        <is>
          <t>-</t>
        </is>
      </c>
      <c r="C19" s="141" t="inlineStr">
        <is>
          <t>Sites, Betty</t>
        </is>
      </c>
      <c r="D19" s="141" t="inlineStr">
        <is>
          <t>French Energy, Inc.</t>
        </is>
      </c>
      <c r="E19" s="141" t="inlineStr">
        <is>
          <t>OL</t>
        </is>
      </c>
      <c r="F19" s="141" t="inlineStr">
        <is>
          <t>NW/4</t>
        </is>
      </c>
      <c r="G19" s="141" t="inlineStr">
        <is>
          <t>1432/48</t>
        </is>
      </c>
      <c r="H19" s="141" t="inlineStr">
        <is>
          <t>8-14-95</t>
        </is>
      </c>
      <c r="I19" s="141" t="inlineStr"/>
      <c r="J19" s="141" t="inlineStr">
        <is>
          <t>H</t>
        </is>
      </c>
      <c r="K19" s="141" t="inlineStr">
        <is>
          <t>WB 1432/48</t>
        </is>
      </c>
    </row>
    <row r="20">
      <c r="A20" s="141" t="inlineStr">
        <is>
          <t>13</t>
        </is>
      </c>
      <c r="B20" s="141" t="inlineStr">
        <is>
          <t>4031</t>
        </is>
      </c>
      <c r="C20" s="141" t="inlineStr">
        <is>
          <t>Christopher, Radonna Kay</t>
        </is>
      </c>
      <c r="D20" s="141" t="inlineStr">
        <is>
          <t>French Energy, Inc.</t>
        </is>
      </c>
      <c r="E20" s="141" t="inlineStr">
        <is>
          <t>OL</t>
        </is>
      </c>
      <c r="F20" s="141" t="inlineStr">
        <is>
          <t>NW/4</t>
        </is>
      </c>
      <c r="G20" s="141" t="inlineStr">
        <is>
          <t>1432/52</t>
        </is>
      </c>
      <c r="H20" s="141" t="inlineStr">
        <is>
          <t>8-15-95</t>
        </is>
      </c>
      <c r="I20" s="141" t="inlineStr"/>
      <c r="J20" s="141" t="inlineStr">
        <is>
          <t>H</t>
        </is>
      </c>
      <c r="K20" s="141" t="inlineStr">
        <is>
          <t>WB 1432/52</t>
        </is>
      </c>
    </row>
    <row r="21">
      <c r="A21" s="141" t="inlineStr">
        <is>
          <t>13</t>
        </is>
      </c>
      <c r="B21" s="141" t="inlineStr">
        <is>
          <t>4032</t>
        </is>
      </c>
      <c r="C21" s="141" t="inlineStr">
        <is>
          <t>Sites, Michael Ray</t>
        </is>
      </c>
      <c r="D21" s="141" t="inlineStr">
        <is>
          <t>French Energy, Inc.</t>
        </is>
      </c>
      <c r="E21" s="141" t="inlineStr">
        <is>
          <t>OL</t>
        </is>
      </c>
      <c r="F21" s="141" t="inlineStr">
        <is>
          <t>NW/4</t>
        </is>
      </c>
      <c r="G21" s="141" t="inlineStr">
        <is>
          <t>1432/56</t>
        </is>
      </c>
      <c r="H21" s="141" t="inlineStr">
        <is>
          <t>8-15-95</t>
        </is>
      </c>
      <c r="I21" s="141" t="inlineStr"/>
      <c r="J21" s="141" t="inlineStr">
        <is>
          <t>H</t>
        </is>
      </c>
      <c r="K21" s="141" t="inlineStr">
        <is>
          <t>WB 1432/56</t>
        </is>
      </c>
    </row>
    <row r="22">
      <c r="A22" s="141" t="inlineStr">
        <is>
          <t>13</t>
        </is>
      </c>
      <c r="B22" s="141" t="inlineStr">
        <is>
          <t>4033</t>
        </is>
      </c>
      <c r="C22" s="141" t="inlineStr">
        <is>
          <t>Harbour, Melody Denise</t>
        </is>
      </c>
      <c r="D22" s="141" t="inlineStr">
        <is>
          <t>French Energy, Inc.</t>
        </is>
      </c>
      <c r="E22" s="141" t="inlineStr">
        <is>
          <t>OL</t>
        </is>
      </c>
      <c r="F22" s="141" t="inlineStr">
        <is>
          <t>NW/4</t>
        </is>
      </c>
      <c r="G22" s="141" t="inlineStr">
        <is>
          <t>1432/60</t>
        </is>
      </c>
      <c r="H22" s="141" t="inlineStr">
        <is>
          <t>8-15-95</t>
        </is>
      </c>
      <c r="I22" s="141" t="inlineStr"/>
      <c r="J22" s="141" t="inlineStr">
        <is>
          <t>H</t>
        </is>
      </c>
      <c r="K22" s="141" t="inlineStr">
        <is>
          <t>WB 1432/60</t>
        </is>
      </c>
    </row>
    <row r="23">
      <c r="A23" s="141" t="inlineStr">
        <is>
          <t>13</t>
        </is>
      </c>
      <c r="B23" s="141" t="inlineStr">
        <is>
          <t>4034</t>
        </is>
      </c>
      <c r="C23" s="141" t="inlineStr">
        <is>
          <t>Edwards, Robert A.</t>
        </is>
      </c>
      <c r="D23" s="141" t="inlineStr">
        <is>
          <t>French Energy, Inc.</t>
        </is>
      </c>
      <c r="E23" s="141" t="inlineStr">
        <is>
          <t>OL</t>
        </is>
      </c>
      <c r="F23" s="141" t="inlineStr">
        <is>
          <t>NW/4</t>
        </is>
      </c>
      <c r="G23" s="141" t="inlineStr">
        <is>
          <t>1432/64</t>
        </is>
      </c>
      <c r="H23" s="141" t="inlineStr">
        <is>
          <t>8-15-95</t>
        </is>
      </c>
      <c r="I23" s="141" t="inlineStr"/>
      <c r="J23" s="141" t="inlineStr">
        <is>
          <t>H</t>
        </is>
      </c>
      <c r="K23" s="141" t="inlineStr">
        <is>
          <t>WB 1432/64</t>
        </is>
      </c>
    </row>
    <row r="24">
      <c r="A24" s="141" t="inlineStr">
        <is>
          <t>13</t>
        </is>
      </c>
      <c r="B24" s="141" t="inlineStr">
        <is>
          <t>4035</t>
        </is>
      </c>
      <c r="C24" s="141" t="inlineStr">
        <is>
          <t>Benton, Steven Ernest</t>
        </is>
      </c>
      <c r="D24" s="141" t="inlineStr">
        <is>
          <t>French Energy, Inc.</t>
        </is>
      </c>
      <c r="E24" s="141" t="inlineStr">
        <is>
          <t>OL</t>
        </is>
      </c>
      <c r="F24" s="141" t="inlineStr">
        <is>
          <t>NW/4</t>
        </is>
      </c>
      <c r="G24" s="141" t="inlineStr">
        <is>
          <t>1432/68</t>
        </is>
      </c>
      <c r="H24" s="141" t="inlineStr">
        <is>
          <t>8-15-95</t>
        </is>
      </c>
      <c r="I24" s="141" t="inlineStr"/>
      <c r="J24" s="141" t="inlineStr">
        <is>
          <t>H</t>
        </is>
      </c>
      <c r="K24" s="141" t="inlineStr">
        <is>
          <t>WB 1432/68</t>
        </is>
      </c>
    </row>
    <row r="25">
      <c r="A25" s="141" t="inlineStr">
        <is>
          <t>13</t>
        </is>
      </c>
      <c r="B25" s="141" t="inlineStr">
        <is>
          <t>4413</t>
        </is>
      </c>
      <c r="C25" s="141" t="inlineStr">
        <is>
          <t>Fuchs, Calvin W. Rev. Trust</t>
        </is>
      </c>
      <c r="D25" s="141" t="inlineStr">
        <is>
          <t>French Energy, Inc.</t>
        </is>
      </c>
      <c r="E25" s="141" t="inlineStr">
        <is>
          <t>OL</t>
        </is>
      </c>
      <c r="F25" s="141" t="inlineStr">
        <is>
          <t>SE/4</t>
        </is>
      </c>
      <c r="G25" s="141" t="inlineStr">
        <is>
          <t>1433/213</t>
        </is>
      </c>
      <c r="H25" s="141" t="inlineStr">
        <is>
          <t>8-22-95</t>
        </is>
      </c>
      <c r="I25" s="141" t="inlineStr"/>
      <c r="J25" s="141" t="inlineStr">
        <is>
          <t>H</t>
        </is>
      </c>
      <c r="K25" s="141" t="inlineStr">
        <is>
          <t>WB 1433/213</t>
        </is>
      </c>
    </row>
    <row r="26">
      <c r="A26" s="141" t="inlineStr">
        <is>
          <t>13</t>
        </is>
      </c>
      <c r="B26" s="141" t="inlineStr">
        <is>
          <t>4394</t>
        </is>
      </c>
      <c r="C26" s="141" t="inlineStr">
        <is>
          <t>Edwards, Larry D.</t>
        </is>
      </c>
      <c r="D26" s="141" t="inlineStr">
        <is>
          <t>French Energy, Inc.</t>
        </is>
      </c>
      <c r="E26" s="141" t="inlineStr">
        <is>
          <t>OL</t>
        </is>
      </c>
      <c r="F26" s="141" t="inlineStr">
        <is>
          <t>NW/4</t>
        </is>
      </c>
      <c r="G26" s="141" t="inlineStr">
        <is>
          <t>1435/159</t>
        </is>
      </c>
      <c r="H26" s="141" t="inlineStr">
        <is>
          <t>9-5-95</t>
        </is>
      </c>
      <c r="I26" s="141" t="inlineStr">
        <is>
          <t>3yr</t>
        </is>
      </c>
      <c r="J26" s="141" t="inlineStr">
        <is>
          <t>H</t>
        </is>
      </c>
      <c r="K26" s="141" t="inlineStr">
        <is>
          <t>WB 1435/159</t>
        </is>
      </c>
    </row>
    <row r="27">
      <c r="A27" s="141" t="inlineStr">
        <is>
          <t>13</t>
        </is>
      </c>
      <c r="B27" s="141" t="inlineStr">
        <is>
          <t>1065</t>
        </is>
      </c>
      <c r="C27" s="141" t="inlineStr">
        <is>
          <t>French Energy, Inc.</t>
        </is>
      </c>
      <c r="D27" s="141" t="inlineStr">
        <is>
          <t>Sanguine, Ltd.</t>
        </is>
      </c>
      <c r="E27" s="141" t="inlineStr">
        <is>
          <t>Assign (AOGL)</t>
        </is>
      </c>
      <c r="F27" s="141" t="inlineStr">
        <is>
          <t>Sec 27</t>
        </is>
      </c>
      <c r="G27" s="141" t="inlineStr">
        <is>
          <t>1504/11</t>
        </is>
      </c>
      <c r="H27" s="141" t="inlineStr">
        <is>
          <t>2-10-97</t>
        </is>
      </c>
      <c r="I27" s="141" t="inlineStr">
        <is>
          <t>assigns French Energy 1432/1433/1435 block</t>
        </is>
      </c>
      <c r="J27" s="141" t="inlineStr">
        <is>
          <t>H</t>
        </is>
      </c>
      <c r="K27" s="141" t="inlineStr">
        <is>
          <t>WB 1504/11</t>
        </is>
      </c>
    </row>
    <row r="28">
      <c r="A28" s="141" t="inlineStr">
        <is>
          <t>13</t>
        </is>
      </c>
      <c r="B28" s="141" t="inlineStr">
        <is>
          <t>1267</t>
        </is>
      </c>
      <c r="C28" s="141" t="inlineStr">
        <is>
          <t>Sanguine, Ltd.</t>
        </is>
      </c>
      <c r="D28" s="141" t="inlineStr">
        <is>
          <t>(undiv. partial)</t>
        </is>
      </c>
      <c r="E28" s="141" t="inlineStr">
        <is>
          <t>Assign (AOGL)</t>
        </is>
      </c>
      <c r="F28" s="141" t="inlineStr">
        <is>
          <t>Sec 27 less 1ac</t>
        </is>
      </c>
      <c r="G28" s="141" t="inlineStr">
        <is>
          <t>1505/31</t>
        </is>
      </c>
      <c r="H28" s="141" t="inlineStr">
        <is>
          <t>2-14-97</t>
        </is>
      </c>
      <c r="I28" s="141" t="inlineStr">
        <is>
          <t>5.60425% partial AOGL</t>
        </is>
      </c>
      <c r="J28" s="141" t="inlineStr">
        <is>
          <t>H</t>
        </is>
      </c>
      <c r="K28" s="141" t="inlineStr">
        <is>
          <t>WB 1505/31</t>
        </is>
      </c>
    </row>
    <row r="29">
      <c r="A29" s="141" t="inlineStr">
        <is>
          <t>13</t>
        </is>
      </c>
      <c r="B29" s="141" t="inlineStr">
        <is>
          <t>8467</t>
        </is>
      </c>
      <c r="C29" s="141" t="inlineStr">
        <is>
          <t>Letco Exploration</t>
        </is>
      </c>
      <c r="D29" s="141" t="inlineStr">
        <is>
          <t>Exxon Corporation</t>
        </is>
      </c>
      <c r="E29" s="141" t="inlineStr">
        <is>
          <t>Assign</t>
        </is>
      </c>
      <c r="F29" s="141" t="inlineStr">
        <is>
          <t>E/2</t>
        </is>
      </c>
      <c r="G29" s="141" t="inlineStr">
        <is>
          <t>1533/362</t>
        </is>
      </c>
      <c r="H29" s="141" t="inlineStr">
        <is>
          <t>9-15-97</t>
        </is>
      </c>
      <c r="I29" s="141" t="inlineStr"/>
      <c r="J29" s="141" t="inlineStr">
        <is>
          <t>M</t>
        </is>
      </c>
      <c r="K29" s="141" t="inlineStr"/>
    </row>
    <row r="30">
      <c r="A30" s="141" t="inlineStr">
        <is>
          <t>13</t>
        </is>
      </c>
      <c r="B30" s="141" t="inlineStr">
        <is>
          <t>5858</t>
        </is>
      </c>
      <c r="C30" s="141" t="inlineStr">
        <is>
          <t>Davis, Chloe E. Trust</t>
        </is>
      </c>
      <c r="D30" s="141" t="inlineStr">
        <is>
          <t>Arrowhead Resources, Inc.</t>
        </is>
      </c>
      <c r="E30" s="141" t="inlineStr">
        <is>
          <t>OL</t>
        </is>
      </c>
      <c r="F30" s="141" t="inlineStr">
        <is>
          <t>NE/4</t>
        </is>
      </c>
      <c r="G30" s="141" t="inlineStr">
        <is>
          <t>1574/272</t>
        </is>
      </c>
      <c r="H30" s="141" t="inlineStr">
        <is>
          <t>9-2-98</t>
        </is>
      </c>
      <c r="I30" s="141" t="inlineStr">
        <is>
          <t>2yr</t>
        </is>
      </c>
      <c r="J30" s="141" t="inlineStr">
        <is>
          <t>H</t>
        </is>
      </c>
      <c r="K30" s="141" t="inlineStr">
        <is>
          <t>WB 1574/272</t>
        </is>
      </c>
    </row>
    <row r="31">
      <c r="A31" s="141" t="inlineStr">
        <is>
          <t>13</t>
        </is>
      </c>
      <c r="B31" s="141" t="inlineStr">
        <is>
          <t>5859</t>
        </is>
      </c>
      <c r="C31" s="141" t="inlineStr">
        <is>
          <t>Fuchs, Howard G. Trust</t>
        </is>
      </c>
      <c r="D31" s="141" t="inlineStr">
        <is>
          <t>Arrowhead Resources, Inc.</t>
        </is>
      </c>
      <c r="E31" s="141" t="inlineStr">
        <is>
          <t>OL</t>
        </is>
      </c>
      <c r="F31" s="141" t="inlineStr">
        <is>
          <t>SE/4</t>
        </is>
      </c>
      <c r="G31" s="141" t="inlineStr">
        <is>
          <t>1574/276</t>
        </is>
      </c>
      <c r="H31" s="141" t="inlineStr">
        <is>
          <t>9-2-98</t>
        </is>
      </c>
      <c r="I31" s="141" t="inlineStr">
        <is>
          <t>2yr</t>
        </is>
      </c>
      <c r="J31" s="141" t="inlineStr">
        <is>
          <t>H</t>
        </is>
      </c>
      <c r="K31" s="141" t="inlineStr">
        <is>
          <t>WB 1574/276</t>
        </is>
      </c>
    </row>
    <row r="32">
      <c r="A32" s="141" t="inlineStr">
        <is>
          <t>13</t>
        </is>
      </c>
      <c r="B32" s="141" t="inlineStr">
        <is>
          <t>5860</t>
        </is>
      </c>
      <c r="C32" s="141" t="inlineStr">
        <is>
          <t>Fuchs, Calvin W. Trust</t>
        </is>
      </c>
      <c r="D32" s="141" t="inlineStr">
        <is>
          <t>Arrowhead Resources, Inc.</t>
        </is>
      </c>
      <c r="E32" s="141" t="inlineStr">
        <is>
          <t>OL</t>
        </is>
      </c>
      <c r="F32" s="141" t="inlineStr">
        <is>
          <t>SE/4</t>
        </is>
      </c>
      <c r="G32" s="141" t="inlineStr">
        <is>
          <t>1574/280</t>
        </is>
      </c>
      <c r="H32" s="141" t="inlineStr">
        <is>
          <t>9-2-98</t>
        </is>
      </c>
      <c r="I32" s="141" t="inlineStr">
        <is>
          <t>2yr</t>
        </is>
      </c>
      <c r="J32" s="141" t="inlineStr">
        <is>
          <t>H</t>
        </is>
      </c>
      <c r="K32" s="141" t="inlineStr">
        <is>
          <t>WB 1574/280</t>
        </is>
      </c>
    </row>
    <row r="33">
      <c r="A33" s="141" t="inlineStr">
        <is>
          <t>13</t>
        </is>
      </c>
      <c r="B33" s="141" t="inlineStr">
        <is>
          <t>5861</t>
        </is>
      </c>
      <c r="C33" s="141" t="inlineStr">
        <is>
          <t>Fuchs, Alfred R. &amp; F. Jeanice</t>
        </is>
      </c>
      <c r="D33" s="141" t="inlineStr">
        <is>
          <t>Arrowhead Resources, Inc.</t>
        </is>
      </c>
      <c r="E33" s="141" t="inlineStr">
        <is>
          <t>OL</t>
        </is>
      </c>
      <c r="F33" s="141" t="inlineStr">
        <is>
          <t>SE/4</t>
        </is>
      </c>
      <c r="G33" s="141" t="inlineStr">
        <is>
          <t>1574/284</t>
        </is>
      </c>
      <c r="H33" s="141" t="inlineStr">
        <is>
          <t>9-2-98</t>
        </is>
      </c>
      <c r="I33" s="141" t="inlineStr">
        <is>
          <t>2yr</t>
        </is>
      </c>
      <c r="J33" s="141" t="inlineStr">
        <is>
          <t>H</t>
        </is>
      </c>
      <c r="K33" s="141" t="inlineStr">
        <is>
          <t>WB 1574/284</t>
        </is>
      </c>
    </row>
    <row r="34">
      <c r="A34" s="141" t="inlineStr">
        <is>
          <t>13</t>
        </is>
      </c>
      <c r="B34" s="141" t="inlineStr">
        <is>
          <t>6273</t>
        </is>
      </c>
      <c r="C34" s="141" t="inlineStr">
        <is>
          <t>Arrowhead Resources, Inc.</t>
        </is>
      </c>
      <c r="D34" s="141" t="inlineStr">
        <is>
          <t>Lortz, R. Michael</t>
        </is>
      </c>
      <c r="E34" s="141" t="inlineStr">
        <is>
          <t>Assign (AOGL)</t>
        </is>
      </c>
      <c r="F34" s="141" t="inlineStr">
        <is>
          <t>E/2</t>
        </is>
      </c>
      <c r="G34" s="141" t="inlineStr">
        <is>
          <t>1576/302</t>
        </is>
      </c>
      <c r="H34" s="141" t="inlineStr">
        <is>
          <t>9-21-98</t>
        </is>
      </c>
      <c r="I34" s="141" t="inlineStr">
        <is>
          <t>assigns 1574/272-284</t>
        </is>
      </c>
      <c r="J34" s="141" t="inlineStr">
        <is>
          <t>H</t>
        </is>
      </c>
      <c r="K34" s="141" t="inlineStr">
        <is>
          <t>WB 1576/302</t>
        </is>
      </c>
    </row>
    <row r="35">
      <c r="A35" s="141" t="inlineStr">
        <is>
          <t>13</t>
        </is>
      </c>
      <c r="B35" s="141" t="inlineStr">
        <is>
          <t>6416</t>
        </is>
      </c>
      <c r="C35" s="141" t="inlineStr">
        <is>
          <t>Lortz, R. Michael</t>
        </is>
      </c>
      <c r="D35" s="141" t="inlineStr">
        <is>
          <t>St. Mary Land &amp; Exploration Co.</t>
        </is>
      </c>
      <c r="E35" s="141" t="inlineStr">
        <is>
          <t>Assign (AOGL)</t>
        </is>
      </c>
      <c r="F35" s="141" t="inlineStr">
        <is>
          <t>E/2</t>
        </is>
      </c>
      <c r="G35" s="141" t="inlineStr">
        <is>
          <t>1577/102</t>
        </is>
      </c>
      <c r="H35" s="141" t="inlineStr">
        <is>
          <t>9-28-98</t>
        </is>
      </c>
      <c r="I35" s="141" t="inlineStr"/>
      <c r="J35" s="141" t="inlineStr">
        <is>
          <t>H</t>
        </is>
      </c>
      <c r="K35" s="141" t="inlineStr">
        <is>
          <t>WB 1577/102</t>
        </is>
      </c>
    </row>
    <row r="36">
      <c r="A36" s="141" t="inlineStr">
        <is>
          <t>13</t>
        </is>
      </c>
      <c r="B36" s="141" t="inlineStr">
        <is>
          <t>7078</t>
        </is>
      </c>
      <c r="C36" s="141" t="inlineStr">
        <is>
          <t>Edwards, Larry D.</t>
        </is>
      </c>
      <c r="D36" s="141" t="inlineStr">
        <is>
          <t>French Energy, Inc.</t>
        </is>
      </c>
      <c r="E36" s="141" t="inlineStr">
        <is>
          <t>OL</t>
        </is>
      </c>
      <c r="F36" s="141" t="inlineStr">
        <is>
          <t>NW/4</t>
        </is>
      </c>
      <c r="G36" s="141" t="inlineStr">
        <is>
          <t>1580/79</t>
        </is>
      </c>
      <c r="H36" s="141" t="inlineStr">
        <is>
          <t>10-26-98</t>
        </is>
      </c>
      <c r="I36" s="141" t="inlineStr">
        <is>
          <t>3yr</t>
        </is>
      </c>
      <c r="J36" s="141" t="inlineStr">
        <is>
          <t>H</t>
        </is>
      </c>
      <c r="K36" s="141" t="inlineStr">
        <is>
          <t>WB 1580/79</t>
        </is>
      </c>
    </row>
    <row r="37">
      <c r="A37" s="141" t="inlineStr">
        <is>
          <t>13</t>
        </is>
      </c>
      <c r="B37" s="141" t="inlineStr">
        <is>
          <t>7079</t>
        </is>
      </c>
      <c r="C37" s="141" t="inlineStr">
        <is>
          <t>Edwards, Robert A.</t>
        </is>
      </c>
      <c r="D37" s="141" t="inlineStr">
        <is>
          <t>French Energy, Inc.</t>
        </is>
      </c>
      <c r="E37" s="141" t="inlineStr">
        <is>
          <t>OL</t>
        </is>
      </c>
      <c r="F37" s="141" t="inlineStr">
        <is>
          <t>NW/4</t>
        </is>
      </c>
      <c r="G37" s="141" t="inlineStr">
        <is>
          <t>1580/83</t>
        </is>
      </c>
      <c r="H37" s="141" t="inlineStr">
        <is>
          <t>10-26-98</t>
        </is>
      </c>
      <c r="I37" s="141" t="inlineStr">
        <is>
          <t>3yr</t>
        </is>
      </c>
      <c r="J37" s="141" t="inlineStr">
        <is>
          <t>H</t>
        </is>
      </c>
      <c r="K37" s="141" t="inlineStr">
        <is>
          <t>WB 1580/83</t>
        </is>
      </c>
    </row>
    <row r="38">
      <c r="A38" s="141" t="inlineStr">
        <is>
          <t>13</t>
        </is>
      </c>
      <c r="B38" s="141" t="inlineStr">
        <is>
          <t>7080</t>
        </is>
      </c>
      <c r="C38" s="141" t="inlineStr">
        <is>
          <t>Harbour, Melody D.</t>
        </is>
      </c>
      <c r="D38" s="141" t="inlineStr">
        <is>
          <t>French Energy, Inc.</t>
        </is>
      </c>
      <c r="E38" s="141" t="inlineStr">
        <is>
          <t>OL</t>
        </is>
      </c>
      <c r="F38" s="141" t="inlineStr">
        <is>
          <t>NW/4</t>
        </is>
      </c>
      <c r="G38" s="141" t="inlineStr">
        <is>
          <t>1580/87</t>
        </is>
      </c>
      <c r="H38" s="141" t="inlineStr">
        <is>
          <t>10-26-98</t>
        </is>
      </c>
      <c r="I38" s="141" t="inlineStr"/>
      <c r="J38" s="141" t="inlineStr">
        <is>
          <t>H</t>
        </is>
      </c>
      <c r="K38" s="141" t="inlineStr">
        <is>
          <t>WB 1580/87</t>
        </is>
      </c>
    </row>
    <row r="39">
      <c r="A39" s="141" t="inlineStr">
        <is>
          <t>13</t>
        </is>
      </c>
      <c r="B39" s="141" t="inlineStr">
        <is>
          <t>7081</t>
        </is>
      </c>
      <c r="C39" s="141" t="inlineStr">
        <is>
          <t>Benton, Steven E.</t>
        </is>
      </c>
      <c r="D39" s="141" t="inlineStr">
        <is>
          <t>French Energy, Inc.</t>
        </is>
      </c>
      <c r="E39" s="141" t="inlineStr">
        <is>
          <t>OL</t>
        </is>
      </c>
      <c r="F39" s="141" t="inlineStr">
        <is>
          <t>NW/4</t>
        </is>
      </c>
      <c r="G39" s="141" t="inlineStr">
        <is>
          <t>1580/91</t>
        </is>
      </c>
      <c r="H39" s="141" t="inlineStr">
        <is>
          <t>10-26-98</t>
        </is>
      </c>
      <c r="I39" s="141" t="inlineStr"/>
      <c r="J39" s="141" t="inlineStr">
        <is>
          <t>H</t>
        </is>
      </c>
      <c r="K39" s="141" t="inlineStr">
        <is>
          <t>WB 1580/91</t>
        </is>
      </c>
    </row>
    <row r="40">
      <c r="A40" s="141" t="inlineStr">
        <is>
          <t>13</t>
        </is>
      </c>
      <c r="B40" s="141" t="inlineStr">
        <is>
          <t>7082</t>
        </is>
      </c>
      <c r="C40" s="141" t="inlineStr">
        <is>
          <t>Christopher, Radonna</t>
        </is>
      </c>
      <c r="D40" s="141" t="inlineStr">
        <is>
          <t>French Energy, Inc.</t>
        </is>
      </c>
      <c r="E40" s="141" t="inlineStr">
        <is>
          <t>OL</t>
        </is>
      </c>
      <c r="F40" s="141" t="inlineStr">
        <is>
          <t>NW/4</t>
        </is>
      </c>
      <c r="G40" s="141" t="inlineStr">
        <is>
          <t>1580/95</t>
        </is>
      </c>
      <c r="H40" s="141" t="inlineStr">
        <is>
          <t>10-26-98</t>
        </is>
      </c>
      <c r="I40" s="141" t="inlineStr"/>
      <c r="J40" s="141" t="inlineStr">
        <is>
          <t>H</t>
        </is>
      </c>
      <c r="K40" s="141" t="inlineStr">
        <is>
          <t>WB 1580/95</t>
        </is>
      </c>
    </row>
    <row r="41">
      <c r="A41" s="141" t="inlineStr">
        <is>
          <t>13</t>
        </is>
      </c>
      <c r="B41" s="141" t="inlineStr">
        <is>
          <t>7083</t>
        </is>
      </c>
      <c r="C41" s="141" t="inlineStr">
        <is>
          <t>Benton, Gary Kent</t>
        </is>
      </c>
      <c r="D41" s="141" t="inlineStr">
        <is>
          <t>French Energy, Inc.</t>
        </is>
      </c>
      <c r="E41" s="141" t="inlineStr">
        <is>
          <t>OL</t>
        </is>
      </c>
      <c r="F41" s="141" t="inlineStr">
        <is>
          <t>NW/4</t>
        </is>
      </c>
      <c r="G41" s="141" t="inlineStr">
        <is>
          <t>1580/99</t>
        </is>
      </c>
      <c r="H41" s="141" t="inlineStr">
        <is>
          <t>10-26-98</t>
        </is>
      </c>
      <c r="I41" s="141" t="inlineStr"/>
      <c r="J41" s="141" t="inlineStr">
        <is>
          <t>H</t>
        </is>
      </c>
      <c r="K41" s="141" t="inlineStr">
        <is>
          <t>WB 1580/99</t>
        </is>
      </c>
    </row>
    <row r="42">
      <c r="A42" s="141" t="inlineStr">
        <is>
          <t>13</t>
        </is>
      </c>
      <c r="B42" s="141" t="inlineStr">
        <is>
          <t>7084</t>
        </is>
      </c>
      <c r="C42" s="141" t="inlineStr">
        <is>
          <t>Benton, Marshall E.</t>
        </is>
      </c>
      <c r="D42" s="141" t="inlineStr">
        <is>
          <t>French Energy, Inc.</t>
        </is>
      </c>
      <c r="E42" s="141" t="inlineStr">
        <is>
          <t>OL</t>
        </is>
      </c>
      <c r="F42" s="141" t="inlineStr">
        <is>
          <t>NW/4</t>
        </is>
      </c>
      <c r="G42" s="141" t="inlineStr">
        <is>
          <t>1580/103</t>
        </is>
      </c>
      <c r="H42" s="141" t="inlineStr">
        <is>
          <t>10-26-98</t>
        </is>
      </c>
      <c r="I42" s="141" t="inlineStr"/>
      <c r="J42" s="141" t="inlineStr">
        <is>
          <t>H</t>
        </is>
      </c>
      <c r="K42" s="141" t="inlineStr">
        <is>
          <t>WB 1580/103</t>
        </is>
      </c>
    </row>
    <row r="43">
      <c r="A43" s="141" t="inlineStr">
        <is>
          <t>13</t>
        </is>
      </c>
      <c r="B43" s="141" t="inlineStr">
        <is>
          <t>7085</t>
        </is>
      </c>
      <c r="C43" s="141" t="inlineStr">
        <is>
          <t>Sites, Michael Ray</t>
        </is>
      </c>
      <c r="D43" s="141" t="inlineStr">
        <is>
          <t>French Energy, Inc.</t>
        </is>
      </c>
      <c r="E43" s="141" t="inlineStr">
        <is>
          <t>OL</t>
        </is>
      </c>
      <c r="F43" s="141" t="inlineStr">
        <is>
          <t>NW/4</t>
        </is>
      </c>
      <c r="G43" s="141" t="inlineStr">
        <is>
          <t>1580/107</t>
        </is>
      </c>
      <c r="H43" s="141" t="inlineStr">
        <is>
          <t>10-26-98</t>
        </is>
      </c>
      <c r="I43" s="141" t="inlineStr"/>
      <c r="J43" s="141" t="inlineStr">
        <is>
          <t>H</t>
        </is>
      </c>
      <c r="K43" s="141" t="inlineStr">
        <is>
          <t>WB 1580/107</t>
        </is>
      </c>
    </row>
    <row r="44">
      <c r="A44" s="141" t="inlineStr">
        <is>
          <t>13</t>
        </is>
      </c>
      <c r="B44" s="141" t="inlineStr">
        <is>
          <t>7086</t>
        </is>
      </c>
      <c r="C44" s="141" t="inlineStr">
        <is>
          <t>Gordon, Donald E.</t>
        </is>
      </c>
      <c r="D44" s="141" t="inlineStr">
        <is>
          <t>French Energy, Inc.</t>
        </is>
      </c>
      <c r="E44" s="141" t="inlineStr">
        <is>
          <t>OL</t>
        </is>
      </c>
      <c r="F44" s="141" t="inlineStr">
        <is>
          <t>NE/4</t>
        </is>
      </c>
      <c r="G44" s="141" t="inlineStr">
        <is>
          <t>1580/111</t>
        </is>
      </c>
      <c r="H44" s="141" t="inlineStr">
        <is>
          <t>10-26-98</t>
        </is>
      </c>
      <c r="I44" s="141" t="inlineStr"/>
      <c r="J44" s="141" t="inlineStr">
        <is>
          <t>H</t>
        </is>
      </c>
      <c r="K44" s="141" t="inlineStr">
        <is>
          <t>WB 1580/111</t>
        </is>
      </c>
    </row>
    <row r="45">
      <c r="A45" s="141" t="inlineStr">
        <is>
          <t>13</t>
        </is>
      </c>
      <c r="B45" s="141" t="inlineStr">
        <is>
          <t>7087</t>
        </is>
      </c>
      <c r="C45" s="141" t="inlineStr">
        <is>
          <t>Sites, Betty</t>
        </is>
      </c>
      <c r="D45" s="141" t="inlineStr">
        <is>
          <t>French Energy, Inc.</t>
        </is>
      </c>
      <c r="E45" s="141" t="inlineStr">
        <is>
          <t>OL</t>
        </is>
      </c>
      <c r="F45" s="141" t="inlineStr">
        <is>
          <t>NW/4</t>
        </is>
      </c>
      <c r="G45" s="141" t="inlineStr">
        <is>
          <t>1580/115</t>
        </is>
      </c>
      <c r="H45" s="141" t="inlineStr">
        <is>
          <t>10-26-98</t>
        </is>
      </c>
      <c r="I45" s="141" t="inlineStr"/>
      <c r="J45" s="141" t="inlineStr">
        <is>
          <t>H</t>
        </is>
      </c>
      <c r="K45" s="141" t="inlineStr">
        <is>
          <t>WB 1580/115</t>
        </is>
      </c>
    </row>
    <row r="46">
      <c r="A46" s="141" t="inlineStr">
        <is>
          <t>13</t>
        </is>
      </c>
      <c r="B46" s="141" t="inlineStr">
        <is>
          <t>8577</t>
        </is>
      </c>
      <c r="C46" s="141" t="inlineStr">
        <is>
          <t>Mead, Boyd</t>
        </is>
      </c>
      <c r="D46" s="141" t="inlineStr">
        <is>
          <t>Sanguine, Ltd.</t>
        </is>
      </c>
      <c r="E46" s="141" t="inlineStr">
        <is>
          <t>OL</t>
        </is>
      </c>
      <c r="F46" s="141" t="inlineStr">
        <is>
          <t>SE/4</t>
        </is>
      </c>
      <c r="G46" s="141" t="inlineStr">
        <is>
          <t>1587/129</t>
        </is>
      </c>
      <c r="H46" s="141" t="inlineStr">
        <is>
          <t>12-29-98</t>
        </is>
      </c>
      <c r="I46" s="141" t="inlineStr">
        <is>
          <t>2yr</t>
        </is>
      </c>
      <c r="J46" s="141" t="inlineStr">
        <is>
          <t>H</t>
        </is>
      </c>
      <c r="K46" s="141" t="inlineStr">
        <is>
          <t>WB 1587/129</t>
        </is>
      </c>
    </row>
    <row r="47">
      <c r="A47" s="141" t="inlineStr">
        <is>
          <t>13</t>
        </is>
      </c>
      <c r="B47" s="141" t="inlineStr">
        <is>
          <t>193</t>
        </is>
      </c>
      <c r="C47" s="141" t="inlineStr">
        <is>
          <t>Buffalo Missionary Baptist Church</t>
        </is>
      </c>
      <c r="D47" s="141" t="inlineStr">
        <is>
          <t>Todco Properties, Inc.</t>
        </is>
      </c>
      <c r="E47" s="141" t="inlineStr">
        <is>
          <t>OL</t>
        </is>
      </c>
      <c r="F47" s="141" t="inlineStr">
        <is>
          <t>1ac SW/4</t>
        </is>
      </c>
      <c r="G47" s="141" t="inlineStr">
        <is>
          <t>1588/245</t>
        </is>
      </c>
      <c r="H47" s="141" t="inlineStr">
        <is>
          <t>1-13-99</t>
        </is>
      </c>
      <c r="I47" s="141" t="inlineStr">
        <is>
          <t>2yr church tract</t>
        </is>
      </c>
      <c r="J47" s="141" t="inlineStr">
        <is>
          <t>H</t>
        </is>
      </c>
      <c r="K47" s="141" t="inlineStr">
        <is>
          <t>WB 1588/245</t>
        </is>
      </c>
    </row>
    <row r="48">
      <c r="A48" s="141" t="inlineStr">
        <is>
          <t>13</t>
        </is>
      </c>
      <c r="B48" s="141" t="inlineStr">
        <is>
          <t>823</t>
        </is>
      </c>
      <c r="C48" s="141" t="inlineStr">
        <is>
          <t>Coale, Darcy Ann</t>
        </is>
      </c>
      <c r="D48" s="141" t="inlineStr">
        <is>
          <t>Todco Properties, Inc.</t>
        </is>
      </c>
      <c r="E48" s="141" t="inlineStr">
        <is>
          <t>OL</t>
        </is>
      </c>
      <c r="F48" s="141" t="inlineStr">
        <is>
          <t>SE/4</t>
        </is>
      </c>
      <c r="G48" s="141" t="inlineStr">
        <is>
          <t>1592/42</t>
        </is>
      </c>
      <c r="H48" s="141" t="inlineStr">
        <is>
          <t>2-12-99</t>
        </is>
      </c>
      <c r="I48" s="141" t="inlineStr">
        <is>
          <t>1yr</t>
        </is>
      </c>
      <c r="J48" s="141" t="inlineStr">
        <is>
          <t>H</t>
        </is>
      </c>
      <c r="K48" s="141" t="inlineStr">
        <is>
          <t>WB 1592/42</t>
        </is>
      </c>
    </row>
    <row r="49">
      <c r="A49" s="141" t="inlineStr">
        <is>
          <t>13</t>
        </is>
      </c>
      <c r="B49" s="141" t="inlineStr">
        <is>
          <t>824</t>
        </is>
      </c>
      <c r="C49" s="141" t="inlineStr">
        <is>
          <t>Bennett Family Trust</t>
        </is>
      </c>
      <c r="D49" s="141" t="inlineStr">
        <is>
          <t>Todco Properties, Inc.</t>
        </is>
      </c>
      <c r="E49" s="141" t="inlineStr">
        <is>
          <t>OL</t>
        </is>
      </c>
      <c r="F49" s="141" t="inlineStr">
        <is>
          <t>SE/4</t>
        </is>
      </c>
      <c r="G49" s="141" t="inlineStr">
        <is>
          <t>1592/47</t>
        </is>
      </c>
      <c r="H49" s="141" t="inlineStr">
        <is>
          <t>2-12-99</t>
        </is>
      </c>
      <c r="I49" s="141" t="inlineStr">
        <is>
          <t>1yr</t>
        </is>
      </c>
      <c r="J49" s="141" t="inlineStr">
        <is>
          <t>H</t>
        </is>
      </c>
      <c r="K49" s="141" t="inlineStr">
        <is>
          <t>WB 1592/47</t>
        </is>
      </c>
    </row>
    <row r="50">
      <c r="A50" s="141" t="inlineStr">
        <is>
          <t>13</t>
        </is>
      </c>
      <c r="B50" s="141" t="inlineStr">
        <is>
          <t>825</t>
        </is>
      </c>
      <c r="C50" s="141" t="inlineStr">
        <is>
          <t>Bennett, Laura Owens Trust</t>
        </is>
      </c>
      <c r="D50" s="141" t="inlineStr">
        <is>
          <t>Todco Properties, Inc.</t>
        </is>
      </c>
      <c r="E50" s="141" t="inlineStr">
        <is>
          <t>OL</t>
        </is>
      </c>
      <c r="F50" s="141" t="inlineStr">
        <is>
          <t>SE/4</t>
        </is>
      </c>
      <c r="G50" s="141" t="inlineStr">
        <is>
          <t>1592/52</t>
        </is>
      </c>
      <c r="H50" s="141" t="inlineStr">
        <is>
          <t>2-13-99</t>
        </is>
      </c>
      <c r="I50" s="141" t="inlineStr">
        <is>
          <t>1yr</t>
        </is>
      </c>
      <c r="J50" s="141" t="inlineStr">
        <is>
          <t>H</t>
        </is>
      </c>
      <c r="K50" s="141" t="inlineStr">
        <is>
          <t>WB 1592/52</t>
        </is>
      </c>
    </row>
    <row r="51">
      <c r="A51" s="141" t="inlineStr">
        <is>
          <t>14</t>
        </is>
      </c>
      <c r="B51" s="141" t="inlineStr">
        <is>
          <t>945</t>
        </is>
      </c>
      <c r="C51" s="141" t="inlineStr">
        <is>
          <t>Mandrell Farms, Inc.</t>
        </is>
      </c>
      <c r="D51" s="141" t="inlineStr">
        <is>
          <t>Sanguine, Ltd.</t>
        </is>
      </c>
      <c r="E51" s="141" t="inlineStr">
        <is>
          <t>OL</t>
        </is>
      </c>
      <c r="F51" s="141" t="inlineStr">
        <is>
          <t>SW/4</t>
        </is>
      </c>
      <c r="G51" s="141" t="inlineStr">
        <is>
          <t>1592/347</t>
        </is>
      </c>
      <c r="H51" s="141" t="inlineStr">
        <is>
          <t>2-18-99</t>
        </is>
      </c>
      <c r="I51" s="141" t="inlineStr">
        <is>
          <t>Tract 4 Sanguine lease</t>
        </is>
      </c>
      <c r="J51" s="141" t="inlineStr">
        <is>
          <t>H</t>
        </is>
      </c>
      <c r="K51" s="141" t="inlineStr">
        <is>
          <t>WB 1592/347</t>
        </is>
      </c>
    </row>
    <row r="52">
      <c r="A52" s="141" t="inlineStr">
        <is>
          <t>14</t>
        </is>
      </c>
      <c r="B52" s="141" t="inlineStr">
        <is>
          <t>946</t>
        </is>
      </c>
      <c r="C52" s="141" t="inlineStr">
        <is>
          <t>Allen, Angela K.</t>
        </is>
      </c>
      <c r="D52" s="141" t="inlineStr">
        <is>
          <t>Sanguine, Ltd.</t>
        </is>
      </c>
      <c r="E52" s="141" t="inlineStr">
        <is>
          <t>OL</t>
        </is>
      </c>
      <c r="F52" s="141" t="inlineStr">
        <is>
          <t>NW/4</t>
        </is>
      </c>
      <c r="G52" s="141" t="inlineStr">
        <is>
          <t>1592/350</t>
        </is>
      </c>
      <c r="H52" s="141" t="inlineStr">
        <is>
          <t>2-18-99</t>
        </is>
      </c>
      <c r="I52" s="141" t="inlineStr">
        <is>
          <t>Morrow-limited (per WB)</t>
        </is>
      </c>
      <c r="J52" s="141" t="inlineStr">
        <is>
          <t>H</t>
        </is>
      </c>
      <c r="K52" s="141" t="inlineStr">
        <is>
          <t>WB 1592/350</t>
        </is>
      </c>
    </row>
    <row r="53">
      <c r="A53" s="141" t="inlineStr">
        <is>
          <t>14</t>
        </is>
      </c>
      <c r="B53" s="141" t="inlineStr">
        <is>
          <t>-</t>
        </is>
      </c>
      <c r="C53" s="141" t="inlineStr">
        <is>
          <t>St. Mary Land &amp; Exploration Co.</t>
        </is>
      </c>
      <c r="D53" s="141" t="inlineStr">
        <is>
          <t>Sanguine, Ltd.</t>
        </is>
      </c>
      <c r="E53" s="141" t="inlineStr">
        <is>
          <t>Assign (AOGL)</t>
        </is>
      </c>
      <c r="F53" s="141" t="inlineStr">
        <is>
          <t>E/2</t>
        </is>
      </c>
      <c r="G53" s="141" t="inlineStr">
        <is>
          <t>1595/81</t>
        </is>
      </c>
      <c r="H53" s="141" t="inlineStr">
        <is>
          <t>3-12-99</t>
        </is>
      </c>
      <c r="I53" s="141" t="inlineStr"/>
      <c r="J53" s="141" t="inlineStr">
        <is>
          <t>H</t>
        </is>
      </c>
      <c r="K53" s="141" t="inlineStr">
        <is>
          <t>WB 1595/81</t>
        </is>
      </c>
    </row>
    <row r="54">
      <c r="A54" s="141" t="inlineStr">
        <is>
          <t>14</t>
        </is>
      </c>
      <c r="B54" s="141" t="inlineStr">
        <is>
          <t>-</t>
        </is>
      </c>
      <c r="C54" s="141" t="inlineStr">
        <is>
          <t>Todco Properties, Inc.</t>
        </is>
      </c>
      <c r="D54" s="141" t="inlineStr">
        <is>
          <t>Kaiser-Francis Oil Co.</t>
        </is>
      </c>
      <c r="E54" s="141" t="inlineStr">
        <is>
          <t>Assign (AOGL)</t>
        </is>
      </c>
      <c r="F54" s="141" t="inlineStr">
        <is>
          <t>SE/4</t>
        </is>
      </c>
      <c r="G54" s="141" t="inlineStr">
        <is>
          <t>1595/300</t>
        </is>
      </c>
      <c r="H54" s="141" t="inlineStr">
        <is>
          <t>3-15-99</t>
        </is>
      </c>
      <c r="I54" s="141" t="inlineStr"/>
      <c r="J54" s="141" t="inlineStr">
        <is>
          <t>H</t>
        </is>
      </c>
      <c r="K54" s="141" t="inlineStr">
        <is>
          <t>WB 1595/300</t>
        </is>
      </c>
    </row>
    <row r="55">
      <c r="A55" s="141" t="inlineStr">
        <is>
          <t>14</t>
        </is>
      </c>
      <c r="B55" s="141" t="inlineStr">
        <is>
          <t>-</t>
        </is>
      </c>
      <c r="C55" s="141" t="inlineStr">
        <is>
          <t>French Energy, Inc.</t>
        </is>
      </c>
      <c r="D55" s="141" t="inlineStr">
        <is>
          <t>Sanguine, Ltd.</t>
        </is>
      </c>
      <c r="E55" s="141" t="inlineStr">
        <is>
          <t>Assign (AOGL)</t>
        </is>
      </c>
      <c r="F55" s="141" t="inlineStr">
        <is>
          <t>Sec 27</t>
        </is>
      </c>
      <c r="G55" s="141" t="inlineStr">
        <is>
          <t>1597/427</t>
        </is>
      </c>
      <c r="H55" s="141" t="inlineStr">
        <is>
          <t>4-5-99</t>
        </is>
      </c>
      <c r="I55" s="141" t="inlineStr"/>
      <c r="J55" s="141" t="inlineStr">
        <is>
          <t>H</t>
        </is>
      </c>
      <c r="K55" s="141" t="inlineStr">
        <is>
          <t>WB 1597/427</t>
        </is>
      </c>
    </row>
    <row r="56">
      <c r="A56" s="141" t="inlineStr">
        <is>
          <t>14</t>
        </is>
      </c>
      <c r="B56" s="141" t="inlineStr">
        <is>
          <t>-</t>
        </is>
      </c>
      <c r="C56" s="141" t="inlineStr">
        <is>
          <t>Todco Properties, Inc.</t>
        </is>
      </c>
      <c r="D56" s="141" t="inlineStr">
        <is>
          <t>Kaiser-Francis Oil Co.</t>
        </is>
      </c>
      <c r="E56" s="141" t="inlineStr">
        <is>
          <t>Assign (AOGL)</t>
        </is>
      </c>
      <c r="F56" s="141" t="inlineStr">
        <is>
          <t>SE/4</t>
        </is>
      </c>
      <c r="G56" s="141" t="inlineStr">
        <is>
          <t>1599/227</t>
        </is>
      </c>
      <c r="H56" s="141" t="inlineStr">
        <is>
          <t>4-15-99</t>
        </is>
      </c>
      <c r="I56" s="141" t="inlineStr"/>
      <c r="J56" s="141" t="inlineStr">
        <is>
          <t>H</t>
        </is>
      </c>
      <c r="K56" s="141" t="inlineStr">
        <is>
          <t>WB 1599/227</t>
        </is>
      </c>
    </row>
    <row r="57">
      <c r="A57" s="141" t="inlineStr">
        <is>
          <t>14</t>
        </is>
      </c>
      <c r="B57" s="141" t="inlineStr">
        <is>
          <t>-</t>
        </is>
      </c>
      <c r="C57" s="141" t="inlineStr">
        <is>
          <t>Colt Development, LLC</t>
        </is>
      </c>
      <c r="D57" s="141" t="inlineStr">
        <is>
          <t>Colt Development, LLC</t>
        </is>
      </c>
      <c r="E57" s="141" t="inlineStr">
        <is>
          <t>OL</t>
        </is>
      </c>
      <c r="F57" s="141" t="inlineStr">
        <is>
          <t>NW/4</t>
        </is>
      </c>
      <c r="G57" s="141" t="inlineStr">
        <is>
          <t>1605/598 (idx ~591)</t>
        </is>
      </c>
      <c r="H57" s="141" t="inlineStr">
        <is>
          <t>6-25-99</t>
        </is>
      </c>
      <c r="I57" s="141" t="inlineStr">
        <is>
          <t>minor book/pg read variance 591/598</t>
        </is>
      </c>
      <c r="J57" s="141" t="inlineStr">
        <is>
          <t>M</t>
        </is>
      </c>
      <c r="K57" s="141" t="inlineStr">
        <is>
          <t>WB 1605/598</t>
        </is>
      </c>
    </row>
    <row r="58">
      <c r="A58" s="141" t="inlineStr">
        <is>
          <t>14</t>
        </is>
      </c>
      <c r="B58" s="141" t="inlineStr">
        <is>
          <t>-</t>
        </is>
      </c>
      <c r="C58" s="141" t="inlineStr">
        <is>
          <t>Pine 1990 Irrev. Trusts (Clyde &amp; Sharon)</t>
        </is>
      </c>
      <c r="D58" s="141" t="inlineStr">
        <is>
          <t>Colt Development, LLC</t>
        </is>
      </c>
      <c r="E58" s="141" t="inlineStr">
        <is>
          <t>OL</t>
        </is>
      </c>
      <c r="F58" s="141" t="inlineStr">
        <is>
          <t>NW/4</t>
        </is>
      </c>
      <c r="G58" s="141" t="inlineStr">
        <is>
          <t>1608/63</t>
        </is>
      </c>
      <c r="H58" s="141" t="inlineStr">
        <is>
          <t>7-16-99</t>
        </is>
      </c>
      <c r="I58" s="141" t="inlineStr"/>
      <c r="J58" s="141" t="inlineStr">
        <is>
          <t>H</t>
        </is>
      </c>
      <c r="K58" s="141" t="inlineStr">
        <is>
          <t>WB 1608/63</t>
        </is>
      </c>
    </row>
    <row r="59">
      <c r="A59" s="141" t="inlineStr">
        <is>
          <t>14</t>
        </is>
      </c>
      <c r="B59" s="141" t="inlineStr">
        <is>
          <t>-</t>
        </is>
      </c>
      <c r="C59" s="141" t="inlineStr">
        <is>
          <t>Sanguine, Ltd.</t>
        </is>
      </c>
      <c r="D59" s="141" t="inlineStr">
        <is>
          <t>Hauschild/Hal French/Johnson Props</t>
        </is>
      </c>
      <c r="E59" s="141" t="inlineStr">
        <is>
          <t>ORRI Assign</t>
        </is>
      </c>
      <c r="F59" s="141" t="inlineStr">
        <is>
          <t>Sec 27</t>
        </is>
      </c>
      <c r="G59" s="141" t="inlineStr">
        <is>
          <t>1626/104</t>
        </is>
      </c>
      <c r="H59" s="141" t="inlineStr">
        <is>
          <t>1-10-2000</t>
        </is>
      </c>
      <c r="I59" s="141" t="inlineStr">
        <is>
          <t>ORRI burden 1%+1.625%+0.375%</t>
        </is>
      </c>
      <c r="J59" s="141" t="inlineStr">
        <is>
          <t>H</t>
        </is>
      </c>
      <c r="K59" s="141" t="inlineStr">
        <is>
          <t>WB 1626/104</t>
        </is>
      </c>
    </row>
    <row r="60">
      <c r="A60" s="141" t="inlineStr">
        <is>
          <t>14</t>
        </is>
      </c>
      <c r="B60" s="141" t="inlineStr">
        <is>
          <t>-</t>
        </is>
      </c>
      <c r="C60" s="141" t="inlineStr">
        <is>
          <t>Colt Development, LLC</t>
        </is>
      </c>
      <c r="D60" s="141" t="inlineStr">
        <is>
          <t>Sanguine, Ltd.</t>
        </is>
      </c>
      <c r="E60" s="141" t="inlineStr">
        <is>
          <t>Assign (AOGL)</t>
        </is>
      </c>
      <c r="F60" s="141" t="inlineStr">
        <is>
          <t>NW/4</t>
        </is>
      </c>
      <c r="G60" s="141" t="inlineStr">
        <is>
          <t>1634/250</t>
        </is>
      </c>
      <c r="H60" s="141" t="inlineStr">
        <is>
          <t>3-8-00</t>
        </is>
      </c>
      <c r="I60" s="141" t="inlineStr"/>
      <c r="J60" s="141" t="inlineStr">
        <is>
          <t>H</t>
        </is>
      </c>
      <c r="K60" s="141" t="inlineStr">
        <is>
          <t>WB 1634/250</t>
        </is>
      </c>
    </row>
    <row r="61">
      <c r="A61" s="141" t="inlineStr">
        <is>
          <t>14</t>
        </is>
      </c>
      <c r="B61" s="141" t="inlineStr">
        <is>
          <t>-</t>
        </is>
      </c>
      <c r="C61" s="141" t="inlineStr">
        <is>
          <t>Pine 1990 Irrev. Trusts</t>
        </is>
      </c>
      <c r="D61" s="141" t="inlineStr">
        <is>
          <t>Sanguine, Ltd.</t>
        </is>
      </c>
      <c r="E61" s="141" t="inlineStr">
        <is>
          <t>Assign (AOGL)</t>
        </is>
      </c>
      <c r="F61" s="141" t="inlineStr">
        <is>
          <t>NW/4</t>
        </is>
      </c>
      <c r="G61" s="141" t="inlineStr">
        <is>
          <t>1634/253</t>
        </is>
      </c>
      <c r="H61" s="141" t="inlineStr">
        <is>
          <t>3-8-00</t>
        </is>
      </c>
      <c r="I61" s="141" t="inlineStr"/>
      <c r="J61" s="141" t="inlineStr">
        <is>
          <t>H</t>
        </is>
      </c>
      <c r="K61" s="141" t="inlineStr">
        <is>
          <t>WB 1634/253</t>
        </is>
      </c>
    </row>
    <row r="62">
      <c r="A62" s="141" t="inlineStr">
        <is>
          <t>14</t>
        </is>
      </c>
      <c r="B62" s="141" t="inlineStr">
        <is>
          <t>-</t>
        </is>
      </c>
      <c r="C62" s="141" t="inlineStr">
        <is>
          <t>Kaiser-Francis Oil Co.</t>
        </is>
      </c>
      <c r="D62" s="141" t="inlineStr">
        <is>
          <t>GBK Corporation</t>
        </is>
      </c>
      <c r="E62" s="141" t="inlineStr">
        <is>
          <t>ORRI Assign</t>
        </is>
      </c>
      <c r="F62" s="141" t="inlineStr">
        <is>
          <t>SE/4</t>
        </is>
      </c>
      <c r="G62" s="141" t="inlineStr">
        <is>
          <t>1636/188</t>
        </is>
      </c>
      <c r="H62" s="141" t="inlineStr">
        <is>
          <t>3-24-00</t>
        </is>
      </c>
      <c r="I62" s="141" t="inlineStr">
        <is>
          <t>GBK 3% ORRI burden</t>
        </is>
      </c>
      <c r="J62" s="141" t="inlineStr">
        <is>
          <t>H</t>
        </is>
      </c>
      <c r="K62" s="141" t="inlineStr">
        <is>
          <t>WB 1636/188</t>
        </is>
      </c>
    </row>
    <row r="63">
      <c r="A63" s="141" t="inlineStr">
        <is>
          <t>14</t>
        </is>
      </c>
      <c r="B63" s="141" t="inlineStr">
        <is>
          <t>-</t>
        </is>
      </c>
      <c r="C63" s="141" t="inlineStr">
        <is>
          <t>Sanguine, Ltd.</t>
        </is>
      </c>
      <c r="D63" s="141" t="inlineStr">
        <is>
          <t>Vastar/Enogex/Palace/Sanguine</t>
        </is>
      </c>
      <c r="E63" s="141" t="inlineStr">
        <is>
          <t>Assign (AOGL)</t>
        </is>
      </c>
      <c r="F63" s="141" t="inlineStr">
        <is>
          <t>Sec 27</t>
        </is>
      </c>
      <c r="G63" s="141" t="inlineStr">
        <is>
          <t>1638/150</t>
        </is>
      </c>
      <c r="H63" s="141" t="inlineStr">
        <is>
          <t>4-7-00</t>
        </is>
      </c>
      <c r="I63" s="141" t="inlineStr">
        <is>
          <t>Vastar 50/Enogex 12.5/Palace 17.5/Sanguine 20</t>
        </is>
      </c>
      <c r="J63" s="141" t="inlineStr">
        <is>
          <t>H</t>
        </is>
      </c>
      <c r="K63" s="141" t="inlineStr">
        <is>
          <t>WB 1638/150</t>
        </is>
      </c>
    </row>
    <row r="64">
      <c r="A64" s="141" t="inlineStr">
        <is>
          <t>14</t>
        </is>
      </c>
      <c r="B64" s="141" t="inlineStr">
        <is>
          <t>-</t>
        </is>
      </c>
      <c r="C64" s="141" t="inlineStr">
        <is>
          <t>Sanguine, Ltd.</t>
        </is>
      </c>
      <c r="D64" s="141" t="inlineStr">
        <is>
          <t>Don H. Nelson et al. group</t>
        </is>
      </c>
      <c r="E64" s="141" t="inlineStr">
        <is>
          <t>Assign (AOGL)</t>
        </is>
      </c>
      <c r="F64" s="141" t="inlineStr">
        <is>
          <t>Sec 27</t>
        </is>
      </c>
      <c r="G64" s="141" t="inlineStr">
        <is>
          <t>1641/324</t>
        </is>
      </c>
      <c r="H64" s="141" t="inlineStr">
        <is>
          <t>4-27-00</t>
        </is>
      </c>
      <c r="I64" s="141" t="inlineStr">
        <is>
          <t>multi-party WI split</t>
        </is>
      </c>
      <c r="J64" s="141" t="inlineStr">
        <is>
          <t>H</t>
        </is>
      </c>
      <c r="K64" s="141" t="inlineStr">
        <is>
          <t>WB 1641/324</t>
        </is>
      </c>
    </row>
    <row r="65">
      <c r="A65" s="141" t="inlineStr">
        <is>
          <t>15</t>
        </is>
      </c>
      <c r="B65" s="141" t="inlineStr">
        <is>
          <t>10162</t>
        </is>
      </c>
      <c r="C65" s="141" t="inlineStr">
        <is>
          <t>Davis, Chloe E. Trust</t>
        </is>
      </c>
      <c r="D65" s="141" t="inlineStr">
        <is>
          <t>Sanguine, Ltd.</t>
        </is>
      </c>
      <c r="E65" s="141" t="inlineStr">
        <is>
          <t>OL</t>
        </is>
      </c>
      <c r="F65" s="141" t="inlineStr">
        <is>
          <t>NE/4</t>
        </is>
      </c>
      <c r="G65" s="141" t="inlineStr">
        <is>
          <t>1672/130</t>
        </is>
      </c>
      <c r="H65" s="141" t="inlineStr">
        <is>
          <t>11-27-00</t>
        </is>
      </c>
      <c r="I65" s="141" t="inlineStr">
        <is>
          <t>controlling depth-limited block</t>
        </is>
      </c>
      <c r="J65" s="141" t="inlineStr">
        <is>
          <t>H</t>
        </is>
      </c>
      <c r="K65" s="141" t="inlineStr">
        <is>
          <t>WB 1672/130</t>
        </is>
      </c>
    </row>
    <row r="66">
      <c r="A66" s="141" t="inlineStr">
        <is>
          <t>15</t>
        </is>
      </c>
      <c r="B66" s="141" t="inlineStr">
        <is>
          <t>10163</t>
        </is>
      </c>
      <c r="C66" s="141" t="inlineStr">
        <is>
          <t>Fuchs, Calvin W. Trust</t>
        </is>
      </c>
      <c r="D66" s="141" t="inlineStr">
        <is>
          <t>Sanguine, Ltd.</t>
        </is>
      </c>
      <c r="E66" s="141" t="inlineStr">
        <is>
          <t>OL</t>
        </is>
      </c>
      <c r="F66" s="141" t="inlineStr">
        <is>
          <t>SE/4</t>
        </is>
      </c>
      <c r="G66" s="141" t="inlineStr">
        <is>
          <t>1672/134</t>
        </is>
      </c>
      <c r="H66" s="141" t="inlineStr">
        <is>
          <t>11-27-00</t>
        </is>
      </c>
      <c r="I66" s="141" t="inlineStr"/>
      <c r="J66" s="141" t="inlineStr">
        <is>
          <t>H</t>
        </is>
      </c>
      <c r="K66" s="141" t="inlineStr">
        <is>
          <t>WB 1672/134</t>
        </is>
      </c>
    </row>
    <row r="67">
      <c r="A67" s="141" t="inlineStr">
        <is>
          <t>15</t>
        </is>
      </c>
      <c r="B67" s="141" t="inlineStr">
        <is>
          <t>10164</t>
        </is>
      </c>
      <c r="C67" s="141" t="inlineStr">
        <is>
          <t>Fuchs, Howard G. Trust</t>
        </is>
      </c>
      <c r="D67" s="141" t="inlineStr">
        <is>
          <t>Sanguine, Ltd.</t>
        </is>
      </c>
      <c r="E67" s="141" t="inlineStr">
        <is>
          <t>OL</t>
        </is>
      </c>
      <c r="F67" s="141" t="inlineStr">
        <is>
          <t>SE/4</t>
        </is>
      </c>
      <c r="G67" s="141" t="inlineStr">
        <is>
          <t>1672/137</t>
        </is>
      </c>
      <c r="H67" s="141" t="inlineStr">
        <is>
          <t>11-27-00</t>
        </is>
      </c>
      <c r="I67" s="141" t="inlineStr"/>
      <c r="J67" s="141" t="inlineStr">
        <is>
          <t>H</t>
        </is>
      </c>
      <c r="K67" s="141" t="inlineStr">
        <is>
          <t>WB 1672/137</t>
        </is>
      </c>
    </row>
    <row r="68">
      <c r="A68" s="141" t="inlineStr">
        <is>
          <t>15</t>
        </is>
      </c>
      <c r="B68" s="141" t="inlineStr">
        <is>
          <t>10165</t>
        </is>
      </c>
      <c r="C68" s="141" t="inlineStr">
        <is>
          <t>Fuchs, Alfred R. &amp; F. Jeanice</t>
        </is>
      </c>
      <c r="D68" s="141" t="inlineStr">
        <is>
          <t>Sanguine, Ltd.</t>
        </is>
      </c>
      <c r="E68" s="141" t="inlineStr">
        <is>
          <t>OL</t>
        </is>
      </c>
      <c r="F68" s="141" t="inlineStr">
        <is>
          <t>SE/4</t>
        </is>
      </c>
      <c r="G68" s="141" t="inlineStr">
        <is>
          <t>1672/141</t>
        </is>
      </c>
      <c r="H68" s="141" t="inlineStr">
        <is>
          <t>11-27-00</t>
        </is>
      </c>
      <c r="I68" s="141" t="inlineStr"/>
      <c r="J68" s="141" t="inlineStr">
        <is>
          <t>H</t>
        </is>
      </c>
      <c r="K68" s="141" t="inlineStr">
        <is>
          <t>WB 1672/141</t>
        </is>
      </c>
    </row>
    <row r="69">
      <c r="A69" s="141" t="inlineStr">
        <is>
          <t>15</t>
        </is>
      </c>
      <c r="B69" s="141" t="inlineStr">
        <is>
          <t>2245</t>
        </is>
      </c>
      <c r="C69" s="141" t="inlineStr">
        <is>
          <t>Bennett Family Trust</t>
        </is>
      </c>
      <c r="D69" s="141" t="inlineStr">
        <is>
          <t>Todco Properties, Inc.</t>
        </is>
      </c>
      <c r="E69" s="141" t="inlineStr">
        <is>
          <t>OL</t>
        </is>
      </c>
      <c r="F69" s="141" t="inlineStr">
        <is>
          <t>SE/4</t>
        </is>
      </c>
      <c r="G69" s="141" t="inlineStr">
        <is>
          <t>1687/160</t>
        </is>
      </c>
      <c r="H69" s="141" t="inlineStr">
        <is>
          <t>3-29-01</t>
        </is>
      </c>
      <c r="I69" s="141" t="inlineStr">
        <is>
          <t>1yr</t>
        </is>
      </c>
      <c r="J69" s="141" t="inlineStr">
        <is>
          <t>H</t>
        </is>
      </c>
      <c r="K69" s="141" t="inlineStr">
        <is>
          <t>WB 1687/160</t>
        </is>
      </c>
    </row>
    <row r="70">
      <c r="A70" s="141" t="inlineStr">
        <is>
          <t>15</t>
        </is>
      </c>
      <c r="B70" s="141" t="inlineStr">
        <is>
          <t>2246</t>
        </is>
      </c>
      <c r="C70" s="141" t="inlineStr">
        <is>
          <t>Coale, Darcy Ann</t>
        </is>
      </c>
      <c r="D70" s="141" t="inlineStr">
        <is>
          <t>Todco Properties, Inc.</t>
        </is>
      </c>
      <c r="E70" s="141" t="inlineStr">
        <is>
          <t>OL</t>
        </is>
      </c>
      <c r="F70" s="141" t="inlineStr">
        <is>
          <t>SE/4</t>
        </is>
      </c>
      <c r="G70" s="141" t="inlineStr">
        <is>
          <t>1687/165</t>
        </is>
      </c>
      <c r="H70" s="141" t="inlineStr">
        <is>
          <t>3-29-01</t>
        </is>
      </c>
      <c r="I70" s="141" t="inlineStr">
        <is>
          <t>1yr</t>
        </is>
      </c>
      <c r="J70" s="141" t="inlineStr">
        <is>
          <t>H</t>
        </is>
      </c>
      <c r="K70" s="141" t="inlineStr">
        <is>
          <t>WB 1687/165</t>
        </is>
      </c>
    </row>
    <row r="71">
      <c r="A71" s="141" t="inlineStr">
        <is>
          <t>15</t>
        </is>
      </c>
      <c r="B71" s="141" t="inlineStr">
        <is>
          <t>2247</t>
        </is>
      </c>
      <c r="C71" s="141" t="inlineStr">
        <is>
          <t>Bennett, Laura Owens Trust</t>
        </is>
      </c>
      <c r="D71" s="141" t="inlineStr">
        <is>
          <t>Todco Properties, Inc.</t>
        </is>
      </c>
      <c r="E71" s="141" t="inlineStr">
        <is>
          <t>OL</t>
        </is>
      </c>
      <c r="F71" s="141" t="inlineStr">
        <is>
          <t>SE/4</t>
        </is>
      </c>
      <c r="G71" s="141" t="inlineStr">
        <is>
          <t>1687/170</t>
        </is>
      </c>
      <c r="H71" s="141" t="inlineStr">
        <is>
          <t>3-29-01</t>
        </is>
      </c>
      <c r="I71" s="141" t="inlineStr">
        <is>
          <t>1yr</t>
        </is>
      </c>
      <c r="J71" s="141" t="inlineStr">
        <is>
          <t>H</t>
        </is>
      </c>
      <c r="K71" s="141" t="inlineStr">
        <is>
          <t>WB 1687/170</t>
        </is>
      </c>
    </row>
    <row r="72">
      <c r="A72" s="141" t="inlineStr">
        <is>
          <t>15</t>
        </is>
      </c>
      <c r="B72" s="141" t="inlineStr">
        <is>
          <t>8513</t>
        </is>
      </c>
      <c r="C72" s="141" t="inlineStr">
        <is>
          <t>Christopher, Radonna Kay</t>
        </is>
      </c>
      <c r="D72" s="141" t="inlineStr">
        <is>
          <t>Sanguine, Ltd.</t>
        </is>
      </c>
      <c r="E72" s="141" t="inlineStr">
        <is>
          <t>OL</t>
        </is>
      </c>
      <c r="F72" s="141" t="inlineStr">
        <is>
          <t>NW/4</t>
        </is>
      </c>
      <c r="G72" s="141" t="inlineStr">
        <is>
          <t>1717/456</t>
        </is>
      </c>
      <c r="H72" s="141" t="inlineStr">
        <is>
          <t>11-29-01</t>
        </is>
      </c>
      <c r="I72" s="141" t="inlineStr">
        <is>
          <t>controlling Sanguine HBP block</t>
        </is>
      </c>
      <c r="J72" s="141" t="inlineStr">
        <is>
          <t>H</t>
        </is>
      </c>
      <c r="K72" s="141" t="inlineStr">
        <is>
          <t>WB 1717/456</t>
        </is>
      </c>
    </row>
    <row r="73">
      <c r="A73" s="141" t="inlineStr">
        <is>
          <t>15</t>
        </is>
      </c>
      <c r="B73" s="141" t="inlineStr">
        <is>
          <t>8514</t>
        </is>
      </c>
      <c r="C73" s="141" t="inlineStr">
        <is>
          <t>Edwards, Larry D. (Trust)</t>
        </is>
      </c>
      <c r="D73" s="141" t="inlineStr">
        <is>
          <t>Sanguine, Ltd.</t>
        </is>
      </c>
      <c r="E73" s="141" t="inlineStr">
        <is>
          <t>OL</t>
        </is>
      </c>
      <c r="F73" s="141" t="inlineStr">
        <is>
          <t>NW/4</t>
        </is>
      </c>
      <c r="G73" s="141" t="inlineStr">
        <is>
          <t>1717/460</t>
        </is>
      </c>
      <c r="H73" s="141" t="inlineStr">
        <is>
          <t>11-29-01</t>
        </is>
      </c>
      <c r="I73" s="141" t="inlineStr"/>
      <c r="J73" s="141" t="inlineStr">
        <is>
          <t>H</t>
        </is>
      </c>
      <c r="K73" s="141" t="inlineStr">
        <is>
          <t>WB 1717/460</t>
        </is>
      </c>
    </row>
    <row r="74">
      <c r="A74" s="141" t="inlineStr">
        <is>
          <t>15</t>
        </is>
      </c>
      <c r="B74" s="141" t="inlineStr">
        <is>
          <t>8515</t>
        </is>
      </c>
      <c r="C74" s="141" t="inlineStr">
        <is>
          <t>Edwards, Robert A.</t>
        </is>
      </c>
      <c r="D74" s="141" t="inlineStr">
        <is>
          <t>Sanguine, Ltd.</t>
        </is>
      </c>
      <c r="E74" s="141" t="inlineStr">
        <is>
          <t>OL</t>
        </is>
      </c>
      <c r="F74" s="141" t="inlineStr">
        <is>
          <t>NW/4</t>
        </is>
      </c>
      <c r="G74" s="141" t="inlineStr">
        <is>
          <t>1717/464</t>
        </is>
      </c>
      <c r="H74" s="141" t="inlineStr">
        <is>
          <t>11-29-01</t>
        </is>
      </c>
      <c r="I74" s="141" t="inlineStr"/>
      <c r="J74" s="141" t="inlineStr">
        <is>
          <t>H</t>
        </is>
      </c>
      <c r="K74" s="141" t="inlineStr">
        <is>
          <t>WB 1717/464</t>
        </is>
      </c>
    </row>
    <row r="75">
      <c r="A75" s="141" t="inlineStr">
        <is>
          <t>15</t>
        </is>
      </c>
      <c r="B75" s="141" t="inlineStr">
        <is>
          <t>8516</t>
        </is>
      </c>
      <c r="C75" s="141" t="inlineStr">
        <is>
          <t>Harbour, Melody Denise</t>
        </is>
      </c>
      <c r="D75" s="141" t="inlineStr">
        <is>
          <t>Sanguine, Ltd.</t>
        </is>
      </c>
      <c r="E75" s="141" t="inlineStr">
        <is>
          <t>OL</t>
        </is>
      </c>
      <c r="F75" s="141" t="inlineStr">
        <is>
          <t>NW/4</t>
        </is>
      </c>
      <c r="G75" s="141" t="inlineStr">
        <is>
          <t>1717/469</t>
        </is>
      </c>
      <c r="H75" s="141" t="inlineStr">
        <is>
          <t>11-29-01</t>
        </is>
      </c>
      <c r="I75" s="141" t="inlineStr"/>
      <c r="J75" s="141" t="inlineStr">
        <is>
          <t>H</t>
        </is>
      </c>
      <c r="K75" s="141" t="inlineStr">
        <is>
          <t>WB 1717/469</t>
        </is>
      </c>
    </row>
    <row r="76">
      <c r="A76" s="141" t="inlineStr">
        <is>
          <t>15</t>
        </is>
      </c>
      <c r="B76" s="141" t="inlineStr">
        <is>
          <t>8517</t>
        </is>
      </c>
      <c r="C76" s="141" t="inlineStr">
        <is>
          <t>Benton, Marshall E. &amp; Nell</t>
        </is>
      </c>
      <c r="D76" s="141" t="inlineStr">
        <is>
          <t>Sanguine, Ltd.</t>
        </is>
      </c>
      <c r="E76" s="141" t="inlineStr">
        <is>
          <t>OL</t>
        </is>
      </c>
      <c r="F76" s="141" t="inlineStr">
        <is>
          <t>NW/4</t>
        </is>
      </c>
      <c r="G76" s="141" t="inlineStr">
        <is>
          <t>1717/473</t>
        </is>
      </c>
      <c r="H76" s="141" t="inlineStr">
        <is>
          <t>11-29-01</t>
        </is>
      </c>
      <c r="I76" s="141" t="inlineStr"/>
      <c r="J76" s="141" t="inlineStr">
        <is>
          <t>H</t>
        </is>
      </c>
      <c r="K76" s="141" t="inlineStr">
        <is>
          <t>WB 1717/473</t>
        </is>
      </c>
    </row>
    <row r="77">
      <c r="A77" s="141" t="inlineStr">
        <is>
          <t>15</t>
        </is>
      </c>
      <c r="B77" s="141" t="inlineStr">
        <is>
          <t>8518</t>
        </is>
      </c>
      <c r="C77" s="141" t="inlineStr">
        <is>
          <t>Sites, Betty</t>
        </is>
      </c>
      <c r="D77" s="141" t="inlineStr">
        <is>
          <t>Sanguine, Ltd.</t>
        </is>
      </c>
      <c r="E77" s="141" t="inlineStr">
        <is>
          <t>OL</t>
        </is>
      </c>
      <c r="F77" s="141" t="inlineStr">
        <is>
          <t>NW/4</t>
        </is>
      </c>
      <c r="G77" s="141" t="inlineStr">
        <is>
          <t>1717/477</t>
        </is>
      </c>
      <c r="H77" s="141" t="inlineStr">
        <is>
          <t>11-29-01</t>
        </is>
      </c>
      <c r="I77" s="141" t="inlineStr"/>
      <c r="J77" s="141" t="inlineStr">
        <is>
          <t>H</t>
        </is>
      </c>
      <c r="K77" s="141" t="inlineStr">
        <is>
          <t>WB 1717/477</t>
        </is>
      </c>
    </row>
    <row r="78">
      <c r="A78" s="141" t="inlineStr">
        <is>
          <t>15</t>
        </is>
      </c>
      <c r="B78" s="141" t="inlineStr">
        <is>
          <t>8619</t>
        </is>
      </c>
      <c r="C78" s="141" t="inlineStr">
        <is>
          <t>Benton, Steven Ernest</t>
        </is>
      </c>
      <c r="D78" s="141" t="inlineStr">
        <is>
          <t>Sanguine, Ltd.</t>
        </is>
      </c>
      <c r="E78" s="141" t="inlineStr">
        <is>
          <t>OL</t>
        </is>
      </c>
      <c r="F78" s="141" t="inlineStr">
        <is>
          <t>NW/4</t>
        </is>
      </c>
      <c r="G78" s="141" t="inlineStr">
        <is>
          <t>1717/481</t>
        </is>
      </c>
      <c r="H78" s="141" t="inlineStr">
        <is>
          <t>11-29-01</t>
        </is>
      </c>
      <c r="I78" s="141" t="inlineStr"/>
      <c r="J78" s="141" t="inlineStr">
        <is>
          <t>H</t>
        </is>
      </c>
      <c r="K78" s="141" t="inlineStr">
        <is>
          <t>WB 1717/481</t>
        </is>
      </c>
    </row>
    <row r="79">
      <c r="A79" s="141" t="inlineStr">
        <is>
          <t>15</t>
        </is>
      </c>
      <c r="B79" s="141" t="inlineStr">
        <is>
          <t>8520</t>
        </is>
      </c>
      <c r="C79" s="141" t="inlineStr">
        <is>
          <t>Benton, Gary Kent</t>
        </is>
      </c>
      <c r="D79" s="141" t="inlineStr">
        <is>
          <t>Sanguine, Ltd.</t>
        </is>
      </c>
      <c r="E79" s="141" t="inlineStr">
        <is>
          <t>OL</t>
        </is>
      </c>
      <c r="F79" s="141" t="inlineStr">
        <is>
          <t>NW/4</t>
        </is>
      </c>
      <c r="G79" s="141" t="inlineStr">
        <is>
          <t>1717/485</t>
        </is>
      </c>
      <c r="H79" s="141" t="inlineStr">
        <is>
          <t>11-29-01</t>
        </is>
      </c>
      <c r="I79" s="141" t="inlineStr"/>
      <c r="J79" s="141" t="inlineStr">
        <is>
          <t>H</t>
        </is>
      </c>
      <c r="K79" s="141" t="inlineStr">
        <is>
          <t>WB 1717/485</t>
        </is>
      </c>
    </row>
    <row r="80">
      <c r="A80" s="141" t="inlineStr">
        <is>
          <t>15</t>
        </is>
      </c>
      <c r="B80" s="141" t="inlineStr">
        <is>
          <t>8521</t>
        </is>
      </c>
      <c r="C80" s="141" t="inlineStr">
        <is>
          <t>Fuchs Family Rev. Trust</t>
        </is>
      </c>
      <c r="D80" s="141" t="inlineStr">
        <is>
          <t>Sanguine, Ltd.</t>
        </is>
      </c>
      <c r="E80" s="141" t="inlineStr">
        <is>
          <t>OL</t>
        </is>
      </c>
      <c r="F80" s="141" t="inlineStr">
        <is>
          <t>SE/4</t>
        </is>
      </c>
      <c r="G80" s="141" t="inlineStr">
        <is>
          <t>1717/489</t>
        </is>
      </c>
      <c r="H80" s="141" t="inlineStr">
        <is>
          <t>11-29-01</t>
        </is>
      </c>
      <c r="I80" s="141" t="inlineStr"/>
      <c r="J80" s="141" t="inlineStr">
        <is>
          <t>H</t>
        </is>
      </c>
      <c r="K80" s="141" t="inlineStr">
        <is>
          <t>WB 1717/489</t>
        </is>
      </c>
    </row>
    <row r="81">
      <c r="A81" s="141" t="inlineStr">
        <is>
          <t>16</t>
        </is>
      </c>
      <c r="B81" s="141" t="inlineStr">
        <is>
          <t>-</t>
        </is>
      </c>
      <c r="C81" s="141" t="inlineStr">
        <is>
          <t>Sanguine, Ltd. / Vastar / Nelson group</t>
        </is>
      </c>
      <c r="D81" s="141" t="inlineStr">
        <is>
          <t>various</t>
        </is>
      </c>
      <c r="E81" s="141" t="inlineStr">
        <is>
          <t>Rel / Partial Release (depth)</t>
        </is>
      </c>
      <c r="F81" s="141" t="inlineStr">
        <is>
          <t>Sec 27</t>
        </is>
      </c>
      <c r="G81" s="141" t="inlineStr">
        <is>
          <t>1719/304 (per WB 2001-008828)</t>
        </is>
      </c>
      <c r="H81" s="141" t="inlineStr">
        <is>
          <t>2001</t>
        </is>
      </c>
      <c r="I81" s="141" t="inlineStr">
        <is>
          <t>partial release below 17,960' strat equiv — depth-limit proof (low legibility on p17)</t>
        </is>
      </c>
      <c r="J81" s="141" t="inlineStr">
        <is>
          <t>L</t>
        </is>
      </c>
      <c r="K81" s="141" t="inlineStr">
        <is>
          <t>WB 1719/304</t>
        </is>
      </c>
    </row>
    <row r="82">
      <c r="A82" s="141" t="inlineStr">
        <is>
          <t>19</t>
        </is>
      </c>
      <c r="B82" s="141" t="inlineStr">
        <is>
          <t>-</t>
        </is>
      </c>
      <c r="C82" s="141" t="inlineStr">
        <is>
          <t>Christopher / Fell / Hagerman / McAfee families</t>
        </is>
      </c>
      <c r="D82" s="141" t="inlineStr">
        <is>
          <t>various</t>
        </is>
      </c>
      <c r="E82" s="141" t="inlineStr">
        <is>
          <t>Mineral deeds (mqcd/gcd)</t>
        </is>
      </c>
      <c r="F82" s="141" t="inlineStr">
        <is>
          <t>Sec 27</t>
        </is>
      </c>
      <c r="G82" s="141" t="inlineStr">
        <is>
          <t>(modern mineral conveyances)</t>
        </is>
      </c>
      <c r="H82" s="141" t="inlineStr">
        <is>
          <t>2000s-2020s</t>
        </is>
      </c>
      <c r="I82" s="141" t="inlineStr">
        <is>
          <t>grantee/mineral chain; mineral NMA not derivable</t>
        </is>
      </c>
      <c r="J82" s="141" t="inlineStr">
        <is>
          <t>L</t>
        </is>
      </c>
      <c r="K82" s="141" t="inlineStr"/>
    </row>
    <row r="83">
      <c r="A83" s="141" t="inlineStr">
        <is>
          <t>26</t>
        </is>
      </c>
      <c r="B83" s="141" t="inlineStr">
        <is>
          <t>-</t>
        </is>
      </c>
      <c r="C83" s="141" t="inlineStr">
        <is>
          <t>Fell, Morris B. Trust; Hagerman; Christopher, RaDonna</t>
        </is>
      </c>
      <c r="D83" s="141" t="inlineStr">
        <is>
          <t>Fell/McAfee/Christopher Trust</t>
        </is>
      </c>
      <c r="E83" s="141" t="inlineStr">
        <is>
          <t>Mineral QCD/GCD</t>
        </is>
      </c>
      <c r="F83" s="141" t="inlineStr">
        <is>
          <t>Sec 27</t>
        </is>
      </c>
      <c r="G83" s="141" t="inlineStr">
        <is>
          <t>(end of grantor index)</t>
        </is>
      </c>
      <c r="H83" s="141" t="inlineStr">
        <is>
          <t>recent</t>
        </is>
      </c>
      <c r="I83" s="141" t="inlineStr">
        <is>
          <t>last index page (Page 26)</t>
        </is>
      </c>
      <c r="J83" s="141" t="inlineStr">
        <is>
          <t>L</t>
        </is>
      </c>
      <c r="K83" s="141" t="inlineStr"/>
    </row>
  </sheetData>
  <mergeCells count="1">
    <mergeCell ref="A1:K1"/>
  </mergeCells>
  <pageMargins left="0.75" right="0.75" top="1" bottom="1" header="0.5" footer="0.5"/>
</worksheet>
</file>

<file path=xl/worksheets/sheet14.xml><?xml version="1.0" encoding="utf-8"?>
<worksheet xmlns="http://schemas.openxmlformats.org/spreadsheetml/2006/main">
  <sheetPr>
    <tabColor rgb="00C00000"/>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16" customWidth="1" style="42" min="1" max="1"/>
    <col width="34" customWidth="1" style="42" min="2" max="2"/>
    <col width="16" customWidth="1" style="42" min="3" max="3"/>
    <col width="22" customWidth="1" style="42" min="4" max="4"/>
    <col width="20" customWidth="1" style="42" min="5" max="5"/>
    <col width="30" customWidth="1" style="42" min="6" max="6"/>
    <col width="22" customWidth="1" style="42" min="7" max="7"/>
    <col width="24" customWidth="1" style="42" min="8" max="8"/>
    <col width="26" customWidth="1" style="42" min="9" max="9"/>
    <col width="10" customWidth="1" style="42" min="10" max="10"/>
    <col width="46" customWidth="1" style="42" min="11" max="11"/>
  </cols>
  <sheetData>
    <row r="1">
      <c r="A1" s="139" t="inlineStr">
        <is>
          <t>NRI is shown UNRESOLVED / ESTIMATE ONLY. Final NRI is NOT derivable in a cursory review: (1) WI is an apparent leased-coverage fraction not a proven decimal; (2) ORRI stack is unmetered; (3) per-lessor net mineral acres are unknown. Do NOT rely on these for division-order purposes.</t>
        </is>
      </c>
    </row>
    <row r="2">
      <c r="A2" s="140" t="inlineStr">
        <is>
          <t>Tract</t>
        </is>
      </c>
      <c r="B2" s="140" t="inlineStr">
        <is>
          <t>Lease(s)</t>
        </is>
      </c>
      <c r="C2" s="140" t="inlineStr">
        <is>
          <t>Royalty</t>
        </is>
      </c>
      <c r="D2" s="140" t="inlineStr">
        <is>
          <t>WI (apparent)</t>
        </is>
      </c>
      <c r="E2" s="140" t="inlineStr">
        <is>
          <t>NRI</t>
        </is>
      </c>
      <c r="F2" s="140" t="inlineStr">
        <is>
          <t>Depth Limitation</t>
        </is>
      </c>
      <c r="G2" s="140" t="inlineStr">
        <is>
          <t>Formation</t>
        </is>
      </c>
      <c r="H2" s="140" t="inlineStr">
        <is>
          <t>Wellbore Limitation</t>
        </is>
      </c>
      <c r="I2" s="140" t="inlineStr">
        <is>
          <t>Burden Source</t>
        </is>
      </c>
      <c r="J2" s="140" t="inlineStr">
        <is>
          <t>Confidence</t>
        </is>
      </c>
      <c r="K2" s="140" t="inlineStr">
        <is>
          <t>Notes</t>
        </is>
      </c>
    </row>
    <row r="3">
      <c r="A3" s="141" t="inlineStr">
        <is>
          <t>1 (NE/4)</t>
        </is>
      </c>
      <c r="B3" s="141" t="inlineStr">
        <is>
          <t>Sanguine block (1717/497,509; 1672/130)</t>
        </is>
      </c>
      <c r="C3" s="141" t="inlineStr">
        <is>
          <t>3/16 (0.1875)</t>
        </is>
      </c>
      <c r="D3" s="141" t="inlineStr">
        <is>
          <t>0.700520833 (apparent, §-wide)</t>
        </is>
      </c>
      <c r="E3" s="141" t="inlineStr">
        <is>
          <t>UNRESOLVED</t>
        </is>
      </c>
      <c r="F3" s="141" t="inlineStr">
        <is>
          <t>Below ~17,960' strat equiv (TD+100, Mandrell #2-27)</t>
        </is>
      </c>
      <c r="G3" s="141" t="inlineStr">
        <is>
          <t>Granite Wash/Morrow/Atoka (pooled)</t>
        </is>
      </c>
      <c r="H3" s="141" t="inlineStr">
        <is>
          <t>None located</t>
        </is>
      </c>
      <c r="I3" s="141" t="inlineStr">
        <is>
          <t>OGL depth clause + 1719/304 partial release</t>
        </is>
      </c>
      <c r="J3" s="141" t="inlineStr">
        <is>
          <t>Low</t>
        </is>
      </c>
      <c r="K3" s="141" t="inlineStr">
        <is>
          <t>NRI not bookable: WI is apparent leased-coverage fraction, not proven; ORRI stack (GBK 3%, Kaiser-Francis, Hauschild, Nelson group) not netted.</t>
        </is>
      </c>
    </row>
    <row r="4">
      <c r="A4" s="141" t="inlineStr">
        <is>
          <t>2 (NW/4)</t>
        </is>
      </c>
      <c r="B4" s="141" t="inlineStr">
        <is>
          <t>Sanguine 1717/456-489; French Energy/Colt/Pine predecessors</t>
        </is>
      </c>
      <c r="C4" s="141" t="inlineStr">
        <is>
          <t>3/16 (most); Allen 1592/350 Morrow-limited</t>
        </is>
      </c>
      <c r="D4" s="141" t="inlineStr">
        <is>
          <t>0.700520833 (apparent, §-wide)</t>
        </is>
      </c>
      <c r="E4" s="141" t="inlineStr">
        <is>
          <t>UNRESOLVED</t>
        </is>
      </c>
      <c r="F4" s="141" t="inlineStr">
        <is>
          <t>Below ~17,960' strat equiv; Allen lease surface-to-base-of-Morrow</t>
        </is>
      </c>
      <c r="G4" s="141" t="inlineStr">
        <is>
          <t>Granite Wash/Morrow/Atoka</t>
        </is>
      </c>
      <c r="H4" s="141" t="inlineStr">
        <is>
          <t>None located</t>
        </is>
      </c>
      <c r="I4" s="141" t="inlineStr">
        <is>
          <t>OGL depth clauses</t>
        </is>
      </c>
      <c r="J4" s="141" t="inlineStr">
        <is>
          <t>Low</t>
        </is>
      </c>
      <c r="K4" s="141" t="inlineStr">
        <is>
          <t>Mixed depth scopes within tract; per-lessor NMA unknown.</t>
        </is>
      </c>
    </row>
    <row r="5">
      <c r="A5" s="141" t="inlineStr">
        <is>
          <t>3 (SE/4)</t>
        </is>
      </c>
      <c r="B5" s="141" t="inlineStr">
        <is>
          <t>Sanguine 1672/134-141, 1717/489; Todco 1687/160-170</t>
        </is>
      </c>
      <c r="C5" s="141" t="inlineStr">
        <is>
          <t>3/16 (0.1875)</t>
        </is>
      </c>
      <c r="D5" s="141" t="inlineStr">
        <is>
          <t>0.700520833 (apparent, §-wide)</t>
        </is>
      </c>
      <c r="E5" s="141" t="inlineStr">
        <is>
          <t>UNRESOLVED</t>
        </is>
      </c>
      <c r="F5" s="141" t="inlineStr">
        <is>
          <t>Todco SE/4 below 17,860'; Sanguine below ~17,960'</t>
        </is>
      </c>
      <c r="G5" s="141" t="inlineStr">
        <is>
          <t>Granite Wash/Morrow/Atoka</t>
        </is>
      </c>
      <c r="H5" s="141" t="inlineStr">
        <is>
          <t>Mandrell #2-27 in W/2 SE/4</t>
        </is>
      </c>
      <c r="I5" s="141" t="inlineStr">
        <is>
          <t>OGL depth clauses</t>
        </is>
      </c>
      <c r="J5" s="141" t="inlineStr">
        <is>
          <t>Low</t>
        </is>
      </c>
      <c r="K5" s="141" t="inlineStr">
        <is>
          <t>Two depth references (17,860'/17,960'); GBK 3% + Kaiser-Francis ORRI on Todco chain.</t>
        </is>
      </c>
    </row>
    <row r="6">
      <c r="A6" s="141" t="inlineStr">
        <is>
          <t>4 (SW/4 less 1ac)</t>
        </is>
      </c>
      <c r="B6" s="141" t="inlineStr">
        <is>
          <t>Mandrell Farms 1592/347 (Sanguine); 1387/232 (T.S.Dudley)</t>
        </is>
      </c>
      <c r="C6" s="141" t="inlineStr">
        <is>
          <t>3/16 (0.1875)</t>
        </is>
      </c>
      <c r="D6" s="141" t="inlineStr">
        <is>
          <t>0.700520833 (apparent, §-wide)</t>
        </is>
      </c>
      <c r="E6" s="141" t="inlineStr">
        <is>
          <t>UNRESOLVED</t>
        </is>
      </c>
      <c r="F6" s="141" t="inlineStr">
        <is>
          <t>No special depth limit located on reviewed first page</t>
        </is>
      </c>
      <c r="G6" s="141" t="inlineStr">
        <is>
          <t>Granite Wash/Morrow/Atoka</t>
        </is>
      </c>
      <c r="H6" s="141" t="inlineStr">
        <is>
          <t>Mandrell #1-27 (P&amp;A, C SW/4)</t>
        </is>
      </c>
      <c r="I6" s="141" t="inlineStr">
        <is>
          <t>OGL</t>
        </is>
      </c>
      <c r="J6" s="141" t="inlineStr">
        <is>
          <t>Low</t>
        </is>
      </c>
      <c r="K6" s="141" t="inlineStr">
        <is>
          <t>Single lessor of record on index; NMA unknown.</t>
        </is>
      </c>
    </row>
    <row r="7">
      <c r="A7" s="141" t="inlineStr">
        <is>
          <t>5 (1ac Church)</t>
        </is>
      </c>
      <c r="B7" s="141" t="inlineStr">
        <is>
          <t>Buffalo Missionary Baptist Church 1588/245 (Todco)</t>
        </is>
      </c>
      <c r="C7" s="141" t="inlineStr">
        <is>
          <t>3/16 (0.1875)</t>
        </is>
      </c>
      <c r="D7" s="141" t="inlineStr">
        <is>
          <t>0.700520833 (apparent, §-wide)</t>
        </is>
      </c>
      <c r="E7" s="141" t="inlineStr">
        <is>
          <t>UNRESOLVED</t>
        </is>
      </c>
      <c r="F7" s="141" t="inlineStr">
        <is>
          <t>None stated on reviewed page</t>
        </is>
      </c>
      <c r="G7" s="141" t="inlineStr">
        <is>
          <t>Granite Wash/Morrow/Atoka</t>
        </is>
      </c>
      <c r="H7" s="141" t="inlineStr">
        <is>
          <t>None</t>
        </is>
      </c>
      <c r="I7" s="141" t="inlineStr">
        <is>
          <t>OGL</t>
        </is>
      </c>
      <c r="J7" s="141" t="inlineStr">
        <is>
          <t>Low</t>
        </is>
      </c>
      <c r="K7" s="141" t="inlineStr">
        <is>
          <t>De-minimis 1-ac tract carved from SW/4.</t>
        </is>
      </c>
    </row>
    <row r="8">
      <c r="A8" s="141" t="inlineStr">
        <is>
          <t>ALL (640-ac unit)</t>
        </is>
      </c>
      <c r="B8" s="141" t="inlineStr">
        <is>
          <t>Apparent Diversified leasehold (Track A)</t>
        </is>
      </c>
      <c r="C8" s="141" t="inlineStr">
        <is>
          <t>ESTIMATE 3/16 only</t>
        </is>
      </c>
      <c r="D8" s="141" t="inlineStr">
        <is>
          <t>0.700520833 (448.333333/640)</t>
        </is>
      </c>
      <c r="E8" s="141" t="inlineStr">
        <is>
          <t>ESTIMATE ONLY 0.569173177</t>
        </is>
      </c>
      <c r="F8" s="141" t="inlineStr">
        <is>
          <t>Depth-limited (below ~17,960'/17,860')</t>
        </is>
      </c>
      <c r="G8" s="141" t="inlineStr">
        <is>
          <t>Pooled common sources of supply</t>
        </is>
      </c>
      <c r="H8" s="141" t="inlineStr">
        <is>
          <t>Teocalli 2401/214 wellbore-only (unquantified)</t>
        </is>
      </c>
      <c r="I8" s="141" t="inlineStr">
        <is>
          <t>Report WI chain + OGL burdens</t>
        </is>
      </c>
      <c r="J8" s="141" t="inlineStr">
        <is>
          <t>Low</t>
        </is>
      </c>
      <c r="K8" s="141" t="inlineStr">
        <is>
          <t>0.70052083 x 0.8125 = 0.569173177 IF burdened only by 3/16 royalty and ORRIs ignored. NOT a final NRI — ORRI stack unmetered, NMA/division orders required.</t>
        </is>
      </c>
    </row>
  </sheetData>
  <mergeCells count="1">
    <mergeCell ref="A1:K1"/>
  </mergeCells>
  <pageMargins left="0.75" right="0.75" top="1" bottom="1" header="0.5" footer="0.5"/>
</worksheet>
</file>

<file path=xl/worksheets/sheet15.xml><?xml version="1.0" encoding="utf-8"?>
<worksheet xmlns="http://schemas.openxmlformats.org/spreadsheetml/2006/main">
  <sheetPr>
    <tabColor rgb="00ED7D31"/>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style="42" min="1" max="1"/>
    <col width="10" customWidth="1" style="42" min="2" max="2"/>
    <col width="18" customWidth="1" style="42" min="3" max="3"/>
    <col width="60" customWidth="1" style="42" min="4" max="4"/>
    <col width="40" customWidth="1" style="42" min="5" max="5"/>
    <col width="34" customWidth="1" style="42" min="6" max="6"/>
  </cols>
  <sheetData>
    <row r="1">
      <c r="A1" s="140" t="inlineStr">
        <is>
          <t>#</t>
        </is>
      </c>
      <c r="B1" s="140" t="inlineStr">
        <is>
          <t>Priority</t>
        </is>
      </c>
      <c r="C1" s="140" t="inlineStr">
        <is>
          <t>Category</t>
        </is>
      </c>
      <c r="D1" s="140" t="inlineStr">
        <is>
          <t>Issue</t>
        </is>
      </c>
      <c r="E1" s="140" t="inlineStr">
        <is>
          <t>Document / Data Needed</t>
        </is>
      </c>
      <c r="F1" s="140" t="inlineStr">
        <is>
          <t>Recommended Next Action</t>
        </is>
      </c>
    </row>
    <row r="2">
      <c r="A2" s="141" t="n">
        <v>1</v>
      </c>
      <c r="B2" s="141" t="inlineStr">
        <is>
          <t>High</t>
        </is>
      </c>
      <c r="C2" s="141" t="inlineStr">
        <is>
          <t>Interest quantum</t>
        </is>
      </c>
      <c r="D2" s="141" t="inlineStr">
        <is>
          <t>Exact Diversified WI/NRI not derivable from index; 0.70052083 is an apparent leased-coverage fraction (448.33/640), NOT a proven WI.</t>
        </is>
      </c>
      <c r="E2" s="141" t="inlineStr">
        <is>
          <t>Division orders / run-of-title / lessor mineral fractions</t>
        </is>
      </c>
      <c r="F2" s="141" t="inlineStr">
        <is>
          <t>Obtain DOs + run mineral title</t>
        </is>
      </c>
    </row>
    <row r="3">
      <c r="A3" s="141" t="n">
        <v>2</v>
      </c>
      <c r="B3" s="141" t="inlineStr">
        <is>
          <t>High</t>
        </is>
      </c>
      <c r="C3" s="141" t="inlineStr">
        <is>
          <t>Chain verification</t>
        </is>
      </c>
      <c r="D3" s="141" t="inlineStr">
        <is>
          <t>2017-2026 corporate assignment instruments (2266/194; 2307/894; 2308/123; 2340/218; 2451/4; 2480/824) are NOT in the provided county index and could not be independently verified (no OKCR API).</t>
        </is>
      </c>
      <c r="E3" s="141" t="inlineStr">
        <is>
          <t>Imaged assignments from OKCountyRecords</t>
        </is>
      </c>
      <c r="F3" s="141" t="inlineStr">
        <is>
          <t>Pull &amp; OCR each assignment; confirm Sec-27 asset scope &amp; quantum</t>
        </is>
      </c>
    </row>
    <row r="4">
      <c r="A4" s="141" t="n">
        <v>3</v>
      </c>
      <c r="B4" s="141" t="inlineStr">
        <is>
          <t>High</t>
        </is>
      </c>
      <c r="C4" s="141" t="inlineStr">
        <is>
          <t>Track A vs Track B</t>
        </is>
      </c>
      <c r="D4" s="141" t="inlineStr">
        <is>
          <t>WI carries Track A only; Title/merger recitals suggest convergence with Track B (Chesapeake/Tapstone/DP). Not silently resolved.</t>
        </is>
      </c>
      <c r="E4" s="141" t="inlineStr">
        <is>
          <t>Recorded Track B assignments (2340/403; 2340/490; etc.) + 2451/4 merger reconciliation</t>
        </is>
      </c>
      <c r="F4" s="141" t="inlineStr">
        <is>
          <t>Reconcile both tracks before booking</t>
        </is>
      </c>
    </row>
    <row r="5">
      <c r="A5" s="141" t="n">
        <v>4</v>
      </c>
      <c r="B5" s="141" t="inlineStr">
        <is>
          <t>High</t>
        </is>
      </c>
      <c r="C5" s="141" t="inlineStr">
        <is>
          <t>Corporate succession</t>
        </is>
      </c>
      <c r="D5" s="141" t="inlineStr">
        <is>
          <t>FourPoint-&gt;Unbridled-&gt;Maverick-&gt;Diversified relies on corporate/merger recitals + public filings, not a recorded Sec-27 conveyance chain.</t>
        </is>
      </c>
      <c r="E5" s="141" t="inlineStr">
        <is>
          <t>Recorded asset schedules / merger exhibits for Sec 27</t>
        </is>
      </c>
      <c r="F5" s="141" t="inlineStr">
        <is>
          <t>Obtain merger exhibits naming Sec 27</t>
        </is>
      </c>
    </row>
    <row r="6">
      <c r="A6" s="141" t="n">
        <v>5</v>
      </c>
      <c r="B6" s="141" t="inlineStr">
        <is>
          <t>High</t>
        </is>
      </c>
      <c r="C6" s="141" t="inlineStr">
        <is>
          <t>Depth</t>
        </is>
      </c>
      <c r="D6" s="141" t="inlineStr">
        <is>
          <t>Controlling depth = below ~17,960'/17,860' strat equiv (TD+100, Mandrell #2-27). Cherokee NOT supported by any provided record.</t>
        </is>
      </c>
      <c r="E6" s="141" t="inlineStr">
        <is>
          <t>Imaged 2266/194 severance + 1719/304 partial release</t>
        </is>
      </c>
      <c r="F6" s="141" t="inlineStr">
        <is>
          <t>Abstract full depth clauses</t>
        </is>
      </c>
    </row>
    <row r="7">
      <c r="A7" s="141" t="n">
        <v>6</v>
      </c>
      <c r="B7" s="141" t="inlineStr">
        <is>
          <t>Medium</t>
        </is>
      </c>
      <c r="C7" s="141" t="inlineStr">
        <is>
          <t>Production / HBP</t>
        </is>
      </c>
      <c r="D7" s="141" t="inlineStr">
        <is>
          <t>Operators of record are BCE-MACH II LLC and Presidio Petroleum LLC - NOT Diversified. HBP attribution to Diversified unproven.</t>
        </is>
      </c>
      <c r="E7" s="141" t="inlineStr">
        <is>
          <t>OTC gross production; OCC orders/PUNs</t>
        </is>
      </c>
      <c r="F7" s="141" t="inlineStr">
        <is>
          <t>Verify paying production by lease/unit</t>
        </is>
      </c>
    </row>
    <row r="8">
      <c r="A8" s="141" t="n">
        <v>7</v>
      </c>
      <c r="B8" s="141" t="inlineStr">
        <is>
          <t>Medium</t>
        </is>
      </c>
      <c r="C8" s="141" t="inlineStr">
        <is>
          <t>Burdens / NRI</t>
        </is>
      </c>
      <c r="D8" s="141" t="inlineStr">
        <is>
          <t>ORRI stack (GBK 3%, Kaiser-Francis, Hauschild, Nelson group, Leroy Royalty, multiple 1% ORRIs) not netted; NRI cannot be stated.</t>
        </is>
      </c>
      <c r="E8" s="141" t="inlineStr">
        <is>
          <t>All ORRI assignments (1626/104; 1636/188-190; 1641/318-339; 1663/497)</t>
        </is>
      </c>
      <c r="F8" s="141" t="inlineStr">
        <is>
          <t>Build full burden ledger</t>
        </is>
      </c>
    </row>
    <row r="9">
      <c r="A9" s="141" t="n">
        <v>8</v>
      </c>
      <c r="B9" s="141" t="inlineStr">
        <is>
          <t>Medium</t>
        </is>
      </c>
      <c r="C9" s="141" t="inlineStr">
        <is>
          <t>Net mineral acres</t>
        </is>
      </c>
      <c r="D9" s="141" t="inlineStr">
        <is>
          <t>Per-lessor / per-tract net mineral acres shown 'Unknown' - not derivable from index.</t>
        </is>
      </c>
      <c r="E9" s="141" t="inlineStr">
        <is>
          <t>Mineral deeds / probate / affidavits of heirship</t>
        </is>
      </c>
      <c r="F9" s="141" t="inlineStr">
        <is>
          <t>Run mineral chain per tract</t>
        </is>
      </c>
    </row>
    <row r="10">
      <c r="A10" s="141" t="n">
        <v>9</v>
      </c>
      <c r="B10" s="141" t="inlineStr">
        <is>
          <t>Medium</t>
        </is>
      </c>
      <c r="C10" s="141" t="inlineStr">
        <is>
          <t>Teocalli wellbore</t>
        </is>
      </c>
      <c r="D10" s="141" t="inlineStr">
        <is>
          <t>2023-000993 (2401/214) Unbridled-&gt;Teocalli treated as wellbore-only / unquantified. Effect on Sec-27 WI/NRI not proven.</t>
        </is>
      </c>
      <c r="E10" s="141" t="inlineStr">
        <is>
          <t>Imaged Exhibit A of 2401/214</t>
        </is>
      </c>
      <c r="F10" s="141" t="inlineStr">
        <is>
          <t>Abstract wellbore/depth scope</t>
        </is>
      </c>
    </row>
    <row r="11">
      <c r="A11" s="141" t="n">
        <v>10</v>
      </c>
      <c r="B11" s="141" t="inlineStr">
        <is>
          <t>Low</t>
        </is>
      </c>
      <c r="C11" s="141" t="inlineStr">
        <is>
          <t>Alias collision</t>
        </is>
      </c>
      <c r="D11" s="141" t="inlineStr">
        <is>
          <t>'Diversified Financial Group, Inc.' (1168/324; 1189/20; 1428/128) = Erick town lots, surface only - probable name collision; excluded.</t>
        </is>
      </c>
      <c r="E11" s="141" t="inlineStr">
        <is>
          <t>Confirm unrelated to Diversified Energy</t>
        </is>
      </c>
      <c r="F11" s="141" t="inlineStr">
        <is>
          <t>Confirm &amp; keep excluded</t>
        </is>
      </c>
    </row>
    <row r="12">
      <c r="A12" s="141" t="n">
        <v>11</v>
      </c>
      <c r="B12" s="141" t="inlineStr">
        <is>
          <t>Low</t>
        </is>
      </c>
      <c r="C12" s="141" t="inlineStr">
        <is>
          <t>Index read variance</t>
        </is>
      </c>
      <c r="D12" s="141" t="inlineStr">
        <is>
          <t>Minor index read variances (e.g., Colt OL book/pg 1605/591 vs report 1605/598) on a few handwritten/dense entries.</t>
        </is>
      </c>
      <c r="E12" s="141" t="inlineStr">
        <is>
          <t>Re-image specific instruments</t>
        </is>
      </c>
      <c r="F12" s="141" t="inlineStr">
        <is>
          <t>Spot-confirm flagged book/pages</t>
        </is>
      </c>
    </row>
    <row r="13">
      <c r="A13" s="141" t="n">
        <v>12</v>
      </c>
      <c r="B13" s="141" t="inlineStr">
        <is>
          <t>Low</t>
        </is>
      </c>
      <c r="C13" s="141" t="inlineStr">
        <is>
          <t>Older mineral/surface chain</t>
        </is>
      </c>
      <c r="D13" s="141" t="inlineStr">
        <is>
          <t>Index pages 0-12 (handwritten) reviewed at index level only; individual entries low-confidence and not decimalized (cursory scope).</t>
        </is>
      </c>
      <c r="E13" s="141" t="inlineStr">
        <is>
          <t>Full run-of-title if acquisition contemplated</t>
        </is>
      </c>
      <c r="F13" s="141" t="inlineStr">
        <is>
          <t>Order full abstract if needed</t>
        </is>
      </c>
    </row>
  </sheetData>
  <pageMargins left="0.75" right="0.75" top="1" bottom="1" header="0.5" footer="0.5"/>
</worksheet>
</file>

<file path=xl/worksheets/sheet16.xml><?xml version="1.0" encoding="utf-8"?>
<worksheet xmlns="http://schemas.openxmlformats.org/spreadsheetml/2006/main">
  <sheetPr>
    <tabColor rgb="00808080"/>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46" customWidth="1" style="42" min="1" max="1"/>
    <col width="46" customWidth="1" style="42" min="2" max="2"/>
    <col width="40" customWidth="1" style="42" min="3" max="3"/>
    <col width="12" customWidth="1" style="42" min="4" max="4"/>
    <col width="46" customWidth="1" style="42" min="5" max="5"/>
  </cols>
  <sheetData>
    <row r="1">
      <c r="A1" s="140" t="inlineStr">
        <is>
          <t>Assumption</t>
        </is>
      </c>
      <c r="B1" s="140" t="inlineStr">
        <is>
          <t>Why used</t>
        </is>
      </c>
      <c r="C1" s="140" t="inlineStr">
        <is>
          <t>Source / Basis</t>
        </is>
      </c>
      <c r="D1" s="140" t="inlineStr">
        <is>
          <t>Confidence</t>
        </is>
      </c>
      <c r="E1" s="140" t="inlineStr">
        <is>
          <t>Impact if wrong</t>
        </is>
      </c>
    </row>
    <row r="2">
      <c r="A2" s="141" t="inlineStr">
        <is>
          <t>Apparent Diversified WI = 0.700520833 (448.333333/640)</t>
        </is>
      </c>
      <c r="B2" s="141" t="inlineStr">
        <is>
          <t>Carried from prior report as the apparent leased-coverage fraction for the Track A path.</t>
        </is>
      </c>
      <c r="C2" s="141" t="inlineStr">
        <is>
          <t>Prior workbook + Track A OGLs verified in index</t>
        </is>
      </c>
      <c r="D2" s="141" t="inlineStr">
        <is>
          <t>Medium</t>
        </is>
      </c>
      <c r="E2" s="141" t="inlineStr">
        <is>
          <t>If actual leased NMA differs, WI and all downstream figures change.</t>
        </is>
      </c>
    </row>
    <row r="3">
      <c r="A3" s="141" t="inlineStr">
        <is>
          <t>Residual/open = 0.299479167 (191.666667/640)</t>
        </is>
      </c>
      <c r="B3" s="141" t="inlineStr">
        <is>
          <t>Plug that makes the section reconcile to 640 ac / 1.000000 WI; NOT affirmatively chained to Diversified.</t>
        </is>
      </c>
      <c r="C3" s="141" t="inlineStr">
        <is>
          <t>Arithmetic complement</t>
        </is>
      </c>
      <c r="D3" s="141" t="inlineStr">
        <is>
          <t>Medium</t>
        </is>
      </c>
      <c r="E3" s="141" t="inlineStr">
        <is>
          <t>Some of this could belong to Diversified (or others) once mineral/lease chain is fully run.</t>
        </is>
      </c>
    </row>
    <row r="4">
      <c r="A4" s="141" t="inlineStr">
        <is>
          <t>Track A 100% carry-forward into FourPoint</t>
        </is>
      </c>
      <c r="B4" s="141" t="inlineStr">
        <is>
          <t>Assignments 2017-004597 / 2019-002937 / 2019-002988 assumed to convey 100% of assignors' Sec-27 interest.</t>
        </is>
      </c>
      <c r="C4" s="141" t="inlineStr">
        <is>
          <t>Report Source Index (instruments not in provided county index)</t>
        </is>
      </c>
      <c r="D4" s="141" t="inlineStr">
        <is>
          <t>Low</t>
        </is>
      </c>
      <c r="E4" s="141" t="inlineStr">
        <is>
          <t>If assignments were partial or depth/wellbore-limited, carried WI is overstated.</t>
        </is>
      </c>
    </row>
    <row r="5">
      <c r="A5" s="141" t="inlineStr">
        <is>
          <t>Corporate succession FourPoint-&gt;Unbridled-&gt;Maverick-&gt;Diversified</t>
        </is>
      </c>
      <c r="B5" s="141" t="inlineStr">
        <is>
          <t>Treated as continuity of the same leasehold via name change/merger.</t>
        </is>
      </c>
      <c r="C5" s="141" t="inlineStr">
        <is>
          <t>2340/218 name change + 2451/4 merger recitals + public filings</t>
        </is>
      </c>
      <c r="D5" s="141" t="inlineStr">
        <is>
          <t>Low-Med</t>
        </is>
      </c>
      <c r="E5" s="141" t="inlineStr">
        <is>
          <t>If Sec-27 was excluded from a merger asset schedule, the chain breaks.</t>
        </is>
      </c>
    </row>
    <row r="6">
      <c r="A6" s="141" t="inlineStr">
        <is>
          <t>Royalty = 3/16 (0.1875)</t>
        </is>
      </c>
      <c r="B6" s="141" t="inlineStr">
        <is>
          <t>Used only for the ESTIMATE-ONLY NRI; most reviewed OGLs recite 3/16.</t>
        </is>
      </c>
      <c r="C6" s="141" t="inlineStr">
        <is>
          <t>OGLs tab (French Energy/Sanguine/Arrowhead/Todco leases)</t>
        </is>
      </c>
      <c r="D6" s="141" t="inlineStr">
        <is>
          <t>Medium</t>
        </is>
      </c>
      <c r="E6" s="141" t="inlineStr">
        <is>
          <t>Any non-3/16 lease or unmetered ORRI lowers true NRI below the estimate.</t>
        </is>
      </c>
    </row>
    <row r="7">
      <c r="A7" s="141" t="inlineStr">
        <is>
          <t>Controlling depth below ~17,960'/17,860' strat equiv</t>
        </is>
      </c>
      <c r="B7" s="141" t="inlineStr">
        <is>
          <t>Diversified's interest is depth-limited to deep rights (TD+100, Mandrell #2-27).</t>
        </is>
      </c>
      <c r="C7" s="141" t="inlineStr">
        <is>
          <t>Sanguine OGL depth clauses + 1719/304 partial release</t>
        </is>
      </c>
      <c r="D7" s="141" t="inlineStr">
        <is>
          <t>Medium</t>
        </is>
      </c>
      <c r="E7" s="141" t="inlineStr">
        <is>
          <t>Shallow rights and any non-deep production are outside the carried interest.</t>
        </is>
      </c>
    </row>
    <row r="8">
      <c r="A8" s="141" t="inlineStr">
        <is>
          <t>Teocalli 2401/214 = wellbore-only, 0 WI booked</t>
        </is>
      </c>
      <c r="B8" s="141" t="inlineStr">
        <is>
          <t>No tract WI decimal booked until Exhibit A abstracted.</t>
        </is>
      </c>
      <c r="C8" s="141" t="inlineStr">
        <is>
          <t>Report caution note</t>
        </is>
      </c>
      <c r="D8" s="141" t="inlineStr">
        <is>
          <t>Low</t>
        </is>
      </c>
      <c r="E8" s="141" t="inlineStr">
        <is>
          <t>If broader than one wellbore, reduces Diversified WI/NRI.</t>
        </is>
      </c>
    </row>
    <row r="9">
      <c r="A9" s="141" t="inlineStr">
        <is>
          <t>Track B not carried</t>
        </is>
      </c>
      <c r="B9" s="141" t="inlineStr">
        <is>
          <t>Chesapeake/Tapstone/DP path documented for audit only; 0 WI.</t>
        </is>
      </c>
      <c r="C9" s="141" t="inlineStr">
        <is>
          <t>Report analysis</t>
        </is>
      </c>
      <c r="D9" s="141" t="inlineStr">
        <is>
          <t>Medium</t>
        </is>
      </c>
      <c r="E9" s="141" t="inlineStr">
        <is>
          <t>If Track B converges into Diversified for Sec 27, WI could increase.</t>
        </is>
      </c>
    </row>
    <row r="10">
      <c r="A10" s="141" t="inlineStr">
        <is>
          <t>Tract scheme NE/NW/SE/(SW less 1ac)/1ac church = 640 ac</t>
        </is>
      </c>
      <c r="B10" s="141" t="inlineStr">
        <is>
          <t>Standard quarter breakdown with 1-ac church carve-out.</t>
        </is>
      </c>
      <c r="C10" s="141" t="inlineStr">
        <is>
          <t>Overview/PLAT + Buffalo Church lease 1588/245</t>
        </is>
      </c>
      <c r="D10" s="141" t="inlineStr">
        <is>
          <t>High</t>
        </is>
      </c>
      <c r="E10" s="141" t="inlineStr">
        <is>
          <t>Well-supported; church tract acreage de-minimis.</t>
        </is>
      </c>
    </row>
  </sheetData>
  <pageMargins left="0.75" right="0.75" top="1" bottom="1" header="0.5" footer="0.5"/>
</worksheet>
</file>

<file path=xl/worksheets/sheet17.xml><?xml version="1.0" encoding="utf-8"?>
<worksheet xmlns="http://schemas.openxmlformats.org/spreadsheetml/2006/main">
  <sheetPr filterMode="0">
    <tabColor rgb="00385723"/>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41" min="1" max="1"/>
    <col width="18" customWidth="1" style="41" min="2" max="2"/>
    <col width="22" customWidth="1" style="41" min="3" max="3"/>
    <col width="12" customWidth="1" style="41" min="4" max="4"/>
    <col width="40" customWidth="1" style="41" min="5" max="5"/>
    <col width="48" customWidth="1" style="41" min="6" max="6"/>
  </cols>
  <sheetData>
    <row r="1" ht="15" customHeight="1" s="42">
      <c r="A1" s="50" t="inlineStr">
        <is>
          <t>Document / Instrument</t>
        </is>
      </c>
      <c r="B1" s="50" t="inlineStr">
        <is>
          <t>Type</t>
        </is>
      </c>
      <c r="C1" s="50" t="inlineStr">
        <is>
          <t>Book/Page</t>
        </is>
      </c>
      <c r="D1" s="50" t="inlineStr">
        <is>
          <t>Date</t>
        </is>
      </c>
      <c r="E1" s="50" t="inlineStr">
        <is>
          <t>Parties</t>
        </is>
      </c>
      <c r="F1" s="50" t="inlineStr">
        <is>
          <t>Interest / Why It Matters</t>
        </is>
      </c>
    </row>
    <row r="2" ht="22.35" customHeight="1" s="42">
      <c r="A2" s="142" t="inlineStr">
        <is>
          <t>2017-004597</t>
        </is>
      </c>
      <c r="B2" s="142" t="inlineStr">
        <is>
          <t>Assignment</t>
        </is>
      </c>
      <c r="C2" s="142" t="inlineStr">
        <is>
          <t>2266/194</t>
        </is>
      </c>
      <c r="D2" s="142" t="inlineStr">
        <is>
          <t>2017-10-24</t>
        </is>
      </c>
      <c r="E2" s="142" t="inlineStr">
        <is>
          <t>Nadel &amp; Gussman et al. -&gt; FourPoint Energy, LLC</t>
        </is>
      </c>
      <c r="F2" s="142" t="inlineStr">
        <is>
          <t>Track A: first recorded step of Diversified leasehold path into Sec 27 (depth-limited)</t>
        </is>
      </c>
    </row>
    <row r="3" ht="22.35" customHeight="1" s="42">
      <c r="A3" s="142" t="inlineStr">
        <is>
          <t>2019-002937 / 2019-002988</t>
        </is>
      </c>
      <c r="B3" s="142" t="inlineStr">
        <is>
          <t>Partial Assignments</t>
        </is>
      </c>
      <c r="C3" s="142" t="inlineStr">
        <is>
          <t>2307/894; 2308/123</t>
        </is>
      </c>
      <c r="D3" s="142" t="inlineStr">
        <is>
          <t>2019-07</t>
        </is>
      </c>
      <c r="E3" s="142" t="inlineStr">
        <is>
          <t>EnerVest Energy Inst. Fund XIII -&gt; FourPoint</t>
        </is>
      </c>
      <c r="F3" s="142" t="inlineStr">
        <is>
          <t>Track A: adds EnerVest leasehold (Mandrell 2-27 / Betty Sites 1-27)</t>
        </is>
      </c>
    </row>
    <row r="4" ht="15" customHeight="1" s="42">
      <c r="A4" s="142" t="inlineStr">
        <is>
          <t>2020-004390</t>
        </is>
      </c>
      <c r="B4" s="142" t="inlineStr">
        <is>
          <t>Name Change</t>
        </is>
      </c>
      <c r="C4" s="142" t="inlineStr">
        <is>
          <t>2340/218</t>
        </is>
      </c>
      <c r="D4" s="142" t="inlineStr">
        <is>
          <t>2020-11-18</t>
        </is>
      </c>
      <c r="E4" s="142" t="inlineStr">
        <is>
          <t>FourPoint Energy, LLC -&gt; Unbridled Resources, LLC</t>
        </is>
      </c>
      <c r="F4" s="142" t="inlineStr">
        <is>
          <t>Recorded link in Track A chain</t>
        </is>
      </c>
    </row>
    <row r="5" ht="22.35" customHeight="1" s="42">
      <c r="A5" s="142" t="inlineStr">
        <is>
          <t>2025-001808</t>
        </is>
      </c>
      <c r="B5" s="142" t="inlineStr">
        <is>
          <t>Merger</t>
        </is>
      </c>
      <c r="C5" s="142" t="inlineStr">
        <is>
          <t>2451/4</t>
        </is>
      </c>
      <c r="D5" s="142" t="inlineStr">
        <is>
          <t>2025-03-14</t>
        </is>
      </c>
      <c r="E5" s="142" t="inlineStr">
        <is>
          <t>Diversified Energy Co. PLC / Maverick / Unbridled</t>
        </is>
      </c>
      <c r="F5" s="142" t="inlineStr">
        <is>
          <t>Ties succession to Diversified (corporate; MNR/Unbridled subsidiaries)</t>
        </is>
      </c>
    </row>
    <row r="6" ht="15" customHeight="1" s="42">
      <c r="A6" s="142" t="inlineStr">
        <is>
          <t>2023-000993</t>
        </is>
      </c>
      <c r="B6" s="142" t="inlineStr">
        <is>
          <t>Assignment (wellbore)</t>
        </is>
      </c>
      <c r="C6" s="142" t="inlineStr">
        <is>
          <t>2401/214</t>
        </is>
      </c>
      <c r="D6" s="142" t="inlineStr">
        <is>
          <t>2023</t>
        </is>
      </c>
      <c r="E6" s="142" t="inlineStr">
        <is>
          <t>Unbridled Resources -&gt; Teocalli Exploration</t>
        </is>
      </c>
      <c r="F6" s="142" t="inlineStr">
        <is>
          <t>Potential wellbore carve-out (unquantified)</t>
        </is>
      </c>
    </row>
    <row r="7" ht="22.35" customHeight="1" s="42">
      <c r="A7" s="142" t="inlineStr">
        <is>
          <t>2020-004435 / 2020-004462</t>
        </is>
      </c>
      <c r="B7" s="142" t="inlineStr">
        <is>
          <t>Assignments</t>
        </is>
      </c>
      <c r="C7" s="142" t="inlineStr">
        <is>
          <t>2340/403 (70.73%); 2340/490 (29.27%)</t>
        </is>
      </c>
      <c r="D7" s="142" t="inlineStr">
        <is>
          <t>2020</t>
        </is>
      </c>
      <c r="E7" s="142" t="inlineStr">
        <is>
          <t>Chesapeake entities -&gt; Tapstone / KL CHK SPV</t>
        </is>
      </c>
      <c r="F7" s="142" t="inlineStr">
        <is>
          <t>Track B (documented; not carried to Sec-27 WI per analysis)</t>
        </is>
      </c>
    </row>
    <row r="8" ht="22.35" customHeight="1" s="42">
      <c r="A8" s="142" t="inlineStr">
        <is>
          <t>2001-008828</t>
        </is>
      </c>
      <c r="B8" s="142" t="inlineStr">
        <is>
          <t>Partial Release</t>
        </is>
      </c>
      <c r="C8" s="142" t="inlineStr">
        <is>
          <t>1719/304</t>
        </is>
      </c>
      <c r="D8" s="142" t="inlineStr">
        <is>
          <t>2001</t>
        </is>
      </c>
      <c r="E8" s="142" t="inlineStr">
        <is>
          <t>Sanguine et al.</t>
        </is>
      </c>
      <c r="F8" s="142" t="inlineStr">
        <is>
          <t>Proves depth limit: releases below 17,960' strat equiv (TD+100, Mandrell 2-27)</t>
        </is>
      </c>
    </row>
    <row r="9" ht="22.35" customHeight="1" s="42">
      <c r="A9" s="142" t="inlineStr">
        <is>
          <t>OCC Order 429172 / CD 980004527</t>
        </is>
      </c>
      <c r="B9" s="142" t="inlineStr">
        <is>
          <t>Pooling</t>
        </is>
      </c>
      <c r="C9" s="142" t="inlineStr">
        <is>
          <t>-</t>
        </is>
      </c>
      <c r="D9" s="142" t="inlineStr">
        <is>
          <t>1998-12-28</t>
        </is>
      </c>
      <c r="E9" s="142" t="inlineStr">
        <is>
          <t>OCC</t>
        </is>
      </c>
      <c r="F9" s="142" t="inlineStr">
        <is>
          <t>Establishes 640-ac DSU; pooled common sources of supply (Granite Wash/Morrow/Atoka, etc.)</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tabColor rgb="00000000"/>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44" customWidth="1" style="42" min="1" max="1"/>
    <col width="22" customWidth="1" style="42" min="2" max="2"/>
    <col width="90" customWidth="1" style="42" min="3" max="3"/>
  </cols>
  <sheetData>
    <row r="1">
      <c r="A1" s="140" t="inlineStr">
        <is>
          <t>Check</t>
        </is>
      </c>
      <c r="B1" s="140" t="inlineStr">
        <is>
          <t>Result</t>
        </is>
      </c>
      <c r="C1" s="140" t="inlineStr">
        <is>
          <t>Detail / Evidence</t>
        </is>
      </c>
    </row>
    <row r="2">
      <c r="A2" s="141" t="inlineStr">
        <is>
          <t>Workbook loads in openpyxl</t>
        </is>
      </c>
      <c r="B2" s="141" t="inlineStr">
        <is>
          <t>PASS</t>
        </is>
      </c>
      <c r="C2" s="141" t="inlineStr">
        <is>
          <t>FULLY_UPDATED opens without error (verified by qa script).</t>
        </is>
      </c>
    </row>
    <row r="3">
      <c r="A3" s="141" t="inlineStr">
        <is>
          <t>Section gross acres = 640</t>
        </is>
      </c>
      <c r="B3" s="141" t="inlineStr">
        <is>
          <t>PASS</t>
        </is>
      </c>
      <c r="C3" s="141" t="inlineStr">
        <is>
          <t>Overview 'Containing 640.00 acres'; tracts 160+160+160+159+1 = 640.</t>
        </is>
      </c>
    </row>
    <row r="4">
      <c r="A4" s="141" t="inlineStr">
        <is>
          <t>Tract acres sum to 640</t>
        </is>
      </c>
      <c r="B4" s="141" t="inlineStr">
        <is>
          <t>PASS</t>
        </is>
      </c>
      <c r="C4" s="141" t="inlineStr">
        <is>
          <t>NE 160 + NW 160 + SE 160 + SW 159 + Church 1 = 640.</t>
        </is>
      </c>
    </row>
    <row r="5">
      <c r="A5" s="141" t="inlineStr">
        <is>
          <t>WI reconciles to 1.000000</t>
        </is>
      </c>
      <c r="B5" s="141" t="inlineStr">
        <is>
          <t>PASS</t>
        </is>
      </c>
      <c r="C5" s="141" t="inlineStr">
        <is>
          <t>WI sheet: apparent 0.700520833 + residual 0.299479167 = 1.000000000; predecessor steps net to 0 (each +/- pair).</t>
        </is>
      </c>
    </row>
    <row r="6">
      <c r="A6" s="141" t="inlineStr">
        <is>
          <t>Apparent Diversified ties to 448.333333 NMA</t>
        </is>
      </c>
      <c r="B6" s="141" t="inlineStr">
        <is>
          <t>PASS</t>
        </is>
      </c>
      <c r="C6" s="141" t="inlineStr">
        <is>
          <t>0.700520833 x 640 = 448.333333.</t>
        </is>
      </c>
    </row>
    <row r="7">
      <c r="A7" s="141" t="inlineStr">
        <is>
          <t>Residual ties to 191.666667 NMA</t>
        </is>
      </c>
      <c r="B7" s="141" t="inlineStr">
        <is>
          <t>PASS</t>
        </is>
      </c>
      <c r="C7" s="141" t="inlineStr">
        <is>
          <t>0.299479167 x 640 = 191.666667.</t>
        </is>
      </c>
    </row>
    <row r="8">
      <c r="A8" s="141" t="inlineStr">
        <is>
          <t>Formula error scan (REF / VALUE / DIV0 / NAME / NA)</t>
        </is>
      </c>
      <c r="B8" s="141" t="inlineStr">
        <is>
          <t>PASS</t>
        </is>
      </c>
      <c r="C8" s="141" t="inlineStr">
        <is>
          <t>No error literals found in any sheet (verified by qa script).</t>
        </is>
      </c>
    </row>
    <row r="9">
      <c r="A9" s="141" t="inlineStr">
        <is>
          <t>OGL layer verified vs county index</t>
        </is>
      </c>
      <c r="B9" s="141" t="inlineStr">
        <is>
          <t>PASS</t>
        </is>
      </c>
      <c r="C9" s="141" t="inlineStr">
        <is>
          <t>All French Energy 1432/xx, Arrowhead 1574/xx, Todco 1592/1687/xx, Sanguine 1672/1717/xx OGLs matched the grantor index book/pages.</t>
        </is>
      </c>
    </row>
    <row r="10">
      <c r="A10" s="141" t="inlineStr">
        <is>
          <t>2017-2026 corporate assignments verified</t>
        </is>
      </c>
      <c r="B10" s="141" t="inlineStr">
        <is>
          <t>FAIL / N/A</t>
        </is>
      </c>
      <c r="C10" s="141" t="inlineStr">
        <is>
          <t>Key+approval supplied but okcountyrecords.com is blocked by the environment egress allowlist (HTTP 403); not downloadable here. Carried as cited; run scripts/okcr_pull.py where the host is reachable. Flagged Gap #2.</t>
        </is>
      </c>
    </row>
    <row r="11">
      <c r="A11" s="141" t="inlineStr">
        <is>
          <t>NRI booked</t>
        </is>
      </c>
      <c r="B11" s="141" t="inlineStr">
        <is>
          <t>INTENTIONALLY OMITTED</t>
        </is>
      </c>
      <c r="C11" s="141" t="inlineStr">
        <is>
          <t>NRI shown UNRESOLVED/ESTIMATE-ONLY; ORRI stack unmetered, NMA unknown.</t>
        </is>
      </c>
    </row>
    <row r="12">
      <c r="A12" s="141" t="inlineStr">
        <is>
          <t>Per-lessor / per-tract NMA</t>
        </is>
      </c>
      <c r="B12" s="141" t="inlineStr">
        <is>
          <t>OPEN</t>
        </is>
      </c>
      <c r="C12" s="141" t="inlineStr">
        <is>
          <t>Shown 'Unknown' - not derivable from index (cursory).</t>
        </is>
      </c>
    </row>
    <row r="13">
      <c r="A13" s="141" t="inlineStr">
        <is>
          <t>Every carried interest has a source/assumption note</t>
        </is>
      </c>
      <c r="B13" s="141" t="inlineStr">
        <is>
          <t>PASS</t>
        </is>
      </c>
      <c r="C13" s="141" t="inlineStr">
        <is>
          <t>WI rows, Assumptions, Source Index, and Instrument Index provide basis for each carried figure.</t>
        </is>
      </c>
    </row>
    <row r="14">
      <c r="A14" s="141" t="inlineStr">
        <is>
          <t>No API key / secret in outputs</t>
        </is>
      </c>
      <c r="B14" s="141" t="inlineStr">
        <is>
          <t>PASS</t>
        </is>
      </c>
      <c r="C14" s="141" t="inlineStr">
        <is>
          <t>No credentials present anywhere in workbook or supporting files.</t>
        </is>
      </c>
    </row>
    <row r="15">
      <c r="A15" s="141" t="inlineStr">
        <is>
          <t>Downloaded records indexed &amp; OCR'd</t>
        </is>
      </c>
      <c r="B15" s="141" t="inlineStr">
        <is>
          <t>PARTIAL</t>
        </is>
      </c>
      <c r="C15" s="141" t="inlineStr">
        <is>
          <t>Provided index PDF rendered (27 pp) &amp; read; no paid downloads performed (none authorized/available).</t>
        </is>
      </c>
    </row>
    <row r="16">
      <c r="A16" s="141" t="inlineStr">
        <is>
          <t>High-impact gaps listed</t>
        </is>
      </c>
      <c r="B16" s="141" t="inlineStr">
        <is>
          <t>PASS</t>
        </is>
      </c>
      <c r="C16" s="141" t="inlineStr">
        <is>
          <t>12 items in Gap List (4 High, 5 Medium, 3 Low).</t>
        </is>
      </c>
    </row>
  </sheetData>
  <pageMargins left="0.75" right="0.75" top="1" bottom="1" header="0.5" footer="0.5"/>
</worksheet>
</file>

<file path=xl/worksheets/sheet19.xml><?xml version="1.0" encoding="utf-8"?>
<worksheet xmlns="http://schemas.openxmlformats.org/spreadsheetml/2006/main">
  <sheetPr filterMode="0">
    <tabColor rgb="00808080"/>
    <outlinePr summaryBelow="1" summaryRight="1"/>
    <pageSetUpPr fitToPage="0"/>
  </sheetPr>
  <dimension ref="A1:A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41" min="1" max="1"/>
  </cols>
  <sheetData>
    <row r="1" ht="15" customHeight="1" s="42">
      <c r="A1" s="58" t="inlineStr">
        <is>
          <t>CHANGE LOG - Section 27-11N-25W Diversified LH Cursory</t>
        </is>
      </c>
    </row>
    <row r="3" ht="15" customHeight="1" s="42">
      <c r="A3" s="110" t="inlineStr">
        <is>
          <t>- Rebuilt to Shanwee LH-cursory format: Overview cover, per-tract Title, PLAT.</t>
        </is>
      </c>
    </row>
    <row r="4" ht="15" customHeight="1" s="42">
      <c r="A4" s="110" t="inlineStr">
        <is>
          <t>- Added Section-20-style per-tract WI ledgers (Tract 1-5) plus consolidated WI chain.</t>
        </is>
      </c>
    </row>
    <row r="5" ht="22.35" customHeight="1" s="42">
      <c r="A5" s="110" t="inlineStr">
        <is>
          <t>- Carried the chained WI from WI_Redone: Diversified terminal apparent WI = 0.7005208328125 (448.33/640) via Track A; predecessors net to 0; Track B documented but not carried.</t>
        </is>
      </c>
    </row>
    <row r="6" ht="15" customHeight="1" s="42">
      <c r="A6" s="110" t="inlineStr">
        <is>
          <t>- Tract scheme normalized to 5 tracts (NE/NW/SE/SW-less-church + 1-ac church) summing to 640 ac.</t>
        </is>
      </c>
    </row>
    <row r="7" ht="15" customHeight="1" s="42">
      <c r="A7" s="110" t="inlineStr">
        <is>
          <t>- Owner/party names converted to First Middle Last where they appeared as 'Last, First'.</t>
        </is>
      </c>
    </row>
    <row r="8" ht="15" customHeight="1" s="42">
      <c r="A8" s="110" t="inlineStr">
        <is>
          <t>- Release instrument (1412/55) excluded from active leasehold in Title.</t>
        </is>
      </c>
    </row>
    <row r="9" ht="15" customHeight="1" s="42">
      <c r="A9" s="110" t="inlineStr">
        <is>
          <t>- Net mineral acres left 'Unknown' where not derivable from index (cursory); flagged in Title and Conflicts.</t>
        </is>
      </c>
    </row>
    <row r="10" ht="15" customHeight="1" s="42">
      <c r="A10" s="110" t="inlineStr">
        <is>
          <t>- Cherokee Formation NOT asserted - no provided record supports it; controlling depth is below ~17,960'/17,860' strat equiv.</t>
        </is>
      </c>
    </row>
    <row r="12">
      <c r="A12" s="143" t="inlineStr">
        <is>
          <t>--- 2026-06-08 FULLY_UPDATED build ---</t>
        </is>
      </c>
    </row>
    <row r="13">
      <c r="A13" s="143" t="inlineStr">
        <is>
          <t>- Consolidated v1 (data-rich) + v2 (structure) into single workbook.</t>
        </is>
      </c>
    </row>
    <row r="14">
      <c r="A14" s="143" t="inlineStr">
        <is>
          <t>- Pulled richer Runsheet, OGLs, Wells from the 6/8/2026 data version.</t>
        </is>
      </c>
    </row>
    <row r="15">
      <c r="A15" s="143" t="inlineStr">
        <is>
          <t>- Added Instrument Index built from visual read of the 27-page Beckham County Sec-27 grantor index.</t>
        </is>
      </c>
    </row>
    <row r="16">
      <c r="A16" s="143" t="inlineStr">
        <is>
          <t>- VERIFIED the OGL/assignment/ORRI layer against the county index (French Energy 1432/xx, Arrowhead 1574/xx, Todco 1592/1687/xx, Sanguine 1672/1717/xx all matched).</t>
        </is>
      </c>
    </row>
    <row r="17">
      <c r="A17" s="143" t="inlineStr">
        <is>
          <t>- Added NRI Depth Matrix (NRI UNRESOLVED/ESTIMATE-ONLY), Gap List (12 items), Assumptions, QA Audit tabs.</t>
        </is>
      </c>
    </row>
    <row r="18">
      <c r="A18" s="143" t="inlineStr">
        <is>
          <t>- NOTE: 2017-2026 corporate assignment instruments NOT in provided index and NOT independently verifiable (no OKCountyRecords API in environment).</t>
        </is>
      </c>
    </row>
    <row r="19">
      <c r="A19" s="143" t="inlineStr">
        <is>
          <t>- Diversified apparent WI unchanged at 0.700520833 (448.333333/640); residual 0.299479167 (191.666667/640); section ties to 640 ac / 1.000000 WI.</t>
        </is>
      </c>
    </row>
    <row r="20">
      <c r="A20" s="143" t="inlineStr">
        <is>
          <t>--- 2026-06-08 OKCR download attempt ---</t>
        </is>
      </c>
    </row>
    <row r="21">
      <c r="A21" s="143" t="inlineStr">
        <is>
          <t>- API key supplied and APPROVE_OKCR_DOWNLOADS=true set. Egress test: okcountyrecords.com returns HTTP 403 from the environment proxy (host not on the sandbox allowlist; pypi/github reachable, okcountyrecords/example.com blocked).</t>
        </is>
      </c>
    </row>
    <row r="22">
      <c r="A22" s="143" t="inlineStr">
        <is>
          <t>- No records downloadable in this environment. Runnable pull pipeline scripts/okcr_pull.py delivered for execution where the host is reachable (dry-run cost estimate then idempotent Priority-1 pulls).</t>
        </is>
      </c>
    </row>
    <row r="23">
      <c r="A23" s="143" t="inlineStr">
        <is>
          <t>- 2017-2026 corporate assignment chain remains carried-as-cited / unverified pending those pulls. No key/secret written to any output.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2026-06-08T20:45:47Z</dcterms:created>
  <dcterms:modified xsi:type="dcterms:W3CDTF">2026-06-08T21:56:11Z</dcterms:modified>
  <cp:revision>0</cp:revision>
</cp:coreProperties>
</file>