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esktop\Horizon\Beckham\"/>
    </mc:Choice>
  </mc:AlternateContent>
  <xr:revisionPtr revIDLastSave="0" documentId="13_ncr:1_{B89473AB-9CF1-4140-8961-6FBFDE41D28C}" xr6:coauthVersionLast="47" xr6:coauthVersionMax="47" xr10:uidLastSave="{00000000-0000-0000-0000-000000000000}"/>
  <bookViews>
    <workbookView xWindow="-120" yWindow="-120" windowWidth="29040" windowHeight="15840" tabRatio="500" xr2:uid="{00000000-000D-0000-FFFF-FFFF00000000}"/>
  </bookViews>
  <sheets>
    <sheet name="Overview" sheetId="1" r:id="rId1"/>
    <sheet name="Title " sheetId="2" r:id="rId2"/>
    <sheet name="Runsheet" sheetId="3" r:id="rId3"/>
    <sheet name="OGLs" sheetId="6" r:id="rId4"/>
    <sheet name="WI" sheetId="7" r:id="rId5"/>
    <sheet name="Wells" sheetId="8" r:id="rId6"/>
  </sheets>
  <externalReferences>
    <externalReference r:id="rId7"/>
    <externalReference r:id="rId8"/>
  </externalReferences>
  <definedNames>
    <definedName name="_Fill" hidden="1">#REF!</definedName>
    <definedName name="_xlnm._FilterDatabase" localSheetId="2" hidden="1">Runsheet!$A$1:$J$117</definedName>
    <definedName name="_Key1" hidden="1">#REF!</definedName>
    <definedName name="_Order1" hidden="1">255</definedName>
    <definedName name="_Sort" hidden="1">#REF!</definedName>
    <definedName name="Check1_1">#REF!</definedName>
    <definedName name="Check2_1">#REF!</definedName>
    <definedName name="Check3_1">#REF!</definedName>
    <definedName name="Check4_1">#REF!</definedName>
    <definedName name="check5">'[1]Tract Plat Map '!$C$65</definedName>
    <definedName name="Check5_1">#REF!</definedName>
    <definedName name="Check6_1">#REF!</definedName>
    <definedName name="Check7_1">#REF!</definedName>
    <definedName name="oijjjojoijpojpoi">#REF!</definedName>
    <definedName name="Plat_LastSaved">#REF!</definedName>
    <definedName name="_xlnm.Print_Area" localSheetId="0">Overview!$A$1:$AH$57</definedName>
    <definedName name="_xlnm.Print_Area" localSheetId="2">Runsheet!$A$1:$J$117</definedName>
    <definedName name="_xlnm.Print_Area" localSheetId="1">'Title '!$A$1:$G$105</definedName>
    <definedName name="_xlnm.Print_Area" localSheetId="5">Wells!$A$1:$Q$9</definedName>
    <definedName name="SORT" hidden="1">#REF!</definedName>
    <definedName name="Test">#REF!</definedName>
    <definedName name="Test1" hidden="1">#REF!</definedName>
    <definedName name="Test2" hidden="1">#REF!</definedName>
    <definedName name="Test3" hidden="1">#REF!</definedName>
    <definedName name="Test4">#REF!</definedName>
    <definedName name="Tract" hidden="1">#REF!</definedName>
    <definedName name="XXXXXX">'[2]Well Plat Map '!$B$60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7" l="1"/>
  <c r="E23" i="7"/>
  <c r="C23" i="7" s="1"/>
  <c r="F22" i="7"/>
  <c r="E22" i="7"/>
  <c r="C22" i="7" s="1"/>
  <c r="F21" i="7"/>
  <c r="E21" i="7"/>
  <c r="C21" i="7" s="1"/>
  <c r="F20" i="7"/>
  <c r="E20" i="7" s="1"/>
  <c r="C20" i="7" s="1"/>
  <c r="F19" i="7"/>
  <c r="E19" i="7" s="1"/>
  <c r="C19" i="7" s="1"/>
  <c r="F18" i="7"/>
  <c r="E18" i="7" s="1"/>
  <c r="C18" i="7" s="1"/>
  <c r="F17" i="7"/>
  <c r="E17" i="7"/>
  <c r="C17" i="7"/>
  <c r="F16" i="7"/>
  <c r="E16" i="7"/>
  <c r="C16" i="7"/>
  <c r="F15" i="7"/>
  <c r="E15" i="7"/>
  <c r="C15" i="7" s="1"/>
  <c r="F14" i="7"/>
  <c r="E14" i="7"/>
  <c r="C14" i="7" s="1"/>
  <c r="F13" i="7"/>
  <c r="E13" i="7"/>
  <c r="C13" i="7" s="1"/>
  <c r="F12" i="7"/>
  <c r="E12" i="7" s="1"/>
  <c r="C12" i="7" s="1"/>
  <c r="F11" i="7"/>
  <c r="E11" i="7" s="1"/>
  <c r="C11" i="7" s="1"/>
  <c r="F10" i="7"/>
  <c r="E10" i="7" s="1"/>
  <c r="M7" i="7"/>
  <c r="L7" i="7"/>
  <c r="L6" i="7" s="1"/>
  <c r="K7" i="7"/>
  <c r="K6" i="7" s="1"/>
  <c r="J7" i="7"/>
  <c r="I7" i="7"/>
  <c r="H7" i="7"/>
  <c r="H6" i="7" s="1"/>
  <c r="G7" i="7"/>
  <c r="M6" i="7"/>
  <c r="J6" i="7"/>
  <c r="I6" i="7"/>
  <c r="E6" i="7" l="1"/>
  <c r="C10" i="7"/>
  <c r="C6" i="7" s="1"/>
</calcChain>
</file>

<file path=xl/sharedStrings.xml><?xml version="1.0" encoding="utf-8"?>
<sst xmlns="http://schemas.openxmlformats.org/spreadsheetml/2006/main" count="2756" uniqueCount="872">
  <si>
    <t xml:space="preserve">Prospect Name/Number: </t>
  </si>
  <si>
    <t>26-005</t>
  </si>
  <si>
    <t xml:space="preserve">Section </t>
  </si>
  <si>
    <t>Township</t>
  </si>
  <si>
    <t>11N</t>
  </si>
  <si>
    <t>Range</t>
  </si>
  <si>
    <t>25W</t>
  </si>
  <si>
    <t>County</t>
  </si>
  <si>
    <t>Beckham</t>
  </si>
  <si>
    <t xml:space="preserve">State </t>
  </si>
  <si>
    <t>Oklahoma</t>
  </si>
  <si>
    <t>Containing 640.00 acres, more or less</t>
  </si>
  <si>
    <t>Tract 2 - NW/4</t>
  </si>
  <si>
    <t>Tract 1 - NE/4</t>
  </si>
  <si>
    <t>Tract 4 - SW/4</t>
  </si>
  <si>
    <t>ATTACHMENTS:</t>
  </si>
  <si>
    <t>OWNERSHIP REPORT DATED:</t>
  </si>
  <si>
    <t>LAST ENTRY:</t>
  </si>
  <si>
    <t xml:space="preserve">TITLE OPINION UPDATE DATED: </t>
  </si>
  <si>
    <t>x</t>
  </si>
  <si>
    <t xml:space="preserve">CURSORY REPORT DATED: </t>
  </si>
  <si>
    <t>6/8/2026</t>
  </si>
  <si>
    <t>2486/716</t>
  </si>
  <si>
    <t>COUNTY CERTIFICATION DATE:</t>
  </si>
  <si>
    <t>REMARKS:</t>
  </si>
  <si>
    <t>EXAMINER:</t>
  </si>
  <si>
    <t>RG</t>
  </si>
  <si>
    <t>TRACT 1:</t>
  </si>
  <si>
    <t>NE/4 Section 27-11N-25W</t>
  </si>
  <si>
    <t>Containing:</t>
  </si>
  <si>
    <t>160 acres, more or less</t>
  </si>
  <si>
    <t>Mineral Owner / Lessor</t>
  </si>
  <si>
    <t>Net Acres</t>
  </si>
  <si>
    <t>Book/Page</t>
  </si>
  <si>
    <t>Royalty</t>
  </si>
  <si>
    <t>Expiration</t>
  </si>
  <si>
    <t>Comments</t>
  </si>
  <si>
    <t>Chloe E. Davis Revocable Living Trust</t>
  </si>
  <si>
    <t>1717/509</t>
  </si>
  <si>
    <t>3/16</t>
  </si>
  <si>
    <t>Donald E. Gordon</t>
  </si>
  <si>
    <t>1717/497</t>
  </si>
  <si>
    <t>1672/130</t>
  </si>
  <si>
    <t>TOTAL</t>
  </si>
  <si>
    <t>N/A</t>
  </si>
  <si>
    <t>TRACT 2:</t>
  </si>
  <si>
    <t>NW/4 Section 27-11N-25W</t>
  </si>
  <si>
    <t>Michael Ray Sites</t>
  </si>
  <si>
    <t>Unknown</t>
  </si>
  <si>
    <t>1717/501</t>
  </si>
  <si>
    <t>Gary Kent Benton</t>
  </si>
  <si>
    <t>1717/485</t>
  </si>
  <si>
    <t>Steven Ernest Benton</t>
  </si>
  <si>
    <t>1717/481</t>
  </si>
  <si>
    <t>Betty Sites</t>
  </si>
  <si>
    <t>1717/477</t>
  </si>
  <si>
    <t>Marshall E. Benton; Nell G. Benton</t>
  </si>
  <si>
    <t>1717/473</t>
  </si>
  <si>
    <t>Melody Denise Harbor</t>
  </si>
  <si>
    <t>1717/469</t>
  </si>
  <si>
    <t>Robert A. Edwards</t>
  </si>
  <si>
    <t>1717/464</t>
  </si>
  <si>
    <t>Larry D. Edwards Living Trust</t>
  </si>
  <si>
    <t>1717/460</t>
  </si>
  <si>
    <t>Radonna Kay Christopher</t>
  </si>
  <si>
    <t>1717/456</t>
  </si>
  <si>
    <t>Clyde &amp; Sharon Pine 1990 Irrevocable Trust</t>
  </si>
  <si>
    <t>1608/63</t>
  </si>
  <si>
    <t>1/4</t>
  </si>
  <si>
    <t>Colt Development, LLC</t>
  </si>
  <si>
    <t>1605/598</t>
  </si>
  <si>
    <t>Angela K. Allen</t>
  </si>
  <si>
    <t>1592/350</t>
  </si>
  <si>
    <t>TRACT 3:</t>
  </si>
  <si>
    <t>SE/4 Section 27-11N-25W</t>
  </si>
  <si>
    <t>Fuchs Properties, LLC</t>
  </si>
  <si>
    <t>1717/505</t>
  </si>
  <si>
    <t>Calvin W. Fuchs Trust</t>
  </si>
  <si>
    <t>1717/493</t>
  </si>
  <si>
    <t>Fuchs Family Revocable Trust</t>
  </si>
  <si>
    <t>1717/489</t>
  </si>
  <si>
    <t>Laura Owens Bennett Trust</t>
  </si>
  <si>
    <t>1687/170</t>
  </si>
  <si>
    <t>Darcy Ann Coale</t>
  </si>
  <si>
    <t>1687/165</t>
  </si>
  <si>
    <t>Bennett Family Trust</t>
  </si>
  <si>
    <t>1687/160</t>
  </si>
  <si>
    <t>Alfred R. Fuchs; F. Jeanice Fuchs aka Jeanice Fuchs</t>
  </si>
  <si>
    <t>1672/141</t>
  </si>
  <si>
    <t>Howard G. Fuchs Trust</t>
  </si>
  <si>
    <t>1672/137</t>
  </si>
  <si>
    <t>Calvin W. Fuchs Revocable Trust</t>
  </si>
  <si>
    <t>1672/134</t>
  </si>
  <si>
    <t>TRACT 4:</t>
  </si>
  <si>
    <t>SW/4 Section 27-11N-25W, less 1.00-acre Buffalo Church tract</t>
  </si>
  <si>
    <t>159 acres, more or less</t>
  </si>
  <si>
    <t>Mandrell Farms, Inc.</t>
  </si>
  <si>
    <t>1592/347</t>
  </si>
  <si>
    <t>TRACT 5:</t>
  </si>
  <si>
    <t>1592/52</t>
  </si>
  <si>
    <t>1592/47</t>
  </si>
  <si>
    <t>1592/42</t>
  </si>
  <si>
    <t>Buffalo Missionary Baptist Church</t>
  </si>
  <si>
    <t>1588/245</t>
  </si>
  <si>
    <t>Boyd Mead</t>
  </si>
  <si>
    <t>1587/129</t>
  </si>
  <si>
    <t>1580/115</t>
  </si>
  <si>
    <t>1580/111</t>
  </si>
  <si>
    <t>1580/107</t>
  </si>
  <si>
    <t>Marshall E. Benton</t>
  </si>
  <si>
    <t>1580/103</t>
  </si>
  <si>
    <t>1580/99</t>
  </si>
  <si>
    <t>1580/95</t>
  </si>
  <si>
    <t>1580/91</t>
  </si>
  <si>
    <t>1580/87</t>
  </si>
  <si>
    <t>1580/83</t>
  </si>
  <si>
    <t>Larry D. Edwards</t>
  </si>
  <si>
    <t>1580/79</t>
  </si>
  <si>
    <t>1574/284</t>
  </si>
  <si>
    <t>1574/280</t>
  </si>
  <si>
    <t>1574/276</t>
  </si>
  <si>
    <t>1574/272</t>
  </si>
  <si>
    <t>1435/159</t>
  </si>
  <si>
    <t>1433/213</t>
  </si>
  <si>
    <t>1432/68</t>
  </si>
  <si>
    <t>1432/64</t>
  </si>
  <si>
    <t>Melody Denise Harbour</t>
  </si>
  <si>
    <t>1432/60</t>
  </si>
  <si>
    <t>1432/56</t>
  </si>
  <si>
    <t>1432/52</t>
  </si>
  <si>
    <t>1432/48</t>
  </si>
  <si>
    <t>1432/44</t>
  </si>
  <si>
    <t>1432/40</t>
  </si>
  <si>
    <t>Boyd M. Mead</t>
  </si>
  <si>
    <t>1432/36</t>
  </si>
  <si>
    <t>1432/32</t>
  </si>
  <si>
    <t>1432/28</t>
  </si>
  <si>
    <t>1432/24</t>
  </si>
  <si>
    <t>1432/20</t>
  </si>
  <si>
    <t>Laura O. Bennett Trust</t>
  </si>
  <si>
    <t>1419/244</t>
  </si>
  <si>
    <t>Darcy Coale</t>
  </si>
  <si>
    <t>1419/241</t>
  </si>
  <si>
    <t>1419/238</t>
  </si>
  <si>
    <t>1387/232</t>
  </si>
  <si>
    <t>Working Interest:</t>
  </si>
  <si>
    <t>2266/194
2307/894
2308/123</t>
  </si>
  <si>
    <t>Notes</t>
  </si>
  <si>
    <t>This is a cursory title-sheet reconstruction, not a drilling, acquisition-close, division-order, or pay-status title opinion.</t>
  </si>
  <si>
    <t>Instrument #</t>
  </si>
  <si>
    <t>Doc Type</t>
  </si>
  <si>
    <t>Document Date</t>
  </si>
  <si>
    <t>Recorded Date</t>
  </si>
  <si>
    <t>Grantor(s)</t>
  </si>
  <si>
    <t>Grantee(s)</t>
  </si>
  <si>
    <t>Legal Description</t>
  </si>
  <si>
    <t>Image / Source</t>
  </si>
  <si>
    <t>OGL #</t>
  </si>
  <si>
    <t>Sheriff Deed</t>
  </si>
  <si>
    <t>Beckham County Sheriff</t>
  </si>
  <si>
    <t>27-11N-25W</t>
  </si>
  <si>
    <t>Brooks Add Erick</t>
  </si>
  <si>
    <t>1990-005458</t>
  </si>
  <si>
    <t>1168/324</t>
  </si>
  <si>
    <t>1991-000566</t>
  </si>
  <si>
    <t>1189/20</t>
  </si>
  <si>
    <t>Marshall W. Nix,
Bobbi R. Nix</t>
  </si>
  <si>
    <t>Assignment</t>
  </si>
  <si>
    <t>Assignment of Oil and Gas Lease</t>
  </si>
  <si>
    <t>Oil and Gas Lease</t>
  </si>
  <si>
    <t>Section 27-11N-25W</t>
  </si>
  <si>
    <t>1994-006197</t>
  </si>
  <si>
    <t>1995-002701</t>
  </si>
  <si>
    <t>Arrowhead Resources, Inc.</t>
  </si>
  <si>
    <t>1995-002702</t>
  </si>
  <si>
    <t>1995-002703</t>
  </si>
  <si>
    <t>1995-003582</t>
  </si>
  <si>
    <t>Warranty Deed</t>
  </si>
  <si>
    <t>1428/128</t>
  </si>
  <si>
    <t>Fred Donnell</t>
  </si>
  <si>
    <t>1995-004023</t>
  </si>
  <si>
    <t>1995-004024</t>
  </si>
  <si>
    <t>1995-004025</t>
  </si>
  <si>
    <t>1995-004026</t>
  </si>
  <si>
    <t>1995-004027</t>
  </si>
  <si>
    <t>1995-004028</t>
  </si>
  <si>
    <t>Marshall E. Benton,
Nell G. Benton</t>
  </si>
  <si>
    <t>1995-004029</t>
  </si>
  <si>
    <t>1995-004030</t>
  </si>
  <si>
    <t>1995-004031</t>
  </si>
  <si>
    <t>1995-004032</t>
  </si>
  <si>
    <t>1995-004033</t>
  </si>
  <si>
    <t>1995-004034</t>
  </si>
  <si>
    <t>1995-004035</t>
  </si>
  <si>
    <t>1995-004178</t>
  </si>
  <si>
    <t>1995-004394</t>
  </si>
  <si>
    <t>1997-001065</t>
  </si>
  <si>
    <t>1504/11</t>
  </si>
  <si>
    <t>1997-001267</t>
  </si>
  <si>
    <t>1505/31</t>
  </si>
  <si>
    <t>1998-005858</t>
  </si>
  <si>
    <t>1998-005859</t>
  </si>
  <si>
    <t>1998-005860</t>
  </si>
  <si>
    <t>1998-005861</t>
  </si>
  <si>
    <t>1998-006273</t>
  </si>
  <si>
    <t>1576/302</t>
  </si>
  <si>
    <t>R. Michael Lortz</t>
  </si>
  <si>
    <t>1998-006416</t>
  </si>
  <si>
    <t>1577/102</t>
  </si>
  <si>
    <t>St. Mary Land &amp; Exploration Co.</t>
  </si>
  <si>
    <t>1998-007078</t>
  </si>
  <si>
    <t>1998-007079</t>
  </si>
  <si>
    <t>1998-007080</t>
  </si>
  <si>
    <t>1998-007081</t>
  </si>
  <si>
    <t>1998-007082</t>
  </si>
  <si>
    <t>1998-007083</t>
  </si>
  <si>
    <t>1998-007084</t>
  </si>
  <si>
    <t>1998-007085</t>
  </si>
  <si>
    <t>1998-007086</t>
  </si>
  <si>
    <t>1998-007087</t>
  </si>
  <si>
    <t>1998-008577</t>
  </si>
  <si>
    <t>1999-000193</t>
  </si>
  <si>
    <t>Todco Properties, Inc.</t>
  </si>
  <si>
    <t>1999-000692</t>
  </si>
  <si>
    <t>1590/497</t>
  </si>
  <si>
    <t>Colt Development LLC</t>
  </si>
  <si>
    <t>1999-000823</t>
  </si>
  <si>
    <t>1999-000824</t>
  </si>
  <si>
    <t>1999-000825</t>
  </si>
  <si>
    <t>1999-000945</t>
  </si>
  <si>
    <t>1999-000946</t>
  </si>
  <si>
    <t>1999-001451</t>
  </si>
  <si>
    <t>1595/81</t>
  </si>
  <si>
    <t>1999-001533</t>
  </si>
  <si>
    <t>1595/300</t>
  </si>
  <si>
    <t>1999-001977</t>
  </si>
  <si>
    <t>1597/427</t>
  </si>
  <si>
    <t>1999-002259</t>
  </si>
  <si>
    <t>1599/227</t>
  </si>
  <si>
    <t>1999-003760</t>
  </si>
  <si>
    <t>1999-004222</t>
  </si>
  <si>
    <t>1999-007881</t>
  </si>
  <si>
    <t>Lease</t>
  </si>
  <si>
    <t>1625/301</t>
  </si>
  <si>
    <t>Reliant Energy Gas Transmission Co.</t>
  </si>
  <si>
    <t>2000-000145</t>
  </si>
  <si>
    <t>Overriding Royalty Assignment</t>
  </si>
  <si>
    <t>1626/104</t>
  </si>
  <si>
    <t>2000-000146</t>
  </si>
  <si>
    <t>Affidavit of Pooling</t>
  </si>
  <si>
    <t>1626/107</t>
  </si>
  <si>
    <t>Public</t>
  </si>
  <si>
    <t>2000-001870</t>
  </si>
  <si>
    <t>1634/250</t>
  </si>
  <si>
    <t>2000-001871</t>
  </si>
  <si>
    <t>1634/253</t>
  </si>
  <si>
    <t>2000-001894</t>
  </si>
  <si>
    <t>1634/312</t>
  </si>
  <si>
    <t>Kaiser-Francis Oil Co.</t>
  </si>
  <si>
    <t>2000-002332</t>
  </si>
  <si>
    <t>1636/188</t>
  </si>
  <si>
    <t>GBK Corporation</t>
  </si>
  <si>
    <t>2000-002333</t>
  </si>
  <si>
    <t>1636/190</t>
  </si>
  <si>
    <t>Erick C. Lowe,
Brenda Lowe,
Craig M. Dolinsky,
Wayne A. Fields,
10 More…</t>
  </si>
  <si>
    <t>2000-002754</t>
  </si>
  <si>
    <t>1638/150</t>
  </si>
  <si>
    <t>2000-002755</t>
  </si>
  <si>
    <t>1638/153</t>
  </si>
  <si>
    <t>2000-003520</t>
  </si>
  <si>
    <t>1641/318</t>
  </si>
  <si>
    <t>2000-003521</t>
  </si>
  <si>
    <t>1641/324</t>
  </si>
  <si>
    <t>2000-003522</t>
  </si>
  <si>
    <t>1641/327</t>
  </si>
  <si>
    <t>2000-003523</t>
  </si>
  <si>
    <t>1641/330</t>
  </si>
  <si>
    <t>2000-003524</t>
  </si>
  <si>
    <t>1641/332</t>
  </si>
  <si>
    <t>2000-003525</t>
  </si>
  <si>
    <t>1641/337</t>
  </si>
  <si>
    <t>2000-003526</t>
  </si>
  <si>
    <t>1641/339</t>
  </si>
  <si>
    <t>2000-010162</t>
  </si>
  <si>
    <t>2000-010163</t>
  </si>
  <si>
    <t>2000-010164</t>
  </si>
  <si>
    <t>2000-010165</t>
  </si>
  <si>
    <t>2001-001210</t>
  </si>
  <si>
    <t>1682/429</t>
  </si>
  <si>
    <t>2001-001211</t>
  </si>
  <si>
    <t>1682/432</t>
  </si>
  <si>
    <t>2001-002245</t>
  </si>
  <si>
    <t>2001-002246</t>
  </si>
  <si>
    <t>2001-002247</t>
  </si>
  <si>
    <t>2001-002330</t>
  </si>
  <si>
    <t>1687/385</t>
  </si>
  <si>
    <t>2001-002562</t>
  </si>
  <si>
    <t>1688/389</t>
  </si>
  <si>
    <t>2001-002790</t>
  </si>
  <si>
    <t>Assignment of Overriding Royalty Interest</t>
  </si>
  <si>
    <t>1689/339</t>
  </si>
  <si>
    <t>Palace Exploration Company</t>
  </si>
  <si>
    <t>Not Stated In Index</t>
  </si>
  <si>
    <t>2001-003547</t>
  </si>
  <si>
    <t>1692/565</t>
  </si>
  <si>
    <t>2001-004119</t>
  </si>
  <si>
    <t>1696/166</t>
  </si>
  <si>
    <t>2001-005848</t>
  </si>
  <si>
    <t>1704/525</t>
  </si>
  <si>
    <t>Marathon Oil Co.</t>
  </si>
  <si>
    <t>Raven Resources, LLC</t>
  </si>
  <si>
    <t>2001-008513</t>
  </si>
  <si>
    <t>2001-008514</t>
  </si>
  <si>
    <t>2001-008515</t>
  </si>
  <si>
    <t>2001-008516</t>
  </si>
  <si>
    <t>2001-008517</t>
  </si>
  <si>
    <t>2001-008518</t>
  </si>
  <si>
    <t>2001-008519</t>
  </si>
  <si>
    <t>2001-008520</t>
  </si>
  <si>
    <t>2001-008521</t>
  </si>
  <si>
    <t>2001-008522</t>
  </si>
  <si>
    <t>2001-008523</t>
  </si>
  <si>
    <t>2001-008524</t>
  </si>
  <si>
    <t>2001-008525</t>
  </si>
  <si>
    <t>2001-008526</t>
  </si>
  <si>
    <t>2001-008828</t>
  </si>
  <si>
    <t>Partial Release of Oil and Gas Lease</t>
  </si>
  <si>
    <t>1719/304</t>
  </si>
  <si>
    <t>Affidavit</t>
  </si>
  <si>
    <t>2002-005193</t>
  </si>
  <si>
    <t>1746/498</t>
  </si>
  <si>
    <t>2002-005194</t>
  </si>
  <si>
    <t>1746/504</t>
  </si>
  <si>
    <t>2002-005195</t>
  </si>
  <si>
    <t>1746/509</t>
  </si>
  <si>
    <t>Conveyance</t>
  </si>
  <si>
    <t>1752/215</t>
  </si>
  <si>
    <t>Enogex Exploration Corporation</t>
  </si>
  <si>
    <t>Chesapeake Eno Acquisition Corp.</t>
  </si>
  <si>
    <t>2017-004597</t>
  </si>
  <si>
    <t>2266/194</t>
  </si>
  <si>
    <t>Nadel and Gussman Operating Company, LLC,
NG Family 2005, LLP,
Nadel and Gussman, LLC,
Nadel and Gussman Anadarko, LLC</t>
  </si>
  <si>
    <t>2019-002937</t>
  </si>
  <si>
    <t>2307/894</t>
  </si>
  <si>
    <t>Enervest Energy Institutional Fund XIII WIB LP,
Enervest Energy Institutional Fund XIII WIC LP,
Enervest Energy Institutional Fund XIII A. LP</t>
  </si>
  <si>
    <t>2019-002988</t>
  </si>
  <si>
    <t>2308/123</t>
  </si>
  <si>
    <t>2340/490</t>
  </si>
  <si>
    <t>KL CHK SPV, LLC</t>
  </si>
  <si>
    <t>Merger</t>
  </si>
  <si>
    <t>DP Legacy Tapstone, LLC</t>
  </si>
  <si>
    <t>2022-003507</t>
  </si>
  <si>
    <t>2389/581</t>
  </si>
  <si>
    <t>Diversified Gas and Oil Corporation</t>
  </si>
  <si>
    <t>2022-004277</t>
  </si>
  <si>
    <t>2393/1</t>
  </si>
  <si>
    <t>DP Legacy Central, LLC</t>
  </si>
  <si>
    <t>2022-004838</t>
  </si>
  <si>
    <t>2395/415</t>
  </si>
  <si>
    <t>All of 27-11N-25W, aol</t>
  </si>
  <si>
    <t>2023-000796</t>
  </si>
  <si>
    <t>2400/551</t>
  </si>
  <si>
    <t>Diversified Production, LLC,
DP Sooner Holdco, LLC</t>
  </si>
  <si>
    <t>DP Sooner Holdco, LLC,
Diversified Production, LLC</t>
  </si>
  <si>
    <t>Teocalli Exploration, LLC</t>
  </si>
  <si>
    <t>2025-001808</t>
  </si>
  <si>
    <t>2451/4</t>
  </si>
  <si>
    <t>Diversified Energy Company PLC</t>
  </si>
  <si>
    <t>2340/403</t>
  </si>
  <si>
    <t>Tapstone Energy, LLC</t>
  </si>
  <si>
    <t>All of 27-11N-25W</t>
  </si>
  <si>
    <t>1994-006197.pdf</t>
  </si>
  <si>
    <t>1995-002701.pdf</t>
  </si>
  <si>
    <t>1995-002702.pdf</t>
  </si>
  <si>
    <t>1995-002703.pdf</t>
  </si>
  <si>
    <t>1995-004023.pdf</t>
  </si>
  <si>
    <t>1995-004024.pdf</t>
  </si>
  <si>
    <t>1995-004025.pdf</t>
  </si>
  <si>
    <t>1995-004026.pdf</t>
  </si>
  <si>
    <t>1995-004027.pdf</t>
  </si>
  <si>
    <t>1995-004028.pdf</t>
  </si>
  <si>
    <t>1995-004029.pdf</t>
  </si>
  <si>
    <t>1995-004030.pdf</t>
  </si>
  <si>
    <t>1995-004031.pdf</t>
  </si>
  <si>
    <t>1995-004032.pdf</t>
  </si>
  <si>
    <t>1995-004033.pdf</t>
  </si>
  <si>
    <t>1995-004034.pdf</t>
  </si>
  <si>
    <t>1995-004035.pdf</t>
  </si>
  <si>
    <t>1995-004178.pdf</t>
  </si>
  <si>
    <t>1995-004394.pdf</t>
  </si>
  <si>
    <t>1998-005858.pdf</t>
  </si>
  <si>
    <t>1998-005859.pdf</t>
  </si>
  <si>
    <t>1998-005860.pdf</t>
  </si>
  <si>
    <t>1998-005861.pdf</t>
  </si>
  <si>
    <t>1998-007078.pdf</t>
  </si>
  <si>
    <t>1998-007079.pdf</t>
  </si>
  <si>
    <t>1998-007080.pdf</t>
  </si>
  <si>
    <t>1998-007081.pdf</t>
  </si>
  <si>
    <t>1998-007082.pdf</t>
  </si>
  <si>
    <t>1998-007083.pdf</t>
  </si>
  <si>
    <t>1998-007084.pdf</t>
  </si>
  <si>
    <t>1998-007085.pdf</t>
  </si>
  <si>
    <t>1998-007086.pdf</t>
  </si>
  <si>
    <t>1998-007087.pdf</t>
  </si>
  <si>
    <t>1998-008577.pdf</t>
  </si>
  <si>
    <t>1999-000193.pdf</t>
  </si>
  <si>
    <t>1999-000823.pdf</t>
  </si>
  <si>
    <t>1999-000824.pdf</t>
  </si>
  <si>
    <t>1999-000825.pdf</t>
  </si>
  <si>
    <t>1999-000945.pdf</t>
  </si>
  <si>
    <t>1999-000946.pdf</t>
  </si>
  <si>
    <t>1999-003760.pdf</t>
  </si>
  <si>
    <t>1999-004222.pdf</t>
  </si>
  <si>
    <t>2000-010162.pdf</t>
  </si>
  <si>
    <t>2000-010163.pdf</t>
  </si>
  <si>
    <t>2000-010164.pdf</t>
  </si>
  <si>
    <t>2000-010165.pdf</t>
  </si>
  <si>
    <t>2001-002245.pdf</t>
  </si>
  <si>
    <t>2001-002246.pdf</t>
  </si>
  <si>
    <t>2001-002247.pdf</t>
  </si>
  <si>
    <t>2001-008513.pdf</t>
  </si>
  <si>
    <t>2001-008514.pdf</t>
  </si>
  <si>
    <t>2001-008515.pdf</t>
  </si>
  <si>
    <t>2001-008516.pdf</t>
  </si>
  <si>
    <t>2001-008517.pdf</t>
  </si>
  <si>
    <t>2001-008518.pdf</t>
  </si>
  <si>
    <t>2001-008519.pdf</t>
  </si>
  <si>
    <t>2001-008520.pdf</t>
  </si>
  <si>
    <t>2001-008521.pdf</t>
  </si>
  <si>
    <t>2001-008522.pdf</t>
  </si>
  <si>
    <t>2001-008523.pdf</t>
  </si>
  <si>
    <t>2001-008524.pdf</t>
  </si>
  <si>
    <t>2001-008525.pdf</t>
  </si>
  <si>
    <t>2001-008526.pdf</t>
  </si>
  <si>
    <t>Instrument</t>
  </si>
  <si>
    <t>Execution
Date</t>
  </si>
  <si>
    <t>Filing
Date</t>
  </si>
  <si>
    <t>Grantor</t>
  </si>
  <si>
    <t>Grantee</t>
  </si>
  <si>
    <t>Legal
Description</t>
  </si>
  <si>
    <t>Term</t>
  </si>
  <si>
    <t>Gross Acres</t>
  </si>
  <si>
    <t>Tracts</t>
  </si>
  <si>
    <t>Exp Date</t>
  </si>
  <si>
    <t>Net Mineral
Acres</t>
  </si>
  <si>
    <t>Source Status</t>
  </si>
  <si>
    <t>Data Status</t>
  </si>
  <si>
    <t>Source File</t>
  </si>
  <si>
    <t>Reliance Level</t>
  </si>
  <si>
    <t>Depth Clause</t>
  </si>
  <si>
    <t>Option to Extend</t>
  </si>
  <si>
    <t>No Warranty Clause</t>
  </si>
  <si>
    <t>Top Lease Clause</t>
  </si>
  <si>
    <t>1 year (paid-up)</t>
  </si>
  <si>
    <t>Lease covers only rights below the stratigraphic equivalent of 17,960 feet, being total depth drilled plus 100 feet in the Sanguine, Ltd. Mandrell #2-27 well located in the W/2 SE/4 of Section 27-11N-25W, Beckham County, Oklahoma.</t>
  </si>
  <si>
    <t>SE/4 limited to all depths below 17,860 feet.</t>
  </si>
  <si>
    <t>Not verified from reviewed first page</t>
  </si>
  <si>
    <t>Alfred R. Fuchs,
F. Jeanice Fuchs Aka Jeanice Fuchs</t>
  </si>
  <si>
    <t>9 months (paid-up)</t>
  </si>
  <si>
    <t>Lease covers only rights beneath 100 feet below the total depth drilled (17,860 feet) in the Sanguine, Ltd. Mandrell #2-27 well located in the W/2 SE/4 of Section 27-11N-25W.</t>
  </si>
  <si>
    <t>1 year</t>
  </si>
  <si>
    <t>No special depth limitation located on reviewed first page</t>
  </si>
  <si>
    <t>6 months (paid-up)</t>
  </si>
  <si>
    <t>Limited to rights from the surface to the base of the Morrow Formation only.</t>
  </si>
  <si>
    <t>SW/4 Section 27-11N-25W, less 1.00-acre Buffalo Church tract; approx. 6.201 net acres presently unleased</t>
  </si>
  <si>
    <t>ASSN</t>
  </si>
  <si>
    <t>1</t>
  </si>
  <si>
    <t>TRACT</t>
  </si>
  <si>
    <t>Image Number</t>
  </si>
  <si>
    <t>DESCRIPTION</t>
  </si>
  <si>
    <t>TRACT ACRES</t>
  </si>
  <si>
    <t>BASE OGL</t>
  </si>
  <si>
    <t>NOTES</t>
  </si>
  <si>
    <t>NET ACRES</t>
  </si>
  <si>
    <t>OWNERS</t>
  </si>
  <si>
    <t>Wells</t>
  </si>
  <si>
    <t>Well #</t>
  </si>
  <si>
    <t>API #</t>
  </si>
  <si>
    <t>Current Operator</t>
  </si>
  <si>
    <t>Well Name</t>
  </si>
  <si>
    <t>Formation</t>
  </si>
  <si>
    <t>Surface Location</t>
  </si>
  <si>
    <t>Bottom Hole Location</t>
  </si>
  <si>
    <t>Spud Date</t>
  </si>
  <si>
    <t>Perforated Interval(s)</t>
  </si>
  <si>
    <t>TD &amp; TVD</t>
  </si>
  <si>
    <t>Spacing</t>
  </si>
  <si>
    <t>MU Order</t>
  </si>
  <si>
    <t>Type</t>
  </si>
  <si>
    <t>Completion Date</t>
  </si>
  <si>
    <t>Last Production</t>
  </si>
  <si>
    <t>Plugging</t>
  </si>
  <si>
    <t>Allocation</t>
  </si>
  <si>
    <t>35-009-21146 / 3500921146</t>
  </si>
  <si>
    <t>BCE-MACH II LLC (OCC RBDMS current operator; operator list status OPEN)</t>
  </si>
  <si>
    <t>MANDRELL #2-27</t>
  </si>
  <si>
    <t>Gas well. Producing formation name not explicitly populated in OCC legacy completion extract; pull imaged Form 1002A for named reservoir/perf detail.</t>
  </si>
  <si>
    <t>W/2 SE/4, Sec. 27-11N-25W, Beckham Co., OK; 660' FWL &amp; 1320' FSL; OCC RBDMS SH lat/long 35.39678, -99.82972.</t>
  </si>
  <si>
    <t>N/A for vertical/SH well in OCC legacy completion dataset; no BHL fields reported.</t>
  </si>
  <si>
    <t>07/18/1999 (OCC legacy completion)</t>
  </si>
  <si>
    <t>Not present in OCC legacy completion extract; pull imaged Form 1002A/well file.</t>
  </si>
  <si>
    <t>Measured TD 17,860'; TVD not reported in legacy completion extract.</t>
  </si>
  <si>
    <t>OCC Order 212526 listed in legacy completion extract.</t>
  </si>
  <si>
    <t>OCC RBDMS/legacy: AC / GAS / GAS; SH well.</t>
  </si>
  <si>
    <t>01/14/2000; drilling finished 09/25/1999; first production 11/07/1999.</t>
  </si>
  <si>
    <t>OTC production still required for monthly volumes/HBP. OCC legacy lease/PUN 104803-009-0-0000 and AC status support possible HBP but do not prove lease-specific paying production.</t>
  </si>
  <si>
    <t>Active (OCC status AC); no plugging record in RBDMS master.</t>
  </si>
  <si>
    <t>Lease-specific allocation still requires OTC production and lease/unit/order review; OCC data verifies PUN 104803 and Order 212526.</t>
  </si>
  <si>
    <t>35-009-21241 / 3500921241</t>
  </si>
  <si>
    <t>BETTY SITES #1-27</t>
  </si>
  <si>
    <t>S2 S2 S2 NW/4, Sec. 27-11N-25W, Beckham Co., OK; 1320' FWL &amp; 200' FSL; OCC RBDMS SH lat/long 35.40097, -99.83667.</t>
  </si>
  <si>
    <t>12/11/2001 (OCC legacy completion)</t>
  </si>
  <si>
    <t>Measured TD 19,423'; TVD not reported in legacy completion extract.</t>
  </si>
  <si>
    <t>OCC Order 212526 listed in legacy completion extract; alternate legacy entry also lists 147147.</t>
  </si>
  <si>
    <t>06/01/2003 legacy completion; alternate/recompletion record 03/13/2005; first production 05/21/2002; drilling finished 03/28/2002.</t>
  </si>
  <si>
    <t>OTC production still required for monthly volumes/HBP. OCC legacy lease/PUN 109427-009-0-0000 and AC status support possible HBP but do not prove lease-specific paying production.</t>
  </si>
  <si>
    <t>Active (OCC status AC).</t>
  </si>
  <si>
    <t>Lease-specific allocation still requires OTC production and lease/unit/order review; OCC data verifies PUN 109427 and Order 212526.</t>
  </si>
  <si>
    <t>35-009-21990 / 3500921990</t>
  </si>
  <si>
    <t>PRESIDIO PETROLEUM LLC (OCC RBDMS current operator; operator list status OPEN)</t>
  </si>
  <si>
    <t>SITES #1H-2215</t>
  </si>
  <si>
    <t>HOGSHOOTER (formation code 405HGSR). OCC remarks: Order 677424 / CD 201800813 authorizes Cottage Grove, Hogshooter, and Checkerboard nomenclature.</t>
  </si>
  <si>
    <t>NW NW NE NW, Sec. 27-11N-25W, Beckham Co., OK; 1400' FWL &amp; 300' FNL; OCC RBDMS SH lat/long 35.40682, -99.83643.</t>
  </si>
  <si>
    <t>Horizontal well; BHL not populated in OCC completion base file (0/blank). Pull imaged plat/Form 1002A and OCC order 688488 for BHL/allocation.</t>
  </si>
  <si>
    <t>03/14/2018 (OCC current completion master)</t>
  </si>
  <si>
    <t>MD 20,980'; TVD not populated in OCC completion base file; DF 2,130' / GF 2,114'.</t>
  </si>
  <si>
    <t>OCC Order 677424 / CD 201800813 noted for nomenclature; Location Exception Order 688488; spacing-order field blank in completion dataset.</t>
  </si>
  <si>
    <t>Not confirmed from public dataset; horizontal #1H-2215 likely requires OCC imaged order/plat review for final allocation.</t>
  </si>
  <si>
    <t>OCC RBDMS/current completion: AC / OIL / OIL; horizontal oil well; completion review status Accepted.</t>
  </si>
  <si>
    <t>05/16/2018; drilling finished 04/26/2018; first production/first sales 05/16/2018.</t>
  </si>
  <si>
    <t>OTC production still required for monthly volumes/HBP. OCC PUN 129-223460-0-0000. Completion test 07/16/2018: 125 BOPD, 1,783 MCFD, 378 BWPD; flowing; FTP 356; choke 64/64.</t>
  </si>
  <si>
    <t>Horizontal allocation not verified; use OCC imaged order/plat and OTC PUN 129-223460-0-0000 before carrying allocation factor.</t>
  </si>
  <si>
    <t>35-009-20319 / 3500920319</t>
  </si>
  <si>
    <t>BLACKJACK OIL &amp; GAS INC (last RBDMS operator; OCC operator list status CLOSED)</t>
  </si>
  <si>
    <t>MANDRELL #1-27</t>
  </si>
  <si>
    <t>Historical gas well; producing formation name not explicitly populated in OCC legacy completion extract.</t>
  </si>
  <si>
    <t>C SW/4, Sec. 27-11N-25W, Beckham Co., OK; 1320' FWL &amp; 1320' FSL; OCC RBDMS SH lat/long 35.3963374, -99.8368314.</t>
  </si>
  <si>
    <t>N/A for plugged vertical/SH well; no BHL fields reported.</t>
  </si>
  <si>
    <t>02/14/1980 (OCC legacy completion)</t>
  </si>
  <si>
    <t>Not present in OCC legacy completion extract; pull imaged completion/well docs if needed.</t>
  </si>
  <si>
    <t>Measured TD 16,015'; TVD not reported in legacy completion extract.</t>
  </si>
  <si>
    <t>OCC Order 147147 listed in legacy completion extract.</t>
  </si>
  <si>
    <t>OCC RBDMS/legacy: PA / GAS / PLUGGED; SH well.</t>
  </si>
  <si>
    <t>07/06/1980; drilling finished 05/27/1980.</t>
  </si>
  <si>
    <t>Plugged; no current HBP support from this well. Historical legacy lease/PUN 67875-009-0-0000.</t>
  </si>
  <si>
    <t>Plugged &amp; abandoned (OCC status PA); plugging date not populated in public completion extracts.</t>
  </si>
  <si>
    <t>Historical plugged well only; no current production allocation carried.</t>
  </si>
  <si>
    <t>SOURCE: OCC RBDMS well master (oklahoma.gov OCC oil-gas data files), accessed 6/7/2026. Core fields (API, operator, status, type, surface location, lat/long) are VERIFIED from RBDMS. Completion details (spud, TD/TVD, perforations, completion date, spacing/MU order, production) are NOT in the master and are flagged Needs Verification - retrieve per-API at OCC Well Records: public.occ.ok.gov/OGCDWellRecords (search by API) and OTC gross production for HBP/PUN. KEY FINDING: Sec 27 has 3 ACTIVE wells (HBP supported) but operators of record are BCE-MACH II LLC and Presidio Petroleum LLC - reconcile against the Diversified leasehold chain.</t>
  </si>
  <si>
    <t>1/8</t>
  </si>
  <si>
    <t>Quit claim deed. Check granting language for any mineral conveyance.</t>
  </si>
  <si>
    <t>QCD</t>
  </si>
  <si>
    <t>SW/4 Section 27-11N-25W, less 1.00-acre tract (159 acres)</t>
  </si>
  <si>
    <t>The West 62 feet of l.ots 11, 12, and 13 and the West 62 feet of the North 174 feet of Lot 14, all in Block 42 of the Original Town of Erick, Beckham County, Oklahoma 27-11N-25W</t>
  </si>
  <si>
    <t>F. Jeanice Fuchs,
Jeanice - a/k/a Fuchs,
Alfred R. Fuchs</t>
  </si>
  <si>
    <t>Howard G.-Trust Fuchs</t>
  </si>
  <si>
    <t>Missionary Baptist Church-Buffalo</t>
  </si>
  <si>
    <t>1.00-acre tract in SW/4 Section 27-11N-25W (Buffalo Missionary Baptist Church tract)</t>
  </si>
  <si>
    <t>Tierra Trust Co.-Trustee</t>
  </si>
  <si>
    <t>Laura Owens-Trust Bennett</t>
  </si>
  <si>
    <t>Surface/pipeline lease.</t>
  </si>
  <si>
    <t>Pooling affidavit (Sec 27). HBP support.</t>
  </si>
  <si>
    <t>Corrected Assignment of Oil and Gas Lease</t>
  </si>
  <si>
    <t>Howard G. Trust Fuchs</t>
  </si>
  <si>
    <t>Laura Owens Trust Bennett</t>
  </si>
  <si>
    <t>Partial Assignment of Oil and Gas Lease</t>
  </si>
  <si>
    <t>ORRI assignment from Palace Exploration Company to Not Stated In Index.</t>
  </si>
  <si>
    <t>Calvin W. Trust Fuchs</t>
  </si>
  <si>
    <t>Cursory PDF-verified key terms only - not a stand-alone title opinion.</t>
  </si>
  <si>
    <t>PDF image reviewed - key lease terms verified</t>
  </si>
  <si>
    <t>2 years (paid-up)</t>
  </si>
  <si>
    <t>3 years (paid-up)</t>
  </si>
  <si>
    <t>PDF image reviewed / related form pattern checked - key terms normalized</t>
  </si>
  <si>
    <t>3 years from 08/01/1995 (paid-up)</t>
  </si>
  <si>
    <t>PDF image reviewed / related top-lease form checked - key terms normalized</t>
  </si>
  <si>
    <t>5 years (paid-up)</t>
  </si>
  <si>
    <t>Diversified Financial Group, Inc.</t>
  </si>
  <si>
    <t>T. S. Dudley Land Company, Inc.</t>
  </si>
  <si>
    <t>French Energy, Inc.</t>
  </si>
  <si>
    <t>Sanguine, Ltd.</t>
  </si>
  <si>
    <t>Richard L. Jr. Hauschild,
Michael K. Barber,
Johnson Properties, LLC,
Hal French, Inc.</t>
  </si>
  <si>
    <t>ORRI assignment from Sanguine, Ltd. to Richard L. Jr. Hauschild + 3 others.</t>
  </si>
  <si>
    <t>R. Z., Inc.</t>
  </si>
  <si>
    <t>ORRI assignment from Palace Exploration Company to R. Z., Inc.</t>
  </si>
  <si>
    <t>Richard Lee Jr. Hauschild Revocable Living Trust,
Michael K. Barber,
Johnson Properties LLC,
Hal French, Inc.</t>
  </si>
  <si>
    <t>ORRI assignment from Sanguine, Ltd. to Richard Lee Jr. Hauschild Revocable Living Trust + 3 others.</t>
  </si>
  <si>
    <t>Chesapeake Exploration, LLC,
Chesapeake Operating, LLC,
MC Mineral Company, LLC,
Chesapeake Royalty, LLC,
Chesapeake Vrt, LLC,
Ventura, LLC,
Coronado Pipeline Company, LLC,
Empress Properties, LLC,
Chesapeake Land Development Company, LLC</t>
  </si>
  <si>
    <t>DP Sooner Holdco, LLC,
Diversified ABS VI Upstream,
Diversified ABS VI Upstream, LLC</t>
  </si>
  <si>
    <t>Sheriff's deed - town lots. Surface only, minerals reserved.</t>
  </si>
  <si>
    <t>Verified - Beckham County index + OCR extract</t>
  </si>
  <si>
    <t>Special warranty - warranty, express or implied, in law or</t>
  </si>
  <si>
    <t>N/A - vertical/SH well; no multi-unit order identified in public completion datasets.</t>
  </si>
  <si>
    <t>12,448'-20,873' (Hogshooter). Acid: 336 bbl 15% HCl. Frac: 213,054 bbl fluid + 8,079,540 lb 40/70 sand.</t>
  </si>
  <si>
    <t>N/A - vertical/SH well; no multi-unit order identified.</t>
  </si>
  <si>
    <t>HBP</t>
  </si>
  <si>
    <t>No</t>
  </si>
  <si>
    <t>CURSORY REVIEW ONLY INSOFAR AS DIVERSIFIED'S INTEREST</t>
  </si>
  <si>
    <t>Base OGLs</t>
  </si>
  <si>
    <t>FourPoint Energy, LLC</t>
  </si>
  <si>
    <t>Image Link</t>
  </si>
  <si>
    <t>View Image</t>
  </si>
  <si>
    <t>PDF image checked - key terms/royalty/legal captured where legible, full clauses, exhibits, NMA, assignments, HBP/production still require verification.</t>
  </si>
  <si>
    <t>Warranty/no-warranty language appears modified on first page, verify full form before reliance</t>
  </si>
  <si>
    <t>SW/4 Section 27-11N-25W, less 1.00-acre Buffalo Church tract, approx. 6.201 net acres presently unleased</t>
  </si>
  <si>
    <t>Top-lease offer notice/ROFR present, not an extension option.</t>
  </si>
  <si>
    <t>Bona fide top-lease offer notice/ROFR clause - lessor notice required, lessee has 15 days to meet offer.</t>
  </si>
  <si>
    <t>Top/reversionary form, depth clause not fully abstracted from reviewed page.</t>
  </si>
  <si>
    <t>YES - reversionary/top lease form, covers lessor's reversionary interest, subject to existing lease, vesting upon termination.</t>
  </si>
  <si>
    <t>No, lessor covenant not to extend/renew existing lease appears in reviewed form.</t>
  </si>
  <si>
    <t>SW/4, less a 1 acre tract of Section 27-11N-25W</t>
  </si>
  <si>
    <t>NW/4 of Section 27-11N-25W</t>
  </si>
  <si>
    <t xml:space="preserve">All of Section 27-11N-25W, less and except 1 acre </t>
  </si>
  <si>
    <t xml:space="preserve">Base OGL #59: French Energy, Inc.; NE/4 Section 27-11N-25W; term 3 years from 08/01/1995 (paid-up); royalty 3/16; Top/reversionary lease form.  </t>
  </si>
  <si>
    <t xml:space="preserve">Base OGL #58: French Energy, Inc.; NE/4 Section 27-11N-25W; term 3 years from 08/01/1995 (paid-up); royalty 3/16; Top/reversionary lease form.  </t>
  </si>
  <si>
    <t xml:space="preserve">Base OGL #44: Arrowhead Resources, Inc.; NE/4 Section 27-11N-25W; term 2 years (paid-up); royalty 3/16; top-lease offer notice/ROFR.  </t>
  </si>
  <si>
    <t xml:space="preserve">Base OGL #32: French Energy, Inc.; NE/4 Section 27-11N-25W; term 3 years (paid-up); royalty 3/16; top-lease offer notice/ROFR.  </t>
  </si>
  <si>
    <t>ARTI in OGLS at 1432/20, 1432/24, 1432/28, 1432/32, 1432/40, 1432/48, 1432/52, 1432/56, 1432/60, 1432/64, 1432/68, 1433/213, 1435/159</t>
  </si>
  <si>
    <t>E/2 of Section 27-11N-25W</t>
  </si>
  <si>
    <t>SE/4 of Section 27-11N-25W</t>
  </si>
  <si>
    <t xml:space="preserve">Base OGL #57: French Energy, Inc.; SE/4 of Section 27-11N-25W; term 3 years from 08/01/1995 (paid-up); royalty 3/16; Top/reversionary lease form.  </t>
  </si>
  <si>
    <t xml:space="preserve">Base OGL #56: French Energy, Inc.; SE/4 of Section 27-11N-25W; term 3 years from 08/01/1995 (paid-up); royalty 3/16; Top/reversionary lease form.  </t>
  </si>
  <si>
    <t xml:space="preserve">Base OGL #55: French Energy, Inc.; SE/4 of Section 27-11N-25W; term 3 years from 08/01/1995 (paid-up); royalty 3/16; Top/reversionary lease form.  </t>
  </si>
  <si>
    <t xml:space="preserve">Base OGL #46: French Energy, Inc.; SE/4 of Section 27-11N-25W; term 3 years from 08/01/1995 (paid-up); royalty 3/16; Top/reversionary lease form.  </t>
  </si>
  <si>
    <t xml:space="preserve">Base OGL #43: Arrowhead Resources, Inc.; SE/4 of Section 27-11N-25W; term 2 years (paid-up); royalty 3/16; top-lease offer notice/ROFR.  </t>
  </si>
  <si>
    <t xml:space="preserve">Base OGL #42: Arrowhead Resources, Inc.; SE/4 of Section 27-11N-25W; term 2 years (paid-up); royalty 3/16; top-lease offer notice/ROFR.  </t>
  </si>
  <si>
    <t xml:space="preserve">Base OGL #41: Arrowhead Resources, Inc.; SE/4 of Section 27-11N-25W; term 2 years (paid-up); royalty 3/16; top-lease offer notice/ROFR.  </t>
  </si>
  <si>
    <t xml:space="preserve">Base OGL #30: Sanguine, Ltd.; SE/4 of Section 27-11N-25W; term 2 years (paid-up); royalty 3/16; top-lease offer notice/ROFR.  </t>
  </si>
  <si>
    <t>N/2 of Section 27-11N-25W</t>
  </si>
  <si>
    <t>A 1 acre tract in the SW/4 of Section 27-11N-25W</t>
  </si>
  <si>
    <t xml:space="preserve">Base OGL #54: French Energy, Inc.; NW/4 of Section 27-11N-25W; term 3 years from 08/01/1995 (paid-up); royalty 3/16; Top/reversionary lease form.  </t>
  </si>
  <si>
    <t xml:space="preserve">Base OGL #53: French Energy, Inc.; NW/4 of Section 27-11N-25W; term 3 years from 08/01/1995 (paid-up); royalty 3/16; Top/reversionary lease form.  </t>
  </si>
  <si>
    <t xml:space="preserve">Base OGL #52: French Energy, Inc.; NW/4 of Section 27-11N-25W; term 3 years from 08/01/1995 (paid-up); royalty 3/16; Top/reversionary lease form.  </t>
  </si>
  <si>
    <t xml:space="preserve">Base OGL #51: French Energy, Inc.; NW/4 of Section 27-11N-25W; term 3 years from 08/01/1995 (paid-up); royalty 3/16; Top/reversionary lease form.  </t>
  </si>
  <si>
    <t xml:space="preserve">Base OGL #50: French Energy, Inc.; NW/4 of Section 27-11N-25W; term 3 years from 08/01/1995 (paid-up); royalty 3/16; Top/reversionary lease form.  </t>
  </si>
  <si>
    <t xml:space="preserve">Base OGL #49: French Energy, Inc.; NW/4 of Section 27-11N-25W; term 3 years from 08/01/1995 (paid-up); royalty 3/16; Top/reversionary lease form.  </t>
  </si>
  <si>
    <t xml:space="preserve">Base OGL #48: French Energy, Inc.; NW/4 of Section 27-11N-25W; term 3 years from 08/01/1995 (paid-up); royalty 3/16; Top/reversionary lease form.  </t>
  </si>
  <si>
    <t xml:space="preserve">Base OGL #47: French Energy, Inc.; NW/4 of Section 27-11N-25W; term 3 years from 08/01/1995 (paid-up); royalty 3/16; Top/reversionary lease form.  </t>
  </si>
  <si>
    <t xml:space="preserve">Base OGL #45: French Energy, Inc.; NW/4 of Section 27-11N-25W; term 3 years from 08/01/1995 (paid-up); royalty 3/16; Top/reversionary lease form.  </t>
  </si>
  <si>
    <t xml:space="preserve">Base OGL #34: French Energy, Inc.; NW/4 of Section 27-11N-25W; term 3 years (paid-up); royalty 3/16; top-lease offer notice/ROFR.  </t>
  </si>
  <si>
    <t xml:space="preserve">Base OGL #33: French Energy, Inc.; NW/4 of Section 27-11N-25W; term 3 years (paid-up); royalty 3/16; top-lease offer notice/ROFR.  </t>
  </si>
  <si>
    <t xml:space="preserve">Base OGL #31: French Energy, Inc.; NW/4 of Section 27-11N-25W; term 3 years (paid-up); royalty 3/16; top-lease offer notice/ROFR.  </t>
  </si>
  <si>
    <t xml:space="preserve">Base OGL #40: French Energy, Inc.; NW/4 of Section 27-11N-25W; term 3 years (paid-up); royalty 3/16; top-lease offer notice/ROFR.  </t>
  </si>
  <si>
    <t xml:space="preserve">Base OGL #39: French Energy, Inc.; NW/4 of Section 27-11N-25W; term 3 years (paid-up); royalty 3/16; top-lease offer notice/ROFR.  </t>
  </si>
  <si>
    <t xml:space="preserve">Base OGL #38: French Energy, Inc.; NW/4 of Section 27-11N-25W; term 3 years (paid-up); royalty 3/16; top-lease offer notice/ROFR.  </t>
  </si>
  <si>
    <t xml:space="preserve">Base OGL #37: French Energy, Inc.; NW/4 of Section 27-11N-25W; term 3 years (paid-up); royalty 3/16; top-lease offer notice/ROFR.  </t>
  </si>
  <si>
    <t xml:space="preserve">Base OGL #36: French Energy, Inc.; NW/4 of Section 27-11N-25W; term 3 years (paid-up); royalty 3/16; top-lease offer notice/ROFR.  </t>
  </si>
  <si>
    <t xml:space="preserve">Base OGL #35: French Energy, Inc.; NW/4 of Section 27-11N-25W; term 3 years (paid-up); royalty 3/16; top-lease offer notice/ROFR.  </t>
  </si>
  <si>
    <t>Richard L. Hauschild,  Jr., 1%,
Hal French, Inc., 1.625%,
Johnson Properties, LLC, 0.375%</t>
  </si>
  <si>
    <t>ORRI in OGL at 220/83</t>
  </si>
  <si>
    <t>SW/4 of Section 27-11N-25W, less 1 acre tract</t>
  </si>
  <si>
    <t>NW/4, SW/4 of Section 27-11N-25W, less 1 acre tract in the SW/4</t>
  </si>
  <si>
    <t>Vastar Resources, Inc., 50.00000%,
Enogex Exploration Corp., 12.50000%,
Palace Exploration Co., 17.50000%,
Sanguine, Ltd., 20.00000%</t>
  </si>
  <si>
    <t>Don H. Nelson, 13.61486%,
Vastar Resources, Inc., 50.00000%,
Enogex Exploration Corporation, 12.50000%,
Palace Exploration Company, 17.50000%,
Upland Resources, L.L.C., 0.5043%,
William J. Mayer, 1.54147%,
Carol Adelson, 2.01735%,
Themistocles, Inc., 1.06559%,
Richard L. Hauschild, Jr., 0.79920%,
Barber Exploration Company, 0.26640%,
Tom Garner, 0.13320%,
Sanguine, Ltd. (Retains), 0.05759%</t>
  </si>
  <si>
    <t>All of Assignor's right, title and interest in and to those rights acquired ftrom Unlon Oil Company of California, MMB-America, Ltd., Robert J. Moody, Jr., Jay Balentine and The GHK Company under Oklahoma Corporation Commission Cause CD No. 980004527, Order No. 429172, dated December 28, 1998.
Assignor hereby excepts from this assignment and reserves unto itself, its
successors and assigns, a one percent (1%) overriding royalty interest.</t>
  </si>
  <si>
    <t>All Assignor's right, title and interest in and to those rights acquired from St. Mary Land &amp; Exploration Company under Oklahoma Corporation Commisslon Cause CD No. 980004527, Order No. 429172, dated December 28, 1998, covering lands in Section 27-11N-25W, Beckham County, Oklahoma</t>
  </si>
  <si>
    <t>Base OGL #29: Todco Properties, Inc.; 1.00-acre tract in SW/4 Section 27-11N-25W (Buffalo Missionary Baptist Church tract); term 2 years (paid-up); royalty 26.00%; no top clause</t>
  </si>
  <si>
    <t>Base OGL #25: Sanguine, Ltd.; SW/4 Section 27-11N-25W, less 1.00-acre Buffalo Church tract; approx. 6.201 net acres presently unleased; term 6 months (paid-up); royalty 1/4; no top clause</t>
  </si>
  <si>
    <t>Base OGL #24: Sanguine, Ltd.; NW/4 of Section 27-11N-25W; term 6 months (paid-up); royalty 1/4; no top clause</t>
  </si>
  <si>
    <t>Base OGL #28: Todco Properties, Inc.; SE/4 of Section 27-11N-25W; term 1 year (paid-up); royalty 3/16; no top clause</t>
  </si>
  <si>
    <t>Base OGL #27: Todco Properties, Inc.; SE/4 of Section 27-11N-25W; term 1 year (paid-up); royalty 3/16; no top clause</t>
  </si>
  <si>
    <t>Base OGL #26: Todco Properties, Inc.; SE/4 of Section 27-11N-25W; term 1 year (paid-up); royalty 3/16; no top clause</t>
  </si>
  <si>
    <t>Base OGL #23: Colt Development, LLC; NW/4 of Section 27-11N-25W; term 1 year; royalty 1/4; no top clause</t>
  </si>
  <si>
    <t>Base OGL #22: Clyde &amp; Sharon Pine 1990 Irrevocable Trust; NW/4 of Section 27-11N-25W; term 1 year; royalty 1/4; no top clause</t>
  </si>
  <si>
    <t>Base OGL #21: Sanguine, Ltd.; NE/4 Section 27-11N-25W; term 9 months (paid-up); royalty 3/16; no top clause</t>
  </si>
  <si>
    <t>Base OGL #20: Sanguine, Ltd.; SE/4 of Section 27-11N-25W; term 9 months (paid-up); royalty 3/16; no top clause</t>
  </si>
  <si>
    <t>Base OGL #19: Sanguine, Ltd.; SE/4 of Section 27-11N-25W; term 9 months (paid-up); royalty 3/16; no top clause</t>
  </si>
  <si>
    <t>Base OGL #18: Sanguine, Ltd.; SE/4 of Section 27-11N-25W; term 9 months (paid-up); royalty 3/16; no top clause</t>
  </si>
  <si>
    <t>Base OGL #17: Todco Properties, Inc.; SE/4 of Section 27-11N-25W; term 1 year (paid-up); royalty 3/16; no top clause</t>
  </si>
  <si>
    <t>Base OGL #16: Todco Properties, Inc.; SE/4 of Section 27-11N-25W; term 1 year (paid-up); royalty 3/16; no top clause</t>
  </si>
  <si>
    <t>Base OGL #15: Todco Properties, Inc.; SE/4 of Section 27-11N-25W; term 1 year (paid-up); royalty 3/16; no top clause</t>
  </si>
  <si>
    <t>Base OGL #14: Sanguine, Ltd.; NW/4 of Section 27-11N-25W; term 1 year (paid-up); royalty 3/16; no top clause</t>
  </si>
  <si>
    <t>Base OGL #13: Sanguine, Ltd.; NW/4 of Section 27-11N-25W; term 1 year (paid-up); royalty 3/16; no top clause</t>
  </si>
  <si>
    <t>Base OGL #12: Sanguine, Ltd.; NW/4 of Section 27-11N-25W; term 1 year (paid-up); royalty 3/16; no top clause</t>
  </si>
  <si>
    <t>Base OGL #11: Sanguine, Ltd.; NW/4 of Section 27-11N-25W; term 1 year (paid-up); royalty 3/16; no top clause</t>
  </si>
  <si>
    <t>Base OGL #10: Sanguine, Ltd.; NW/4 of Section 27-11N-25W; term 1 year (paid-up); royalty 3/16; no top clause</t>
  </si>
  <si>
    <t>Base OGL #9: Sanguine, Ltd.; NW/4 of Section 27-11N-25W; term 1 year (paid-up); royalty 3/16; no top clause</t>
  </si>
  <si>
    <t>Base OGL #8: Sanguine, Ltd.; NW/4 of Section 27-11N-25W; term 1 year (paid-up); royalty 3/16; no top clause</t>
  </si>
  <si>
    <t>Base OGL #7: Sanguine, Ltd.; NW/4 of Section 27-11N-25W; term 1 year (paid-up); royalty 3/16; no top clause</t>
  </si>
  <si>
    <t>Base OGL #6: Sanguine, Ltd.; SE/4 of Section 27-11N-25W; term 1 year (paid-up); royalty 3/16; no top clause</t>
  </si>
  <si>
    <t>Base OGL #5: Sanguine, Ltd.; SE/4 of Section 27-11N-25W; term 1 year (paid-up); royalty 3/16; no top clause</t>
  </si>
  <si>
    <t>Base OGL #4: Sanguine, Ltd.; NE/4 Section 27-11N-25W; term 1 year (paid-up); royalty 3/16; no top clause</t>
  </si>
  <si>
    <t>Base OGL #3: Sanguine, Ltd.; NW/4 of Section 27-11N-25W; term 1 year (paid-up); royalty 3/16; no top clause</t>
  </si>
  <si>
    <t>Base OGL #2: Sanguine, Ltd.; SE/4 of Section 27-11N-25W; term 1 year (paid-up); royalty 3/16; no top clause</t>
  </si>
  <si>
    <t>Base OGL #1: Sanguine, Ltd.; NE/4 Section 27-11N-25W; term 1 year (paid-up); royalty 3/16; no top clause</t>
  </si>
  <si>
    <t>E/2 of Section 27-11N-25W covering only those rights beneath 100 feet below the total depth drilled (17,860 feet) In the Sanguine, Ltd. Mandrell #2-27 well located in the W/2 SE/4 of Section 27-11N-25W</t>
  </si>
  <si>
    <t>release all right, title and interest in the leases attached hereto as Exhibit "A" and In the 640 acre drilling and spacing unit of which said leases are Included BELOW THE STRATIGRAPHIC EQUIVALENT OF 17,960 FEET AND ONLY BELOW THE STRATIGRAPHIC EQUIVALENT OF 17,960 FEET, boing the
total depth drilled plus 100 feet in the Sanguine, Ltd. Mandrell #2-27 well located in the W/2 SE/4 of Section 27-11N-25W, Beckham County, Oklahoma. SANGUINE, LTD. DON H. NELSON, VASTAR RESOURCES, INC., ENOGEX EXPLORATION CORPORATION, PALACE EXPLORATION COMPANY, UPLAND RESOURCES. L.L.C.. WILLIAM J. MAYER, CAROL ADELSON, THEMISTOCLES, INC., RICHARD HAUSCHILD, JR., BARBER EXPLORATION COMPANY and TOM GARNER specifically except and reserve all their right, title and interest from the surface to the stratigraphic equivalent of 17,960 feet in the leases at 1574/272, 1574/276, 1574/280, 1574/284, 1580/79, 1580/83, 1580/87, 1580/91, 1580/99, 1580/103, 1580/107, 1580/111, 1580/115, 1580/129, 1592/350</t>
  </si>
  <si>
    <t>N/2 of Section 27-11N-25W covering only those rights below the stratigraphic equivalent of 17,960' being the total depth drilled plus 100 feet in the Sanguine, Ltd. Mandrell #2-27 well located in the W/2 SE/4 of Section 27-11N-25W</t>
  </si>
  <si>
    <t>Don H. Nelson, 52.36475%,
BP American Production
Company, Inc.,  12.50000%,
Enogex Exploration Corporation, 3.12500%,
Palace Exploration Company, 17.50000%,
Upland Resources, L.L.C., 0.50434%,
William J. Mayer, 3.05788%,
 Carol Adeison, 2.01736%, Themistocles, Inc., 4.09842%,
Richard Lee Hauschild, Jr. Revocable Living Trust dated April 27, 2000. 3.07382%
Barber Exploration Company, 1.02461%,
Thomas J. Garner, 0.51230%,
Sanguine, Ltd. (Retains) 0.22152%</t>
  </si>
  <si>
    <t>E/2 of Section 27-11N-25W covering only those rights below the stratigraphic equivalent of 17,960' being the total depth drilled plus 100 feet in the Sanguine, Ltd. Mandrell #2-27 well located in the W/2 SE/4 of Section 27-11N-25W</t>
  </si>
  <si>
    <t>2002-007317</t>
  </si>
  <si>
    <t>On or about July 27, 2022, Tapstone Energy, LLC, a Delaware limited liability company, changed its name to DP Legacy Tapstone LLC, a Delaware limited liability company, pursuant to a Certificate of Amendment to Certificate of Formation of Tapstone Energy, LLC, From and after the above name change, DP Legacy Tapstone LLC, a Delaware limited liability company (formerly Tapstone Energy, LLC, a Delaware limited liability company), did own and will continue to own in the lands described on Exhibit B, and will continue as the operator of record in the State of Oklahoma pursuant to the rules of the Oklahoma Corporation Commission. For the purposes of this Affidavit, Exhibit B is limited to the lands pertaining to the County in which this Affidavit is recorded.</t>
  </si>
  <si>
    <t>The Public</t>
  </si>
  <si>
    <t>SE/4 of 27-11N-25W</t>
  </si>
  <si>
    <t>Division, DPT confirms, pursuant to the PA Code, that title rests with and is vested in DABS with respect to Wellbore Interests (as hereinafter defined) pursuant to the Division, and DPT further confirms, grants, bargains, sells and conveys to DABS the Wellbore Interests pursuant to the Division, and pursuant to the Division and the laws of State of Oklahoma DABS accepts and assumes the Wellbore Interests.
Division, DPT confirms, pursuant to the PA Code, that title rests with and is vested in DP SubCo with respect to DP SubCo Assets pursuant to the Division, and DPT further confirms, grants, bargains, sells and conveys to DP SubCo the DP SubCo Assets pursuant to the Division, and pursuant to the Division and the laws of State of Oklahoma, and DP SubCo accepts and assumes the DP SubCo Assets.</t>
  </si>
  <si>
    <t>DP and DP Sooner confirm, pursuant to the Pennsylvania Code, that title rests with and is vested in DP with respect to DP Sooner Assets and DP Sooner Liabilities pursuant to the Merger. DP Sooner further confirms, grants and conveys to DP, the DP Sooner Assets and DP Sooner
Liabilities pursuant to the Merger and the laws of State of Oklahoma, and DP accepts and assumes the DP Sooner Assets and DP Sooner Liabilities pursuant to the Merger and the laws of State of Oklahoma.</t>
  </si>
  <si>
    <t>Remington Merger Sub, LLC, a Delaware limited liability company, and wholly owned indirect subsidiary of Diversified, with and into Maverick
Natural Resources, LLC a Delaware limited liability company ("MNR") as the surviving entity of the merger, effective March 14th, 2025. Unbridled Resources, LLC, a Delaware limited liability company ("Unbridled") is an
indirect, wholly owned subsidiary of MNR.  MNR and Unbridled are wholly owned, indirect subsidiaries of Diversified and shall have a mailing address for notice purposes of 211 North Robinson Avenue, Suite N-1000,
Oklahoma City, Oklahoma 73102.</t>
  </si>
  <si>
    <t>MEP Pan Minerals, L.P</t>
  </si>
  <si>
    <t>Vendere Resources II,
Vendera Resources III-B, L.P,
Vendera Management III, LLC,
Venpan Nonop, LLC,
VR4-Midpan, LP,</t>
  </si>
  <si>
    <t>All right, title and interest in OGLs at 1574/272, 1574/276, 1574/280, 1574/284</t>
  </si>
  <si>
    <t xml:space="preserve">All right, title and interest in OGL at 220/83
</t>
  </si>
  <si>
    <t>All right, title and interest in OGLs at 1592/42, 1592/47, 1592/52</t>
  </si>
  <si>
    <t>All right, title and interest in OGL at 1588/245</t>
  </si>
  <si>
    <t>Corrects Assn at 1599/227
All right, title and interest in OGL at 1588/245</t>
  </si>
  <si>
    <t>All right, title and interest in OGL at 220/83
The interests being assigned on this lease are to be on that certain interest only conveyed to Assignor in that certaln Assignment of Oll and Gas Leases dated February 14, 2000, from Colt Development, LL.C. and recorded In Book 1634, Page 250, of the records of Beckham County, Oklahoma.
Assignor excepts from this assignment and reserves unto itself, its
successors and assigns, a one percent (1%) overriding royalty interest.</t>
  </si>
  <si>
    <t>All right, title and interest in OGLs at 1605/598, 1608/63
*The Interests being assigned on these leases are from those certain interests only conveyed to Assignor by the following assignments, respectively: 1) Assignment of Oil and Gas Leases dated February 14, 2000, from Colt Development, L.L.C. and recorded in Book 1634, Page 250, and 2) Assignment of Oiland Gas Lease dated February 14, 2000, from Clyde &amp; Sharon Pine 1990 Irrevocable Trust and recorded In Book 1634, Page 253, all of the records of Beckham County, Oklahoma.</t>
  </si>
  <si>
    <t>All right, title and interest in OGL at 220/83
The interests being assigned on this lease are to be on that certain leasehold Interest only retained by Assignor in that certain Assignment of Oill and Gas Leases dated April 3, 2000, to Vastar Resources, Inc., et al, and recorded in Book 1638, Page 150, of the records of Beckham County, Oklahoma.</t>
  </si>
  <si>
    <t>All right, title and interest in OGLs at 1605/598, 1608/63
The interests being assigned on this lease are to be on that certain leasehold Interest only retained by Assignor in that certain Assignment of Oill and Gas Leases dated April 3, 2000, to Vastar Resources, Inc., et al, and recorded in Book 1638, Page 150, of the records of Beckham County, Oklahoma.</t>
  </si>
  <si>
    <t>All right, title and interest in OGL at 1592/347
Assignor excepts from this assignment and reserves unto itself, its
successors and assigns, a one percent (1%) overriding royalty interest,</t>
  </si>
  <si>
    <t>All right, title and interest in Ogls at 1687/160, 1687/165, 1687/170</t>
  </si>
  <si>
    <t>All right, title and interest in OGL at 220/83</t>
  </si>
  <si>
    <t>All right, title and interest in OGLs at 1717/456, 1717/460, 1717/464, 1717/469, 1717/473, 1717/477, 1717/481, 1717/485, 1717/497, 1717/501</t>
  </si>
  <si>
    <t>All right, title and interest in OGLs at 1717/489, 1717/493, 1717/505, 1717/509</t>
  </si>
  <si>
    <t>3% ORRI assignment from Kaiser-Francis Oil Co. to Erick C. Lowe + 4 others.</t>
  </si>
  <si>
    <t>Carol Adelson,
Upland Resources, LLC,
Sanguine, Ltd.,
Enogex Exploration
Corporation, 
Palace Exploration Company, Don H. Nelson,
Themistocles, Inc., 
Richard L. Hauschild, Jr., 
Tom Garner, 
William J. Mayer, 
Barber Exploration Company</t>
  </si>
  <si>
    <t>2340/218</t>
  </si>
  <si>
    <t>Unbridled Resources</t>
  </si>
  <si>
    <t>2401/214</t>
  </si>
  <si>
    <t>Teocalli Exploration</t>
  </si>
  <si>
    <t>Memorandum of Name Change / Public Notice</t>
  </si>
  <si>
    <t>2020-004390</t>
  </si>
  <si>
    <t>Effective as of November 18, 2020 FOURPOINT ENERGY, LLC, having an address of 1111 Bagby Street, Suite 1600, Houston, TX 77002, (previously 100 St. Paul Street, Suite 400, Denver, CO
80206) changed its name to the following:
UNBRIDLED RESOURCES, LLC</t>
  </si>
  <si>
    <t>2023-000993</t>
  </si>
  <si>
    <t>2020/175</t>
  </si>
  <si>
    <t>Nadel and Gussman, LLC, as successor in interest to Nadel and Gussman, a Partnership and Nadel and Gussman Energy, LLC</t>
  </si>
  <si>
    <t>Nadel and Gussman Anadarko, LLC</t>
  </si>
  <si>
    <t xml:space="preserve">All right, title and interest </t>
  </si>
  <si>
    <t>2010-006563</t>
  </si>
  <si>
    <t>2140/624</t>
  </si>
  <si>
    <t>Carol Adelson</t>
  </si>
  <si>
    <t>2013-007037</t>
  </si>
  <si>
    <t>2026-000490</t>
  </si>
  <si>
    <t>2477/830</t>
  </si>
  <si>
    <t>2020-004462</t>
  </si>
  <si>
    <t>2020-004435</t>
  </si>
  <si>
    <t>Report is limited to Diversified's interest</t>
  </si>
  <si>
    <t>Diversified's apparent interest</t>
  </si>
  <si>
    <t xml:space="preserve">All of Assignor's right, title, interest in the oil and gas leases and subleases described in Exhibit "A", INSOFAR AND ONLY INSOFAR as to the wellbores of the Wells </t>
  </si>
  <si>
    <t>Chesapeake Exploration, LLC,
Chesapeake Operating, LLC,
MC Mineral Company, LLC,
Chesapeake Royalty, LLC,
Chesapeake VRT, LLC,
Ventura, LLC,
Coronado Pipeline Company, LLC,
Empress Properties, LLC,
Chesapeake Land Development Company, LLC</t>
  </si>
  <si>
    <t>Louisiana Land and Exploration Company, LLC,
Burlington Resources Oil and Gas Company, L.P,
Conocophillips Company</t>
  </si>
  <si>
    <t xml:space="preserve">Owner </t>
  </si>
  <si>
    <t>Tract 3 - SE/4</t>
  </si>
  <si>
    <t>The Lots 25, 26, 27 and 28 in Block 9, Choctaw Townsite and
Improvement company's Subdivision of Blocks 9 to 14 both inclusive, of the Brooks Addition to the Brooks Addition to the Erick, Oklahoma, according to the recorded plat thereof</t>
  </si>
  <si>
    <t>An undividad 5.60425% of Assignor's right, title and interest in and to the oil, gas and mineral leases described in Exhibit "A", LESS AND EXCEPT
any and all overriding royalty interests owned by Assignor.
OGLS at  220/83, 1432/20, 1432/24, 1432/28, 1432/32, 1432/40, 1432/48, 1432/52, 1432/56, 1432/60, 1432/64, 1432/68, 1433/213, 1435/159</t>
  </si>
  <si>
    <t>All right, title and interest in OGLs at 1580/79, 1580/83, 1580/87, 1580/91, 1580/99, 1580/103, 1580/107, 1580/111, 1580/115  [QC: duplicate index row removed]</t>
  </si>
  <si>
    <t>an undivided 25.00% of Assignor's interest, in and to the oil and
gas leases at 1574/272, 1574/276, 1574/280, 1574/284</t>
  </si>
  <si>
    <t>3% ORRI assignment from Kaiser-Francis Oil Co. to GBK Corporation. [API instrument date 10/01/2000]  [QC: duplicate index row removed]</t>
  </si>
  <si>
    <t>all of ASSIGNOR'S right, title and interest in and to the Oil and Gas Leases
described in Exhibit "A" attached hereto and made a part hereof insofar as said leases cover the lands in Beckham County, Oklahoma and the depth limitations set forth therein and the drilling and spacing unit for the Sanguine Ltd. Mandrell #2-27 Well (the "Well") located in the center of
the W/2 SE/4 of Section 27, Township 11 North, Range 25 West, Beckham County, Oklahoma; INSOFAR AND ONLY INSOFAR AS SAID LEASES COVER AND INCLUDE THE LANDS DESCRIBED ABOVE AND LIMITED TO THOSE DEPTHS FROM THE SURFACE OF THE EARTH DOWN TO THE STRATIGRAPHIC EQUIVALENT OF 17,860 FEET BEING THE DEEPEST DEPTH DRILLED IN THE MANDRELL #2-27 WELL LOCATED 1,320 FEET FROM THE SOUTH LINE AND 1,980 FEET FROM THE EAST LINE OF SECTION 27, TOWNSHIP 11 NORTH, RANGE 25 WEST, BECKHAM COUNTY, OKLAHOMA.
OGLs at 220/83, 1605/598</t>
  </si>
  <si>
    <t>all of ASSIGNOR'S right, title and interest in and to the Oil and Gas Leases
described in Exhibit "A" attached hereto and made a part hereof insofar as said leases cover the lands in Beckham County, Oklahoma and the depth limitations set forth therein and the drilling and spacing unit for the Sanguine Ltd. Mandrell #2-27 Well (the "Well") located in the center of
the W/2 SE/4 of Section 27, Township 11 North, Range 25 West, Beckham County, Oklahoma; INSOFAR AND ONLY INSOFAR AS SAID LEASES COVER AND INCLUDE THE LANDS DESCRIBED ABOVE AND LIMITED TO THOSE DEPTHS FROM THE SURFACE OF THE EARTH DOWN TO THE STRATIGRAPHIC EQUIVALENT OF 17,860 FEET BEING THE DEEPEST DEPTH DRILLED IN THE MANDRELL #2-27 WELL LOCATED 1,320 FEET FROM THE SOUTH LINE AND 1,980 FEET FROM THE EAST LINE OF SECTION 27, TOWNSHIP 11 NORTH, RANGE 25 WEST, BECKHAM COUNTY, OKLAHOMA..
OGL at 1608/63</t>
  </si>
  <si>
    <t>Don H. Nelson, 68.07430%,
Upland Resources, LLC, 2.52170%,
William J. Mayer, 7.70735,
Carol Adelson, 10.08675%,
Themistocles, Inc., 5.32795%,
Richard L. Hauschild, Jr., 3.99600%,
Barber Exploration Company, 1.33200%,
Tom Garner, 0.66600%,
Sanguine, Ltd. (Retains), 28795%</t>
  </si>
  <si>
    <t>All right, title and interest in OGLs at 1574/272, 1574/276, 1574/280, 1574/284, 1580/79, 1580/83, 1580/87, 1580/91, 1580/99, 1580/103, 1580/107, 1580/111, 1580/115, 1580/129, 1592/350, ACREAGE ACQUIRED FROM UNIVERSAL RESOURCES CORPORATION UNDER OKLAHOMA CORPORATION
COMMISSION CAUSE CD NO. 980004527, ORDER NO. 429172, DATED DECEMBER 28, 1998, COVERING LANDS IN SECTION 27-11N-25W, BECKHAM COUNTY, OKLAHOMA.
**The interests being assigned on these leases are from that certain leasehold interest assigned to Assignor by that certain Assignment of Oll and Gas Leases dated February 5, 1999, from St. Mary Land &amp; Exploration
Company and recorded in Book 1595, Page 81, of the records of Beckham County, Oklahoma.</t>
  </si>
  <si>
    <t>Don H. Nelson, 65.28137%,
Palace Exploration Company, 17.50000%,
Upland Resources, L.L.C., 0.50434%,
William J. Mayer, 3.56336%,
Carol Adelson, 2.01735%,
Themistocles, Inc., 5.10938%,
Richard L. Hauschild, Jr., 3.83203%,
Barber Exploration Company, 1.27734%,
Tom Garner, 0.63867%,
Sanguine, Ltd. (Retains), .27616%</t>
  </si>
  <si>
    <t>Don H. Nelson, 52.36474%,
Upland Resources, L.L.C., 0.50434%,
William J. Mayer, 3.05789%,
Carol Adelson, 2.01735%, Themistocles, Inc., 4.09843%,
Richard L. Hauschild, Jr., 3.07383%,
Barber Exploration Company, 1.02460% 
Tom Garner, .51230%,
Enogex Exploration Corporation, 3.12500%,
Palace Exploration Company, 17.50000%,
Sanguine, Ltd. (Retains), 12.72152%</t>
  </si>
  <si>
    <t>All right, title and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t>
  </si>
  <si>
    <t>All right, title and interest in OGLs at 1574/272, 1574/276, 1574/280, 1574/284, 1580/79, 1580/83, 1580/87, 1580/91, 1580/99, 1580/103, 1580/107, 1580/111, 1580/115, 1580/129, 1592/350, 1605/598, 1608/63,  1717/479 [QC: verify 1717/479 - page not in known Sec-27 OGL set],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Mandrell 2-27 and Betty Sites 1-27 wells [API-VERIFIED: indexes to Sec 27-11N-25W; Diversified Track A leasehold path.]</t>
  </si>
  <si>
    <t>An undivided seventy and 73/100ths percent (70.73%) of Assignors' right, title,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from 1752/215</t>
  </si>
  <si>
    <t>An undivided twenty-nine and 27/100ths percent (29.27%) of such Assignor's right, title,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from 1752/215</t>
  </si>
  <si>
    <t>Special warranty - warrants and agrees to defend the title, and agrees that the Lessee</t>
  </si>
  <si>
    <t>Special warranty - warrants and agrees to defend title [QC: OCR substantially illegible - verify full warranty language against instrument]</t>
  </si>
  <si>
    <t>1.00-acre tract in SW/4 Section 27-11N-25W</t>
  </si>
  <si>
    <t>1acres, more or less</t>
  </si>
  <si>
    <t>Lessee: Todco Properties, Inc. Legal: SE/4 Section 27-11N-25W. Gross lease acres: 160; Term: 1 year (paid-up); HBP/production unverified.</t>
  </si>
  <si>
    <t>Lessee: Arrowhead Resources Inc. Legal: SE/4 Section 27-11N-25W. Gross lease acres: 160; Term: 3 years (paid-up); HBP/production unverified.</t>
  </si>
  <si>
    <t>Lessee: French Energy Inc. Legal: SE/4 Section 27-11N-25W. Gross lease acres: 160; Term: 3 years from 08/01/1995 (paid-up); HBP/production unverified. Top/reversionary lease form.</t>
  </si>
  <si>
    <t>Lessee: Arrowhead Resources Inc. Legal: SE/4 Section 27-11N-25W. Gross lease acres: 160; Term: 2 years (paid-up); HBP/production unverified. Top-lease offer notice/ROFR clause.</t>
  </si>
  <si>
    <t>Lessee: Sanguine Ltd. Legal: SE/4 Section 27-11N-25W. Gross lease acres: 160; Term: 2 years (paid-up); HBP/production unverified. Top-lease offer notice/ROFR clause.</t>
  </si>
  <si>
    <t>Lessee: Todco Properties, Inc. Legal: 1.00-acre tract in SW/4 Section 27-11N-25W (Buffalo Missionary Baptist Church tract). Gross lease acres: 1.00; Term: 2 years (paid-up); HBP/production unverified.</t>
  </si>
  <si>
    <t>Lessee: French Energy Inc. Legal: NW/4 Section 27-11N-25W. Gross lease acres: 160; Term: 3 years (paid-up); HBP/production unverified. Top-lease offer notice/ROFR clause.</t>
  </si>
  <si>
    <t>Lessee: French Energy Inc. Legal: NW/4 Section 27-11N-25W. Gross lease acres: 160; Term: 3 years from 08/01/1995 (paid-up); HBP/production unverified. Top/reversionary lease form.</t>
  </si>
  <si>
    <t>Lessee: French Energy Inc. Legal: NE/4 Section 27-11N-25W. Gross lease acres: 160; Term: 3 years (paid-up); HBP/production unverified. Top-lease offer notice/ROFR clause.</t>
  </si>
  <si>
    <t>Lessee: Arrowhead Resources Inc. Legal: NE/4 Section 27-11N-25W. Gross lease acres: 160; Term: 2 years (paid-up); HBP/production unverified. Top-lease offer notice/ROFR clause.</t>
  </si>
  <si>
    <t>Lessee: French Energy Inc. Legal: NE/4 Section 27-11N-25W. Gross lease acres: 160; Term: 3 years from 08/01/1995 (paid-up); HBP/production unverified. Top/reversionary lease form.</t>
  </si>
  <si>
    <t>Lessee: Sanguine Ltd. Legal: NE/4 Section 27-11N-25W. Gross lease acres: 160; Term: 1 year (paid-up); HBP/production unverified. Depth: below 17,960' strat equiv. (Mandrell #2-27, W/2 SE/4 Sec 27-11N-25W).</t>
  </si>
  <si>
    <t>Lessee: Sanguine Ltd. Legal: NE/4 Section 27-11N-25W. Gross lease acres: 160; Term: 9 months (paid-up); HBP/production unverified. Depth: below 17,860' / 100' below TD (Mandrell #2-27, W/2 SE/4 Sec 27-11N-25W).</t>
  </si>
  <si>
    <t>Lessee: Sanguine Ltd. Legal: NW/4 Section 27-11N-25W. Gross lease acres: 160; Term: 1 year (paid-up); HBP/production unverified. Depth: below 17,960' strat equiv.</t>
  </si>
  <si>
    <t>Lessee: Clyde &amp; Sharon Pine 1990 Irrevocable Trust. Legal: NW/4 Section 27-11N-25W. Gross lease acres: 160; Term: 1 year; HBP/production unverified. No depth limit found on reviewed first page.</t>
  </si>
  <si>
    <t>Lessee: Colt Development, LLC. Legal: NW/4 Section 27-11N-25W. Gross lease acres: 160; Term: 1 year; HBP/production unverified. No depth limit found on reviewed first page.</t>
  </si>
  <si>
    <t>Lessee: Sanguine Ltd. Legal: NW/4 Section 27-11N-25W. Gross lease acres: 160; Term: 6 months (paid-up); HBP/production unverified. Depth: surface to base of Morrow only.</t>
  </si>
  <si>
    <t>Lessee: Sanguine Ltd. Legal: SE/4 Section 27-11N-25W. Gross lease acres: 160; Term: 1 year (paid-up); HBP/production unverified. Depth: below 17,960' strat equiv.</t>
  </si>
  <si>
    <t>Lessee: Todco Properties, Inc. Legal: SE/4 Section 27-11N-25W. Gross lease acres: 160; Term: 1 year (paid-up); HBP/production unverified. Depth: below 17,860' / 100' below TD.</t>
  </si>
  <si>
    <t>Lessee: Sanguine Ltd. Legal: SE/4 Section 27-11N-25W. Gross lease acres: 160; Term: 9 months (paid-up); HBP/production unverified. Depth: below 17,860' / 100' below TD (Mandrell #2-27, W/2 SE/4 Sec 27-11N-25W).</t>
  </si>
  <si>
    <t>Lessee: Sanguine Ltd. Legal: SW/4 Section 27-11N-25W, less 1.00-acre Buffalo Church tract. Gross lease acres: 159; Term: 6 months (paid-up); HBP/production unverified. No depth limit found on reviewed first page.</t>
  </si>
  <si>
    <t>An undivided twenty-five percent (25%) of each of the Assignors' interest in and to the interest which was assigned to Sanguine, Ltd. by the Clyde &amp; Sharon Pine 1990 Irrevocable Trust by that certain Assignment of Oll and Gas Leases dated February 14, 2000, and recorded in Book 1634, Page 253, of the records of Beckham County, Oklahoma, in and to the oil and gas lease at 1608/63</t>
  </si>
  <si>
    <t>An undivided twenty-five percent (25%) of each of the Assignors' interest in and to the interest which was assigned to Sanguine, Ltd. by the Clyde &amp; Sharon Pine 1990 Irrevocable Trust by that certain Assignment of Oll and Gas Leases dated February 14, 2000, and recorded in Book 1634, Page 253, of the records of Beckham County, Oklahoma, in and to the oil and gas leases at 220/83, 1605/598</t>
  </si>
  <si>
    <t>All right, title and interest in OGLs at  1672/130, 1672/134, 1672/137,  1672/141</t>
  </si>
  <si>
    <t>Karen Nelson, Co-Trustee of the Karen Nelson Revocable Inter Vivos Trust dated 5/4/89</t>
  </si>
  <si>
    <t>Alfred R. Fuchs,
Jeanice F. Fuchs</t>
  </si>
  <si>
    <t xml:space="preserve">Chloe E. Davis Rev Liv Trust </t>
  </si>
  <si>
    <t>Clyde Pine 1990 Irrev Trust,
Sharon Pine1990 Irev Trust</t>
  </si>
  <si>
    <t>Warranty Deed from Fred Donnell to Diversified Financial Group, Inc.</t>
  </si>
  <si>
    <t>Don H. Nelson, 23.94817%,
Vastar Resources, Inc., 50.00000%,
Palace Exploration Company, 17.50000%,
Upland Resources, L.L.C., .50434%,
William J. Mayer, 1.94585%,
Carol Adelson, 2.01735%,
Themistocies, Inc., 1.87435%,
Richard L. Hauschild, Jr., 1.40576%,
Barber Exploration Company, 0.46858%,
Tom Garner, 0.23429%,
Sanguine, Ltd. (Retalns), 0.10131%,</t>
  </si>
  <si>
    <t>All right, title and interest in OGLs at 220/83, 1574/272, 1574/276, 1574/280, 1574/284, 1580/79, 1580/83, 1580/87, 1580/91, 1580/99, 1580/103, 1580/107, 1580/111, 1580/115, 1580/129, 1592/350, 1605/598, 1608/63, 1717/456, 1717/460, 1717/464, 1717/469, 1717/473, 1717/477, 1717/481, 1717/485, 1717/497, 1717/489, 1717/493, 1717/501, 1717/505, 1717/509, Those rights &amp; equities obtained by Sanguine, Ltd., as Operator, by virtue of Oklahoma Corporation Commission Order No. 429172 (CD No. 980004527), dated December 28, 1998, which 429172( No.98 pooled &amp; adjudicated the rights &amp; equities of oil &amp; gas owners in the Lower Permian (including the Chase Group &amp; Brown Dolomite), Virgil, Missourian (Upper Granite Wash), Des Moines (Lower Granite Wash), Atoka &amp; Morrow common sources of supply underlying Section 27-11N-25W
 (limited from the surface to 17,960 feet) and overing only those rights below the stratigraphic equivalent 17,960 feet being the total depth drilled plus 100 feet in the Sanguine, Ltd. Mandrell 2-27 well located in the W/2 SE/4 of Section 27-11N-25W, Beckham County, OK</t>
  </si>
  <si>
    <t xml:space="preserve">All right, title and interest in the Mandrell 2-27 and Betty Sites 1-27 wells </t>
  </si>
  <si>
    <t>2026-001031</t>
  </si>
  <si>
    <t>Unbridled Resources, LLC (formerly FourPoint Energy, LLC) / Diversified-family affiliation
Notice address in 2025 merger: 211 North Robinson Avenue, Suite N-1000,
Oklahoma City, Oklahoma 73102</t>
  </si>
  <si>
    <t>2266/194; 2307/894; 2308/123; 2340/218; 2401/214; 2451/4</t>
  </si>
  <si>
    <t>A/R/T of assignors only; final quantum not stated</t>
  </si>
  <si>
    <t>HBP unverified</t>
  </si>
  <si>
    <t>Corrected Track A: Nadel/Gussman and EnerVest assignments into FourPoint; FourPoint name change to Unbridled; 2025 merger notice only proves Diversified-family affiliation. No uploaded record proves a direct conveyance into Diversified Production or a final WI/NRI decimal. See WI and QA Audit.</t>
  </si>
  <si>
    <t>Diversified Production, LLC / DP Sooner Holdco, LLC / Diversified ABS VI Upstream entities
Address not stated in DP conveyance excerpt; 211 North Robinson Ave shown in Title/merger notice; 1600 Corporate Drive from prior WI remains unverified from uploaded records.</t>
  </si>
  <si>
    <t>2340/403; 2389/581; 2395/415; 2400/551</t>
  </si>
  <si>
    <t>70.73% of Chesapeake assignors' interest only; not final WI</t>
  </si>
  <si>
    <t>Corrected Track B: Chesapeake→Tapstone is indexed to Section 27 and is Diversified-related through Tapstone/DP path, but exact asset scope/quantum is not final. KL CHK 29.27% path is not Diversified on provided records. Base OGL list contains 63 rows; net leasehold acres, WI, and NRI are not determinable from uploaded records.</t>
  </si>
  <si>
    <t>Section 27-11N-25W, Beckham County, Oklahoma
Diversified apparent Section 27 WI chain — rebuilt to DOTO-style flow.
Cursory chain-out only; not a stand-alone title opinion.</t>
  </si>
  <si>
    <t>BASE / SOURCE</t>
  </si>
  <si>
    <t>NAME CHANGE</t>
  </si>
  <si>
    <t>MERGER / SUPPORT</t>
  </si>
  <si>
    <t>WB ASSN</t>
  </si>
  <si>
    <t>EXCLUDED</t>
  </si>
  <si>
    <t>AFF</t>
  </si>
  <si>
    <t>WI</t>
  </si>
  <si>
    <t>SOURCE</t>
  </si>
  <si>
    <t>2017-004597
2019-002937
2019-002988</t>
  </si>
  <si>
    <t>2025-001808
2026-001031</t>
  </si>
  <si>
    <t>2020-004435
2020-004462
2022-003507
2022-004277
2022-004838
2023-000796</t>
  </si>
  <si>
    <t>Book / Page</t>
  </si>
  <si>
    <t>Report / Title / OGL index</t>
  </si>
  <si>
    <t>2451/4
2480/824</t>
  </si>
  <si>
    <t>2340/403
2340/490
2389/581
2393/1
2395/415
2400/551</t>
  </si>
  <si>
    <t>2480/824</t>
  </si>
  <si>
    <t>Date</t>
  </si>
  <si>
    <t>6/8/2026 report</t>
  </si>
  <si>
    <t>10/24/17
7/24/19
7/26/19</t>
  </si>
  <si>
    <t>11/18/20</t>
  </si>
  <si>
    <t>3/14/25
3/10/26</t>
  </si>
  <si>
    <t>8/9/23</t>
  </si>
  <si>
    <t>2020-2023</t>
  </si>
  <si>
    <t>3/10/26</t>
  </si>
  <si>
    <t>Residual + apparent Track A source</t>
  </si>
  <si>
    <t>Track A into FourPoint</t>
  </si>
  <si>
    <t>FourPoint → Unbridled</t>
  </si>
  <si>
    <t>Maverick / Diversified support</t>
  </si>
  <si>
    <t>Wellbore carveout only</t>
  </si>
  <si>
    <t>Track B / DP Legacy path not carried</t>
  </si>
  <si>
    <t>Support only</t>
  </si>
  <si>
    <t>Working Interest</t>
  </si>
  <si>
    <t>CHAIN SUM</t>
  </si>
  <si>
    <t>Residual 8/8 not chained to Diversified in this cursory report. Kept open so Section 27 ties to 640 acres.</t>
  </si>
  <si>
    <t>Residual after 448.333333 NMA apparent Diversified chain</t>
  </si>
  <si>
    <t>Open / non-Diversified / unverified Section 27 leasehold</t>
  </si>
  <si>
    <t>Apparent Track A predecessor block. Source report carries 448.333333 NMA / 640 = 0.700520833 WI to Diversified path; internal split between N&amp;G/NG Family/EnerVest not decimalized in this cursory file.</t>
  </si>
  <si>
    <t>Track A OGLs / 2266/194 + 2307/894 + 2308/123</t>
  </si>
  <si>
    <t>Nadel &amp; Gussman / NG Family / EnerVest predecessor block</t>
  </si>
  <si>
    <t>Track A assignments into FourPoint. 100% of assignors' Sec-27 interest carried forward.</t>
  </si>
  <si>
    <t>2017-004597; 2019-002937; 2019-002988</t>
  </si>
  <si>
    <t>FourPoint public notice/name-change path to Unbridled; corporate succession support only.</t>
  </si>
  <si>
    <t>2020-004390 / Unbridled Resources</t>
  </si>
  <si>
    <t>Unbridled Resources, LLC / MNR / Maverick Natural Resources, LLC</t>
  </si>
  <si>
    <t>Current apparent Section 27 owner. Booked decimal = 448.333333 / 640. NRI estimate at 3/16 burden ≈ 0.569173177, but NRI not booked here.</t>
  </si>
  <si>
    <t>Diversified successor path; support affidavit carried</t>
  </si>
  <si>
    <t>Diversified Production, LLC / Diversified Energy successor path</t>
  </si>
  <si>
    <t>Wellbore assignment only. No tract WI decimal booked until Exhibit A / wellbore carveout is fully abstracted.</t>
  </si>
  <si>
    <t>2023-000993 (2401/214)</t>
  </si>
  <si>
    <t>Track B / DP Legacy / Tapstone documents shown for audit trail only. No Section 27 Diversified tract WI decimal carried from this path in this tab.</t>
  </si>
  <si>
    <t>Track B excluded docs</t>
  </si>
  <si>
    <t>Chesapeake / Tapstone / DP Legacy / DP Sooner / Diversified Track B path</t>
  </si>
  <si>
    <t>Support affidavit only; no independent conveyance decimal booked.</t>
  </si>
  <si>
    <t>2026-001031 support affidavit</t>
  </si>
  <si>
    <t>DP / Diversified support affidavit</t>
  </si>
  <si>
    <t>Legacy Sanguine / investor / Kaiser-Francis / Enogex / Chesapeake predecessor history remains behind Track A, but precise individual WI splits are not reliable from this cursory report alone.</t>
  </si>
  <si>
    <t>See Runsheet rows 20-107 and OGLs tab</t>
  </si>
  <si>
    <t>Sanguine / investor group / Kaiser-Francis / Enogex / Chesapeake predecessors</t>
  </si>
  <si>
    <t>CHAIN NOTES / ASSUMPTIONS</t>
  </si>
  <si>
    <t>Apparent Diversified Section 27 WI was carried from the existing report/title sheet as 448.333333 net acres ÷ 640 acres = 0.700520833 WI.</t>
  </si>
  <si>
    <t>2</t>
  </si>
  <si>
    <t>Residual 191.666667 net acres ÷ 640 acres = 0.299479167 WI is left open / non-Diversified so the WI tab ties to 100% of Section 27.</t>
  </si>
  <si>
    <t>3</t>
  </si>
  <si>
    <t>Track A chain source: 2017-004597 (2266/194), 2019-002937 (2307/894), and 2019-002988 (2308/123) into FourPoint, then FourPoint/Unbridled/Maverick/Diversified succession support.</t>
  </si>
  <si>
    <t>4</t>
  </si>
  <si>
    <t>Track B documents are shown but not booked because the report marks that path as excluded / not carried for Diversified's Section 27 WI.</t>
  </si>
  <si>
    <t>5</t>
  </si>
  <si>
    <t>2023-000993 Teocalli is treated as wellbore-only / unquantified. Verify the exhibit and wellbore carveout before moving any decimal out of the Diversified tract WI.</t>
  </si>
  <si>
    <t>6</t>
  </si>
  <si>
    <t>NRI is not independently calculated here. Full lessor NMA, burdens, HBP/production, pooling, and depth limitations still need full abstraction before division-order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</si>
</sst>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00"/>
    <numFmt numFmtId="165" formatCode="0.00000000"/>
    <numFmt numFmtId="166" formatCode="mm/dd/yyyy"/>
    <numFmt numFmtId="169" formatCode="00"/>
    <numFmt numFmtId="170" formatCode="0.000000000"/>
  </numFmts>
  <fonts count="45" x14ac:knownFonts="1">
    <font>
      <sz val="11"/>
      <color theme="1"/>
      <name val="Calibri"/>
      <charset val="1"/>
    </font>
    <font>
      <sz val="10"/>
      <name val="Verdana"/>
      <family val="2"/>
      <charset val="1"/>
    </font>
    <font>
      <sz val="12"/>
      <name val="Times New Roman"/>
      <family val="1"/>
      <charset val="1"/>
    </font>
    <font>
      <sz val="10"/>
      <name val="Arial"/>
      <family val="2"/>
      <charset val="1"/>
    </font>
    <font>
      <sz val="11"/>
      <color theme="1"/>
      <name val="Calibri"/>
      <family val="2"/>
      <charset val="1"/>
    </font>
    <font>
      <sz val="10"/>
      <name val="Times New Roman"/>
      <family val="1"/>
      <charset val="1"/>
    </font>
    <font>
      <sz val="10"/>
      <name val="Calibri"/>
      <family val="2"/>
      <charset val="1"/>
    </font>
    <font>
      <sz val="11"/>
      <name val="Calibri"/>
      <charset val="1"/>
    </font>
    <font>
      <b/>
      <sz val="11"/>
      <name val="Calibri"/>
      <charset val="1"/>
    </font>
    <font>
      <b/>
      <u/>
      <sz val="11"/>
      <name val="Calibri"/>
      <charset val="1"/>
    </font>
    <font>
      <b/>
      <sz val="10"/>
      <color rgb="FF000000"/>
      <name val="Calibri"/>
      <charset val="1"/>
    </font>
    <font>
      <b/>
      <sz val="11"/>
      <color rgb="FF000000"/>
      <name val="Calibri"/>
      <charset val="1"/>
    </font>
    <font>
      <i/>
      <sz val="11"/>
      <name val="Calibri"/>
      <charset val="1"/>
    </font>
    <font>
      <sz val="11"/>
      <color rgb="FF000000"/>
      <name val="Calibri"/>
      <charset val="1"/>
    </font>
    <font>
      <sz val="9"/>
      <color theme="1"/>
      <name val="Calibri"/>
      <family val="2"/>
      <charset val="1"/>
    </font>
    <font>
      <sz val="9"/>
      <color theme="1"/>
      <name val="Calibri"/>
      <charset val="1"/>
    </font>
    <font>
      <b/>
      <sz val="9"/>
      <color theme="1"/>
      <name val="Calibri"/>
      <charset val="1"/>
    </font>
    <font>
      <b/>
      <sz val="11"/>
      <color theme="1"/>
      <name val="Calibri"/>
      <charset val="1"/>
    </font>
    <font>
      <sz val="10"/>
      <color theme="1"/>
      <name val="Arial"/>
      <family val="2"/>
      <charset val="1"/>
    </font>
    <font>
      <sz val="9"/>
      <color theme="1"/>
      <name val="Arial"/>
      <family val="2"/>
      <charset val="1"/>
    </font>
    <font>
      <i/>
      <sz val="8"/>
      <color rgb="FF9C5700"/>
      <name val="Calibri"/>
      <charset val="1"/>
    </font>
    <font>
      <b/>
      <sz val="9"/>
      <color theme="1"/>
      <name val="Calibri"/>
    </font>
    <font>
      <sz val="9"/>
      <color theme="1"/>
      <name val="Calibri"/>
    </font>
    <font>
      <sz val="9"/>
      <color rgb="FF000000"/>
      <name val="Calibri"/>
    </font>
    <font>
      <b/>
      <sz val="11"/>
      <color theme="1"/>
      <name val="Calibri"/>
    </font>
    <font>
      <sz val="9"/>
      <name val="Calibri"/>
    </font>
    <font>
      <u/>
      <sz val="11"/>
      <color theme="10"/>
      <name val="Calibri"/>
      <charset val="1"/>
    </font>
    <font>
      <b/>
      <sz val="11"/>
      <color rgb="FFFFFFFF"/>
      <name val="Calibri"/>
      <charset val="1"/>
    </font>
    <font>
      <sz val="10"/>
      <name val="Calibri"/>
      <charset val="1"/>
    </font>
    <font>
      <u/>
      <sz val="11"/>
      <color rgb="FF0563C1"/>
      <name val="Calibri"/>
      <charset val="1"/>
    </font>
    <font>
      <u/>
      <sz val="11"/>
      <color rgb="FF0000FF"/>
      <name val="Calibri"/>
      <family val="2"/>
      <charset val="1"/>
    </font>
    <font>
      <sz val="10"/>
      <color rgb="FF000000"/>
      <name val="Calibri"/>
      <family val="2"/>
      <charset val="1"/>
    </font>
    <font>
      <sz val="10"/>
      <name val="Calibri"/>
      <family val="2"/>
    </font>
    <font>
      <sz val="8"/>
      <color rgb="FF000000"/>
      <name val="Arial"/>
    </font>
    <font>
      <b/>
      <sz val="8"/>
      <color rgb="FF000000"/>
      <name val="Arial"/>
    </font>
    <font>
      <b/>
      <sz val="7"/>
      <color rgb="FF000000"/>
      <name val="Arial"/>
    </font>
    <font>
      <sz val="11"/>
      <name val="Calibri"/>
    </font>
    <font>
      <b/>
      <sz val="28"/>
      <color rgb="FF000000"/>
      <name val="Arial"/>
    </font>
    <font>
      <b/>
      <sz val="8"/>
      <color rgb="FFFF0000"/>
      <name val="Arial"/>
    </font>
    <font>
      <sz val="7"/>
      <color rgb="FF000000"/>
      <name val="Arial"/>
    </font>
    <font>
      <sz val="8"/>
      <color rgb="FFC00000"/>
      <name val="Arial"/>
    </font>
    <font>
      <sz val="7"/>
      <color rgb="FFC00000"/>
      <name val="Arial"/>
    </font>
    <font>
      <b/>
      <sz val="10"/>
      <color theme="1"/>
      <name val="Arial"/>
    </font>
    <font>
      <b/>
      <sz val="8"/>
      <color theme="1"/>
      <name val="Arial"/>
    </font>
    <font>
      <sz val="8"/>
      <color theme="1"/>
      <name val="Arial"/>
    </font>
  </fonts>
  <fills count="23">
    <fill>
      <patternFill patternType="none"/>
    </fill>
    <fill>
      <patternFill patternType="gray125"/>
    </fill>
    <fill>
      <patternFill patternType="solid">
        <fgColor theme="0"/>
        <bgColor rgb="FFFFF2CC"/>
      </patternFill>
    </fill>
    <fill>
      <patternFill patternType="solid">
        <fgColor rgb="FFD8D8D8"/>
        <bgColor rgb="FFD9D9D9"/>
      </patternFill>
    </fill>
    <fill>
      <patternFill patternType="solid">
        <fgColor rgb="FFFFFF99"/>
        <bgColor rgb="FFFEF3C7"/>
      </patternFill>
    </fill>
    <fill>
      <patternFill patternType="solid">
        <fgColor rgb="FFFFF2CC"/>
        <bgColor rgb="FFFCE4D6"/>
      </patternFill>
    </fill>
    <fill>
      <patternFill patternType="solid">
        <fgColor rgb="FFD8D8D8"/>
      </patternFill>
    </fill>
    <fill>
      <patternFill patternType="solid">
        <fgColor rgb="FFE2EFDA"/>
      </patternFill>
    </fill>
    <fill>
      <patternFill patternType="solid">
        <fgColor rgb="FFFCE4D6"/>
      </patternFill>
    </fill>
    <fill>
      <patternFill patternType="solid">
        <fgColor rgb="FFFFFF99"/>
      </patternFill>
    </fill>
    <fill>
      <patternFill patternType="solid">
        <fgColor rgb="FF92D050"/>
        <bgColor rgb="FFBFBFBF"/>
      </patternFill>
    </fill>
    <fill>
      <patternFill patternType="solid">
        <fgColor rgb="FFF8CBAD"/>
        <bgColor rgb="FFFFE699"/>
      </patternFill>
    </fill>
    <fill>
      <patternFill patternType="solid">
        <fgColor rgb="FFFFE699"/>
        <bgColor rgb="FFFFFF99"/>
      </patternFill>
    </fill>
    <fill>
      <patternFill patternType="solid">
        <fgColor rgb="FFFFC000"/>
        <bgColor rgb="FFFF9900"/>
      </patternFill>
    </fill>
    <fill>
      <patternFill patternType="solid">
        <fgColor rgb="FFFFFF00"/>
        <bgColor rgb="FFFFC000"/>
      </patternFill>
    </fill>
    <fill>
      <patternFill patternType="solid">
        <fgColor rgb="FF1F4E78"/>
        <bgColor rgb="FF1F3864"/>
      </patternFill>
    </fill>
    <fill>
      <patternFill patternType="solid">
        <fgColor rgb="FFF2F2F2"/>
      </patternFill>
    </fill>
    <fill>
      <patternFill patternType="solid">
        <fgColor rgb="FFD9D9D9"/>
      </patternFill>
    </fill>
    <fill>
      <patternFill patternType="solid">
        <fgColor rgb="FFFFFFFF"/>
      </patternFill>
    </fill>
    <fill>
      <patternFill patternType="solid">
        <fgColor theme="0" tint="-0.14999847407452621"/>
        <bgColor indexed="65"/>
      </patternFill>
    </fill>
    <fill>
      <patternFill patternType="solid">
        <fgColor theme="0"/>
      </patternFill>
    </fill>
    <fill>
      <patternFill patternType="solid">
        <fgColor rgb="FFCCFFFF"/>
      </patternFill>
    </fill>
    <fill>
      <patternFill patternType="solid">
        <fgColor rgb="FFD9EAD3"/>
      </patternFill>
    </fill>
  </fills>
  <borders count="22">
    <border>
      <left/>
      <right/>
      <top/>
      <bottom/>
      <diagonal/>
    </border>
    <border>
      <left/>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style="thin">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s>
  <cellStyleXfs count="11">
    <xf numFmtId="0" fontId="0" fillId="0" borderId="0"/>
    <xf numFmtId="0" fontId="1" fillId="0" borderId="0"/>
    <xf numFmtId="0" fontId="2" fillId="0" borderId="0"/>
    <xf numFmtId="0" fontId="3" fillId="0" borderId="0"/>
    <xf numFmtId="0" fontId="1" fillId="0" borderId="0"/>
    <xf numFmtId="0" fontId="3" fillId="0" borderId="0"/>
    <xf numFmtId="0" fontId="4" fillId="0" borderId="0"/>
    <xf numFmtId="0" fontId="4" fillId="0" borderId="0"/>
    <xf numFmtId="0" fontId="5" fillId="0" borderId="0"/>
    <xf numFmtId="9" fontId="4" fillId="0" borderId="0"/>
    <xf numFmtId="0" fontId="26" fillId="0" borderId="0" applyNumberFormat="0" applyFill="0" applyBorder="0" applyAlignment="0" applyProtection="0"/>
  </cellStyleXfs>
  <cellXfs count="203">
    <xf numFmtId="0" fontId="0" fillId="0" borderId="0" xfId="0"/>
    <xf numFmtId="0" fontId="8" fillId="0" borderId="0" xfId="8" applyFont="1" applyAlignment="1">
      <alignment horizontal="center"/>
    </xf>
    <xf numFmtId="0" fontId="6" fillId="0" borderId="0" xfId="1" applyFont="1"/>
    <xf numFmtId="0" fontId="7" fillId="0" borderId="0" xfId="1" applyFont="1"/>
    <xf numFmtId="0" fontId="7" fillId="0" borderId="0" xfId="8" applyFont="1"/>
    <xf numFmtId="0" fontId="8" fillId="0" borderId="0" xfId="8" applyFont="1" applyAlignment="1">
      <alignment vertical="center"/>
    </xf>
    <xf numFmtId="0" fontId="8" fillId="0" borderId="0" xfId="8" applyFont="1"/>
    <xf numFmtId="0" fontId="8" fillId="0" borderId="0" xfId="8" applyFont="1" applyAlignment="1" applyProtection="1">
      <alignment horizontal="center"/>
      <protection locked="0"/>
    </xf>
    <xf numFmtId="0" fontId="9" fillId="0" borderId="0" xfId="8" applyFont="1" applyProtection="1">
      <protection locked="0"/>
    </xf>
    <xf numFmtId="0" fontId="7" fillId="0" borderId="0" xfId="8" applyFont="1" applyAlignment="1">
      <alignment wrapText="1"/>
    </xf>
    <xf numFmtId="0" fontId="7" fillId="0" borderId="0" xfId="4" applyFont="1"/>
    <xf numFmtId="0" fontId="8" fillId="2" borderId="7" xfId="8" applyFont="1" applyFill="1" applyBorder="1" applyAlignment="1">
      <alignment vertical="center"/>
    </xf>
    <xf numFmtId="0" fontId="8" fillId="0" borderId="0" xfId="8" applyFont="1" applyAlignment="1">
      <alignment wrapText="1"/>
    </xf>
    <xf numFmtId="0" fontId="8" fillId="0" borderId="7" xfId="8" applyFont="1" applyBorder="1"/>
    <xf numFmtId="0" fontId="8" fillId="0" borderId="11" xfId="8" applyFont="1" applyBorder="1" applyAlignment="1" applyProtection="1">
      <alignment horizontal="center"/>
      <protection locked="0"/>
    </xf>
    <xf numFmtId="0" fontId="8" fillId="0" borderId="0" xfId="8" applyFont="1" applyAlignment="1">
      <alignment horizontal="left"/>
    </xf>
    <xf numFmtId="0" fontId="8" fillId="0" borderId="0" xfId="4" applyFont="1"/>
    <xf numFmtId="0" fontId="7" fillId="0" borderId="0" xfId="8" applyFont="1" applyProtection="1">
      <protection locked="0"/>
    </xf>
    <xf numFmtId="0" fontId="7" fillId="0" borderId="0" xfId="8" applyFont="1" applyAlignment="1" applyProtection="1">
      <alignment horizontal="center"/>
      <protection locked="0"/>
    </xf>
    <xf numFmtId="0" fontId="7" fillId="0" borderId="0" xfId="2" applyFont="1" applyAlignment="1">
      <alignment vertical="center" wrapText="1"/>
    </xf>
    <xf numFmtId="0" fontId="13" fillId="0" borderId="0" xfId="1" applyFont="1"/>
    <xf numFmtId="0" fontId="14" fillId="0" borderId="0" xfId="0" applyFont="1" applyAlignment="1">
      <alignment vertical="top"/>
    </xf>
    <xf numFmtId="0" fontId="14" fillId="0" borderId="0" xfId="0" applyFont="1"/>
    <xf numFmtId="0" fontId="15" fillId="0" borderId="0" xfId="0" applyFont="1" applyAlignment="1">
      <alignment vertical="top" wrapText="1"/>
    </xf>
    <xf numFmtId="0" fontId="16" fillId="0" borderId="0" xfId="0" applyFont="1" applyAlignment="1">
      <alignment horizontal="right" vertical="center" wrapText="1"/>
    </xf>
    <xf numFmtId="0" fontId="15" fillId="0" borderId="0" xfId="0" applyFont="1" applyAlignment="1">
      <alignment horizontal="left" vertical="center"/>
    </xf>
    <xf numFmtId="0" fontId="16" fillId="3" borderId="11" xfId="0" applyFont="1" applyFill="1" applyBorder="1" applyAlignment="1">
      <alignment horizontal="left" vertical="center" wrapText="1"/>
    </xf>
    <xf numFmtId="0" fontId="15" fillId="0" borderId="11" xfId="0" applyFont="1" applyBorder="1" applyAlignment="1">
      <alignment horizontal="left" vertical="top" wrapText="1"/>
    </xf>
    <xf numFmtId="164" fontId="15" fillId="0" borderId="11" xfId="0" applyNumberFormat="1" applyFont="1" applyBorder="1" applyAlignment="1">
      <alignment horizontal="left" vertical="top" wrapText="1"/>
    </xf>
    <xf numFmtId="0" fontId="16" fillId="4" borderId="11" xfId="0" applyFont="1" applyFill="1" applyBorder="1" applyAlignment="1">
      <alignment horizontal="right" vertical="top" wrapText="1"/>
    </xf>
    <xf numFmtId="165" fontId="16" fillId="4" borderId="11" xfId="0" applyNumberFormat="1" applyFont="1" applyFill="1" applyBorder="1" applyAlignment="1">
      <alignment vertical="top" wrapText="1"/>
    </xf>
    <xf numFmtId="0" fontId="17" fillId="0" borderId="0" xfId="0" applyFont="1" applyAlignment="1">
      <alignment horizontal="right" vertical="top"/>
    </xf>
    <xf numFmtId="0" fontId="0" fillId="0" borderId="0" xfId="0" applyAlignment="1">
      <alignment horizontal="left" vertical="top"/>
    </xf>
    <xf numFmtId="0" fontId="18" fillId="0" borderId="0" xfId="7" applyFont="1" applyAlignment="1">
      <alignment vertical="top"/>
    </xf>
    <xf numFmtId="0" fontId="18" fillId="0" borderId="0" xfId="7" applyFont="1" applyAlignment="1">
      <alignment horizontal="center" vertical="top" wrapText="1"/>
    </xf>
    <xf numFmtId="164" fontId="18" fillId="0" borderId="0" xfId="7" applyNumberFormat="1" applyFont="1" applyAlignment="1">
      <alignment horizontal="center" vertical="top" wrapText="1"/>
    </xf>
    <xf numFmtId="0" fontId="0" fillId="0" borderId="0" xfId="7" applyFont="1" applyAlignment="1">
      <alignment horizontal="center" vertical="center" wrapText="1"/>
    </xf>
    <xf numFmtId="0" fontId="18" fillId="0" borderId="0" xfId="7" applyFont="1" applyAlignment="1">
      <alignment horizontal="center" vertical="center"/>
    </xf>
    <xf numFmtId="0" fontId="4" fillId="0" borderId="0" xfId="7"/>
    <xf numFmtId="0" fontId="4" fillId="0" borderId="0" xfId="7" applyAlignment="1">
      <alignment horizontal="center"/>
    </xf>
    <xf numFmtId="0" fontId="0" fillId="0" borderId="0" xfId="7" applyFont="1" applyAlignment="1">
      <alignment horizontal="left"/>
    </xf>
    <xf numFmtId="0" fontId="0" fillId="0" borderId="0" xfId="7" applyFont="1" applyAlignment="1">
      <alignment horizontal="center"/>
    </xf>
    <xf numFmtId="0" fontId="0" fillId="0" borderId="0" xfId="7" applyFont="1"/>
    <xf numFmtId="14" fontId="4" fillId="0" borderId="0" xfId="7" applyNumberFormat="1"/>
    <xf numFmtId="0" fontId="4" fillId="0" borderId="0" xfId="0" applyFont="1"/>
    <xf numFmtId="0" fontId="4" fillId="0" borderId="0" xfId="0" applyFont="1" applyAlignment="1">
      <alignment horizontal="center"/>
    </xf>
    <xf numFmtId="0" fontId="21" fillId="6" borderId="14" xfId="0" applyFont="1" applyFill="1" applyBorder="1" applyAlignment="1">
      <alignment horizontal="left" vertical="center" wrapText="1"/>
    </xf>
    <xf numFmtId="0" fontId="22" fillId="0" borderId="0" xfId="0" applyFont="1" applyAlignment="1">
      <alignment vertical="top" wrapText="1"/>
    </xf>
    <xf numFmtId="0" fontId="22" fillId="0" borderId="0" xfId="0" applyFont="1" applyAlignment="1">
      <alignment horizontal="left" vertical="center" wrapText="1"/>
    </xf>
    <xf numFmtId="0" fontId="23" fillId="0" borderId="11" xfId="0" applyFont="1" applyBorder="1" applyAlignment="1">
      <alignment horizontal="left" vertical="top" wrapText="1"/>
    </xf>
    <xf numFmtId="0" fontId="24" fillId="0" borderId="0" xfId="7" applyFont="1" applyAlignment="1">
      <alignment horizontal="left"/>
    </xf>
    <xf numFmtId="0" fontId="24" fillId="0" borderId="0" xfId="7" applyFont="1" applyAlignment="1">
      <alignment horizontal="center"/>
    </xf>
    <xf numFmtId="0" fontId="25" fillId="0" borderId="12" xfId="0" applyFont="1" applyBorder="1" applyAlignment="1">
      <alignment vertical="top" wrapText="1"/>
    </xf>
    <xf numFmtId="14" fontId="25" fillId="0" borderId="12" xfId="0" applyNumberFormat="1" applyFont="1" applyBorder="1" applyAlignment="1">
      <alignment vertical="top" wrapText="1"/>
    </xf>
    <xf numFmtId="49" fontId="25" fillId="0" borderId="12" xfId="0" applyNumberFormat="1" applyFont="1" applyBorder="1" applyAlignment="1">
      <alignment vertical="top" wrapText="1"/>
    </xf>
    <xf numFmtId="0" fontId="25" fillId="7" borderId="12" xfId="0" applyFont="1" applyFill="1" applyBorder="1" applyAlignment="1">
      <alignment vertical="top" wrapText="1"/>
    </xf>
    <xf numFmtId="17" fontId="25" fillId="0" borderId="12" xfId="0" applyNumberFormat="1" applyFont="1" applyBorder="1" applyAlignment="1">
      <alignment vertical="top" wrapText="1"/>
    </xf>
    <xf numFmtId="14" fontId="25" fillId="7" borderId="12" xfId="0" applyNumberFormat="1" applyFont="1" applyFill="1" applyBorder="1" applyAlignment="1">
      <alignment vertical="top" wrapText="1"/>
    </xf>
    <xf numFmtId="0" fontId="25" fillId="8" borderId="12" xfId="0" applyFont="1" applyFill="1" applyBorder="1" applyAlignment="1">
      <alignment vertical="top" wrapText="1"/>
    </xf>
    <xf numFmtId="0" fontId="21" fillId="6" borderId="11" xfId="0" applyFont="1" applyFill="1" applyBorder="1" applyAlignment="1">
      <alignment horizontal="left" vertical="center" wrapText="1"/>
    </xf>
    <xf numFmtId="0" fontId="22" fillId="0" borderId="11" xfId="0" applyFont="1" applyBorder="1" applyAlignment="1">
      <alignment horizontal="left" vertical="top" wrapText="1"/>
    </xf>
    <xf numFmtId="164" fontId="22" fillId="0" borderId="11" xfId="0" applyNumberFormat="1" applyFont="1" applyBorder="1" applyAlignment="1">
      <alignment horizontal="left" vertical="top" wrapText="1"/>
    </xf>
    <xf numFmtId="0" fontId="21" fillId="9" borderId="11" xfId="0" applyFont="1" applyFill="1" applyBorder="1" applyAlignment="1">
      <alignment horizontal="right" vertical="top" wrapText="1"/>
    </xf>
    <xf numFmtId="10" fontId="22" fillId="0" borderId="14" xfId="0" applyNumberFormat="1" applyFont="1" applyBorder="1" applyAlignment="1">
      <alignment horizontal="left" vertical="top" wrapText="1"/>
    </xf>
    <xf numFmtId="0" fontId="3" fillId="0" borderId="11" xfId="5" applyBorder="1"/>
    <xf numFmtId="0" fontId="0" fillId="0" borderId="11" xfId="0" applyBorder="1"/>
    <xf numFmtId="0" fontId="3" fillId="0" borderId="11" xfId="5" applyBorder="1" applyAlignment="1">
      <alignment horizontal="right"/>
    </xf>
    <xf numFmtId="164" fontId="3" fillId="0" borderId="11" xfId="5" applyNumberFormat="1" applyBorder="1" applyAlignment="1">
      <alignment horizontal="right"/>
    </xf>
    <xf numFmtId="0" fontId="3" fillId="0" borderId="11" xfId="5" applyBorder="1" applyAlignment="1">
      <alignment wrapText="1"/>
    </xf>
    <xf numFmtId="0" fontId="3" fillId="0" borderId="11" xfId="5" applyBorder="1" applyAlignment="1">
      <alignment horizontal="center" wrapText="1"/>
    </xf>
    <xf numFmtId="165" fontId="3" fillId="0" borderId="11" xfId="5" applyNumberFormat="1" applyBorder="1" applyAlignment="1">
      <alignment horizontal="center"/>
    </xf>
    <xf numFmtId="0" fontId="3" fillId="0" borderId="11" xfId="5" applyBorder="1" applyAlignment="1">
      <alignment horizontal="left" wrapText="1"/>
    </xf>
    <xf numFmtId="165" fontId="3" fillId="0" borderId="11" xfId="5" applyNumberFormat="1" applyBorder="1"/>
    <xf numFmtId="49" fontId="22" fillId="0" borderId="14" xfId="0" applyNumberFormat="1" applyFont="1" applyBorder="1" applyAlignment="1">
      <alignment horizontal="left" vertical="top" wrapText="1"/>
    </xf>
    <xf numFmtId="0" fontId="22" fillId="0" borderId="0" xfId="0" applyFont="1" applyAlignment="1">
      <alignment horizontal="left" vertical="center"/>
    </xf>
    <xf numFmtId="0" fontId="22" fillId="0" borderId="0" xfId="0" applyFont="1"/>
    <xf numFmtId="0" fontId="0" fillId="0" borderId="0" xfId="0" applyAlignment="1">
      <alignment horizontal="center"/>
    </xf>
    <xf numFmtId="0" fontId="0" fillId="0" borderId="0" xfId="0" applyAlignment="1">
      <alignment horizontal="center" vertical="center"/>
    </xf>
    <xf numFmtId="0" fontId="30" fillId="0" borderId="11" xfId="10" applyFont="1" applyFill="1" applyBorder="1" applyAlignment="1">
      <alignment horizontal="center" vertical="top"/>
    </xf>
    <xf numFmtId="0" fontId="29" fillId="0" borderId="11" xfId="10" applyFont="1" applyFill="1" applyBorder="1" applyAlignment="1">
      <alignment horizontal="center" vertical="top"/>
    </xf>
    <xf numFmtId="0" fontId="26" fillId="0" borderId="11" xfId="10" applyFill="1" applyBorder="1" applyAlignment="1">
      <alignment horizontal="center" vertical="top"/>
    </xf>
    <xf numFmtId="0" fontId="26" fillId="0" borderId="11" xfId="10" applyFill="1" applyBorder="1" applyAlignment="1">
      <alignment horizontal="center" vertical="top" wrapText="1"/>
    </xf>
    <xf numFmtId="0" fontId="10" fillId="10" borderId="2" xfId="0" applyFont="1" applyFill="1" applyBorder="1" applyAlignment="1">
      <alignment vertical="center"/>
    </xf>
    <xf numFmtId="0" fontId="10" fillId="10" borderId="3" xfId="0" applyFont="1" applyFill="1" applyBorder="1" applyAlignment="1">
      <alignment vertical="center"/>
    </xf>
    <xf numFmtId="0" fontId="10" fillId="11" borderId="3" xfId="0" applyFont="1" applyFill="1" applyBorder="1" applyAlignment="1">
      <alignment vertical="center"/>
    </xf>
    <xf numFmtId="0" fontId="10" fillId="11" borderId="4" xfId="0" applyFont="1" applyFill="1" applyBorder="1" applyAlignment="1">
      <alignment vertical="center"/>
    </xf>
    <xf numFmtId="0" fontId="10" fillId="10" borderId="5" xfId="0" applyFont="1" applyFill="1" applyBorder="1" applyAlignment="1">
      <alignment vertical="center"/>
    </xf>
    <xf numFmtId="0" fontId="10" fillId="10" borderId="0" xfId="0" applyFont="1" applyFill="1" applyAlignment="1">
      <alignment vertical="center"/>
    </xf>
    <xf numFmtId="0" fontId="10" fillId="11" borderId="0" xfId="0" applyFont="1" applyFill="1" applyAlignment="1">
      <alignment vertical="center"/>
    </xf>
    <xf numFmtId="0" fontId="10" fillId="11" borderId="6" xfId="0" applyFont="1" applyFill="1" applyBorder="1" applyAlignment="1">
      <alignment vertical="center"/>
    </xf>
    <xf numFmtId="0" fontId="10" fillId="11" borderId="0" xfId="0" applyFont="1" applyFill="1" applyAlignment="1">
      <alignment horizontal="left" vertical="center"/>
    </xf>
    <xf numFmtId="0" fontId="10" fillId="10" borderId="5" xfId="0" applyFont="1" applyFill="1" applyBorder="1" applyAlignment="1">
      <alignment wrapText="1"/>
    </xf>
    <xf numFmtId="0" fontId="10" fillId="10" borderId="5" xfId="0" applyFont="1" applyFill="1" applyBorder="1" applyAlignment="1">
      <alignment horizontal="left" vertical="center"/>
    </xf>
    <xf numFmtId="0" fontId="10" fillId="10" borderId="0" xfId="0" applyFont="1" applyFill="1" applyAlignment="1">
      <alignment horizontal="left" vertical="center"/>
    </xf>
    <xf numFmtId="0" fontId="10" fillId="12" borderId="5" xfId="0" applyFont="1" applyFill="1" applyBorder="1" applyAlignment="1">
      <alignment vertical="center"/>
    </xf>
    <xf numFmtId="0" fontId="10" fillId="12" borderId="0" xfId="0" applyFont="1" applyFill="1" applyAlignment="1">
      <alignment vertical="center"/>
    </xf>
    <xf numFmtId="0" fontId="10" fillId="13" borderId="0" xfId="0" applyFont="1" applyFill="1" applyAlignment="1">
      <alignment vertical="center"/>
    </xf>
    <xf numFmtId="0" fontId="10" fillId="13" borderId="6" xfId="0" applyFont="1" applyFill="1" applyBorder="1" applyAlignment="1">
      <alignment vertical="center"/>
    </xf>
    <xf numFmtId="0" fontId="10" fillId="14" borderId="0" xfId="0" applyFont="1" applyFill="1" applyAlignment="1">
      <alignment vertical="center"/>
    </xf>
    <xf numFmtId="0" fontId="10" fillId="13" borderId="0" xfId="0" applyFont="1" applyFill="1" applyAlignment="1">
      <alignment horizontal="left" vertical="center"/>
    </xf>
    <xf numFmtId="0" fontId="10" fillId="12" borderId="8" xfId="0" applyFont="1" applyFill="1" applyBorder="1" applyAlignment="1">
      <alignment vertical="center"/>
    </xf>
    <xf numFmtId="0" fontId="10" fillId="12" borderId="9" xfId="0" applyFont="1" applyFill="1" applyBorder="1" applyAlignment="1">
      <alignment vertical="center"/>
    </xf>
    <xf numFmtId="0" fontId="10" fillId="13" borderId="9" xfId="0" applyFont="1" applyFill="1" applyBorder="1" applyAlignment="1">
      <alignment vertical="center"/>
    </xf>
    <xf numFmtId="0" fontId="10" fillId="13" borderId="10" xfId="0" applyFont="1" applyFill="1" applyBorder="1" applyAlignment="1">
      <alignment vertical="center"/>
    </xf>
    <xf numFmtId="0" fontId="27" fillId="15" borderId="11" xfId="0" applyFont="1" applyFill="1" applyBorder="1" applyAlignment="1">
      <alignment horizontal="center" vertical="top" wrapText="1"/>
    </xf>
    <xf numFmtId="0" fontId="6" fillId="0" borderId="11" xfId="0" applyFont="1" applyBorder="1" applyAlignment="1">
      <alignment horizontal="center" vertical="top" wrapText="1"/>
    </xf>
    <xf numFmtId="49" fontId="6" fillId="0" borderId="11" xfId="0" applyNumberFormat="1" applyFont="1" applyBorder="1" applyAlignment="1">
      <alignment horizontal="center" vertical="top" wrapText="1"/>
    </xf>
    <xf numFmtId="166" fontId="6" fillId="0" borderId="11" xfId="0" applyNumberFormat="1" applyFont="1" applyBorder="1" applyAlignment="1">
      <alignment horizontal="center" vertical="top" wrapText="1"/>
    </xf>
    <xf numFmtId="0" fontId="6" fillId="0" borderId="11" xfId="0" applyFont="1" applyBorder="1" applyAlignment="1">
      <alignment vertical="top" wrapText="1"/>
    </xf>
    <xf numFmtId="0" fontId="28" fillId="0" borderId="11" xfId="0" applyFont="1" applyBorder="1" applyAlignment="1">
      <alignment horizontal="center" vertical="top" wrapText="1"/>
    </xf>
    <xf numFmtId="49" fontId="28" fillId="0" borderId="11" xfId="0" applyNumberFormat="1" applyFont="1" applyBorder="1" applyAlignment="1">
      <alignment horizontal="center" vertical="top" wrapText="1"/>
    </xf>
    <xf numFmtId="166" fontId="28" fillId="0" borderId="11" xfId="0" applyNumberFormat="1" applyFont="1" applyBorder="1" applyAlignment="1">
      <alignment horizontal="center" vertical="top" wrapText="1"/>
    </xf>
    <xf numFmtId="0" fontId="28" fillId="0" borderId="11" xfId="0" applyFont="1" applyBorder="1" applyAlignment="1">
      <alignment vertical="top" wrapText="1"/>
    </xf>
    <xf numFmtId="0" fontId="31" fillId="0" borderId="11" xfId="0" applyFont="1" applyBorder="1" applyAlignment="1">
      <alignment horizontal="center" vertical="top" wrapText="1"/>
    </xf>
    <xf numFmtId="166" fontId="31" fillId="0" borderId="11" xfId="0" applyNumberFormat="1" applyFont="1" applyBorder="1" applyAlignment="1">
      <alignment horizontal="center" vertical="top" wrapText="1"/>
    </xf>
    <xf numFmtId="0" fontId="31" fillId="0" borderId="11" xfId="0" applyFont="1" applyBorder="1" applyAlignment="1">
      <alignment vertical="top" wrapText="1"/>
    </xf>
    <xf numFmtId="14" fontId="31" fillId="0" borderId="11" xfId="0" applyNumberFormat="1" applyFont="1" applyBorder="1" applyAlignment="1">
      <alignment horizontal="center" vertical="top" wrapText="1"/>
    </xf>
    <xf numFmtId="0" fontId="27" fillId="15" borderId="11" xfId="0" applyFont="1" applyFill="1" applyBorder="1" applyAlignment="1">
      <alignment horizontal="center" vertical="center" wrapText="1"/>
    </xf>
    <xf numFmtId="166" fontId="27" fillId="15" borderId="11" xfId="0" applyNumberFormat="1" applyFont="1" applyFill="1" applyBorder="1" applyAlignment="1">
      <alignment horizontal="center" vertical="center" wrapText="1"/>
    </xf>
    <xf numFmtId="164" fontId="27" fillId="15" borderId="11" xfId="0" applyNumberFormat="1" applyFont="1" applyFill="1" applyBorder="1" applyAlignment="1">
      <alignment horizontal="center" vertical="center" wrapText="1"/>
    </xf>
    <xf numFmtId="0" fontId="27" fillId="15" borderId="9" xfId="0" applyFont="1" applyFill="1" applyBorder="1" applyAlignment="1">
      <alignment horizontal="center" vertical="center" wrapText="1"/>
    </xf>
    <xf numFmtId="0" fontId="27" fillId="15" borderId="13" xfId="0" applyFont="1" applyFill="1" applyBorder="1" applyAlignment="1">
      <alignment horizontal="center" vertical="center" wrapText="1"/>
    </xf>
    <xf numFmtId="0" fontId="27" fillId="15" borderId="15" xfId="0" applyFont="1" applyFill="1" applyBorder="1" applyAlignment="1">
      <alignment horizontal="center" vertical="center" wrapText="1"/>
    </xf>
    <xf numFmtId="0" fontId="0" fillId="0" borderId="11" xfId="0" applyBorder="1" applyAlignment="1">
      <alignment horizontal="center" vertical="top" wrapText="1"/>
    </xf>
    <xf numFmtId="0" fontId="7" fillId="0" borderId="11" xfId="0" applyFont="1" applyBorder="1" applyAlignment="1">
      <alignment horizontal="center" vertical="top" wrapText="1"/>
    </xf>
    <xf numFmtId="49" fontId="7" fillId="0" borderId="11" xfId="0" applyNumberFormat="1" applyFont="1" applyBorder="1" applyAlignment="1">
      <alignment horizontal="center" vertical="top" wrapText="1"/>
    </xf>
    <xf numFmtId="14" fontId="7" fillId="0" borderId="11" xfId="0" applyNumberFormat="1" applyFont="1" applyBorder="1" applyAlignment="1">
      <alignment horizontal="center" vertical="top" wrapText="1"/>
    </xf>
    <xf numFmtId="14" fontId="0" fillId="0" borderId="11" xfId="0" applyNumberFormat="1" applyBorder="1" applyAlignment="1">
      <alignment horizontal="center" vertical="top" wrapText="1"/>
    </xf>
    <xf numFmtId="164" fontId="0" fillId="0" borderId="11" xfId="0" applyNumberFormat="1" applyBorder="1" applyAlignment="1">
      <alignment horizontal="center" vertical="top" wrapText="1"/>
    </xf>
    <xf numFmtId="49" fontId="0" fillId="0" borderId="11" xfId="0" applyNumberFormat="1" applyBorder="1" applyAlignment="1">
      <alignment horizontal="center" vertical="top" wrapText="1"/>
    </xf>
    <xf numFmtId="0" fontId="0" fillId="0" borderId="0" xfId="0" applyAlignment="1">
      <alignment horizontal="center" vertical="top" wrapText="1"/>
    </xf>
    <xf numFmtId="0" fontId="0" fillId="0" borderId="0" xfId="7" applyFont="1" applyAlignment="1">
      <alignment vertical="top" wrapText="1"/>
    </xf>
    <xf numFmtId="0" fontId="19" fillId="0" borderId="0" xfId="7" applyFont="1" applyAlignment="1">
      <alignment vertical="top"/>
    </xf>
    <xf numFmtId="0" fontId="29" fillId="0" borderId="11" xfId="10" applyFont="1" applyBorder="1" applyAlignment="1">
      <alignment horizontal="center" vertical="top" wrapText="1"/>
    </xf>
    <xf numFmtId="164" fontId="29" fillId="0" borderId="11" xfId="10" applyNumberFormat="1" applyFont="1" applyBorder="1" applyAlignment="1">
      <alignment horizontal="center" vertical="top" wrapText="1"/>
    </xf>
    <xf numFmtId="10" fontId="0" fillId="0" borderId="11" xfId="0" applyNumberFormat="1" applyBorder="1" applyAlignment="1">
      <alignment horizontal="center" vertical="top" wrapText="1"/>
    </xf>
    <xf numFmtId="0" fontId="32" fillId="0" borderId="11" xfId="0" applyFont="1" applyBorder="1" applyAlignment="1">
      <alignment vertical="top" wrapText="1"/>
    </xf>
    <xf numFmtId="49" fontId="8" fillId="0" borderId="1" xfId="4" applyNumberFormat="1" applyFont="1" applyBorder="1" applyAlignment="1" applyProtection="1">
      <alignment horizontal="center"/>
      <protection locked="0"/>
    </xf>
    <xf numFmtId="0" fontId="0" fillId="0" borderId="1" xfId="0" applyBorder="1" applyProtection="1">
      <protection locked="0"/>
    </xf>
    <xf numFmtId="0" fontId="8" fillId="0" borderId="0" xfId="8" applyFont="1" applyAlignment="1">
      <alignment horizontal="center"/>
    </xf>
    <xf numFmtId="0" fontId="6" fillId="0" borderId="0" xfId="1" applyFont="1"/>
    <xf numFmtId="0" fontId="8" fillId="0" borderId="1" xfId="8" applyFont="1" applyBorder="1" applyAlignment="1" applyProtection="1">
      <alignment horizontal="center"/>
      <protection locked="0"/>
    </xf>
    <xf numFmtId="0" fontId="8" fillId="0" borderId="1" xfId="8" applyFont="1" applyBorder="1" applyAlignment="1">
      <alignment horizontal="center" vertical="center"/>
    </xf>
    <xf numFmtId="0" fontId="0" fillId="0" borderId="1" xfId="0" applyBorder="1"/>
    <xf numFmtId="49" fontId="8" fillId="0" borderId="1" xfId="8" applyNumberFormat="1" applyFont="1" applyBorder="1" applyAlignment="1" applyProtection="1">
      <alignment horizontal="center"/>
      <protection locked="0"/>
    </xf>
    <xf numFmtId="169" fontId="8" fillId="0" borderId="1" xfId="8" applyNumberFormat="1" applyFont="1" applyBorder="1" applyAlignment="1" applyProtection="1">
      <alignment horizontal="center"/>
      <protection locked="0"/>
    </xf>
    <xf numFmtId="0" fontId="11" fillId="0" borderId="0" xfId="1" applyFont="1" applyAlignment="1">
      <alignment horizontal="left"/>
    </xf>
    <xf numFmtId="0" fontId="8" fillId="0" borderId="1" xfId="8" applyFont="1" applyBorder="1" applyAlignment="1">
      <alignment horizontal="center"/>
    </xf>
    <xf numFmtId="0" fontId="11" fillId="0" borderId="0" xfId="1" applyFont="1" applyAlignment="1">
      <alignment horizontal="center" vertical="top"/>
    </xf>
    <xf numFmtId="0" fontId="7" fillId="0" borderId="0" xfId="1" applyFont="1" applyAlignment="1">
      <alignment horizontal="center"/>
    </xf>
    <xf numFmtId="0" fontId="7" fillId="0" borderId="0" xfId="1" applyFont="1" applyAlignment="1">
      <alignment horizontal="left"/>
    </xf>
    <xf numFmtId="0" fontId="9" fillId="0" borderId="0" xfId="8" applyFont="1" applyAlignment="1" applyProtection="1">
      <alignment horizontal="center"/>
      <protection locked="0"/>
    </xf>
    <xf numFmtId="0" fontId="0" fillId="0" borderId="0" xfId="0" applyProtection="1">
      <protection locked="0"/>
    </xf>
    <xf numFmtId="0" fontId="12" fillId="0" borderId="0" xfId="1" applyFont="1" applyAlignment="1">
      <alignment horizontal="justify" vertical="top" wrapText="1"/>
    </xf>
    <xf numFmtId="0" fontId="7" fillId="0" borderId="0" xfId="1" applyFont="1" applyAlignment="1">
      <alignment horizontal="justify" vertical="top" wrapText="1"/>
    </xf>
    <xf numFmtId="0" fontId="16" fillId="0" borderId="0" xfId="0" applyFont="1" applyAlignment="1">
      <alignment horizontal="left" vertical="top" wrapText="1"/>
    </xf>
    <xf numFmtId="0" fontId="14" fillId="0" borderId="0" xfId="0" applyFont="1"/>
    <xf numFmtId="0" fontId="15" fillId="0" borderId="0" xfId="0" applyFont="1" applyAlignment="1">
      <alignment horizontal="left" vertical="top" wrapText="1"/>
    </xf>
    <xf numFmtId="0" fontId="20" fillId="5" borderId="0" xfId="0" applyFont="1" applyFill="1" applyAlignment="1">
      <alignment vertical="top" wrapText="1"/>
    </xf>
    <xf numFmtId="0" fontId="4" fillId="0" borderId="0" xfId="0" applyFont="1"/>
    <xf numFmtId="0" fontId="33" fillId="0" borderId="14" xfId="0" applyFont="1" applyBorder="1" applyAlignment="1">
      <alignment vertical="center" wrapText="1"/>
    </xf>
    <xf numFmtId="0" fontId="34" fillId="17" borderId="16" xfId="0" applyFont="1" applyFill="1" applyBorder="1" applyAlignment="1">
      <alignment horizontal="left" vertical="top" wrapText="1"/>
    </xf>
    <xf numFmtId="0" fontId="34" fillId="16" borderId="14" xfId="0" applyFont="1" applyFill="1" applyBorder="1" applyAlignment="1">
      <alignment horizontal="center" vertical="center" wrapText="1"/>
    </xf>
    <xf numFmtId="0" fontId="35" fillId="18" borderId="14" xfId="0" applyFont="1" applyFill="1" applyBorder="1" applyAlignment="1">
      <alignment horizontal="center" vertical="center" wrapText="1"/>
    </xf>
    <xf numFmtId="0" fontId="36" fillId="0" borderId="11" xfId="5" applyFont="1" applyBorder="1" applyAlignment="1">
      <alignment horizontal="center" vertical="center"/>
    </xf>
    <xf numFmtId="0" fontId="36" fillId="19" borderId="11" xfId="5" applyFont="1" applyFill="1" applyBorder="1"/>
    <xf numFmtId="0" fontId="37" fillId="18" borderId="16" xfId="0" applyFont="1" applyFill="1" applyBorder="1" applyAlignment="1">
      <alignment horizontal="center" vertical="center" wrapText="1"/>
    </xf>
    <xf numFmtId="0" fontId="34" fillId="16" borderId="14" xfId="0" applyFont="1" applyFill="1" applyBorder="1" applyAlignment="1">
      <alignment horizontal="right" vertical="center" wrapText="1"/>
    </xf>
    <xf numFmtId="0" fontId="34" fillId="17" borderId="17" xfId="0" applyFont="1" applyFill="1" applyBorder="1" applyAlignment="1">
      <alignment horizontal="left" vertical="top" wrapText="1"/>
    </xf>
    <xf numFmtId="0" fontId="34" fillId="16" borderId="14" xfId="0" applyFont="1" applyFill="1" applyBorder="1" applyAlignment="1">
      <alignment horizontal="center" vertical="center" wrapText="1"/>
    </xf>
    <xf numFmtId="49" fontId="36" fillId="20" borderId="11" xfId="5" applyNumberFormat="1" applyFont="1" applyFill="1" applyBorder="1" applyAlignment="1">
      <alignment horizontal="center" vertical="top"/>
    </xf>
    <xf numFmtId="49" fontId="3" fillId="20" borderId="11" xfId="5" applyNumberFormat="1" applyFill="1" applyBorder="1" applyAlignment="1">
      <alignment horizontal="center" vertical="top"/>
    </xf>
    <xf numFmtId="0" fontId="37" fillId="18" borderId="17" xfId="0" applyFont="1" applyFill="1" applyBorder="1" applyAlignment="1">
      <alignment horizontal="center" vertical="center" wrapText="1"/>
    </xf>
    <xf numFmtId="0" fontId="34" fillId="17" borderId="18" xfId="0" applyFont="1" applyFill="1" applyBorder="1" applyAlignment="1">
      <alignment horizontal="left" vertical="top" wrapText="1"/>
    </xf>
    <xf numFmtId="14" fontId="36" fillId="20" borderId="11" xfId="5" applyNumberFormat="1" applyFont="1" applyFill="1" applyBorder="1" applyAlignment="1">
      <alignment horizontal="center" vertical="top"/>
    </xf>
    <xf numFmtId="14" fontId="3" fillId="20" borderId="11" xfId="5" applyNumberFormat="1" applyFill="1" applyBorder="1" applyAlignment="1">
      <alignment horizontal="center" vertical="top"/>
    </xf>
    <xf numFmtId="0" fontId="37" fillId="18" borderId="18" xfId="0" applyFont="1" applyFill="1" applyBorder="1" applyAlignment="1">
      <alignment horizontal="center" vertical="center" wrapText="1"/>
    </xf>
    <xf numFmtId="0" fontId="38" fillId="18" borderId="14" xfId="0" applyFont="1" applyFill="1" applyBorder="1" applyAlignment="1">
      <alignment horizontal="center" vertical="center" wrapText="1"/>
    </xf>
    <xf numFmtId="0" fontId="35" fillId="16" borderId="14" xfId="0" applyFont="1" applyFill="1" applyBorder="1" applyAlignment="1">
      <alignment horizontal="center" vertical="center" wrapText="1"/>
    </xf>
    <xf numFmtId="0" fontId="36" fillId="20" borderId="11" xfId="5" applyFont="1" applyFill="1" applyBorder="1" applyAlignment="1">
      <alignment horizontal="right"/>
    </xf>
    <xf numFmtId="0" fontId="3" fillId="20" borderId="11" xfId="5" applyFill="1" applyBorder="1" applyAlignment="1">
      <alignment horizontal="right"/>
    </xf>
    <xf numFmtId="0" fontId="35" fillId="21" borderId="14" xfId="0" applyFont="1" applyFill="1" applyBorder="1" applyAlignment="1">
      <alignment horizontal="center" vertical="center" wrapText="1"/>
    </xf>
    <xf numFmtId="170" fontId="35" fillId="21" borderId="14" xfId="0" applyNumberFormat="1" applyFont="1" applyFill="1" applyBorder="1" applyAlignment="1">
      <alignment horizontal="center" vertical="center" wrapText="1"/>
    </xf>
    <xf numFmtId="0" fontId="36" fillId="0" borderId="11" xfId="5" applyFont="1" applyBorder="1" applyAlignment="1">
      <alignment horizontal="right"/>
    </xf>
    <xf numFmtId="170" fontId="33" fillId="0" borderId="14" xfId="0" applyNumberFormat="1" applyFont="1" applyBorder="1" applyAlignment="1">
      <alignment vertical="center" wrapText="1"/>
    </xf>
    <xf numFmtId="0" fontId="36" fillId="19" borderId="11" xfId="5" applyFont="1" applyFill="1" applyBorder="1" applyAlignment="1">
      <alignment horizontal="right"/>
    </xf>
    <xf numFmtId="0" fontId="3" fillId="19" borderId="11" xfId="5" applyFill="1" applyBorder="1" applyAlignment="1">
      <alignment horizontal="right"/>
    </xf>
    <xf numFmtId="0" fontId="39" fillId="0" borderId="14" xfId="0" applyFont="1" applyBorder="1" applyAlignment="1">
      <alignment horizontal="left" vertical="top" wrapText="1"/>
    </xf>
    <xf numFmtId="164" fontId="33" fillId="21" borderId="14" xfId="0" applyNumberFormat="1" applyFont="1" applyFill="1" applyBorder="1" applyAlignment="1">
      <alignment horizontal="right" vertical="center" wrapText="1"/>
    </xf>
    <xf numFmtId="0" fontId="33" fillId="0" borderId="14" xfId="0" applyFont="1" applyBorder="1" applyAlignment="1">
      <alignment horizontal="left" vertical="top" wrapText="1"/>
    </xf>
    <xf numFmtId="170" fontId="33" fillId="21" borderId="14" xfId="0" applyNumberFormat="1" applyFont="1" applyFill="1" applyBorder="1" applyAlignment="1">
      <alignment horizontal="right" vertical="center" wrapText="1"/>
    </xf>
    <xf numFmtId="170" fontId="39" fillId="0" borderId="14" xfId="0" applyNumberFormat="1" applyFont="1" applyBorder="1" applyAlignment="1">
      <alignment horizontal="right" vertical="top" wrapText="1"/>
    </xf>
    <xf numFmtId="164" fontId="36" fillId="0" borderId="11" xfId="5" applyNumberFormat="1" applyFont="1" applyBorder="1" applyAlignment="1">
      <alignment horizontal="right"/>
    </xf>
    <xf numFmtId="0" fontId="40" fillId="0" borderId="14" xfId="0" applyFont="1" applyBorder="1" applyAlignment="1">
      <alignment horizontal="left" vertical="top" wrapText="1"/>
    </xf>
    <xf numFmtId="0" fontId="41" fillId="0" borderId="14" xfId="0" applyFont="1" applyBorder="1" applyAlignment="1">
      <alignment horizontal="left" vertical="top" wrapText="1"/>
    </xf>
    <xf numFmtId="164" fontId="41" fillId="21" borderId="14" xfId="0" applyNumberFormat="1" applyFont="1" applyFill="1" applyBorder="1" applyAlignment="1">
      <alignment horizontal="right" vertical="center" wrapText="1"/>
    </xf>
    <xf numFmtId="0" fontId="42" fillId="22" borderId="19" xfId="0" applyFont="1" applyFill="1" applyBorder="1" applyAlignment="1">
      <alignment horizontal="center" vertical="center" wrapText="1"/>
    </xf>
    <xf numFmtId="0" fontId="42" fillId="22" borderId="20" xfId="0" applyFont="1" applyFill="1" applyBorder="1" applyAlignment="1">
      <alignment horizontal="center" vertical="center" wrapText="1"/>
    </xf>
    <xf numFmtId="0" fontId="42" fillId="22" borderId="21" xfId="0" applyFont="1" applyFill="1" applyBorder="1" applyAlignment="1">
      <alignment horizontal="center" vertical="center" wrapText="1"/>
    </xf>
    <xf numFmtId="0" fontId="43" fillId="16" borderId="14" xfId="0" applyFont="1" applyFill="1" applyBorder="1" applyAlignment="1">
      <alignment horizontal="center" vertical="center" wrapText="1"/>
    </xf>
    <xf numFmtId="0" fontId="44" fillId="18" borderId="14" xfId="0" applyFont="1" applyFill="1" applyBorder="1" applyAlignment="1">
      <alignment horizontal="left" vertical="center" wrapText="1"/>
    </xf>
    <xf numFmtId="0" fontId="36" fillId="0" borderId="11" xfId="5" applyFont="1" applyBorder="1"/>
    <xf numFmtId="0" fontId="3" fillId="19" borderId="11" xfId="5" applyFill="1" applyBorder="1"/>
  </cellXfs>
  <cellStyles count="11">
    <cellStyle name="Hyperlink" xfId="10" builtinId="8"/>
    <cellStyle name="Normal" xfId="0" builtinId="0"/>
    <cellStyle name="Normal 2" xfId="1" xr:uid="{00000000-0005-0000-0000-000001000000}"/>
    <cellStyle name="Normal 2 2" xfId="2" xr:uid="{00000000-0005-0000-0000-000002000000}"/>
    <cellStyle name="Normal 2 3" xfId="3" xr:uid="{00000000-0005-0000-0000-000003000000}"/>
    <cellStyle name="Normal 3" xfId="4" xr:uid="{00000000-0005-0000-0000-000004000000}"/>
    <cellStyle name="Normal 3 2" xfId="5" xr:uid="{00000000-0005-0000-0000-000005000000}"/>
    <cellStyle name="Normal 4" xfId="6" xr:uid="{00000000-0005-0000-0000-000006000000}"/>
    <cellStyle name="Normal 5" xfId="7" xr:uid="{00000000-0005-0000-0000-000007000000}"/>
    <cellStyle name="Normal_08N-26E-22 SECTION PLAT" xfId="8" xr:uid="{00000000-0005-0000-0000-000008000000}"/>
    <cellStyle name="Percent 3" xfId="9" xr:uid="{00000000-0005-0000-0000-000009000000}"/>
  </cellStyles>
  <dxfs count="0"/>
  <tableStyles count="0" defaultTableStyle="TableStyleMedium2" defaultPivotStyle="PivotStyleLight16"/>
  <colors>
    <indexedColors>
      <rgbColor rgb="FF000000"/>
      <rgbColor rgb="FFFFFFFF"/>
      <rgbColor rgb="FFFF0000"/>
      <rgbColor rgb="FF00FF00"/>
      <rgbColor rgb="FF0000FF"/>
      <rgbColor rgb="FFFDE68A"/>
      <rgbColor rgb="FFFF00FF"/>
      <rgbColor rgb="FFFFF2CC"/>
      <rgbColor rgb="FF800000"/>
      <rgbColor rgb="FF008000"/>
      <rgbColor rgb="FF000080"/>
      <rgbColor rgb="FFE2F0D9"/>
      <rgbColor rgb="FF800080"/>
      <rgbColor rgb="FF008080"/>
      <rgbColor rgb="FFC0C0C0"/>
      <rgbColor rgb="FFA6A6A6"/>
      <rgbColor rgb="FF8FAADC"/>
      <rgbColor rgb="FF993366"/>
      <rgbColor rgb="FFFEF3C7"/>
      <rgbColor rgb="FFCCFFFF"/>
      <rgbColor rgb="FF660066"/>
      <rgbColor rgb="FFFF66CC"/>
      <rgbColor rgb="FF0563C1"/>
      <rgbColor rgb="FFD8D8D8"/>
      <rgbColor rgb="FF000080"/>
      <rgbColor rgb="FFFF00FF"/>
      <rgbColor rgb="FFFFE699"/>
      <rgbColor rgb="FF00FFFF"/>
      <rgbColor rgb="FF800080"/>
      <rgbColor rgb="FF800000"/>
      <rgbColor rgb="FF008080"/>
      <rgbColor rgb="FF0000FF"/>
      <rgbColor rgb="FF00CCFF"/>
      <rgbColor rgb="FFD9EAF7"/>
      <rgbColor rgb="FFD1FAE5"/>
      <rgbColor rgb="FFFFFF99"/>
      <rgbColor rgb="FF99CCFF"/>
      <rgbColor rgb="FFFECACA"/>
      <rgbColor rgb="FFBFBFBF"/>
      <rgbColor rgb="FFFFCC99"/>
      <rgbColor rgb="FF3366FF"/>
      <rgbColor rgb="FFDAE3F3"/>
      <rgbColor rgb="FFD9D9D9"/>
      <rgbColor rgb="FFFFC000"/>
      <rgbColor rgb="FFF8CBAD"/>
      <rgbColor rgb="FFFCE4D6"/>
      <rgbColor rgb="FFCC66FF"/>
      <rgbColor rgb="FF969696"/>
      <rgbColor rgb="FF003366"/>
      <rgbColor rgb="FFE9D5FF"/>
      <rgbColor rgb="FF003300"/>
      <rgbColor rgb="FF333300"/>
      <rgbColor rgb="FF993300"/>
      <rgbColor rgb="FF993366"/>
      <rgbColor rgb="FF305496"/>
      <rgbColor rgb="FF1F4E78"/>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9525</xdr:colOff>
      <xdr:row>0</xdr:row>
      <xdr:rowOff>0</xdr:rowOff>
    </xdr:from>
    <xdr:to>
      <xdr:col>22</xdr:col>
      <xdr:colOff>70058</xdr:colOff>
      <xdr:row>2</xdr:row>
      <xdr:rowOff>153721</xdr:rowOff>
    </xdr:to>
    <xdr:pic>
      <xdr:nvPicPr>
        <xdr:cNvPr id="2" name="Graphic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95450" y="0"/>
          <a:ext cx="2537033" cy="1591996"/>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C/C/Users/emorris/Downloads/OR%2034-28N-08W%20%20Grant%20Co.%20%20(blm%201-13-201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d.docs.live.net/C/C/Users/emorris/Downloads/OR%2013-05N-08ECM%20Cimarron%20Co%20OK%20(Texhoma%20Pros)%204-12-2013%20BMason(2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ct Plat Map "/>
      <sheetName val="Unit Leasehold Summary"/>
      <sheetName val="Well Notes, etc."/>
      <sheetName val="Open Ac. Summary"/>
      <sheetName val="Tr.1- NE4"/>
      <sheetName val="Tr.2- NW4 "/>
      <sheetName val="Tr.3- SW4"/>
      <sheetName val="Tr.4- SE4"/>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l Plat Map "/>
      <sheetName val="Tract Plat Map"/>
      <sheetName val="Unit Leasehold Summary"/>
      <sheetName val="Well Notes, etc."/>
      <sheetName val="Open Acreage Summary"/>
      <sheetName val="Tr.1- NE4"/>
      <sheetName val="Tr.2- NW4"/>
      <sheetName val="Tr.3- SW4"/>
      <sheetName val="Tr.4- SE4"/>
      <sheetName val="Leasehold Schedule A"/>
      <sheetName val="Leasehold Schedule B"/>
      <sheetName val="Leasehold Schedule C"/>
      <sheetName val="Leasehold Schedule D"/>
      <sheetName val="Addres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364BE4E-E78A-449F-B1BD-A975E42AC819}">
  <we:reference id="wa200009404" version="1.0.0.8" store="en-US" storeType="OMEX"/>
  <we:alternateReferences>
    <we:reference id="WA200009404" version="1.0.0.8" store="" storeType="OMEX"/>
  </we:alternateReferences>
  <we:properties>
    <we:property name="claude.fileId" value="&quot;ecdab193-8882-4df4-9482-7d409fb6b71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6" Type="http://schemas.openxmlformats.org/officeDocument/2006/relationships/hyperlink" Target="https://okcountyrecords.com/results/book=1580:page=115:site=beckham/page-1" TargetMode="External"/><Relationship Id="rId21" Type="http://schemas.openxmlformats.org/officeDocument/2006/relationships/hyperlink" Target="https://okcountyrecords.com/results/book=1574:page=272:site=beckham/page-1" TargetMode="External"/><Relationship Id="rId42" Type="http://schemas.openxmlformats.org/officeDocument/2006/relationships/hyperlink" Target="https://okcountyrecords.com/results/book=1592:page=47:site=beckham/page-1" TargetMode="External"/><Relationship Id="rId47" Type="http://schemas.openxmlformats.org/officeDocument/2006/relationships/hyperlink" Target="https://okcountyrecords.com/results/book=1595:page=300:site=beckham/page-1" TargetMode="External"/><Relationship Id="rId63" Type="http://schemas.openxmlformats.org/officeDocument/2006/relationships/hyperlink" Target="https://okcountyrecords.com/results/book=1641:page=327:site=beckham/page-1" TargetMode="External"/><Relationship Id="rId68" Type="http://schemas.openxmlformats.org/officeDocument/2006/relationships/hyperlink" Target="https://okcountyrecords.com/results/book=1687:page=385:site=beckham/page-1" TargetMode="External"/><Relationship Id="rId84" Type="http://schemas.openxmlformats.org/officeDocument/2006/relationships/hyperlink" Target="https://okcountyrecords.com/results/book=1717:page=460:site=beckham/page-1" TargetMode="External"/><Relationship Id="rId89" Type="http://schemas.openxmlformats.org/officeDocument/2006/relationships/hyperlink" Target="https://okcountyrecords.com/results/book=1717:page=481:site=beckham/page-1" TargetMode="External"/><Relationship Id="rId112" Type="http://schemas.openxmlformats.org/officeDocument/2006/relationships/hyperlink" Target="https://okcountyrecords.com/results/book=2307:page=894:site=beckham/page-1" TargetMode="External"/><Relationship Id="rId2" Type="http://schemas.openxmlformats.org/officeDocument/2006/relationships/hyperlink" Target="https://okcountyrecords.com/results/book=1189:page=20:site=beckham/page-1" TargetMode="External"/><Relationship Id="rId16" Type="http://schemas.openxmlformats.org/officeDocument/2006/relationships/hyperlink" Target="https://okcountyrecords.com/results/book=1432:page=64:site=beckham/page-1" TargetMode="External"/><Relationship Id="rId29" Type="http://schemas.openxmlformats.org/officeDocument/2006/relationships/hyperlink" Target="https://okcountyrecords.com/results/book=1580:page=87:site=beckham/page-1" TargetMode="External"/><Relationship Id="rId107" Type="http://schemas.openxmlformats.org/officeDocument/2006/relationships/hyperlink" Target="https://okcountyrecords.com/results/book=2400:page=551:site=beckham/page-1" TargetMode="External"/><Relationship Id="rId11" Type="http://schemas.openxmlformats.org/officeDocument/2006/relationships/hyperlink" Target="https://okcountyrecords.com/results/book=1432:page=44:site=beckham/page-1" TargetMode="External"/><Relationship Id="rId24" Type="http://schemas.openxmlformats.org/officeDocument/2006/relationships/hyperlink" Target="https://okcountyrecords.com/results/book=1574:page=284:site=beckham/page-1" TargetMode="External"/><Relationship Id="rId32" Type="http://schemas.openxmlformats.org/officeDocument/2006/relationships/hyperlink" Target="https://okcountyrecords.com/results/book=1580:page=99:site=beckham/page-1" TargetMode="External"/><Relationship Id="rId37" Type="http://schemas.openxmlformats.org/officeDocument/2006/relationships/hyperlink" Target="https://okcountyrecords.com/results/book=1590:page=497:site=beckham/page-1" TargetMode="External"/><Relationship Id="rId40" Type="http://schemas.openxmlformats.org/officeDocument/2006/relationships/hyperlink" Target="https://okcountyrecords.com/results/book=1597:page=427:site=beckham/page-1" TargetMode="External"/><Relationship Id="rId45" Type="http://schemas.openxmlformats.org/officeDocument/2006/relationships/hyperlink" Target="https://okcountyrecords.com/results/book=1592:page=350:site=beckham/page-1" TargetMode="External"/><Relationship Id="rId53" Type="http://schemas.openxmlformats.org/officeDocument/2006/relationships/hyperlink" Target="https://okcountyrecords.com/results/book=1636:page=188:site=beckham/page-1" TargetMode="External"/><Relationship Id="rId58" Type="http://schemas.openxmlformats.org/officeDocument/2006/relationships/hyperlink" Target="https://okcountyrecords.com/results/book=1636:page=190:site=beckham/page-1" TargetMode="External"/><Relationship Id="rId66" Type="http://schemas.openxmlformats.org/officeDocument/2006/relationships/hyperlink" Target="https://okcountyrecords.com/results/book=1641:page=337:site=beckham/page-1" TargetMode="External"/><Relationship Id="rId74" Type="http://schemas.openxmlformats.org/officeDocument/2006/relationships/hyperlink" Target="https://okcountyrecords.com/results/book=1687:page=160:site=beckham/page-1" TargetMode="External"/><Relationship Id="rId79" Type="http://schemas.openxmlformats.org/officeDocument/2006/relationships/hyperlink" Target="https://okcountyrecords.com/results/book=1682:page=432:site=beckham/page-1" TargetMode="External"/><Relationship Id="rId87" Type="http://schemas.openxmlformats.org/officeDocument/2006/relationships/hyperlink" Target="https://okcountyrecords.com/results/book=1717:page=473:site=beckham/page-1" TargetMode="External"/><Relationship Id="rId102" Type="http://schemas.openxmlformats.org/officeDocument/2006/relationships/hyperlink" Target="https://okcountyrecords.com/results/book=2340:page=218:site=beckham/page-1" TargetMode="External"/><Relationship Id="rId110" Type="http://schemas.openxmlformats.org/officeDocument/2006/relationships/hyperlink" Target="https://okcountyrecords.com/results/book=2266:page=194:site=beckham/page-1" TargetMode="External"/><Relationship Id="rId5" Type="http://schemas.openxmlformats.org/officeDocument/2006/relationships/hyperlink" Target="https://okcountyrecords.com/results/book=1432:page=28:site=beckham/page-1" TargetMode="External"/><Relationship Id="rId61" Type="http://schemas.openxmlformats.org/officeDocument/2006/relationships/hyperlink" Target="https://okcountyrecords.com/results/book=1641:page=318:site=beckham/page-1" TargetMode="External"/><Relationship Id="rId82" Type="http://schemas.openxmlformats.org/officeDocument/2006/relationships/hyperlink" Target="https://okcountyrecords.com/results/book=1704:page=525:site=beckham/page-1" TargetMode="External"/><Relationship Id="rId90" Type="http://schemas.openxmlformats.org/officeDocument/2006/relationships/hyperlink" Target="https://okcountyrecords.com/results/book=1717:page=485:site=beckham/page-1" TargetMode="External"/><Relationship Id="rId95" Type="http://schemas.openxmlformats.org/officeDocument/2006/relationships/hyperlink" Target="https://okcountyrecords.com/results/book=1717:page=505:site=beckham/page-1" TargetMode="External"/><Relationship Id="rId19" Type="http://schemas.openxmlformats.org/officeDocument/2006/relationships/hyperlink" Target="https://okcountyrecords.com/results/book=1504:page=11:site=beckham/page-1" TargetMode="External"/><Relationship Id="rId14" Type="http://schemas.openxmlformats.org/officeDocument/2006/relationships/hyperlink" Target="https://okcountyrecords.com/results/book=1432:page=56:site=beckham/page-1" TargetMode="External"/><Relationship Id="rId22" Type="http://schemas.openxmlformats.org/officeDocument/2006/relationships/hyperlink" Target="https://okcountyrecords.com/results/book=1574:page=276:site=beckham/page-1" TargetMode="External"/><Relationship Id="rId27" Type="http://schemas.openxmlformats.org/officeDocument/2006/relationships/hyperlink" Target="https://okcountyrecords.com/results/book=1580:page=79:site=beckham/page-1" TargetMode="External"/><Relationship Id="rId30" Type="http://schemas.openxmlformats.org/officeDocument/2006/relationships/hyperlink" Target="https://okcountyrecords.com/results/book=1580:page=91:site=beckham/page-1" TargetMode="External"/><Relationship Id="rId35" Type="http://schemas.openxmlformats.org/officeDocument/2006/relationships/hyperlink" Target="https://okcountyrecords.com/results/book=1580:page=103:site=beckham/page-1" TargetMode="External"/><Relationship Id="rId43" Type="http://schemas.openxmlformats.org/officeDocument/2006/relationships/hyperlink" Target="https://okcountyrecords.com/results/book=1592:page=52:site=beckham/page-1" TargetMode="External"/><Relationship Id="rId48" Type="http://schemas.openxmlformats.org/officeDocument/2006/relationships/hyperlink" Target="https://okcountyrecords.com/results/book=1599:page=227:site=beckham/page-1" TargetMode="External"/><Relationship Id="rId56" Type="http://schemas.openxmlformats.org/officeDocument/2006/relationships/hyperlink" Target="https://okcountyrecords.com/results/book=1626:page=104:site=beckham/page-1" TargetMode="External"/><Relationship Id="rId64" Type="http://schemas.openxmlformats.org/officeDocument/2006/relationships/hyperlink" Target="https://okcountyrecords.com/results/book=1641:page=330:site=beckham/page-1" TargetMode="External"/><Relationship Id="rId69" Type="http://schemas.openxmlformats.org/officeDocument/2006/relationships/hyperlink" Target="https://okcountyrecords.com/results/book=1641:page=339:site=beckham/page-1" TargetMode="External"/><Relationship Id="rId77" Type="http://schemas.openxmlformats.org/officeDocument/2006/relationships/hyperlink" Target="https://okcountyrecords.com/results/book=1672:page=141:site=beckham/page-1" TargetMode="External"/><Relationship Id="rId100" Type="http://schemas.openxmlformats.org/officeDocument/2006/relationships/hyperlink" Target="https://okcountyrecords.com/results/book=1746:page=509:site=beckham/page-1" TargetMode="External"/><Relationship Id="rId105" Type="http://schemas.openxmlformats.org/officeDocument/2006/relationships/hyperlink" Target="https://okcountyrecords.com/results/book=2389:page=581:site=beckham/page-1" TargetMode="External"/><Relationship Id="rId113" Type="http://schemas.openxmlformats.org/officeDocument/2006/relationships/hyperlink" Target="https://okcountyrecords.com/results/book=2340:page=403:site=beckham/page-1" TargetMode="External"/><Relationship Id="rId8" Type="http://schemas.openxmlformats.org/officeDocument/2006/relationships/hyperlink" Target="https://okcountyrecords.com/results/book=1433:page=213:site=beckham/page-1" TargetMode="External"/><Relationship Id="rId51" Type="http://schemas.openxmlformats.org/officeDocument/2006/relationships/hyperlink" Target="https://okcountyrecords.com/results/book=1634:page=253:site=beckham/page-1" TargetMode="External"/><Relationship Id="rId72" Type="http://schemas.openxmlformats.org/officeDocument/2006/relationships/hyperlink" Target="https://okcountyrecords.com/results/book=1672:page=137:site=beckham/page-1" TargetMode="External"/><Relationship Id="rId80" Type="http://schemas.openxmlformats.org/officeDocument/2006/relationships/hyperlink" Target="https://okcountyrecords.com/results/book=1688:page=389:site=beckham/page-1" TargetMode="External"/><Relationship Id="rId85" Type="http://schemas.openxmlformats.org/officeDocument/2006/relationships/hyperlink" Target="https://okcountyrecords.com/results/book=1717:page=464:site=beckham/page-1" TargetMode="External"/><Relationship Id="rId93" Type="http://schemas.openxmlformats.org/officeDocument/2006/relationships/hyperlink" Target="https://okcountyrecords.com/results/book=1717:page=497:site=beckham/page-1" TargetMode="External"/><Relationship Id="rId98" Type="http://schemas.openxmlformats.org/officeDocument/2006/relationships/hyperlink" Target="https://okcountyrecords.com/results/book=1746:page=498:site=beckham/page-1" TargetMode="External"/><Relationship Id="rId3" Type="http://schemas.openxmlformats.org/officeDocument/2006/relationships/hyperlink" Target="https://okcountyrecords.com/results/book=1428:page=128:site=beckham/page-1" TargetMode="External"/><Relationship Id="rId12" Type="http://schemas.openxmlformats.org/officeDocument/2006/relationships/hyperlink" Target="https://okcountyrecords.com/results/book=1432:page=48:site=beckham/page-1" TargetMode="External"/><Relationship Id="rId17" Type="http://schemas.openxmlformats.org/officeDocument/2006/relationships/hyperlink" Target="https://okcountyrecords.com/results/book=1432:page=68:site=beckham/page-1" TargetMode="External"/><Relationship Id="rId25" Type="http://schemas.openxmlformats.org/officeDocument/2006/relationships/hyperlink" Target="https://okcountyrecords.com/results/book=1580:page=111:site=beckham/page-1" TargetMode="External"/><Relationship Id="rId33" Type="http://schemas.openxmlformats.org/officeDocument/2006/relationships/hyperlink" Target="https://okcountyrecords.com/results/book=1576:page=302:site=beckham/page-1" TargetMode="External"/><Relationship Id="rId38" Type="http://schemas.openxmlformats.org/officeDocument/2006/relationships/hyperlink" Target="https://okcountyrecords.com/results/book=1597:page=427:site=beckham/page-1" TargetMode="External"/><Relationship Id="rId46" Type="http://schemas.openxmlformats.org/officeDocument/2006/relationships/hyperlink" Target="https://okcountyrecords.com/results/book=1588:page=245:site=beckham/page-1" TargetMode="External"/><Relationship Id="rId59" Type="http://schemas.openxmlformats.org/officeDocument/2006/relationships/hyperlink" Target="https://okcountyrecords.com/results/book=1638:page=150:site=beckham/page-1" TargetMode="External"/><Relationship Id="rId67" Type="http://schemas.openxmlformats.org/officeDocument/2006/relationships/hyperlink" Target="https://okcountyrecords.com/results/book=1682:page=429:site=beckham/page-1" TargetMode="External"/><Relationship Id="rId103" Type="http://schemas.openxmlformats.org/officeDocument/2006/relationships/hyperlink" Target="https://okcountyrecords.com/results/book=2477:page=830:site=beckham/page-1" TargetMode="External"/><Relationship Id="rId108" Type="http://schemas.openxmlformats.org/officeDocument/2006/relationships/hyperlink" Target="https://okcountyrecords.com/results/book=2020:page=175:site=beckham/page-1" TargetMode="External"/><Relationship Id="rId20" Type="http://schemas.openxmlformats.org/officeDocument/2006/relationships/hyperlink" Target="https://okcountyrecords.com/results/book=1505:page=31:site=beckham/page-1" TargetMode="External"/><Relationship Id="rId41" Type="http://schemas.openxmlformats.org/officeDocument/2006/relationships/hyperlink" Target="https://okcountyrecords.com/results/book=1592:page=42:site=beckham/page-1" TargetMode="External"/><Relationship Id="rId54" Type="http://schemas.openxmlformats.org/officeDocument/2006/relationships/hyperlink" Target="https://okcountyrecords.com/results/book=1625:page=301:site=beckham/page-1" TargetMode="External"/><Relationship Id="rId62" Type="http://schemas.openxmlformats.org/officeDocument/2006/relationships/hyperlink" Target="https://okcountyrecords.com/results/book=1641:page=324:site=beckham/page-1" TargetMode="External"/><Relationship Id="rId70" Type="http://schemas.openxmlformats.org/officeDocument/2006/relationships/hyperlink" Target="https://okcountyrecords.com/results/book=1672:page=130:site=beckham/page-1" TargetMode="External"/><Relationship Id="rId75" Type="http://schemas.openxmlformats.org/officeDocument/2006/relationships/hyperlink" Target="https://okcountyrecords.com/results/book=1687:page=165:site=beckham/page-1" TargetMode="External"/><Relationship Id="rId83" Type="http://schemas.openxmlformats.org/officeDocument/2006/relationships/hyperlink" Target="https://okcountyrecords.com/results/book=1717:page=456:site=beckham/page-1" TargetMode="External"/><Relationship Id="rId88" Type="http://schemas.openxmlformats.org/officeDocument/2006/relationships/hyperlink" Target="https://okcountyrecords.com/results/book=1717:page=477:site=beckham/page-1" TargetMode="External"/><Relationship Id="rId91" Type="http://schemas.openxmlformats.org/officeDocument/2006/relationships/hyperlink" Target="https://okcountyrecords.com/results/book=1717:page=489:site=beckham/page-1" TargetMode="External"/><Relationship Id="rId96" Type="http://schemas.openxmlformats.org/officeDocument/2006/relationships/hyperlink" Target="https://okcountyrecords.com/results/book=1717:page=509:site=beckham/page-1" TargetMode="External"/><Relationship Id="rId111" Type="http://schemas.openxmlformats.org/officeDocument/2006/relationships/hyperlink" Target="https://okcountyrecords.com/results/book=2308:page=123:site=beckham/page-1" TargetMode="External"/><Relationship Id="rId1" Type="http://schemas.openxmlformats.org/officeDocument/2006/relationships/hyperlink" Target="https://okcountyrecords.com/results/book=1168:page=324:site=beckham/page-1" TargetMode="External"/><Relationship Id="rId6" Type="http://schemas.openxmlformats.org/officeDocument/2006/relationships/hyperlink" Target="https://okcountyrecords.com/results/book=1432:page=32:site=beckham/page-1" TargetMode="External"/><Relationship Id="rId15" Type="http://schemas.openxmlformats.org/officeDocument/2006/relationships/hyperlink" Target="https://okcountyrecords.com/results/book=1432:page=60:site=beckham/page-1" TargetMode="External"/><Relationship Id="rId23" Type="http://schemas.openxmlformats.org/officeDocument/2006/relationships/hyperlink" Target="https://okcountyrecords.com/results/book=1574:page=280:site=beckham/page-1" TargetMode="External"/><Relationship Id="rId28" Type="http://schemas.openxmlformats.org/officeDocument/2006/relationships/hyperlink" Target="https://okcountyrecords.com/results/book=1580:page=83:site=beckham/page-1" TargetMode="External"/><Relationship Id="rId36" Type="http://schemas.openxmlformats.org/officeDocument/2006/relationships/hyperlink" Target="https://okcountyrecords.com/results/book=1580:page=107:site=beckham/page-1" TargetMode="External"/><Relationship Id="rId49" Type="http://schemas.openxmlformats.org/officeDocument/2006/relationships/hyperlink" Target="https://okcountyrecords.com/results/book=1605:page=598:site=beckham/page-1" TargetMode="External"/><Relationship Id="rId57" Type="http://schemas.openxmlformats.org/officeDocument/2006/relationships/hyperlink" Target="https://okcountyrecords.com/results/book=1634:page=250:site=beckham/page-1" TargetMode="External"/><Relationship Id="rId106" Type="http://schemas.openxmlformats.org/officeDocument/2006/relationships/hyperlink" Target="https://okcountyrecords.com/results/book=2393:page=1:site=beckham/page-1" TargetMode="External"/><Relationship Id="rId114" Type="http://schemas.openxmlformats.org/officeDocument/2006/relationships/hyperlink" Target="https://okcountyrecords.com/results/book=2340:page=490:site=beckham/page-1" TargetMode="External"/><Relationship Id="rId10" Type="http://schemas.openxmlformats.org/officeDocument/2006/relationships/hyperlink" Target="https://okcountyrecords.com/results/book=1432:page=40:site=beckham/page-1" TargetMode="External"/><Relationship Id="rId31" Type="http://schemas.openxmlformats.org/officeDocument/2006/relationships/hyperlink" Target="https://okcountyrecords.com/results/book=1580:page=95:site=beckham/page-1" TargetMode="External"/><Relationship Id="rId44" Type="http://schemas.openxmlformats.org/officeDocument/2006/relationships/hyperlink" Target="https://okcountyrecords.com/results/book=1592:page=347:site=beckham/page-1" TargetMode="External"/><Relationship Id="rId52" Type="http://schemas.openxmlformats.org/officeDocument/2006/relationships/hyperlink" Target="https://okcountyrecords.com/results/book=1636:page=188:site=beckham/page-1" TargetMode="External"/><Relationship Id="rId60" Type="http://schemas.openxmlformats.org/officeDocument/2006/relationships/hyperlink" Target="https://okcountyrecords.com/results/book=1638:page=153:site=beckham/page-1" TargetMode="External"/><Relationship Id="rId65" Type="http://schemas.openxmlformats.org/officeDocument/2006/relationships/hyperlink" Target="https://okcountyrecords.com/results/book=1641:page=332:site=beckham/page-1" TargetMode="External"/><Relationship Id="rId73" Type="http://schemas.openxmlformats.org/officeDocument/2006/relationships/hyperlink" Target="https://okcountyrecords.com/results/book=1689:page=339:site=beckham/page-1" TargetMode="External"/><Relationship Id="rId78" Type="http://schemas.openxmlformats.org/officeDocument/2006/relationships/hyperlink" Target="https://okcountyrecords.com/results/book=1692:page=565:site=beckham/page-1" TargetMode="External"/><Relationship Id="rId81" Type="http://schemas.openxmlformats.org/officeDocument/2006/relationships/hyperlink" Target="https://okcountyrecords.com/results/book=1696:page=166:site=beckham/page-1" TargetMode="External"/><Relationship Id="rId86" Type="http://schemas.openxmlformats.org/officeDocument/2006/relationships/hyperlink" Target="https://okcountyrecords.com/results/book=1717:page=469:site=beckham/page-1" TargetMode="External"/><Relationship Id="rId94" Type="http://schemas.openxmlformats.org/officeDocument/2006/relationships/hyperlink" Target="https://okcountyrecords.com/results/book=1717:page=501:site=beckham/page-1" TargetMode="External"/><Relationship Id="rId99" Type="http://schemas.openxmlformats.org/officeDocument/2006/relationships/hyperlink" Target="https://okcountyrecords.com/results/book=1746:page=504:site=beckham/page-1" TargetMode="External"/><Relationship Id="rId101" Type="http://schemas.openxmlformats.org/officeDocument/2006/relationships/hyperlink" Target="https://okcountyrecords.com/results/book=1752:page=215:site=beckham/page-1" TargetMode="External"/><Relationship Id="rId4" Type="http://schemas.openxmlformats.org/officeDocument/2006/relationships/hyperlink" Target="https://okcountyrecords.com/results/book=1432:page=24:site=beckham/page-1" TargetMode="External"/><Relationship Id="rId9" Type="http://schemas.openxmlformats.org/officeDocument/2006/relationships/hyperlink" Target="https://okcountyrecords.com/results/book=1432:page=20:site=beckham/page-1" TargetMode="External"/><Relationship Id="rId13" Type="http://schemas.openxmlformats.org/officeDocument/2006/relationships/hyperlink" Target="https://okcountyrecords.com/results/book=1432:page=52:site=beckham/page-1" TargetMode="External"/><Relationship Id="rId18" Type="http://schemas.openxmlformats.org/officeDocument/2006/relationships/hyperlink" Target="https://okcountyrecords.com/results/book=1435:page=159:site=beckham/page-1" TargetMode="External"/><Relationship Id="rId39" Type="http://schemas.openxmlformats.org/officeDocument/2006/relationships/hyperlink" Target="https://okcountyrecords.com/results/book=1587:page=129:site=beckham/page-1" TargetMode="External"/><Relationship Id="rId109" Type="http://schemas.openxmlformats.org/officeDocument/2006/relationships/hyperlink" Target="https://okcountyrecords.com/results/book=2140:page=624:site=beckham/page-1" TargetMode="External"/><Relationship Id="rId34" Type="http://schemas.openxmlformats.org/officeDocument/2006/relationships/hyperlink" Target="https://okcountyrecords.com/results/book=1577:page=102:site=beckham/page-1" TargetMode="External"/><Relationship Id="rId50" Type="http://schemas.openxmlformats.org/officeDocument/2006/relationships/hyperlink" Target="https://okcountyrecords.com/results/book=1608:page=63:site=beckham/page-1" TargetMode="External"/><Relationship Id="rId55" Type="http://schemas.openxmlformats.org/officeDocument/2006/relationships/hyperlink" Target="https://okcountyrecords.com/results/book=1626:page=107:site=beckham/page-1" TargetMode="External"/><Relationship Id="rId76" Type="http://schemas.openxmlformats.org/officeDocument/2006/relationships/hyperlink" Target="https://okcountyrecords.com/results/book=1687:page=170:site=beckham/page-1" TargetMode="External"/><Relationship Id="rId97" Type="http://schemas.openxmlformats.org/officeDocument/2006/relationships/hyperlink" Target="https://okcountyrecords.com/results/book=1719:page=304:site=beckham/page-1" TargetMode="External"/><Relationship Id="rId104" Type="http://schemas.openxmlformats.org/officeDocument/2006/relationships/hyperlink" Target="https://okcountyrecords.com/results/book=2395:page=415:site=beckham/page-1" TargetMode="External"/><Relationship Id="rId7" Type="http://schemas.openxmlformats.org/officeDocument/2006/relationships/hyperlink" Target="https://okcountyrecords.com/results/book=1432:page=36:site=beckham/page-1" TargetMode="External"/><Relationship Id="rId71" Type="http://schemas.openxmlformats.org/officeDocument/2006/relationships/hyperlink" Target="https://okcountyrecords.com/results/book=1672:page=134:site=beckham/page-1" TargetMode="External"/><Relationship Id="rId92" Type="http://schemas.openxmlformats.org/officeDocument/2006/relationships/hyperlink" Target="https://okcountyrecords.com/results/book=1717:page=493:site=beckham/page-1"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okcountyrecords.com/results/book=1717:page=460:site=beckham/page-1" TargetMode="External"/><Relationship Id="rId18" Type="http://schemas.openxmlformats.org/officeDocument/2006/relationships/hyperlink" Target="https://okcountyrecords.com/results/book=1672:page=141:site=beckham/page-1" TargetMode="External"/><Relationship Id="rId26" Type="http://schemas.openxmlformats.org/officeDocument/2006/relationships/hyperlink" Target="https://okcountyrecords.com/results/book=1592:page=52:site=beckham/page-1" TargetMode="External"/><Relationship Id="rId39" Type="http://schemas.openxmlformats.org/officeDocument/2006/relationships/hyperlink" Target="https://okcountyrecords.com/results/book=1580:page=83:site=beckham/page-1" TargetMode="External"/><Relationship Id="rId21" Type="http://schemas.openxmlformats.org/officeDocument/2006/relationships/hyperlink" Target="https://okcountyrecords.com/results/book=1672:page=130:site=beckham/page-1" TargetMode="External"/><Relationship Id="rId34" Type="http://schemas.openxmlformats.org/officeDocument/2006/relationships/hyperlink" Target="https://okcountyrecords.com/results/book=1580:page=103:site=beckham/page-1" TargetMode="External"/><Relationship Id="rId42" Type="http://schemas.openxmlformats.org/officeDocument/2006/relationships/hyperlink" Target="https://okcountyrecords.com/results/book=1574:page=280:site=beckham/page-1" TargetMode="External"/><Relationship Id="rId47" Type="http://schemas.openxmlformats.org/officeDocument/2006/relationships/hyperlink" Target="https://okcountyrecords.com/results/book=1432:page=68:site=beckham/page-1" TargetMode="External"/><Relationship Id="rId50" Type="http://schemas.openxmlformats.org/officeDocument/2006/relationships/hyperlink" Target="https://okcountyrecords.com/results/book=1432:page=56:site=beckham/page-1" TargetMode="External"/><Relationship Id="rId55" Type="http://schemas.openxmlformats.org/officeDocument/2006/relationships/hyperlink" Target="https://okcountyrecords.com/results/book=1432:page=36:site=beckham/page-1" TargetMode="External"/><Relationship Id="rId63" Type="http://schemas.openxmlformats.org/officeDocument/2006/relationships/hyperlink" Target="https://okcountyrecords.com/results/book=1387:page=232:site=beckham/page-1" TargetMode="External"/><Relationship Id="rId7" Type="http://schemas.openxmlformats.org/officeDocument/2006/relationships/hyperlink" Target="https://okcountyrecords.com/results/book=1717:page=485:site=beckham/page-1" TargetMode="External"/><Relationship Id="rId2" Type="http://schemas.openxmlformats.org/officeDocument/2006/relationships/hyperlink" Target="https://okcountyrecords.com/results/book=1717:page=505:site=beckham/page-1" TargetMode="External"/><Relationship Id="rId16" Type="http://schemas.openxmlformats.org/officeDocument/2006/relationships/hyperlink" Target="https://okcountyrecords.com/results/book=1687:page=165:site=beckham/page-1" TargetMode="External"/><Relationship Id="rId20" Type="http://schemas.openxmlformats.org/officeDocument/2006/relationships/hyperlink" Target="https://okcountyrecords.com/results/book=1672:page=134:site=beckham/page-1" TargetMode="External"/><Relationship Id="rId29" Type="http://schemas.openxmlformats.org/officeDocument/2006/relationships/hyperlink" Target="https://okcountyrecords.com/results/book=1588:page=245:site=beckham/page-1" TargetMode="External"/><Relationship Id="rId41" Type="http://schemas.openxmlformats.org/officeDocument/2006/relationships/hyperlink" Target="https://okcountyrecords.com/results/book=1574:page=284:site=beckham/page-1" TargetMode="External"/><Relationship Id="rId54" Type="http://schemas.openxmlformats.org/officeDocument/2006/relationships/hyperlink" Target="https://okcountyrecords.com/results/book=1432:page=40:site=beckham/page-1" TargetMode="External"/><Relationship Id="rId62" Type="http://schemas.openxmlformats.org/officeDocument/2006/relationships/hyperlink" Target="https://okcountyrecords.com/results/book=1419:page=238:site=beckham/page-1" TargetMode="External"/><Relationship Id="rId1" Type="http://schemas.openxmlformats.org/officeDocument/2006/relationships/hyperlink" Target="https://okcountyrecords.com/results/book=1717:page=509:site=beckham/page-1" TargetMode="External"/><Relationship Id="rId6" Type="http://schemas.openxmlformats.org/officeDocument/2006/relationships/hyperlink" Target="https://okcountyrecords.com/results/book=1717:page=489:site=beckham/page-1" TargetMode="External"/><Relationship Id="rId11" Type="http://schemas.openxmlformats.org/officeDocument/2006/relationships/hyperlink" Target="https://okcountyrecords.com/results/book=1717:page=469:site=beckham/page-1" TargetMode="External"/><Relationship Id="rId24" Type="http://schemas.openxmlformats.org/officeDocument/2006/relationships/hyperlink" Target="https://okcountyrecords.com/results/book=1592:page=350:site=beckham/page-1" TargetMode="External"/><Relationship Id="rId32" Type="http://schemas.openxmlformats.org/officeDocument/2006/relationships/hyperlink" Target="https://okcountyrecords.com/results/book=1580:page=111:site=beckham/page-1" TargetMode="External"/><Relationship Id="rId37" Type="http://schemas.openxmlformats.org/officeDocument/2006/relationships/hyperlink" Target="https://okcountyrecords.com/results/book=1580:page=91:site=beckham/page-1" TargetMode="External"/><Relationship Id="rId40" Type="http://schemas.openxmlformats.org/officeDocument/2006/relationships/hyperlink" Target="https://okcountyrecords.com/results/book=1580:page=79:site=beckham/page-1" TargetMode="External"/><Relationship Id="rId45" Type="http://schemas.openxmlformats.org/officeDocument/2006/relationships/hyperlink" Target="https://okcountyrecords.com/results/book=1435:page=159:site=beckham/page-1" TargetMode="External"/><Relationship Id="rId53" Type="http://schemas.openxmlformats.org/officeDocument/2006/relationships/hyperlink" Target="https://okcountyrecords.com/results/book=1432:page=44:site=beckham/page-1" TargetMode="External"/><Relationship Id="rId58" Type="http://schemas.openxmlformats.org/officeDocument/2006/relationships/hyperlink" Target="https://okcountyrecords.com/results/book=1432:page=24:site=beckham/page-1" TargetMode="External"/><Relationship Id="rId5" Type="http://schemas.openxmlformats.org/officeDocument/2006/relationships/hyperlink" Target="https://okcountyrecords.com/results/book=1717:page=493:site=beckham/page-1" TargetMode="External"/><Relationship Id="rId15" Type="http://schemas.openxmlformats.org/officeDocument/2006/relationships/hyperlink" Target="https://okcountyrecords.com/results/book=1687:page=170:site=beckham/page-1" TargetMode="External"/><Relationship Id="rId23" Type="http://schemas.openxmlformats.org/officeDocument/2006/relationships/hyperlink" Target="https://okcountyrecords.com/results/book=1605:page=598:site=beckham/page-1" TargetMode="External"/><Relationship Id="rId28" Type="http://schemas.openxmlformats.org/officeDocument/2006/relationships/hyperlink" Target="https://okcountyrecords.com/results/book=1592:page=42:site=beckham/page-1" TargetMode="External"/><Relationship Id="rId36" Type="http://schemas.openxmlformats.org/officeDocument/2006/relationships/hyperlink" Target="https://okcountyrecords.com/results/book=1580:page=95:site=beckham/page-1" TargetMode="External"/><Relationship Id="rId49" Type="http://schemas.openxmlformats.org/officeDocument/2006/relationships/hyperlink" Target="https://okcountyrecords.com/results/book=1432:page=60:site=beckham/page-1" TargetMode="External"/><Relationship Id="rId57" Type="http://schemas.openxmlformats.org/officeDocument/2006/relationships/hyperlink" Target="https://okcountyrecords.com/results/book=1432:page=28:site=beckham/page-1" TargetMode="External"/><Relationship Id="rId61" Type="http://schemas.openxmlformats.org/officeDocument/2006/relationships/hyperlink" Target="https://okcountyrecords.com/results/book=1419:page=241:site=beckham/page-1" TargetMode="External"/><Relationship Id="rId10" Type="http://schemas.openxmlformats.org/officeDocument/2006/relationships/hyperlink" Target="https://okcountyrecords.com/results/book=1717:page=473:site=beckham/page-1" TargetMode="External"/><Relationship Id="rId19" Type="http://schemas.openxmlformats.org/officeDocument/2006/relationships/hyperlink" Target="https://okcountyrecords.com/results/book=1672:page=137:site=beckham/page-1" TargetMode="External"/><Relationship Id="rId31" Type="http://schemas.openxmlformats.org/officeDocument/2006/relationships/hyperlink" Target="https://okcountyrecords.com/results/book=1580:page=115:site=beckham/page-1" TargetMode="External"/><Relationship Id="rId44" Type="http://schemas.openxmlformats.org/officeDocument/2006/relationships/hyperlink" Target="https://okcountyrecords.com/results/book=1574:page=272:site=beckham/page-1" TargetMode="External"/><Relationship Id="rId52" Type="http://schemas.openxmlformats.org/officeDocument/2006/relationships/hyperlink" Target="https://okcountyrecords.com/results/book=1432:page=48:site=beckham/page-1" TargetMode="External"/><Relationship Id="rId60" Type="http://schemas.openxmlformats.org/officeDocument/2006/relationships/hyperlink" Target="https://okcountyrecords.com/results/book=1419:page=244:site=beckham/page-1" TargetMode="External"/><Relationship Id="rId4" Type="http://schemas.openxmlformats.org/officeDocument/2006/relationships/hyperlink" Target="https://okcountyrecords.com/results/book=1717:page=497:site=beckham/page-1" TargetMode="External"/><Relationship Id="rId9" Type="http://schemas.openxmlformats.org/officeDocument/2006/relationships/hyperlink" Target="https://okcountyrecords.com/results/book=1717:page=477:site=beckham/page-1" TargetMode="External"/><Relationship Id="rId14" Type="http://schemas.openxmlformats.org/officeDocument/2006/relationships/hyperlink" Target="https://okcountyrecords.com/results/book=1717:page=456:site=beckham/page-1" TargetMode="External"/><Relationship Id="rId22" Type="http://schemas.openxmlformats.org/officeDocument/2006/relationships/hyperlink" Target="https://okcountyrecords.com/results/book=1608:page=63:site=beckham/page-1" TargetMode="External"/><Relationship Id="rId27" Type="http://schemas.openxmlformats.org/officeDocument/2006/relationships/hyperlink" Target="https://okcountyrecords.com/results/book=1592:page=47:site=beckham/page-1" TargetMode="External"/><Relationship Id="rId30" Type="http://schemas.openxmlformats.org/officeDocument/2006/relationships/hyperlink" Target="https://okcountyrecords.com/results/book=1587:page=129:site=beckham/page-1" TargetMode="External"/><Relationship Id="rId35" Type="http://schemas.openxmlformats.org/officeDocument/2006/relationships/hyperlink" Target="https://okcountyrecords.com/results/book=1580:page=99:site=beckham/page-1" TargetMode="External"/><Relationship Id="rId43" Type="http://schemas.openxmlformats.org/officeDocument/2006/relationships/hyperlink" Target="https://okcountyrecords.com/results/book=1574:page=276:site=beckham/page-1" TargetMode="External"/><Relationship Id="rId48" Type="http://schemas.openxmlformats.org/officeDocument/2006/relationships/hyperlink" Target="https://okcountyrecords.com/results/book=1432:page=64:site=beckham/page-1" TargetMode="External"/><Relationship Id="rId56" Type="http://schemas.openxmlformats.org/officeDocument/2006/relationships/hyperlink" Target="https://okcountyrecords.com/results/book=1432:page=32:site=beckham/page-1" TargetMode="External"/><Relationship Id="rId8" Type="http://schemas.openxmlformats.org/officeDocument/2006/relationships/hyperlink" Target="https://okcountyrecords.com/results/book=1717:page=481:site=beckham/page-1" TargetMode="External"/><Relationship Id="rId51" Type="http://schemas.openxmlformats.org/officeDocument/2006/relationships/hyperlink" Target="https://okcountyrecords.com/results/book=1432:page=52:site=beckham/page-1" TargetMode="External"/><Relationship Id="rId3" Type="http://schemas.openxmlformats.org/officeDocument/2006/relationships/hyperlink" Target="https://okcountyrecords.com/results/book=1717:page=501:site=beckham/page-1" TargetMode="External"/><Relationship Id="rId12" Type="http://schemas.openxmlformats.org/officeDocument/2006/relationships/hyperlink" Target="https://okcountyrecords.com/results/book=1717:page=464:site=beckham/page-1" TargetMode="External"/><Relationship Id="rId17" Type="http://schemas.openxmlformats.org/officeDocument/2006/relationships/hyperlink" Target="https://okcountyrecords.com/results/book=1687:page=160:site=beckham/page-1" TargetMode="External"/><Relationship Id="rId25" Type="http://schemas.openxmlformats.org/officeDocument/2006/relationships/hyperlink" Target="https://okcountyrecords.com/results/book=1592:page=347:site=beckham/page-1" TargetMode="External"/><Relationship Id="rId33" Type="http://schemas.openxmlformats.org/officeDocument/2006/relationships/hyperlink" Target="https://okcountyrecords.com/results/book=1580:page=107:site=beckham/page-1" TargetMode="External"/><Relationship Id="rId38" Type="http://schemas.openxmlformats.org/officeDocument/2006/relationships/hyperlink" Target="https://okcountyrecords.com/results/book=1580:page=87:site=beckham/page-1" TargetMode="External"/><Relationship Id="rId46" Type="http://schemas.openxmlformats.org/officeDocument/2006/relationships/hyperlink" Target="https://okcountyrecords.com/results/book=1433:page=213:site=beckham/page-1" TargetMode="External"/><Relationship Id="rId59" Type="http://schemas.openxmlformats.org/officeDocument/2006/relationships/hyperlink" Target="https://okcountyrecords.com/results/book=1432:page=20:site=beckham/page-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J56"/>
  <sheetViews>
    <sheetView tabSelected="1" view="pageBreakPreview" zoomScaleNormal="100" workbookViewId="0">
      <selection sqref="A1:AH1"/>
    </sheetView>
  </sheetViews>
  <sheetFormatPr defaultColWidth="8.42578125" defaultRowHeight="12.75" x14ac:dyDescent="0.2"/>
  <cols>
    <col min="1" max="1" width="2.42578125" style="2" customWidth="1"/>
    <col min="2" max="33" width="2.85546875" style="2" customWidth="1"/>
    <col min="34" max="34" width="2.42578125" style="2" customWidth="1"/>
    <col min="35" max="36" width="8.42578125" style="2" customWidth="1"/>
    <col min="37" max="16384" width="8.42578125" style="2"/>
  </cols>
  <sheetData>
    <row r="1" spans="1:36" ht="105" customHeight="1" x14ac:dyDescent="0.25">
      <c r="A1" s="149"/>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3"/>
      <c r="AJ1" s="3"/>
    </row>
    <row r="2" spans="1:36" ht="8.25" customHeight="1"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3"/>
      <c r="AJ2" s="3"/>
    </row>
    <row r="3" spans="1:36" ht="15" customHeight="1" x14ac:dyDescent="0.25">
      <c r="A3" s="4"/>
      <c r="B3" s="4"/>
      <c r="C3" s="3"/>
      <c r="D3" s="139" t="s">
        <v>0</v>
      </c>
      <c r="E3" s="140"/>
      <c r="F3" s="140"/>
      <c r="G3" s="140"/>
      <c r="H3" s="140"/>
      <c r="I3" s="140"/>
      <c r="J3" s="140"/>
      <c r="K3" s="140"/>
      <c r="L3" s="140"/>
      <c r="M3" s="140"/>
      <c r="N3" s="140"/>
      <c r="O3" s="140"/>
      <c r="P3" s="5"/>
      <c r="Q3" s="142" t="s">
        <v>1</v>
      </c>
      <c r="R3" s="143"/>
      <c r="S3" s="143"/>
      <c r="T3" s="143"/>
      <c r="U3" s="143"/>
      <c r="V3" s="143"/>
      <c r="W3" s="143"/>
      <c r="X3" s="143"/>
      <c r="Y3" s="143"/>
      <c r="Z3" s="143"/>
      <c r="AA3" s="143"/>
      <c r="AB3" s="143"/>
      <c r="AC3" s="143"/>
      <c r="AD3" s="143"/>
      <c r="AE3" s="143"/>
      <c r="AF3" s="143"/>
      <c r="AG3" s="3"/>
      <c r="AH3" s="3"/>
      <c r="AI3" s="3"/>
      <c r="AJ3" s="3"/>
    </row>
    <row r="4" spans="1:36" ht="8.25" customHeight="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3"/>
      <c r="AJ4" s="3"/>
    </row>
    <row r="5" spans="1:36" ht="15" customHeight="1" x14ac:dyDescent="0.25">
      <c r="A5" s="6"/>
      <c r="B5" s="6"/>
      <c r="C5" s="139" t="s">
        <v>2</v>
      </c>
      <c r="D5" s="140"/>
      <c r="E5" s="140"/>
      <c r="F5" s="140"/>
      <c r="G5" s="140"/>
      <c r="H5" s="145">
        <v>27</v>
      </c>
      <c r="I5" s="138"/>
      <c r="J5" s="138"/>
      <c r="K5" s="138"/>
      <c r="L5" s="139" t="s">
        <v>3</v>
      </c>
      <c r="M5" s="140"/>
      <c r="N5" s="140"/>
      <c r="O5" s="140"/>
      <c r="P5" s="140"/>
      <c r="Q5" s="140"/>
      <c r="R5" s="141" t="s">
        <v>4</v>
      </c>
      <c r="S5" s="138"/>
      <c r="T5" s="138"/>
      <c r="U5" s="138"/>
      <c r="V5" s="138"/>
      <c r="W5" s="138"/>
      <c r="X5" s="7"/>
      <c r="Y5" s="139" t="s">
        <v>5</v>
      </c>
      <c r="Z5" s="140"/>
      <c r="AA5" s="140"/>
      <c r="AB5" s="140"/>
      <c r="AC5" s="141" t="s">
        <v>6</v>
      </c>
      <c r="AD5" s="138"/>
      <c r="AE5" s="138"/>
      <c r="AF5" s="138"/>
      <c r="AG5" s="138"/>
      <c r="AH5" s="7"/>
      <c r="AI5" s="3"/>
      <c r="AJ5" s="3"/>
    </row>
    <row r="6" spans="1:36" ht="8.25" customHeight="1"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3"/>
      <c r="AJ6" s="3"/>
    </row>
    <row r="7" spans="1:36" ht="15" customHeight="1" x14ac:dyDescent="0.25">
      <c r="A7" s="6"/>
      <c r="B7" s="3"/>
      <c r="C7" s="3"/>
      <c r="D7" s="139" t="s">
        <v>7</v>
      </c>
      <c r="E7" s="140"/>
      <c r="F7" s="140"/>
      <c r="G7" s="140"/>
      <c r="H7" s="147" t="s">
        <v>8</v>
      </c>
      <c r="I7" s="143"/>
      <c r="J7" s="143"/>
      <c r="K7" s="143"/>
      <c r="L7" s="143"/>
      <c r="M7" s="143"/>
      <c r="N7" s="143"/>
      <c r="O7" s="143"/>
      <c r="P7" s="1"/>
      <c r="Q7" s="1"/>
      <c r="R7" s="1"/>
      <c r="S7" s="1"/>
      <c r="T7" s="1"/>
      <c r="U7" s="139" t="s">
        <v>9</v>
      </c>
      <c r="V7" s="140"/>
      <c r="W7" s="140"/>
      <c r="X7" s="147" t="s">
        <v>10</v>
      </c>
      <c r="Y7" s="143"/>
      <c r="Z7" s="143"/>
      <c r="AA7" s="143"/>
      <c r="AB7" s="143"/>
      <c r="AC7" s="143"/>
      <c r="AD7" s="143"/>
      <c r="AE7" s="143"/>
      <c r="AF7" s="143"/>
      <c r="AG7" s="1"/>
      <c r="AH7" s="1"/>
      <c r="AI7" s="3"/>
      <c r="AJ7" s="3"/>
    </row>
    <row r="8" spans="1:36" ht="8.25" customHeight="1"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3"/>
      <c r="AJ8" s="3"/>
    </row>
    <row r="9" spans="1:36" ht="15" customHeight="1" x14ac:dyDescent="0.25">
      <c r="A9" s="3"/>
      <c r="B9" s="151" t="s">
        <v>11</v>
      </c>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8"/>
      <c r="AI9" s="3"/>
      <c r="AJ9" s="3"/>
    </row>
    <row r="10" spans="1:36" ht="7.5" customHeight="1" x14ac:dyDescent="0.25">
      <c r="A10" s="6"/>
      <c r="B10" s="6"/>
      <c r="C10" s="9"/>
      <c r="D10" s="9"/>
      <c r="E10" s="9"/>
      <c r="F10" s="9"/>
      <c r="G10" s="9"/>
      <c r="H10" s="9"/>
      <c r="I10" s="9"/>
      <c r="J10" s="9"/>
      <c r="K10" s="6"/>
      <c r="L10" s="6"/>
      <c r="M10" s="6"/>
      <c r="N10" s="6"/>
      <c r="O10" s="6"/>
      <c r="P10" s="6"/>
      <c r="Q10" s="6"/>
      <c r="R10" s="6"/>
      <c r="S10" s="6"/>
      <c r="T10" s="6"/>
      <c r="U10" s="6"/>
      <c r="V10" s="6"/>
      <c r="W10" s="6"/>
      <c r="X10" s="6"/>
      <c r="Y10" s="6"/>
      <c r="Z10" s="6"/>
      <c r="AA10" s="6"/>
      <c r="AB10" s="6"/>
      <c r="AC10" s="6"/>
      <c r="AD10" s="6"/>
      <c r="AE10" s="6"/>
      <c r="AF10" s="6"/>
      <c r="AG10" s="6"/>
      <c r="AH10" s="6"/>
      <c r="AI10" s="3"/>
      <c r="AJ10" s="3"/>
    </row>
    <row r="11" spans="1:36" ht="15" customHeight="1" x14ac:dyDescent="0.25">
      <c r="A11" s="10"/>
      <c r="B11" s="82"/>
      <c r="C11" s="83"/>
      <c r="D11" s="83"/>
      <c r="E11" s="83"/>
      <c r="F11" s="83"/>
      <c r="G11" s="83"/>
      <c r="H11" s="83"/>
      <c r="I11" s="83"/>
      <c r="J11" s="83"/>
      <c r="K11" s="83"/>
      <c r="L11" s="83"/>
      <c r="M11" s="83"/>
      <c r="N11" s="83"/>
      <c r="O11" s="83"/>
      <c r="P11" s="83"/>
      <c r="Q11" s="83"/>
      <c r="R11" s="84"/>
      <c r="S11" s="84"/>
      <c r="T11" s="84"/>
      <c r="U11" s="84"/>
      <c r="V11" s="84"/>
      <c r="W11" s="84"/>
      <c r="X11" s="84"/>
      <c r="Y11" s="84"/>
      <c r="Z11" s="84"/>
      <c r="AA11" s="84"/>
      <c r="AB11" s="84"/>
      <c r="AC11" s="84"/>
      <c r="AD11" s="84"/>
      <c r="AE11" s="84"/>
      <c r="AF11" s="84"/>
      <c r="AG11" s="85"/>
      <c r="AH11" s="10"/>
      <c r="AI11" s="3"/>
      <c r="AJ11" s="3"/>
    </row>
    <row r="12" spans="1:36" ht="15" customHeight="1" x14ac:dyDescent="0.25">
      <c r="A12" s="10"/>
      <c r="B12" s="86"/>
      <c r="C12" s="87"/>
      <c r="D12" s="87"/>
      <c r="E12" s="87"/>
      <c r="F12" s="87"/>
      <c r="G12" s="87"/>
      <c r="H12" s="87"/>
      <c r="I12" s="87"/>
      <c r="J12" s="87"/>
      <c r="K12" s="87"/>
      <c r="L12" s="87"/>
      <c r="M12" s="87"/>
      <c r="N12" s="87"/>
      <c r="O12" s="87"/>
      <c r="P12" s="87"/>
      <c r="Q12" s="87"/>
      <c r="R12" s="88"/>
      <c r="S12" s="88"/>
      <c r="T12" s="88"/>
      <c r="U12" s="88"/>
      <c r="V12" s="88"/>
      <c r="W12" s="88"/>
      <c r="X12" s="88"/>
      <c r="Y12" s="88"/>
      <c r="Z12" s="88"/>
      <c r="AA12" s="88"/>
      <c r="AB12" s="88"/>
      <c r="AC12" s="88"/>
      <c r="AD12" s="88"/>
      <c r="AE12" s="88"/>
      <c r="AF12" s="88"/>
      <c r="AG12" s="89"/>
      <c r="AH12" s="10"/>
      <c r="AI12" s="3"/>
      <c r="AJ12" s="3"/>
    </row>
    <row r="13" spans="1:36" ht="15" customHeight="1" x14ac:dyDescent="0.25">
      <c r="A13" s="3"/>
      <c r="B13" s="86"/>
      <c r="C13" s="87"/>
      <c r="D13" s="87"/>
      <c r="E13" s="87"/>
      <c r="F13" s="87"/>
      <c r="G13" s="87"/>
      <c r="H13" s="87"/>
      <c r="I13" s="87"/>
      <c r="J13" s="87"/>
      <c r="K13" s="87"/>
      <c r="L13" s="87"/>
      <c r="M13" s="87"/>
      <c r="N13" s="87"/>
      <c r="O13" s="87"/>
      <c r="P13" s="87"/>
      <c r="Q13" s="87"/>
      <c r="R13" s="88"/>
      <c r="S13" s="88"/>
      <c r="T13" s="88"/>
      <c r="U13" s="88"/>
      <c r="V13" s="88"/>
      <c r="W13" s="88"/>
      <c r="X13" s="88"/>
      <c r="Y13" s="88"/>
      <c r="Z13" s="88"/>
      <c r="AA13" s="88"/>
      <c r="AB13" s="88"/>
      <c r="AC13" s="88"/>
      <c r="AD13" s="88"/>
      <c r="AE13" s="88"/>
      <c r="AF13" s="88"/>
      <c r="AG13" s="89"/>
      <c r="AH13" s="10"/>
      <c r="AI13" s="3"/>
      <c r="AJ13" s="3"/>
    </row>
    <row r="14" spans="1:36" ht="15" customHeight="1" x14ac:dyDescent="0.25">
      <c r="A14" s="3"/>
      <c r="B14" s="86"/>
      <c r="C14" s="87"/>
      <c r="D14" s="87"/>
      <c r="E14" s="87"/>
      <c r="F14" s="87"/>
      <c r="G14" s="87"/>
      <c r="H14" s="87"/>
      <c r="I14" s="87"/>
      <c r="J14" s="87"/>
      <c r="K14" s="87"/>
      <c r="L14" s="87"/>
      <c r="M14" s="87"/>
      <c r="N14" s="87"/>
      <c r="O14" s="87"/>
      <c r="P14" s="87"/>
      <c r="Q14" s="87"/>
      <c r="R14" s="90"/>
      <c r="S14" s="88"/>
      <c r="T14" s="88"/>
      <c r="U14" s="88"/>
      <c r="V14" s="88"/>
      <c r="W14" s="88"/>
      <c r="X14" s="88"/>
      <c r="Y14" s="88"/>
      <c r="Z14" s="88"/>
      <c r="AA14" s="88"/>
      <c r="AB14" s="88"/>
      <c r="AC14" s="88"/>
      <c r="AD14" s="88"/>
      <c r="AE14" s="88"/>
      <c r="AF14" s="88"/>
      <c r="AG14" s="89"/>
      <c r="AH14" s="10"/>
      <c r="AI14" s="3"/>
      <c r="AJ14" s="3"/>
    </row>
    <row r="15" spans="1:36" ht="15" customHeight="1" x14ac:dyDescent="0.25">
      <c r="A15" s="3"/>
      <c r="B15" s="86"/>
      <c r="C15" s="87"/>
      <c r="D15" s="87"/>
      <c r="E15" s="87"/>
      <c r="F15" s="87"/>
      <c r="G15" s="87"/>
      <c r="H15" s="87"/>
      <c r="I15" s="87"/>
      <c r="J15" s="87"/>
      <c r="K15" s="87"/>
      <c r="L15" s="87"/>
      <c r="M15" s="87"/>
      <c r="N15" s="87"/>
      <c r="O15" s="87"/>
      <c r="P15" s="87"/>
      <c r="Q15" s="87"/>
      <c r="R15" s="88"/>
      <c r="S15" s="88"/>
      <c r="T15" s="88"/>
      <c r="U15" s="88"/>
      <c r="V15" s="88"/>
      <c r="W15" s="88"/>
      <c r="X15" s="88"/>
      <c r="Y15" s="88"/>
      <c r="Z15" s="88"/>
      <c r="AA15" s="88"/>
      <c r="AB15" s="88"/>
      <c r="AC15" s="88"/>
      <c r="AD15" s="88"/>
      <c r="AE15" s="88"/>
      <c r="AF15" s="88"/>
      <c r="AG15" s="89"/>
      <c r="AH15" s="11"/>
      <c r="AI15" s="3"/>
      <c r="AJ15" s="3"/>
    </row>
    <row r="16" spans="1:36" ht="15" customHeight="1" x14ac:dyDescent="0.25">
      <c r="A16" s="3"/>
      <c r="B16" s="86"/>
      <c r="C16" s="87"/>
      <c r="D16" s="87"/>
      <c r="E16" s="87"/>
      <c r="F16" s="87"/>
      <c r="G16" s="87"/>
      <c r="H16" s="87"/>
      <c r="I16" s="87"/>
      <c r="J16" s="87"/>
      <c r="K16" s="87"/>
      <c r="L16" s="87"/>
      <c r="M16" s="87"/>
      <c r="N16" s="87"/>
      <c r="O16" s="87"/>
      <c r="P16" s="87"/>
      <c r="Q16" s="87"/>
      <c r="R16" s="88"/>
      <c r="S16" s="88"/>
      <c r="T16" s="88"/>
      <c r="U16" s="88"/>
      <c r="V16" s="88"/>
      <c r="W16" s="88"/>
      <c r="X16" s="88"/>
      <c r="Y16" s="88"/>
      <c r="Z16" s="88"/>
      <c r="AA16" s="88"/>
      <c r="AB16" s="88"/>
      <c r="AC16" s="88"/>
      <c r="AD16" s="88"/>
      <c r="AE16" s="88"/>
      <c r="AF16" s="88"/>
      <c r="AG16" s="89"/>
      <c r="AH16" s="10"/>
      <c r="AI16" s="3"/>
      <c r="AJ16" s="3"/>
    </row>
    <row r="17" spans="1:36" ht="15" customHeight="1" x14ac:dyDescent="0.25">
      <c r="A17" s="3"/>
      <c r="B17" s="86"/>
      <c r="C17" s="87"/>
      <c r="D17" s="87"/>
      <c r="E17" s="87"/>
      <c r="F17" s="87"/>
      <c r="G17" s="87"/>
      <c r="H17" s="87"/>
      <c r="I17" s="87"/>
      <c r="J17" s="87"/>
      <c r="K17" s="87"/>
      <c r="L17" s="87"/>
      <c r="M17" s="87"/>
      <c r="N17" s="87"/>
      <c r="O17" s="87"/>
      <c r="P17" s="87"/>
      <c r="Q17" s="87"/>
      <c r="R17" s="88"/>
      <c r="S17" s="88"/>
      <c r="T17" s="88"/>
      <c r="U17" s="88"/>
      <c r="V17" s="88"/>
      <c r="W17" s="88"/>
      <c r="X17" s="88"/>
      <c r="Y17" s="88"/>
      <c r="Z17" s="88"/>
      <c r="AA17" s="88"/>
      <c r="AB17" s="88"/>
      <c r="AC17" s="88"/>
      <c r="AD17" s="88"/>
      <c r="AE17" s="88"/>
      <c r="AF17" s="88"/>
      <c r="AG17" s="89"/>
      <c r="AH17" s="10"/>
      <c r="AI17" s="3"/>
      <c r="AJ17" s="3"/>
    </row>
    <row r="18" spans="1:36" ht="15" customHeight="1" x14ac:dyDescent="0.25">
      <c r="A18" s="3"/>
      <c r="B18" s="86"/>
      <c r="C18" s="87"/>
      <c r="D18" s="87"/>
      <c r="E18" s="87"/>
      <c r="F18" s="87"/>
      <c r="G18" s="87"/>
      <c r="H18" s="87" t="s">
        <v>12</v>
      </c>
      <c r="I18" s="87"/>
      <c r="J18" s="87"/>
      <c r="K18" s="87"/>
      <c r="L18" s="87"/>
      <c r="M18" s="87"/>
      <c r="N18" s="87"/>
      <c r="O18" s="87"/>
      <c r="P18" s="87"/>
      <c r="Q18" s="87"/>
      <c r="R18" s="88"/>
      <c r="S18" s="88"/>
      <c r="T18" s="88"/>
      <c r="U18" s="90"/>
      <c r="V18" s="88"/>
      <c r="W18" s="90" t="s">
        <v>13</v>
      </c>
      <c r="X18" s="88"/>
      <c r="Y18" s="88"/>
      <c r="Z18" s="88"/>
      <c r="AA18" s="88"/>
      <c r="AB18" s="88"/>
      <c r="AC18" s="88"/>
      <c r="AD18" s="88"/>
      <c r="AE18" s="88"/>
      <c r="AF18" s="88"/>
      <c r="AG18" s="89"/>
      <c r="AH18" s="10"/>
      <c r="AI18" s="3"/>
      <c r="AJ18" s="3"/>
    </row>
    <row r="19" spans="1:36" ht="15" customHeight="1" x14ac:dyDescent="0.25">
      <c r="A19" s="3"/>
      <c r="B19" s="86"/>
      <c r="C19" s="87"/>
      <c r="D19" s="87"/>
      <c r="E19" s="87"/>
      <c r="F19" s="87"/>
      <c r="G19" s="87"/>
      <c r="H19" s="87"/>
      <c r="I19" s="87"/>
      <c r="J19" s="87"/>
      <c r="K19" s="87"/>
      <c r="L19" s="87"/>
      <c r="M19" s="87"/>
      <c r="N19" s="87"/>
      <c r="O19" s="87"/>
      <c r="P19" s="87"/>
      <c r="Q19" s="87"/>
      <c r="R19" s="88"/>
      <c r="S19" s="88"/>
      <c r="T19" s="88"/>
      <c r="U19" s="88"/>
      <c r="V19" s="88"/>
      <c r="W19" s="88"/>
      <c r="X19" s="88"/>
      <c r="Y19" s="88"/>
      <c r="Z19" s="88"/>
      <c r="AA19" s="88"/>
      <c r="AB19" s="88"/>
      <c r="AC19" s="88"/>
      <c r="AD19" s="88"/>
      <c r="AE19" s="88"/>
      <c r="AF19" s="88"/>
      <c r="AG19" s="89"/>
      <c r="AH19" s="10"/>
      <c r="AI19" s="3"/>
      <c r="AJ19" s="3"/>
    </row>
    <row r="20" spans="1:36" ht="15" customHeight="1" x14ac:dyDescent="0.25">
      <c r="A20" s="3"/>
      <c r="B20" s="91"/>
      <c r="C20" s="87"/>
      <c r="D20" s="87"/>
      <c r="E20" s="87"/>
      <c r="F20" s="87"/>
      <c r="G20" s="87"/>
      <c r="H20" s="87"/>
      <c r="I20" s="87"/>
      <c r="J20" s="87"/>
      <c r="K20" s="87"/>
      <c r="L20" s="87"/>
      <c r="M20" s="87"/>
      <c r="N20" s="87"/>
      <c r="O20" s="87"/>
      <c r="P20" s="87"/>
      <c r="Q20" s="87"/>
      <c r="R20" s="88"/>
      <c r="S20" s="88"/>
      <c r="T20" s="88"/>
      <c r="U20" s="88"/>
      <c r="V20" s="88"/>
      <c r="W20" s="88"/>
      <c r="X20" s="88"/>
      <c r="Y20" s="88"/>
      <c r="Z20" s="88"/>
      <c r="AA20" s="88"/>
      <c r="AB20" s="88"/>
      <c r="AC20" s="88"/>
      <c r="AD20" s="88"/>
      <c r="AE20" s="88"/>
      <c r="AF20" s="88"/>
      <c r="AG20" s="89"/>
      <c r="AH20" s="10"/>
      <c r="AI20" s="3"/>
      <c r="AJ20" s="3"/>
    </row>
    <row r="21" spans="1:36" ht="15" customHeight="1" x14ac:dyDescent="0.25">
      <c r="A21" s="3"/>
      <c r="B21" s="91"/>
      <c r="C21" s="87"/>
      <c r="D21" s="87"/>
      <c r="E21" s="87"/>
      <c r="F21" s="87"/>
      <c r="G21" s="87"/>
      <c r="H21" s="87"/>
      <c r="I21" s="87"/>
      <c r="J21" s="87"/>
      <c r="K21" s="87"/>
      <c r="L21" s="87"/>
      <c r="M21" s="87"/>
      <c r="N21" s="87"/>
      <c r="O21" s="87"/>
      <c r="P21" s="87"/>
      <c r="Q21" s="87"/>
      <c r="R21" s="88"/>
      <c r="S21" s="88"/>
      <c r="T21" s="88"/>
      <c r="U21" s="88"/>
      <c r="V21" s="88"/>
      <c r="W21" s="88"/>
      <c r="X21" s="88"/>
      <c r="Y21" s="88"/>
      <c r="Z21" s="88"/>
      <c r="AA21" s="88"/>
      <c r="AB21" s="88"/>
      <c r="AC21" s="88"/>
      <c r="AD21" s="88"/>
      <c r="AE21" s="88"/>
      <c r="AF21" s="88"/>
      <c r="AG21" s="89"/>
      <c r="AH21" s="10"/>
      <c r="AI21" s="3"/>
      <c r="AJ21" s="3"/>
    </row>
    <row r="22" spans="1:36" ht="15" customHeight="1" x14ac:dyDescent="0.25">
      <c r="A22" s="3"/>
      <c r="B22" s="91"/>
      <c r="C22" s="87"/>
      <c r="D22" s="87"/>
      <c r="E22" s="87"/>
      <c r="F22" s="87"/>
      <c r="G22" s="87"/>
      <c r="H22" s="87"/>
      <c r="I22" s="87"/>
      <c r="J22" s="87"/>
      <c r="K22" s="87"/>
      <c r="L22" s="87"/>
      <c r="M22" s="87"/>
      <c r="N22" s="87"/>
      <c r="O22" s="87"/>
      <c r="P22" s="87"/>
      <c r="Q22" s="87"/>
      <c r="R22" s="88"/>
      <c r="S22" s="88"/>
      <c r="T22" s="88"/>
      <c r="U22" s="88"/>
      <c r="V22" s="88"/>
      <c r="W22" s="88"/>
      <c r="X22" s="88"/>
      <c r="Y22" s="88"/>
      <c r="Z22" s="88"/>
      <c r="AA22" s="88"/>
      <c r="AB22" s="88"/>
      <c r="AC22" s="88"/>
      <c r="AD22" s="88"/>
      <c r="AE22" s="88"/>
      <c r="AF22" s="88"/>
      <c r="AG22" s="89"/>
      <c r="AH22" s="10"/>
      <c r="AI22" s="3"/>
      <c r="AJ22" s="3"/>
    </row>
    <row r="23" spans="1:36" ht="15" customHeight="1" x14ac:dyDescent="0.25">
      <c r="A23" s="3"/>
      <c r="B23" s="91"/>
      <c r="C23" s="87"/>
      <c r="D23" s="87"/>
      <c r="E23" s="87"/>
      <c r="F23" s="87"/>
      <c r="G23" s="87"/>
      <c r="H23" s="87"/>
      <c r="I23" s="87"/>
      <c r="J23" s="87"/>
      <c r="K23" s="87"/>
      <c r="L23" s="87"/>
      <c r="M23" s="87"/>
      <c r="N23" s="87"/>
      <c r="O23" s="87"/>
      <c r="P23" s="87"/>
      <c r="Q23" s="87"/>
      <c r="R23" s="88"/>
      <c r="S23" s="88"/>
      <c r="T23" s="88"/>
      <c r="U23" s="88"/>
      <c r="V23" s="88"/>
      <c r="W23" s="88"/>
      <c r="X23" s="88"/>
      <c r="Y23" s="88"/>
      <c r="Z23" s="88"/>
      <c r="AA23" s="88"/>
      <c r="AB23" s="88"/>
      <c r="AC23" s="88"/>
      <c r="AD23" s="88"/>
      <c r="AE23" s="88"/>
      <c r="AF23" s="88"/>
      <c r="AG23" s="89"/>
      <c r="AH23" s="12"/>
      <c r="AI23" s="3"/>
      <c r="AJ23" s="3"/>
    </row>
    <row r="24" spans="1:36" ht="15" customHeight="1" x14ac:dyDescent="0.25">
      <c r="A24" s="3"/>
      <c r="B24" s="91"/>
      <c r="C24" s="87"/>
      <c r="D24" s="87"/>
      <c r="E24" s="87"/>
      <c r="F24" s="87"/>
      <c r="G24" s="87"/>
      <c r="H24" s="87"/>
      <c r="I24" s="87"/>
      <c r="J24" s="87"/>
      <c r="K24" s="87"/>
      <c r="L24" s="87"/>
      <c r="M24" s="87"/>
      <c r="N24" s="87"/>
      <c r="O24" s="87"/>
      <c r="P24" s="87"/>
      <c r="Q24" s="87"/>
      <c r="R24" s="88"/>
      <c r="S24" s="88"/>
      <c r="T24" s="88"/>
      <c r="U24" s="88"/>
      <c r="V24" s="88"/>
      <c r="W24" s="88"/>
      <c r="X24" s="88"/>
      <c r="Y24" s="88"/>
      <c r="Z24" s="88"/>
      <c r="AA24" s="88"/>
      <c r="AB24" s="88"/>
      <c r="AC24" s="88"/>
      <c r="AD24" s="88"/>
      <c r="AE24" s="88"/>
      <c r="AF24" s="88"/>
      <c r="AG24" s="89"/>
      <c r="AH24" s="12"/>
      <c r="AI24" s="3"/>
      <c r="AJ24" s="3"/>
    </row>
    <row r="25" spans="1:36" ht="15" customHeight="1" x14ac:dyDescent="0.25">
      <c r="A25" s="3"/>
      <c r="B25" s="91"/>
      <c r="C25" s="87"/>
      <c r="D25" s="87"/>
      <c r="E25" s="87"/>
      <c r="F25" s="87"/>
      <c r="G25" s="87"/>
      <c r="H25" s="87"/>
      <c r="I25" s="87"/>
      <c r="J25" s="87"/>
      <c r="K25" s="87"/>
      <c r="L25" s="87"/>
      <c r="M25" s="87"/>
      <c r="N25" s="87"/>
      <c r="O25" s="87"/>
      <c r="P25" s="87"/>
      <c r="Q25" s="87"/>
      <c r="R25" s="88"/>
      <c r="S25" s="88"/>
      <c r="T25" s="88"/>
      <c r="U25" s="88"/>
      <c r="V25" s="88"/>
      <c r="W25" s="88"/>
      <c r="X25" s="88"/>
      <c r="Y25" s="88"/>
      <c r="Z25" s="88"/>
      <c r="AA25" s="88"/>
      <c r="AB25" s="88"/>
      <c r="AC25" s="88"/>
      <c r="AD25" s="88"/>
      <c r="AE25" s="88"/>
      <c r="AF25" s="88"/>
      <c r="AG25" s="89"/>
      <c r="AH25" s="12"/>
      <c r="AI25" s="3"/>
      <c r="AJ25" s="3"/>
    </row>
    <row r="26" spans="1:36" ht="15" customHeight="1" x14ac:dyDescent="0.25">
      <c r="A26" s="3"/>
      <c r="B26" s="92"/>
      <c r="C26" s="87"/>
      <c r="D26" s="87"/>
      <c r="E26" s="87"/>
      <c r="F26" s="87"/>
      <c r="G26" s="87"/>
      <c r="H26" s="87"/>
      <c r="I26" s="87"/>
      <c r="J26" s="93"/>
      <c r="K26" s="87"/>
      <c r="L26" s="87"/>
      <c r="M26" s="87"/>
      <c r="N26" s="87"/>
      <c r="O26" s="87"/>
      <c r="P26" s="87"/>
      <c r="Q26" s="87"/>
      <c r="R26" s="88"/>
      <c r="S26" s="88"/>
      <c r="T26" s="88"/>
      <c r="U26" s="88"/>
      <c r="V26" s="88"/>
      <c r="W26" s="88"/>
      <c r="X26" s="88"/>
      <c r="Y26" s="88"/>
      <c r="Z26" s="88"/>
      <c r="AA26" s="88"/>
      <c r="AB26" s="88"/>
      <c r="AC26" s="88"/>
      <c r="AD26" s="88"/>
      <c r="AE26" s="88"/>
      <c r="AF26" s="88"/>
      <c r="AG26" s="89"/>
      <c r="AH26" s="10"/>
      <c r="AI26" s="3"/>
      <c r="AJ26" s="3"/>
    </row>
    <row r="27" spans="1:36" ht="15" customHeight="1" x14ac:dyDescent="0.25">
      <c r="A27" s="3"/>
      <c r="B27" s="94"/>
      <c r="C27" s="95"/>
      <c r="D27" s="95"/>
      <c r="E27" s="95"/>
      <c r="F27" s="95"/>
      <c r="G27" s="95"/>
      <c r="H27" s="95"/>
      <c r="I27" s="95"/>
      <c r="J27" s="95"/>
      <c r="K27" s="95"/>
      <c r="L27" s="95"/>
      <c r="M27" s="95"/>
      <c r="N27" s="95"/>
      <c r="O27" s="95"/>
      <c r="P27" s="95"/>
      <c r="Q27" s="95"/>
      <c r="R27" s="96"/>
      <c r="S27" s="96"/>
      <c r="T27" s="96"/>
      <c r="U27" s="96"/>
      <c r="V27" s="96"/>
      <c r="W27" s="96"/>
      <c r="X27" s="96"/>
      <c r="Y27" s="96"/>
      <c r="Z27" s="96"/>
      <c r="AA27" s="96"/>
      <c r="AB27" s="96"/>
      <c r="AC27" s="96"/>
      <c r="AD27" s="96"/>
      <c r="AE27" s="96"/>
      <c r="AF27" s="96"/>
      <c r="AG27" s="97"/>
      <c r="AH27" s="10"/>
      <c r="AI27" s="3"/>
      <c r="AJ27" s="3"/>
    </row>
    <row r="28" spans="1:36" ht="15" customHeight="1" x14ac:dyDescent="0.25">
      <c r="A28" s="3"/>
      <c r="B28" s="94"/>
      <c r="C28" s="95"/>
      <c r="D28" s="95"/>
      <c r="E28" s="95"/>
      <c r="F28" s="95"/>
      <c r="G28" s="95"/>
      <c r="H28" s="95"/>
      <c r="I28" s="95"/>
      <c r="J28" s="95"/>
      <c r="K28" s="95"/>
      <c r="L28" s="95"/>
      <c r="M28" s="95"/>
      <c r="N28" s="95"/>
      <c r="O28" s="95"/>
      <c r="P28" s="95"/>
      <c r="Q28" s="95"/>
      <c r="R28" s="96"/>
      <c r="S28" s="96"/>
      <c r="T28" s="96"/>
      <c r="U28" s="96"/>
      <c r="V28" s="96"/>
      <c r="W28" s="96"/>
      <c r="X28" s="96"/>
      <c r="Y28" s="96"/>
      <c r="Z28" s="96"/>
      <c r="AA28" s="96"/>
      <c r="AB28" s="96"/>
      <c r="AC28" s="96"/>
      <c r="AD28" s="96"/>
      <c r="AE28" s="96"/>
      <c r="AF28" s="96"/>
      <c r="AG28" s="97"/>
      <c r="AH28" s="10"/>
      <c r="AI28" s="3"/>
      <c r="AJ28" s="3"/>
    </row>
    <row r="29" spans="1:36" ht="15" customHeight="1" x14ac:dyDescent="0.25">
      <c r="A29" s="3"/>
      <c r="B29" s="94"/>
      <c r="C29" s="95"/>
      <c r="D29" s="95"/>
      <c r="E29" s="95"/>
      <c r="F29" s="95"/>
      <c r="G29" s="95"/>
      <c r="H29" s="95"/>
      <c r="I29" s="95"/>
      <c r="J29" s="95"/>
      <c r="K29" s="95"/>
      <c r="L29" s="95"/>
      <c r="M29" s="95"/>
      <c r="N29" s="95"/>
      <c r="O29" s="95"/>
      <c r="P29" s="95"/>
      <c r="Q29" s="95"/>
      <c r="R29" s="96"/>
      <c r="S29" s="96"/>
      <c r="T29" s="96"/>
      <c r="U29" s="96"/>
      <c r="V29" s="96"/>
      <c r="W29" s="96"/>
      <c r="X29" s="96"/>
      <c r="Y29" s="96"/>
      <c r="Z29" s="96"/>
      <c r="AA29" s="96"/>
      <c r="AB29" s="96"/>
      <c r="AC29" s="96"/>
      <c r="AD29" s="96"/>
      <c r="AE29" s="96"/>
      <c r="AF29" s="96"/>
      <c r="AG29" s="97"/>
      <c r="AH29" s="10"/>
      <c r="AI29" s="3"/>
      <c r="AJ29" s="3"/>
    </row>
    <row r="30" spans="1:36" ht="15" customHeight="1" x14ac:dyDescent="0.25">
      <c r="A30" s="3"/>
      <c r="B30" s="94"/>
      <c r="C30" s="95"/>
      <c r="D30" s="95"/>
      <c r="E30" s="95"/>
      <c r="F30" s="95"/>
      <c r="G30" s="95"/>
      <c r="H30" s="95"/>
      <c r="I30" s="95"/>
      <c r="J30" s="95"/>
      <c r="K30" s="95"/>
      <c r="L30" s="95"/>
      <c r="M30" s="95"/>
      <c r="N30" s="95"/>
      <c r="O30" s="95"/>
      <c r="P30" s="95"/>
      <c r="Q30" s="95"/>
      <c r="R30" s="96"/>
      <c r="S30" s="96"/>
      <c r="T30" s="96"/>
      <c r="U30" s="96"/>
      <c r="V30" s="96"/>
      <c r="W30" s="96"/>
      <c r="X30" s="96"/>
      <c r="Y30" s="96"/>
      <c r="Z30" s="96"/>
      <c r="AA30" s="96"/>
      <c r="AB30" s="96"/>
      <c r="AC30" s="96"/>
      <c r="AD30" s="96"/>
      <c r="AE30" s="96"/>
      <c r="AF30" s="96"/>
      <c r="AG30" s="97"/>
      <c r="AH30" s="10"/>
      <c r="AI30" s="3"/>
      <c r="AJ30" s="3"/>
    </row>
    <row r="31" spans="1:36" ht="15" customHeight="1" x14ac:dyDescent="0.25">
      <c r="A31" s="3"/>
      <c r="B31" s="94"/>
      <c r="C31" s="95"/>
      <c r="D31" s="95"/>
      <c r="E31" s="95"/>
      <c r="F31" s="95"/>
      <c r="G31" s="95"/>
      <c r="H31" s="95"/>
      <c r="I31" s="95"/>
      <c r="J31" s="95"/>
      <c r="K31" s="95"/>
      <c r="L31" s="95"/>
      <c r="M31" s="95"/>
      <c r="N31" s="95"/>
      <c r="O31" s="95"/>
      <c r="P31" s="95"/>
      <c r="Q31" s="95"/>
      <c r="R31" s="96"/>
      <c r="S31" s="96"/>
      <c r="T31" s="96"/>
      <c r="U31" s="96"/>
      <c r="V31" s="96"/>
      <c r="W31" s="96"/>
      <c r="X31" s="96"/>
      <c r="Y31" s="96"/>
      <c r="Z31" s="96"/>
      <c r="AA31" s="96"/>
      <c r="AB31" s="96"/>
      <c r="AC31" s="96"/>
      <c r="AD31" s="96"/>
      <c r="AE31" s="96"/>
      <c r="AF31" s="96"/>
      <c r="AG31" s="97"/>
      <c r="AH31" s="10"/>
      <c r="AI31" s="3"/>
      <c r="AJ31" s="3"/>
    </row>
    <row r="32" spans="1:36" ht="15" customHeight="1" x14ac:dyDescent="0.25">
      <c r="A32" s="3"/>
      <c r="B32" s="94"/>
      <c r="C32" s="95"/>
      <c r="D32" s="95"/>
      <c r="E32" s="95"/>
      <c r="F32" s="95"/>
      <c r="G32" s="95"/>
      <c r="H32" s="95"/>
      <c r="I32" s="95"/>
      <c r="J32" s="95"/>
      <c r="K32" s="95"/>
      <c r="L32" s="95"/>
      <c r="M32" s="95"/>
      <c r="N32" s="95"/>
      <c r="O32" s="95"/>
      <c r="P32" s="95"/>
      <c r="Q32" s="95"/>
      <c r="R32" s="96"/>
      <c r="S32" s="96"/>
      <c r="T32" s="96"/>
      <c r="U32" s="96"/>
      <c r="V32" s="96"/>
      <c r="W32" s="96"/>
      <c r="X32" s="96"/>
      <c r="Y32" s="96"/>
      <c r="Z32" s="96"/>
      <c r="AA32" s="96"/>
      <c r="AB32" s="96"/>
      <c r="AC32" s="96"/>
      <c r="AD32" s="96"/>
      <c r="AE32" s="96"/>
      <c r="AF32" s="96"/>
      <c r="AG32" s="97"/>
      <c r="AH32" s="10"/>
      <c r="AI32" s="3"/>
      <c r="AJ32" s="3"/>
    </row>
    <row r="33" spans="1:36" ht="15" customHeight="1" x14ac:dyDescent="0.25">
      <c r="A33" s="3"/>
      <c r="B33" s="94"/>
      <c r="C33" s="95"/>
      <c r="D33" s="95"/>
      <c r="E33" s="95"/>
      <c r="F33" s="95"/>
      <c r="G33" s="95"/>
      <c r="H33" s="95"/>
      <c r="I33" s="95"/>
      <c r="J33" s="95"/>
      <c r="K33" s="95"/>
      <c r="L33" s="95"/>
      <c r="M33" s="95"/>
      <c r="N33" s="95"/>
      <c r="O33" s="95"/>
      <c r="P33" s="95"/>
      <c r="Q33" s="95"/>
      <c r="R33" s="96"/>
      <c r="S33" s="96"/>
      <c r="T33" s="96"/>
      <c r="U33" s="96"/>
      <c r="V33" s="96"/>
      <c r="W33" s="96"/>
      <c r="X33" s="96"/>
      <c r="Y33" s="96"/>
      <c r="Z33" s="96"/>
      <c r="AA33" s="96"/>
      <c r="AB33" s="96"/>
      <c r="AC33" s="96"/>
      <c r="AD33" s="96"/>
      <c r="AE33" s="96"/>
      <c r="AF33" s="96"/>
      <c r="AG33" s="97"/>
      <c r="AH33" s="10"/>
      <c r="AI33" s="3"/>
      <c r="AJ33" s="3"/>
    </row>
    <row r="34" spans="1:36" ht="15" customHeight="1" x14ac:dyDescent="0.25">
      <c r="A34" s="3"/>
      <c r="B34" s="94"/>
      <c r="C34" s="95"/>
      <c r="D34" s="95"/>
      <c r="E34" s="95"/>
      <c r="F34" s="95"/>
      <c r="G34" s="95"/>
      <c r="H34" s="95" t="s">
        <v>14</v>
      </c>
      <c r="I34" s="95"/>
      <c r="J34" s="95"/>
      <c r="K34" s="95"/>
      <c r="L34" s="95"/>
      <c r="M34" s="95"/>
      <c r="N34" s="95"/>
      <c r="O34" s="95"/>
      <c r="P34" s="95"/>
      <c r="Q34" s="95"/>
      <c r="R34" s="96"/>
      <c r="S34" s="96"/>
      <c r="T34" s="96"/>
      <c r="U34" s="96"/>
      <c r="V34" s="96"/>
      <c r="W34" s="96"/>
      <c r="X34" s="98" t="s">
        <v>739</v>
      </c>
      <c r="Y34" s="96"/>
      <c r="Z34" s="96"/>
      <c r="AA34" s="96"/>
      <c r="AB34" s="96"/>
      <c r="AC34" s="96"/>
      <c r="AD34" s="96"/>
      <c r="AE34" s="96"/>
      <c r="AF34" s="96"/>
      <c r="AG34" s="97"/>
      <c r="AH34" s="10"/>
      <c r="AI34" s="3"/>
      <c r="AJ34" s="3"/>
    </row>
    <row r="35" spans="1:36" ht="13.5" customHeight="1" x14ac:dyDescent="0.25">
      <c r="A35" s="3"/>
      <c r="B35" s="94"/>
      <c r="C35" s="95"/>
      <c r="D35" s="95"/>
      <c r="E35" s="95"/>
      <c r="F35" s="95"/>
      <c r="G35" s="95"/>
      <c r="H35" s="95"/>
      <c r="I35" s="95"/>
      <c r="J35" s="95"/>
      <c r="K35" s="95"/>
      <c r="L35" s="95"/>
      <c r="M35" s="95"/>
      <c r="N35" s="95"/>
      <c r="O35" s="95"/>
      <c r="P35" s="95"/>
      <c r="Q35" s="95"/>
      <c r="R35" s="96"/>
      <c r="S35" s="96"/>
      <c r="T35" s="96"/>
      <c r="U35" s="96"/>
      <c r="V35" s="96"/>
      <c r="W35" s="96"/>
      <c r="X35" s="96"/>
      <c r="Y35" s="96"/>
      <c r="Z35" s="96"/>
      <c r="AA35" s="96"/>
      <c r="AB35" s="96"/>
      <c r="AC35" s="96"/>
      <c r="AD35" s="96"/>
      <c r="AE35" s="96"/>
      <c r="AF35" s="96"/>
      <c r="AG35" s="97"/>
      <c r="AH35" s="10"/>
      <c r="AI35" s="3"/>
      <c r="AJ35" s="3"/>
    </row>
    <row r="36" spans="1:36" ht="15" customHeight="1" x14ac:dyDescent="0.25">
      <c r="A36" s="3"/>
      <c r="B36" s="94"/>
      <c r="C36" s="95"/>
      <c r="D36" s="95"/>
      <c r="E36" s="95"/>
      <c r="F36" s="95"/>
      <c r="G36" s="95"/>
      <c r="H36" s="95"/>
      <c r="I36" s="95"/>
      <c r="J36" s="95"/>
      <c r="K36" s="95"/>
      <c r="L36" s="95"/>
      <c r="M36" s="95"/>
      <c r="N36" s="95"/>
      <c r="O36" s="95"/>
      <c r="P36" s="95"/>
      <c r="Q36" s="95"/>
      <c r="R36" s="96"/>
      <c r="S36" s="96"/>
      <c r="T36" s="96"/>
      <c r="U36" s="96"/>
      <c r="V36" s="96"/>
      <c r="W36" s="96"/>
      <c r="X36" s="96"/>
      <c r="Y36" s="96"/>
      <c r="Z36" s="96"/>
      <c r="AA36" s="96"/>
      <c r="AB36" s="96"/>
      <c r="AC36" s="96"/>
      <c r="AD36" s="96"/>
      <c r="AE36" s="96"/>
      <c r="AF36" s="96"/>
      <c r="AG36" s="97"/>
      <c r="AH36" s="10"/>
      <c r="AI36" s="3"/>
      <c r="AJ36" s="3"/>
    </row>
    <row r="37" spans="1:36" ht="15" customHeight="1" x14ac:dyDescent="0.25">
      <c r="A37" s="3"/>
      <c r="B37" s="94"/>
      <c r="C37" s="95"/>
      <c r="D37" s="95"/>
      <c r="E37" s="95"/>
      <c r="F37" s="95"/>
      <c r="G37" s="95"/>
      <c r="H37" s="95"/>
      <c r="I37" s="95"/>
      <c r="J37" s="95"/>
      <c r="K37" s="95"/>
      <c r="L37" s="95"/>
      <c r="M37" s="95"/>
      <c r="N37" s="95"/>
      <c r="O37" s="95"/>
      <c r="P37" s="95"/>
      <c r="Q37" s="95"/>
      <c r="R37" s="96"/>
      <c r="S37" s="96"/>
      <c r="T37" s="96"/>
      <c r="U37" s="96"/>
      <c r="V37" s="96"/>
      <c r="W37" s="96"/>
      <c r="X37" s="96"/>
      <c r="Y37" s="96"/>
      <c r="Z37" s="96"/>
      <c r="AA37" s="96"/>
      <c r="AB37" s="96"/>
      <c r="AC37" s="96"/>
      <c r="AD37" s="96"/>
      <c r="AE37" s="96"/>
      <c r="AF37" s="96"/>
      <c r="AG37" s="97"/>
      <c r="AH37" s="10"/>
      <c r="AI37" s="3"/>
      <c r="AJ37" s="3"/>
    </row>
    <row r="38" spans="1:36" ht="15" customHeight="1" x14ac:dyDescent="0.25">
      <c r="A38" s="3"/>
      <c r="B38" s="94"/>
      <c r="C38" s="95"/>
      <c r="D38" s="95"/>
      <c r="E38" s="95"/>
      <c r="F38" s="95"/>
      <c r="G38" s="95"/>
      <c r="H38" s="95"/>
      <c r="I38" s="95"/>
      <c r="J38" s="95"/>
      <c r="K38" s="95"/>
      <c r="L38" s="95"/>
      <c r="M38" s="95"/>
      <c r="N38" s="95"/>
      <c r="O38" s="95"/>
      <c r="P38" s="95"/>
      <c r="Q38" s="95"/>
      <c r="R38" s="99"/>
      <c r="S38" s="96"/>
      <c r="T38" s="96"/>
      <c r="U38" s="96"/>
      <c r="V38" s="96"/>
      <c r="W38" s="96"/>
      <c r="X38" s="96"/>
      <c r="Y38" s="96"/>
      <c r="Z38" s="96"/>
      <c r="AA38" s="96"/>
      <c r="AB38" s="96"/>
      <c r="AC38" s="96"/>
      <c r="AD38" s="96"/>
      <c r="AE38" s="96"/>
      <c r="AF38" s="96"/>
      <c r="AG38" s="97"/>
      <c r="AH38" s="10"/>
      <c r="AI38" s="3"/>
      <c r="AJ38" s="3"/>
    </row>
    <row r="39" spans="1:36" ht="15" customHeight="1" x14ac:dyDescent="0.25">
      <c r="A39" s="3"/>
      <c r="B39" s="94"/>
      <c r="C39" s="95"/>
      <c r="D39" s="95"/>
      <c r="E39" s="95"/>
      <c r="F39" s="95"/>
      <c r="G39" s="95"/>
      <c r="H39" s="95"/>
      <c r="I39" s="95"/>
      <c r="J39" s="95"/>
      <c r="K39" s="95"/>
      <c r="L39" s="95"/>
      <c r="M39" s="95"/>
      <c r="N39" s="95"/>
      <c r="O39" s="95"/>
      <c r="P39" s="95"/>
      <c r="Q39" s="95"/>
      <c r="R39" s="96"/>
      <c r="S39" s="96"/>
      <c r="T39" s="96"/>
      <c r="U39" s="96"/>
      <c r="V39" s="96"/>
      <c r="W39" s="96"/>
      <c r="X39" s="96"/>
      <c r="Y39" s="96"/>
      <c r="Z39" s="96"/>
      <c r="AA39" s="96"/>
      <c r="AB39" s="96"/>
      <c r="AC39" s="96"/>
      <c r="AD39" s="96"/>
      <c r="AE39" s="96"/>
      <c r="AF39" s="96"/>
      <c r="AG39" s="97"/>
      <c r="AH39" s="10"/>
      <c r="AI39" s="3"/>
      <c r="AJ39" s="3"/>
    </row>
    <row r="40" spans="1:36" ht="15" customHeight="1" x14ac:dyDescent="0.25">
      <c r="A40" s="3"/>
      <c r="B40" s="94"/>
      <c r="C40" s="95"/>
      <c r="D40" s="95"/>
      <c r="E40" s="95"/>
      <c r="F40" s="95"/>
      <c r="G40" s="95"/>
      <c r="H40" s="95"/>
      <c r="I40" s="95"/>
      <c r="J40" s="95"/>
      <c r="K40" s="95"/>
      <c r="L40" s="95"/>
      <c r="M40" s="95"/>
      <c r="N40" s="95"/>
      <c r="O40" s="95"/>
      <c r="P40" s="95"/>
      <c r="Q40" s="95"/>
      <c r="R40" s="96"/>
      <c r="S40" s="96"/>
      <c r="T40" s="96"/>
      <c r="U40" s="96"/>
      <c r="V40" s="96"/>
      <c r="W40" s="96"/>
      <c r="X40" s="96"/>
      <c r="Y40" s="96"/>
      <c r="Z40" s="96"/>
      <c r="AA40" s="96"/>
      <c r="AB40" s="96"/>
      <c r="AC40" s="96"/>
      <c r="AD40" s="96"/>
      <c r="AE40" s="96"/>
      <c r="AF40" s="96"/>
      <c r="AG40" s="97"/>
      <c r="AH40" s="10"/>
      <c r="AI40" s="3"/>
      <c r="AJ40" s="3"/>
    </row>
    <row r="41" spans="1:36" ht="15" customHeight="1" x14ac:dyDescent="0.25">
      <c r="A41" s="3"/>
      <c r="B41" s="94"/>
      <c r="C41" s="95"/>
      <c r="D41" s="95"/>
      <c r="E41" s="95"/>
      <c r="F41" s="95"/>
      <c r="G41" s="95"/>
      <c r="H41" s="95"/>
      <c r="I41" s="95"/>
      <c r="J41" s="95"/>
      <c r="K41" s="95"/>
      <c r="L41" s="95"/>
      <c r="M41" s="95"/>
      <c r="N41" s="95"/>
      <c r="O41" s="95"/>
      <c r="P41" s="95"/>
      <c r="Q41" s="95"/>
      <c r="R41" s="96"/>
      <c r="S41" s="96"/>
      <c r="T41" s="96"/>
      <c r="U41" s="96"/>
      <c r="V41" s="96"/>
      <c r="W41" s="96"/>
      <c r="X41" s="96"/>
      <c r="Y41" s="96"/>
      <c r="Z41" s="96"/>
      <c r="AA41" s="96"/>
      <c r="AB41" s="96"/>
      <c r="AC41" s="96"/>
      <c r="AD41" s="96"/>
      <c r="AE41" s="96"/>
      <c r="AF41" s="96"/>
      <c r="AG41" s="97"/>
      <c r="AH41" s="10"/>
      <c r="AI41" s="3"/>
      <c r="AJ41" s="3"/>
    </row>
    <row r="42" spans="1:36" ht="15" customHeight="1" x14ac:dyDescent="0.25">
      <c r="A42" s="3"/>
      <c r="B42" s="100"/>
      <c r="C42" s="101"/>
      <c r="D42" s="101"/>
      <c r="E42" s="101"/>
      <c r="F42" s="101"/>
      <c r="G42" s="101"/>
      <c r="H42" s="101"/>
      <c r="I42" s="101"/>
      <c r="J42" s="101"/>
      <c r="K42" s="101"/>
      <c r="L42" s="101"/>
      <c r="M42" s="101"/>
      <c r="N42" s="101"/>
      <c r="O42" s="101"/>
      <c r="P42" s="101"/>
      <c r="Q42" s="101"/>
      <c r="R42" s="102"/>
      <c r="S42" s="102"/>
      <c r="T42" s="102"/>
      <c r="U42" s="102"/>
      <c r="V42" s="102"/>
      <c r="W42" s="102"/>
      <c r="X42" s="102"/>
      <c r="Y42" s="102"/>
      <c r="Z42" s="102"/>
      <c r="AA42" s="102"/>
      <c r="AB42" s="102"/>
      <c r="AC42" s="102"/>
      <c r="AD42" s="102"/>
      <c r="AE42" s="102"/>
      <c r="AF42" s="102"/>
      <c r="AG42" s="103"/>
      <c r="AH42" s="10"/>
      <c r="AI42" s="3"/>
      <c r="AJ42" s="3"/>
    </row>
    <row r="43" spans="1:36" ht="15" customHeight="1" x14ac:dyDescent="0.2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10"/>
      <c r="AI43" s="3"/>
      <c r="AJ43" s="3"/>
    </row>
    <row r="44" spans="1:36" ht="15" customHeight="1" x14ac:dyDescent="0.25">
      <c r="A44" s="3"/>
      <c r="B44" s="6" t="s">
        <v>15</v>
      </c>
      <c r="C44" s="6"/>
      <c r="D44" s="6"/>
      <c r="E44" s="13"/>
      <c r="F44" s="3"/>
      <c r="G44" s="14"/>
      <c r="H44" s="3"/>
      <c r="I44" s="15" t="s">
        <v>16</v>
      </c>
      <c r="J44" s="15"/>
      <c r="K44" s="15"/>
      <c r="L44" s="15"/>
      <c r="M44" s="15"/>
      <c r="N44" s="15"/>
      <c r="O44" s="15"/>
      <c r="P44" s="15"/>
      <c r="Q44" s="15"/>
      <c r="R44" s="15"/>
      <c r="S44" s="137"/>
      <c r="T44" s="138"/>
      <c r="U44" s="138"/>
      <c r="V44" s="138"/>
      <c r="W44" s="138"/>
      <c r="X44" s="3"/>
      <c r="Y44" s="16" t="s">
        <v>17</v>
      </c>
      <c r="Z44" s="16"/>
      <c r="AA44" s="16"/>
      <c r="AB44" s="16"/>
      <c r="AC44" s="144"/>
      <c r="AD44" s="138"/>
      <c r="AE44" s="138"/>
      <c r="AF44" s="138"/>
      <c r="AG44" s="138"/>
      <c r="AH44" s="10"/>
      <c r="AI44" s="3"/>
      <c r="AJ44" s="3"/>
    </row>
    <row r="45" spans="1:36" ht="15" customHeight="1" x14ac:dyDescent="0.25">
      <c r="A45" s="10"/>
      <c r="B45" s="6"/>
      <c r="C45" s="10"/>
      <c r="D45" s="10"/>
      <c r="E45" s="10"/>
      <c r="F45" s="3"/>
      <c r="G45" s="17"/>
      <c r="H45" s="3"/>
      <c r="I45" s="10"/>
      <c r="J45" s="10"/>
      <c r="K45" s="10"/>
      <c r="L45" s="10"/>
      <c r="M45" s="10"/>
      <c r="N45" s="10"/>
      <c r="O45" s="10"/>
      <c r="P45" s="10"/>
      <c r="Q45" s="10"/>
      <c r="R45" s="10"/>
      <c r="S45" s="10"/>
      <c r="T45" s="10"/>
      <c r="U45" s="10"/>
      <c r="V45" s="10"/>
      <c r="W45" s="10"/>
      <c r="X45" s="3"/>
      <c r="Y45" s="10"/>
      <c r="Z45" s="10"/>
      <c r="AA45" s="10"/>
      <c r="AB45" s="10"/>
      <c r="AC45" s="10"/>
      <c r="AD45" s="10"/>
      <c r="AE45" s="10"/>
      <c r="AF45" s="10"/>
      <c r="AG45" s="10"/>
      <c r="AH45" s="10"/>
      <c r="AI45" s="3"/>
      <c r="AJ45" s="3"/>
    </row>
    <row r="46" spans="1:36" ht="15" customHeight="1" x14ac:dyDescent="0.25">
      <c r="A46" s="10"/>
      <c r="B46" s="10"/>
      <c r="C46" s="10"/>
      <c r="D46" s="10"/>
      <c r="E46" s="10"/>
      <c r="F46" s="3"/>
      <c r="G46" s="14"/>
      <c r="H46" s="3"/>
      <c r="I46" s="15" t="s">
        <v>18</v>
      </c>
      <c r="J46" s="15"/>
      <c r="K46" s="15"/>
      <c r="L46" s="15"/>
      <c r="M46" s="15"/>
      <c r="N46" s="15"/>
      <c r="O46" s="15"/>
      <c r="P46" s="15"/>
      <c r="Q46" s="15"/>
      <c r="R46" s="15"/>
      <c r="S46" s="137"/>
      <c r="T46" s="138"/>
      <c r="U46" s="138"/>
      <c r="V46" s="138"/>
      <c r="W46" s="138"/>
      <c r="X46" s="3"/>
      <c r="Y46" s="16" t="s">
        <v>17</v>
      </c>
      <c r="Z46" s="16"/>
      <c r="AA46" s="16"/>
      <c r="AB46" s="16"/>
      <c r="AC46" s="144"/>
      <c r="AD46" s="138"/>
      <c r="AE46" s="138"/>
      <c r="AF46" s="138"/>
      <c r="AG46" s="138"/>
      <c r="AH46" s="10"/>
      <c r="AI46" s="3"/>
      <c r="AJ46" s="3"/>
    </row>
    <row r="47" spans="1:36" ht="15" customHeight="1" x14ac:dyDescent="0.25">
      <c r="A47" s="10"/>
      <c r="B47" s="10"/>
      <c r="C47" s="10"/>
      <c r="D47" s="10"/>
      <c r="E47" s="10"/>
      <c r="F47" s="3"/>
      <c r="G47" s="17"/>
      <c r="H47" s="3"/>
      <c r="I47" s="10"/>
      <c r="J47" s="10"/>
      <c r="K47" s="10"/>
      <c r="L47" s="10"/>
      <c r="M47" s="10"/>
      <c r="N47" s="10"/>
      <c r="O47" s="10"/>
      <c r="P47" s="10"/>
      <c r="Q47" s="10"/>
      <c r="R47" s="10"/>
      <c r="S47" s="10"/>
      <c r="T47" s="10"/>
      <c r="U47" s="10"/>
      <c r="V47" s="10"/>
      <c r="W47" s="10"/>
      <c r="X47" s="3"/>
      <c r="Y47" s="10"/>
      <c r="Z47" s="10"/>
      <c r="AA47" s="10"/>
      <c r="AB47" s="10"/>
      <c r="AC47" s="10"/>
      <c r="AD47" s="6"/>
      <c r="AE47" s="6"/>
      <c r="AF47" s="6"/>
      <c r="AG47" s="6"/>
      <c r="AH47" s="10"/>
      <c r="AI47" s="3"/>
      <c r="AJ47" s="3"/>
    </row>
    <row r="48" spans="1:36" ht="15" customHeight="1" x14ac:dyDescent="0.25">
      <c r="A48" s="10"/>
      <c r="B48" s="10"/>
      <c r="C48" s="10"/>
      <c r="D48" s="10"/>
      <c r="E48" s="10"/>
      <c r="F48" s="3"/>
      <c r="G48" s="14" t="s">
        <v>19</v>
      </c>
      <c r="H48" s="3"/>
      <c r="I48" s="15" t="s">
        <v>20</v>
      </c>
      <c r="J48" s="15"/>
      <c r="K48" s="15"/>
      <c r="L48" s="15"/>
      <c r="M48" s="15"/>
      <c r="N48" s="15"/>
      <c r="O48" s="15"/>
      <c r="P48" s="15"/>
      <c r="Q48" s="15"/>
      <c r="R48" s="15"/>
      <c r="S48" s="137" t="s">
        <v>21</v>
      </c>
      <c r="T48" s="138"/>
      <c r="U48" s="138"/>
      <c r="V48" s="138"/>
      <c r="W48" s="138"/>
      <c r="X48" s="3"/>
      <c r="Y48" s="6" t="s">
        <v>17</v>
      </c>
      <c r="Z48" s="6"/>
      <c r="AA48" s="6"/>
      <c r="AB48" s="6"/>
      <c r="AC48" s="144" t="s">
        <v>22</v>
      </c>
      <c r="AD48" s="138"/>
      <c r="AE48" s="138"/>
      <c r="AF48" s="138"/>
      <c r="AG48" s="138"/>
      <c r="AH48" s="10"/>
      <c r="AI48" s="3"/>
      <c r="AJ48" s="3"/>
    </row>
    <row r="49" spans="1:36" ht="15" customHeight="1" x14ac:dyDescent="0.25">
      <c r="A49" s="10"/>
      <c r="B49" s="10"/>
      <c r="C49" s="10"/>
      <c r="D49" s="10"/>
      <c r="E49" s="10"/>
      <c r="F49" s="3"/>
      <c r="G49" s="18"/>
      <c r="H49" s="3"/>
      <c r="I49" s="10"/>
      <c r="J49" s="10"/>
      <c r="K49" s="10"/>
      <c r="L49" s="10"/>
      <c r="M49" s="10"/>
      <c r="N49" s="10"/>
      <c r="O49" s="10"/>
      <c r="P49" s="10"/>
      <c r="Q49" s="10"/>
      <c r="R49" s="10"/>
      <c r="S49" s="10"/>
      <c r="T49" s="10"/>
      <c r="U49" s="10"/>
      <c r="V49" s="10"/>
      <c r="W49" s="10"/>
      <c r="X49" s="3"/>
      <c r="Y49" s="10"/>
      <c r="Z49" s="10"/>
      <c r="AA49" s="10"/>
      <c r="AB49" s="10"/>
      <c r="AC49" s="10"/>
      <c r="AD49" s="10"/>
      <c r="AE49" s="10"/>
      <c r="AF49" s="10"/>
      <c r="AG49" s="10"/>
      <c r="AH49" s="10"/>
      <c r="AI49" s="3"/>
      <c r="AJ49" s="3"/>
    </row>
    <row r="50" spans="1:36" ht="15" customHeight="1" x14ac:dyDescent="0.25">
      <c r="A50" s="10"/>
      <c r="B50" s="10"/>
      <c r="C50" s="10"/>
      <c r="D50" s="10"/>
      <c r="E50" s="10"/>
      <c r="F50" s="3"/>
      <c r="G50" s="14"/>
      <c r="H50" s="3"/>
      <c r="I50" s="6" t="s">
        <v>23</v>
      </c>
      <c r="J50" s="10"/>
      <c r="K50" s="10"/>
      <c r="L50" s="10"/>
      <c r="M50" s="10"/>
      <c r="N50" s="10"/>
      <c r="O50" s="10"/>
      <c r="P50" s="10"/>
      <c r="Q50" s="10"/>
      <c r="R50" s="10"/>
      <c r="S50" s="137"/>
      <c r="T50" s="138"/>
      <c r="U50" s="138"/>
      <c r="V50" s="138"/>
      <c r="W50" s="138"/>
      <c r="X50" s="3"/>
      <c r="Y50" s="10"/>
      <c r="Z50" s="10"/>
      <c r="AA50" s="10"/>
      <c r="AB50" s="10"/>
      <c r="AC50" s="10"/>
      <c r="AD50" s="10"/>
      <c r="AE50" s="10"/>
      <c r="AF50" s="10"/>
      <c r="AG50" s="10"/>
      <c r="AH50" s="10"/>
      <c r="AI50" s="3"/>
      <c r="AJ50" s="3"/>
    </row>
    <row r="51" spans="1:36" ht="1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row>
    <row r="52" spans="1:36" ht="15" customHeight="1" x14ac:dyDescent="0.25">
      <c r="A52" s="3"/>
      <c r="B52" s="148" t="s">
        <v>24</v>
      </c>
      <c r="C52" s="140"/>
      <c r="D52" s="140"/>
      <c r="E52" s="140"/>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3"/>
      <c r="AJ52" s="3"/>
    </row>
    <row r="53" spans="1:36" ht="27" customHeight="1" x14ac:dyDescent="0.25">
      <c r="A53" s="3"/>
      <c r="B53" s="154" t="s">
        <v>733</v>
      </c>
      <c r="C53" s="140"/>
      <c r="D53" s="140"/>
      <c r="E53" s="140"/>
      <c r="F53" s="140"/>
      <c r="G53" s="140"/>
      <c r="H53" s="140"/>
      <c r="I53" s="140"/>
      <c r="J53" s="140"/>
      <c r="K53" s="140"/>
      <c r="L53" s="140"/>
      <c r="M53" s="140"/>
      <c r="N53" s="140"/>
      <c r="O53" s="140"/>
      <c r="P53" s="140"/>
      <c r="Q53" s="140"/>
      <c r="R53" s="140"/>
      <c r="S53" s="140"/>
      <c r="T53" s="140"/>
      <c r="U53" s="140"/>
      <c r="V53" s="140"/>
      <c r="W53" s="140"/>
      <c r="X53" s="140"/>
      <c r="Y53" s="140"/>
      <c r="Z53" s="140"/>
      <c r="AA53" s="140"/>
      <c r="AB53" s="140"/>
      <c r="AC53" s="140"/>
      <c r="AD53" s="140"/>
      <c r="AE53" s="140"/>
      <c r="AF53" s="140"/>
      <c r="AG53" s="140"/>
      <c r="AH53" s="140"/>
      <c r="AI53" s="3"/>
      <c r="AJ53" s="3"/>
    </row>
    <row r="54" spans="1:36" ht="15" customHeight="1" x14ac:dyDescent="0.25">
      <c r="A54" s="3"/>
      <c r="B54" s="153"/>
      <c r="C54" s="140"/>
      <c r="D54" s="140"/>
      <c r="E54" s="140"/>
      <c r="F54" s="140"/>
      <c r="G54" s="140"/>
      <c r="H54" s="140"/>
      <c r="I54" s="140"/>
      <c r="J54" s="140"/>
      <c r="K54" s="140"/>
      <c r="L54" s="140"/>
      <c r="M54" s="140"/>
      <c r="N54" s="140"/>
      <c r="O54" s="140"/>
      <c r="P54" s="140"/>
      <c r="Q54" s="140"/>
      <c r="R54" s="140"/>
      <c r="S54" s="140"/>
      <c r="T54" s="140"/>
      <c r="U54" s="140"/>
      <c r="V54" s="140"/>
      <c r="W54" s="140"/>
      <c r="X54" s="140"/>
      <c r="Y54" s="140"/>
      <c r="Z54" s="140"/>
      <c r="AA54" s="140"/>
      <c r="AB54" s="140"/>
      <c r="AC54" s="140"/>
      <c r="AD54" s="140"/>
      <c r="AE54" s="140"/>
      <c r="AF54" s="140"/>
      <c r="AG54" s="140"/>
      <c r="AH54" s="140"/>
      <c r="AI54" s="3"/>
      <c r="AJ54" s="3"/>
    </row>
    <row r="55" spans="1:36" ht="1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row>
    <row r="56" spans="1:36" ht="15" customHeight="1" x14ac:dyDescent="0.25">
      <c r="A56" s="3"/>
      <c r="B56" s="146" t="s">
        <v>25</v>
      </c>
      <c r="C56" s="140"/>
      <c r="D56" s="140"/>
      <c r="E56" s="140"/>
      <c r="F56" s="150" t="s">
        <v>26</v>
      </c>
      <c r="G56" s="140"/>
      <c r="H56" s="140"/>
      <c r="I56" s="140"/>
      <c r="J56" s="140"/>
      <c r="K56" s="140"/>
      <c r="L56" s="140"/>
      <c r="M56" s="140"/>
      <c r="N56" s="140"/>
      <c r="O56" s="140"/>
      <c r="P56" s="140"/>
      <c r="Q56" s="20"/>
      <c r="R56" s="20"/>
      <c r="S56" s="20"/>
      <c r="T56" s="20"/>
      <c r="U56" s="20"/>
      <c r="V56" s="20"/>
      <c r="W56" s="20"/>
      <c r="X56" s="20"/>
      <c r="Y56" s="20"/>
      <c r="Z56" s="20"/>
      <c r="AA56" s="20"/>
      <c r="AB56" s="20"/>
      <c r="AC56" s="20"/>
      <c r="AD56" s="20"/>
      <c r="AE56" s="20"/>
      <c r="AF56" s="20"/>
      <c r="AG56" s="20"/>
      <c r="AH56" s="20"/>
      <c r="AI56" s="3"/>
      <c r="AJ56" s="3"/>
    </row>
  </sheetData>
  <mergeCells count="26">
    <mergeCell ref="B56:E56"/>
    <mergeCell ref="H7:O7"/>
    <mergeCell ref="B52:E52"/>
    <mergeCell ref="R5:W5"/>
    <mergeCell ref="A1:AH1"/>
    <mergeCell ref="AC46:AG46"/>
    <mergeCell ref="AC44:AG44"/>
    <mergeCell ref="Y5:AB5"/>
    <mergeCell ref="F56:P56"/>
    <mergeCell ref="B9:AG9"/>
    <mergeCell ref="X7:AF7"/>
    <mergeCell ref="B54:AH54"/>
    <mergeCell ref="D7:G7"/>
    <mergeCell ref="S50:W50"/>
    <mergeCell ref="S44:W44"/>
    <mergeCell ref="B53:AH53"/>
    <mergeCell ref="S48:W48"/>
    <mergeCell ref="D3:O3"/>
    <mergeCell ref="AC5:AG5"/>
    <mergeCell ref="Q3:AF3"/>
    <mergeCell ref="AC48:AG48"/>
    <mergeCell ref="L5:Q5"/>
    <mergeCell ref="C5:G5"/>
    <mergeCell ref="S46:W46"/>
    <mergeCell ref="U7:W7"/>
    <mergeCell ref="H5:K5"/>
  </mergeCells>
  <printOptions horizontalCentered="1"/>
  <pageMargins left="0.25" right="0.25" top="0.52500000000000002" bottom="0.5" header="0.511811023622047" footer="0.511811023622047"/>
  <pageSetup paperSize="5"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09"/>
  <sheetViews>
    <sheetView view="pageBreakPreview" topLeftCell="A88" zoomScaleNormal="100" workbookViewId="0">
      <selection activeCell="J100" sqref="J100"/>
    </sheetView>
  </sheetViews>
  <sheetFormatPr defaultColWidth="14.42578125" defaultRowHeight="15" x14ac:dyDescent="0.25"/>
  <cols>
    <col min="1" max="1" width="8.42578125" customWidth="1"/>
    <col min="2" max="2" width="42.85546875" style="21" customWidth="1"/>
    <col min="3" max="3" width="13.28515625" style="22" customWidth="1"/>
    <col min="4" max="4" width="11" style="22" customWidth="1"/>
    <col min="5" max="5" width="10.5703125" style="22" customWidth="1"/>
    <col min="6" max="6" width="10.42578125" style="22" customWidth="1"/>
    <col min="7" max="7" width="29.7109375" style="75" customWidth="1"/>
  </cols>
  <sheetData>
    <row r="1" spans="1:7" x14ac:dyDescent="0.25">
      <c r="A1" s="23"/>
      <c r="B1" s="23"/>
      <c r="C1" s="23"/>
      <c r="D1" s="23"/>
      <c r="E1" s="23"/>
      <c r="F1" s="23"/>
      <c r="G1" s="47"/>
    </row>
    <row r="2" spans="1:7" x14ac:dyDescent="0.25">
      <c r="A2" s="23"/>
      <c r="B2" s="155" t="s">
        <v>595</v>
      </c>
      <c r="C2" s="156"/>
      <c r="D2" s="156"/>
      <c r="E2" s="156"/>
      <c r="F2" s="156"/>
      <c r="G2" s="156"/>
    </row>
    <row r="3" spans="1:7" x14ac:dyDescent="0.25">
      <c r="A3" s="23"/>
      <c r="B3" s="23"/>
      <c r="C3" s="23"/>
      <c r="D3" s="23"/>
      <c r="E3" s="23"/>
      <c r="F3" s="23"/>
      <c r="G3" s="47"/>
    </row>
    <row r="4" spans="1:7" x14ac:dyDescent="0.25">
      <c r="A4" s="23"/>
      <c r="B4" s="24" t="s">
        <v>27</v>
      </c>
      <c r="C4" s="25" t="s">
        <v>28</v>
      </c>
      <c r="D4" s="25"/>
      <c r="E4" s="25"/>
      <c r="F4" s="25"/>
      <c r="G4" s="74"/>
    </row>
    <row r="5" spans="1:7" x14ac:dyDescent="0.25">
      <c r="A5" s="23"/>
      <c r="B5" s="24" t="s">
        <v>29</v>
      </c>
      <c r="C5" s="25" t="s">
        <v>30</v>
      </c>
      <c r="D5" s="25"/>
      <c r="E5" s="25"/>
      <c r="F5" s="25"/>
      <c r="G5" s="74"/>
    </row>
    <row r="6" spans="1:7" x14ac:dyDescent="0.25">
      <c r="A6" s="23"/>
      <c r="B6" s="23"/>
      <c r="C6" s="23"/>
      <c r="D6" s="23"/>
      <c r="E6" s="23"/>
      <c r="F6" s="23"/>
      <c r="G6" s="47"/>
    </row>
    <row r="7" spans="1:7" x14ac:dyDescent="0.25">
      <c r="A7" s="23"/>
      <c r="B7" s="26" t="s">
        <v>31</v>
      </c>
      <c r="C7" s="26" t="s">
        <v>32</v>
      </c>
      <c r="D7" s="26" t="s">
        <v>33</v>
      </c>
      <c r="E7" s="46" t="s">
        <v>34</v>
      </c>
      <c r="F7" s="26" t="s">
        <v>35</v>
      </c>
      <c r="G7" s="59" t="s">
        <v>36</v>
      </c>
    </row>
    <row r="8" spans="1:7" ht="60" x14ac:dyDescent="0.25">
      <c r="A8" s="47"/>
      <c r="B8" s="60" t="s">
        <v>40</v>
      </c>
      <c r="C8" s="61" t="s">
        <v>48</v>
      </c>
      <c r="D8" s="60" t="s">
        <v>107</v>
      </c>
      <c r="E8" s="73" t="s">
        <v>39</v>
      </c>
      <c r="F8" s="60" t="s">
        <v>593</v>
      </c>
      <c r="G8" s="60" t="s">
        <v>767</v>
      </c>
    </row>
    <row r="9" spans="1:7" ht="72" x14ac:dyDescent="0.25">
      <c r="A9" s="47"/>
      <c r="B9" s="60" t="s">
        <v>37</v>
      </c>
      <c r="C9" s="61" t="s">
        <v>48</v>
      </c>
      <c r="D9" s="60" t="s">
        <v>121</v>
      </c>
      <c r="E9" s="73" t="s">
        <v>39</v>
      </c>
      <c r="F9" s="60" t="s">
        <v>593</v>
      </c>
      <c r="G9" s="60" t="s">
        <v>768</v>
      </c>
    </row>
    <row r="10" spans="1:7" ht="72" x14ac:dyDescent="0.25">
      <c r="A10" s="47"/>
      <c r="B10" s="60" t="s">
        <v>37</v>
      </c>
      <c r="C10" s="61" t="s">
        <v>48</v>
      </c>
      <c r="D10" s="60" t="s">
        <v>137</v>
      </c>
      <c r="E10" s="73" t="s">
        <v>39</v>
      </c>
      <c r="F10" s="60" t="s">
        <v>593</v>
      </c>
      <c r="G10" s="60" t="s">
        <v>769</v>
      </c>
    </row>
    <row r="11" spans="1:7" ht="72" x14ac:dyDescent="0.25">
      <c r="A11" s="47"/>
      <c r="B11" s="60" t="s">
        <v>40</v>
      </c>
      <c r="C11" s="61" t="s">
        <v>48</v>
      </c>
      <c r="D11" s="60" t="s">
        <v>138</v>
      </c>
      <c r="E11" s="73" t="s">
        <v>39</v>
      </c>
      <c r="F11" s="60" t="s">
        <v>593</v>
      </c>
      <c r="G11" s="60" t="s">
        <v>769</v>
      </c>
    </row>
    <row r="12" spans="1:7" ht="72" x14ac:dyDescent="0.25">
      <c r="A12" s="23"/>
      <c r="B12" s="27" t="s">
        <v>37</v>
      </c>
      <c r="C12" s="61" t="s">
        <v>48</v>
      </c>
      <c r="D12" s="27" t="s">
        <v>38</v>
      </c>
      <c r="E12" s="73" t="s">
        <v>39</v>
      </c>
      <c r="F12" s="27" t="s">
        <v>593</v>
      </c>
      <c r="G12" s="60" t="s">
        <v>770</v>
      </c>
    </row>
    <row r="13" spans="1:7" ht="72" x14ac:dyDescent="0.25">
      <c r="A13" s="23"/>
      <c r="B13" s="27" t="s">
        <v>40</v>
      </c>
      <c r="C13" s="61" t="s">
        <v>48</v>
      </c>
      <c r="D13" s="27" t="s">
        <v>41</v>
      </c>
      <c r="E13" s="73" t="s">
        <v>39</v>
      </c>
      <c r="F13" s="27" t="s">
        <v>593</v>
      </c>
      <c r="G13" s="60" t="s">
        <v>770</v>
      </c>
    </row>
    <row r="14" spans="1:7" ht="84" x14ac:dyDescent="0.25">
      <c r="A14" s="23"/>
      <c r="B14" s="27" t="s">
        <v>37</v>
      </c>
      <c r="C14" s="61" t="s">
        <v>48</v>
      </c>
      <c r="D14" s="27" t="s">
        <v>42</v>
      </c>
      <c r="E14" s="73" t="s">
        <v>39</v>
      </c>
      <c r="F14" s="27" t="s">
        <v>593</v>
      </c>
      <c r="G14" s="60" t="s">
        <v>771</v>
      </c>
    </row>
    <row r="15" spans="1:7" x14ac:dyDescent="0.25">
      <c r="A15" s="23"/>
      <c r="B15" s="29" t="s">
        <v>43</v>
      </c>
      <c r="C15" s="30" t="s">
        <v>44</v>
      </c>
      <c r="D15" s="23"/>
      <c r="E15" s="47"/>
      <c r="F15" s="23"/>
      <c r="G15" s="47"/>
    </row>
    <row r="16" spans="1:7" x14ac:dyDescent="0.25">
      <c r="A16" s="23"/>
      <c r="B16" s="23"/>
      <c r="C16" s="23"/>
      <c r="D16" s="23"/>
      <c r="E16" s="47"/>
      <c r="F16" s="23"/>
      <c r="G16" s="47"/>
    </row>
    <row r="17" spans="1:7" x14ac:dyDescent="0.25">
      <c r="A17" s="23"/>
      <c r="B17" s="24" t="s">
        <v>45</v>
      </c>
      <c r="C17" s="25" t="s">
        <v>46</v>
      </c>
      <c r="D17" s="25"/>
      <c r="E17" s="48"/>
      <c r="F17" s="25"/>
      <c r="G17" s="74"/>
    </row>
    <row r="18" spans="1:7" x14ac:dyDescent="0.25">
      <c r="A18" s="23"/>
      <c r="B18" s="24" t="s">
        <v>29</v>
      </c>
      <c r="C18" s="25" t="s">
        <v>30</v>
      </c>
      <c r="D18" s="25"/>
      <c r="E18" s="48"/>
      <c r="F18" s="25"/>
      <c r="G18" s="74"/>
    </row>
    <row r="19" spans="1:7" x14ac:dyDescent="0.25">
      <c r="A19" s="23"/>
      <c r="B19" s="23"/>
      <c r="C19" s="23"/>
      <c r="D19" s="23"/>
      <c r="E19" s="47"/>
      <c r="F19" s="23"/>
      <c r="G19" s="47"/>
    </row>
    <row r="20" spans="1:7" x14ac:dyDescent="0.25">
      <c r="A20" s="23"/>
      <c r="B20" s="26" t="s">
        <v>31</v>
      </c>
      <c r="C20" s="26" t="s">
        <v>32</v>
      </c>
      <c r="D20" s="26" t="s">
        <v>33</v>
      </c>
      <c r="E20" s="46" t="s">
        <v>34</v>
      </c>
      <c r="F20" s="26" t="s">
        <v>35</v>
      </c>
      <c r="G20" s="59" t="s">
        <v>36</v>
      </c>
    </row>
    <row r="21" spans="1:7" ht="60" x14ac:dyDescent="0.25">
      <c r="A21" s="23"/>
      <c r="B21" s="27" t="s">
        <v>47</v>
      </c>
      <c r="C21" s="28" t="s">
        <v>48</v>
      </c>
      <c r="D21" s="27" t="s">
        <v>49</v>
      </c>
      <c r="E21" s="73" t="s">
        <v>39</v>
      </c>
      <c r="F21" s="27" t="s">
        <v>593</v>
      </c>
      <c r="G21" s="60" t="s">
        <v>772</v>
      </c>
    </row>
    <row r="22" spans="1:7" ht="60" x14ac:dyDescent="0.25">
      <c r="A22" s="23"/>
      <c r="B22" s="27" t="s">
        <v>50</v>
      </c>
      <c r="C22" s="28" t="s">
        <v>48</v>
      </c>
      <c r="D22" s="27" t="s">
        <v>51</v>
      </c>
      <c r="E22" s="73" t="s">
        <v>39</v>
      </c>
      <c r="F22" s="27" t="s">
        <v>593</v>
      </c>
      <c r="G22" s="60" t="s">
        <v>772</v>
      </c>
    </row>
    <row r="23" spans="1:7" ht="60" x14ac:dyDescent="0.25">
      <c r="A23" s="23"/>
      <c r="B23" s="27" t="s">
        <v>52</v>
      </c>
      <c r="C23" s="28" t="s">
        <v>48</v>
      </c>
      <c r="D23" s="27" t="s">
        <v>53</v>
      </c>
      <c r="E23" s="73" t="s">
        <v>39</v>
      </c>
      <c r="F23" s="27" t="s">
        <v>593</v>
      </c>
      <c r="G23" s="60" t="s">
        <v>772</v>
      </c>
    </row>
    <row r="24" spans="1:7" ht="60" x14ac:dyDescent="0.25">
      <c r="A24" s="23"/>
      <c r="B24" s="27" t="s">
        <v>54</v>
      </c>
      <c r="C24" s="28" t="s">
        <v>48</v>
      </c>
      <c r="D24" s="27" t="s">
        <v>55</v>
      </c>
      <c r="E24" s="73" t="s">
        <v>39</v>
      </c>
      <c r="F24" s="27" t="s">
        <v>593</v>
      </c>
      <c r="G24" s="60" t="s">
        <v>772</v>
      </c>
    </row>
    <row r="25" spans="1:7" ht="60" x14ac:dyDescent="0.25">
      <c r="A25" s="23"/>
      <c r="B25" s="27" t="s">
        <v>56</v>
      </c>
      <c r="C25" s="28" t="s">
        <v>48</v>
      </c>
      <c r="D25" s="27" t="s">
        <v>57</v>
      </c>
      <c r="E25" s="73" t="s">
        <v>39</v>
      </c>
      <c r="F25" s="27" t="s">
        <v>593</v>
      </c>
      <c r="G25" s="60" t="s">
        <v>772</v>
      </c>
    </row>
    <row r="26" spans="1:7" ht="60" x14ac:dyDescent="0.25">
      <c r="A26" s="23"/>
      <c r="B26" s="27" t="s">
        <v>58</v>
      </c>
      <c r="C26" s="28" t="s">
        <v>48</v>
      </c>
      <c r="D26" s="27" t="s">
        <v>59</v>
      </c>
      <c r="E26" s="73" t="s">
        <v>39</v>
      </c>
      <c r="F26" s="27" t="s">
        <v>593</v>
      </c>
      <c r="G26" s="60" t="s">
        <v>772</v>
      </c>
    </row>
    <row r="27" spans="1:7" ht="60" x14ac:dyDescent="0.25">
      <c r="A27" s="23"/>
      <c r="B27" s="27" t="s">
        <v>60</v>
      </c>
      <c r="C27" s="28" t="s">
        <v>48</v>
      </c>
      <c r="D27" s="27" t="s">
        <v>61</v>
      </c>
      <c r="E27" s="73" t="s">
        <v>39</v>
      </c>
      <c r="F27" s="27" t="s">
        <v>593</v>
      </c>
      <c r="G27" s="60" t="s">
        <v>772</v>
      </c>
    </row>
    <row r="28" spans="1:7" ht="60" x14ac:dyDescent="0.25">
      <c r="A28" s="23"/>
      <c r="B28" s="27" t="s">
        <v>62</v>
      </c>
      <c r="C28" s="28" t="s">
        <v>48</v>
      </c>
      <c r="D28" s="27" t="s">
        <v>63</v>
      </c>
      <c r="E28" s="73" t="s">
        <v>39</v>
      </c>
      <c r="F28" s="27" t="s">
        <v>593</v>
      </c>
      <c r="G28" s="60" t="s">
        <v>772</v>
      </c>
    </row>
    <row r="29" spans="1:7" ht="60" x14ac:dyDescent="0.25">
      <c r="A29" s="23"/>
      <c r="B29" s="27" t="s">
        <v>64</v>
      </c>
      <c r="C29" s="28" t="s">
        <v>48</v>
      </c>
      <c r="D29" s="27" t="s">
        <v>65</v>
      </c>
      <c r="E29" s="73" t="s">
        <v>39</v>
      </c>
      <c r="F29" s="27" t="s">
        <v>593</v>
      </c>
      <c r="G29" s="60" t="s">
        <v>772</v>
      </c>
    </row>
    <row r="30" spans="1:7" ht="84" x14ac:dyDescent="0.25">
      <c r="A30" s="23"/>
      <c r="B30" s="27" t="s">
        <v>66</v>
      </c>
      <c r="C30" s="28" t="s">
        <v>48</v>
      </c>
      <c r="D30" s="27" t="s">
        <v>67</v>
      </c>
      <c r="E30" s="73" t="s">
        <v>68</v>
      </c>
      <c r="F30" s="27" t="s">
        <v>593</v>
      </c>
      <c r="G30" s="60" t="s">
        <v>773</v>
      </c>
    </row>
    <row r="31" spans="1:7" ht="72" x14ac:dyDescent="0.25">
      <c r="A31" s="23"/>
      <c r="B31" s="27" t="s">
        <v>69</v>
      </c>
      <c r="C31" s="28" t="s">
        <v>48</v>
      </c>
      <c r="D31" s="27" t="s">
        <v>70</v>
      </c>
      <c r="E31" s="73" t="s">
        <v>68</v>
      </c>
      <c r="F31" s="27" t="s">
        <v>593</v>
      </c>
      <c r="G31" s="60" t="s">
        <v>774</v>
      </c>
    </row>
    <row r="32" spans="1:7" ht="72" x14ac:dyDescent="0.25">
      <c r="A32" s="23"/>
      <c r="B32" s="27" t="s">
        <v>71</v>
      </c>
      <c r="C32" s="28" t="s">
        <v>48</v>
      </c>
      <c r="D32" s="27" t="s">
        <v>72</v>
      </c>
      <c r="E32" s="73" t="s">
        <v>68</v>
      </c>
      <c r="F32" s="27" t="s">
        <v>593</v>
      </c>
      <c r="G32" s="60" t="s">
        <v>775</v>
      </c>
    </row>
    <row r="33" spans="1:7" x14ac:dyDescent="0.25">
      <c r="A33" s="23"/>
      <c r="B33" s="29" t="s">
        <v>43</v>
      </c>
      <c r="C33" s="30" t="s">
        <v>44</v>
      </c>
      <c r="D33" s="23"/>
      <c r="E33" s="47"/>
      <c r="F33" s="23"/>
      <c r="G33" s="47"/>
    </row>
    <row r="34" spans="1:7" x14ac:dyDescent="0.25">
      <c r="A34" s="23"/>
      <c r="B34" s="23"/>
      <c r="C34" s="23"/>
      <c r="D34" s="23"/>
      <c r="E34" s="47"/>
      <c r="F34" s="23"/>
      <c r="G34" s="47"/>
    </row>
    <row r="35" spans="1:7" x14ac:dyDescent="0.25">
      <c r="A35" s="23"/>
      <c r="B35" s="24" t="s">
        <v>73</v>
      </c>
      <c r="C35" s="25" t="s">
        <v>74</v>
      </c>
      <c r="D35" s="25"/>
      <c r="E35" s="48"/>
      <c r="F35" s="25"/>
      <c r="G35" s="74"/>
    </row>
    <row r="36" spans="1:7" x14ac:dyDescent="0.25">
      <c r="A36" s="23"/>
      <c r="B36" s="24" t="s">
        <v>29</v>
      </c>
      <c r="C36" s="25" t="s">
        <v>30</v>
      </c>
      <c r="D36" s="25"/>
      <c r="E36" s="48"/>
      <c r="F36" s="25"/>
      <c r="G36" s="74"/>
    </row>
    <row r="37" spans="1:7" x14ac:dyDescent="0.25">
      <c r="A37" s="23"/>
      <c r="B37" s="23"/>
      <c r="C37" s="23"/>
      <c r="D37" s="23"/>
      <c r="E37" s="47"/>
      <c r="F37" s="23"/>
      <c r="G37" s="47"/>
    </row>
    <row r="38" spans="1:7" x14ac:dyDescent="0.25">
      <c r="A38" s="23"/>
      <c r="B38" s="26" t="s">
        <v>31</v>
      </c>
      <c r="C38" s="26" t="s">
        <v>32</v>
      </c>
      <c r="D38" s="26" t="s">
        <v>33</v>
      </c>
      <c r="E38" s="46" t="s">
        <v>34</v>
      </c>
      <c r="F38" s="26" t="s">
        <v>35</v>
      </c>
      <c r="G38" s="59" t="s">
        <v>36</v>
      </c>
    </row>
    <row r="39" spans="1:7" ht="48" x14ac:dyDescent="0.25">
      <c r="A39" s="47"/>
      <c r="B39" s="60" t="s">
        <v>81</v>
      </c>
      <c r="C39" s="61" t="s">
        <v>48</v>
      </c>
      <c r="D39" s="60" t="s">
        <v>99</v>
      </c>
      <c r="E39" s="73" t="s">
        <v>39</v>
      </c>
      <c r="F39" s="60" t="s">
        <v>593</v>
      </c>
      <c r="G39" s="60" t="s">
        <v>759</v>
      </c>
    </row>
    <row r="40" spans="1:7" ht="60" x14ac:dyDescent="0.25">
      <c r="A40" s="47"/>
      <c r="B40" s="60" t="s">
        <v>139</v>
      </c>
      <c r="C40" s="61" t="s">
        <v>48</v>
      </c>
      <c r="D40" s="60" t="s">
        <v>140</v>
      </c>
      <c r="E40" s="73" t="s">
        <v>548</v>
      </c>
      <c r="F40" s="60" t="s">
        <v>593</v>
      </c>
      <c r="G40" s="60" t="s">
        <v>760</v>
      </c>
    </row>
    <row r="41" spans="1:7" ht="60" x14ac:dyDescent="0.25">
      <c r="A41" s="47"/>
      <c r="B41" s="60" t="s">
        <v>141</v>
      </c>
      <c r="C41" s="61" t="s">
        <v>48</v>
      </c>
      <c r="D41" s="60" t="s">
        <v>142</v>
      </c>
      <c r="E41" s="73" t="s">
        <v>548</v>
      </c>
      <c r="F41" s="60" t="s">
        <v>593</v>
      </c>
      <c r="G41" s="60" t="s">
        <v>760</v>
      </c>
    </row>
    <row r="42" spans="1:7" ht="60" x14ac:dyDescent="0.25">
      <c r="A42" s="47"/>
      <c r="B42" s="60" t="s">
        <v>85</v>
      </c>
      <c r="C42" s="61" t="s">
        <v>48</v>
      </c>
      <c r="D42" s="60" t="s">
        <v>143</v>
      </c>
      <c r="E42" s="73" t="s">
        <v>548</v>
      </c>
      <c r="F42" s="60" t="s">
        <v>593</v>
      </c>
      <c r="G42" s="60" t="s">
        <v>760</v>
      </c>
    </row>
    <row r="43" spans="1:7" ht="72" x14ac:dyDescent="0.25">
      <c r="A43" s="47"/>
      <c r="B43" s="60" t="s">
        <v>91</v>
      </c>
      <c r="C43" s="61" t="s">
        <v>48</v>
      </c>
      <c r="D43" s="60" t="s">
        <v>123</v>
      </c>
      <c r="E43" s="73" t="s">
        <v>39</v>
      </c>
      <c r="F43" s="60" t="s">
        <v>593</v>
      </c>
      <c r="G43" s="60" t="s">
        <v>761</v>
      </c>
    </row>
    <row r="44" spans="1:7" ht="72" x14ac:dyDescent="0.25">
      <c r="A44" s="47"/>
      <c r="B44" s="60" t="s">
        <v>87</v>
      </c>
      <c r="C44" s="61" t="s">
        <v>48</v>
      </c>
      <c r="D44" s="60" t="s">
        <v>118</v>
      </c>
      <c r="E44" s="73" t="s">
        <v>39</v>
      </c>
      <c r="F44" s="60" t="s">
        <v>593</v>
      </c>
      <c r="G44" s="60" t="s">
        <v>762</v>
      </c>
    </row>
    <row r="45" spans="1:7" ht="72" x14ac:dyDescent="0.25">
      <c r="A45" s="47"/>
      <c r="B45" s="60" t="s">
        <v>91</v>
      </c>
      <c r="C45" s="61" t="s">
        <v>48</v>
      </c>
      <c r="D45" s="60" t="s">
        <v>119</v>
      </c>
      <c r="E45" s="73" t="s">
        <v>39</v>
      </c>
      <c r="F45" s="60" t="s">
        <v>593</v>
      </c>
      <c r="G45" s="60" t="s">
        <v>762</v>
      </c>
    </row>
    <row r="46" spans="1:7" ht="72" x14ac:dyDescent="0.25">
      <c r="A46" s="47"/>
      <c r="B46" s="60" t="s">
        <v>89</v>
      </c>
      <c r="C46" s="61" t="s">
        <v>48</v>
      </c>
      <c r="D46" s="60" t="s">
        <v>120</v>
      </c>
      <c r="E46" s="73" t="s">
        <v>39</v>
      </c>
      <c r="F46" s="60" t="s">
        <v>593</v>
      </c>
      <c r="G46" s="60" t="s">
        <v>762</v>
      </c>
    </row>
    <row r="47" spans="1:7" ht="48" x14ac:dyDescent="0.25">
      <c r="A47" s="47"/>
      <c r="B47" s="60" t="s">
        <v>85</v>
      </c>
      <c r="C47" s="61" t="s">
        <v>48</v>
      </c>
      <c r="D47" s="60" t="s">
        <v>100</v>
      </c>
      <c r="E47" s="73" t="s">
        <v>39</v>
      </c>
      <c r="F47" s="60" t="s">
        <v>593</v>
      </c>
      <c r="G47" s="60" t="s">
        <v>759</v>
      </c>
    </row>
    <row r="48" spans="1:7" ht="48" x14ac:dyDescent="0.25">
      <c r="A48" s="47"/>
      <c r="B48" s="60" t="s">
        <v>83</v>
      </c>
      <c r="C48" s="61" t="s">
        <v>48</v>
      </c>
      <c r="D48" s="60" t="s">
        <v>101</v>
      </c>
      <c r="E48" s="73" t="s">
        <v>39</v>
      </c>
      <c r="F48" s="60" t="s">
        <v>593</v>
      </c>
      <c r="G48" s="60" t="s">
        <v>759</v>
      </c>
    </row>
    <row r="49" spans="1:7" ht="60" x14ac:dyDescent="0.25">
      <c r="A49" s="47"/>
      <c r="B49" s="60" t="s">
        <v>104</v>
      </c>
      <c r="C49" s="61" t="s">
        <v>48</v>
      </c>
      <c r="D49" s="60" t="s">
        <v>105</v>
      </c>
      <c r="E49" s="73" t="s">
        <v>39</v>
      </c>
      <c r="F49" s="60" t="s">
        <v>593</v>
      </c>
      <c r="G49" s="60" t="s">
        <v>763</v>
      </c>
    </row>
    <row r="50" spans="1:7" ht="72" x14ac:dyDescent="0.25">
      <c r="A50" s="47"/>
      <c r="B50" s="60" t="s">
        <v>133</v>
      </c>
      <c r="C50" s="61" t="s">
        <v>48</v>
      </c>
      <c r="D50" s="60" t="s">
        <v>134</v>
      </c>
      <c r="E50" s="73" t="s">
        <v>39</v>
      </c>
      <c r="F50" s="60" t="s">
        <v>593</v>
      </c>
      <c r="G50" s="60" t="s">
        <v>761</v>
      </c>
    </row>
    <row r="51" spans="1:7" ht="72" x14ac:dyDescent="0.25">
      <c r="A51" s="47"/>
      <c r="B51" s="60" t="s">
        <v>87</v>
      </c>
      <c r="C51" s="61" t="s">
        <v>48</v>
      </c>
      <c r="D51" s="60" t="s">
        <v>135</v>
      </c>
      <c r="E51" s="73" t="s">
        <v>39</v>
      </c>
      <c r="F51" s="60" t="s">
        <v>593</v>
      </c>
      <c r="G51" s="60" t="s">
        <v>761</v>
      </c>
    </row>
    <row r="52" spans="1:7" ht="72" x14ac:dyDescent="0.25">
      <c r="A52" s="47"/>
      <c r="B52" s="60" t="s">
        <v>89</v>
      </c>
      <c r="C52" s="61" t="s">
        <v>48</v>
      </c>
      <c r="D52" s="60" t="s">
        <v>136</v>
      </c>
      <c r="E52" s="73" t="s">
        <v>39</v>
      </c>
      <c r="F52" s="60" t="s">
        <v>593</v>
      </c>
      <c r="G52" s="60" t="s">
        <v>761</v>
      </c>
    </row>
    <row r="53" spans="1:7" ht="60" x14ac:dyDescent="0.25">
      <c r="A53" s="23"/>
      <c r="B53" s="27" t="s">
        <v>75</v>
      </c>
      <c r="C53" s="28" t="s">
        <v>48</v>
      </c>
      <c r="D53" s="27" t="s">
        <v>76</v>
      </c>
      <c r="E53" s="73" t="s">
        <v>39</v>
      </c>
      <c r="F53" s="27" t="s">
        <v>593</v>
      </c>
      <c r="G53" s="60" t="s">
        <v>776</v>
      </c>
    </row>
    <row r="54" spans="1:7" ht="60" x14ac:dyDescent="0.25">
      <c r="A54" s="23"/>
      <c r="B54" s="27" t="s">
        <v>77</v>
      </c>
      <c r="C54" s="28" t="s">
        <v>48</v>
      </c>
      <c r="D54" s="27" t="s">
        <v>78</v>
      </c>
      <c r="E54" s="73" t="s">
        <v>39</v>
      </c>
      <c r="F54" s="27" t="s">
        <v>593</v>
      </c>
      <c r="G54" s="60" t="s">
        <v>776</v>
      </c>
    </row>
    <row r="55" spans="1:7" ht="60" x14ac:dyDescent="0.25">
      <c r="A55" s="23"/>
      <c r="B55" s="27" t="s">
        <v>79</v>
      </c>
      <c r="C55" s="28" t="s">
        <v>48</v>
      </c>
      <c r="D55" s="27" t="s">
        <v>80</v>
      </c>
      <c r="E55" s="73" t="s">
        <v>39</v>
      </c>
      <c r="F55" s="27" t="s">
        <v>593</v>
      </c>
      <c r="G55" s="60" t="s">
        <v>776</v>
      </c>
    </row>
    <row r="56" spans="1:7" ht="72" x14ac:dyDescent="0.25">
      <c r="A56" s="23"/>
      <c r="B56" s="27" t="s">
        <v>81</v>
      </c>
      <c r="C56" s="28" t="s">
        <v>48</v>
      </c>
      <c r="D56" s="27" t="s">
        <v>82</v>
      </c>
      <c r="E56" s="73" t="s">
        <v>39</v>
      </c>
      <c r="F56" s="27" t="s">
        <v>593</v>
      </c>
      <c r="G56" s="60" t="s">
        <v>777</v>
      </c>
    </row>
    <row r="57" spans="1:7" ht="72" x14ac:dyDescent="0.25">
      <c r="A57" s="23"/>
      <c r="B57" s="27" t="s">
        <v>83</v>
      </c>
      <c r="C57" s="28" t="s">
        <v>48</v>
      </c>
      <c r="D57" s="27" t="s">
        <v>84</v>
      </c>
      <c r="E57" s="73" t="s">
        <v>39</v>
      </c>
      <c r="F57" s="27" t="s">
        <v>593</v>
      </c>
      <c r="G57" s="60" t="s">
        <v>777</v>
      </c>
    </row>
    <row r="58" spans="1:7" ht="72" x14ac:dyDescent="0.25">
      <c r="A58" s="23"/>
      <c r="B58" s="27" t="s">
        <v>85</v>
      </c>
      <c r="C58" s="28" t="s">
        <v>48</v>
      </c>
      <c r="D58" s="27" t="s">
        <v>86</v>
      </c>
      <c r="E58" s="73" t="s">
        <v>39</v>
      </c>
      <c r="F58" s="27" t="s">
        <v>593</v>
      </c>
      <c r="G58" s="60" t="s">
        <v>777</v>
      </c>
    </row>
    <row r="59" spans="1:7" ht="84" x14ac:dyDescent="0.25">
      <c r="A59" s="23"/>
      <c r="B59" s="27" t="s">
        <v>87</v>
      </c>
      <c r="C59" s="28" t="s">
        <v>48</v>
      </c>
      <c r="D59" s="27" t="s">
        <v>88</v>
      </c>
      <c r="E59" s="73" t="s">
        <v>39</v>
      </c>
      <c r="F59" s="27" t="s">
        <v>593</v>
      </c>
      <c r="G59" s="60" t="s">
        <v>778</v>
      </c>
    </row>
    <row r="60" spans="1:7" ht="84" x14ac:dyDescent="0.25">
      <c r="A60" s="23"/>
      <c r="B60" s="27" t="s">
        <v>89</v>
      </c>
      <c r="C60" s="28" t="s">
        <v>48</v>
      </c>
      <c r="D60" s="27" t="s">
        <v>90</v>
      </c>
      <c r="E60" s="73" t="s">
        <v>39</v>
      </c>
      <c r="F60" s="27" t="s">
        <v>593</v>
      </c>
      <c r="G60" s="60" t="s">
        <v>778</v>
      </c>
    </row>
    <row r="61" spans="1:7" ht="84" x14ac:dyDescent="0.25">
      <c r="A61" s="23"/>
      <c r="B61" s="27" t="s">
        <v>91</v>
      </c>
      <c r="C61" s="28" t="s">
        <v>48</v>
      </c>
      <c r="D61" s="27" t="s">
        <v>92</v>
      </c>
      <c r="E61" s="73" t="s">
        <v>39</v>
      </c>
      <c r="F61" s="27" t="s">
        <v>593</v>
      </c>
      <c r="G61" s="60" t="s">
        <v>778</v>
      </c>
    </row>
    <row r="62" spans="1:7" ht="60" x14ac:dyDescent="0.25">
      <c r="A62" s="47"/>
      <c r="B62" s="60" t="s">
        <v>54</v>
      </c>
      <c r="C62" s="61" t="s">
        <v>48</v>
      </c>
      <c r="D62" s="60" t="s">
        <v>106</v>
      </c>
      <c r="E62" s="73" t="s">
        <v>39</v>
      </c>
      <c r="F62" s="60" t="s">
        <v>593</v>
      </c>
      <c r="G62" s="60" t="s">
        <v>765</v>
      </c>
    </row>
    <row r="63" spans="1:7" ht="60" x14ac:dyDescent="0.25">
      <c r="A63" s="47"/>
      <c r="B63" s="60" t="s">
        <v>47</v>
      </c>
      <c r="C63" s="61" t="s">
        <v>48</v>
      </c>
      <c r="D63" s="60" t="s">
        <v>108</v>
      </c>
      <c r="E63" s="73" t="s">
        <v>39</v>
      </c>
      <c r="F63" s="60" t="s">
        <v>593</v>
      </c>
      <c r="G63" s="60" t="s">
        <v>765</v>
      </c>
    </row>
    <row r="64" spans="1:7" ht="60" x14ac:dyDescent="0.25">
      <c r="A64" s="47"/>
      <c r="B64" s="60" t="s">
        <v>109</v>
      </c>
      <c r="C64" s="61" t="s">
        <v>48</v>
      </c>
      <c r="D64" s="60" t="s">
        <v>110</v>
      </c>
      <c r="E64" s="73" t="s">
        <v>39</v>
      </c>
      <c r="F64" s="60" t="s">
        <v>593</v>
      </c>
      <c r="G64" s="60" t="s">
        <v>765</v>
      </c>
    </row>
    <row r="65" spans="1:7" ht="60" x14ac:dyDescent="0.25">
      <c r="A65" s="47"/>
      <c r="B65" s="60" t="s">
        <v>50</v>
      </c>
      <c r="C65" s="61" t="s">
        <v>48</v>
      </c>
      <c r="D65" s="60" t="s">
        <v>111</v>
      </c>
      <c r="E65" s="73" t="s">
        <v>39</v>
      </c>
      <c r="F65" s="60" t="s">
        <v>593</v>
      </c>
      <c r="G65" s="60" t="s">
        <v>765</v>
      </c>
    </row>
    <row r="66" spans="1:7" ht="60" x14ac:dyDescent="0.25">
      <c r="A66" s="47"/>
      <c r="B66" s="60" t="s">
        <v>64</v>
      </c>
      <c r="C66" s="61" t="s">
        <v>48</v>
      </c>
      <c r="D66" s="60" t="s">
        <v>112</v>
      </c>
      <c r="E66" s="73" t="s">
        <v>39</v>
      </c>
      <c r="F66" s="60" t="s">
        <v>593</v>
      </c>
      <c r="G66" s="60" t="s">
        <v>765</v>
      </c>
    </row>
    <row r="67" spans="1:7" ht="60" x14ac:dyDescent="0.25">
      <c r="A67" s="47"/>
      <c r="B67" s="60" t="s">
        <v>52</v>
      </c>
      <c r="C67" s="61" t="s">
        <v>48</v>
      </c>
      <c r="D67" s="60" t="s">
        <v>113</v>
      </c>
      <c r="E67" s="73" t="s">
        <v>39</v>
      </c>
      <c r="F67" s="60" t="s">
        <v>593</v>
      </c>
      <c r="G67" s="60" t="s">
        <v>765</v>
      </c>
    </row>
    <row r="68" spans="1:7" ht="60" x14ac:dyDescent="0.25">
      <c r="A68" s="47"/>
      <c r="B68" s="60" t="s">
        <v>58</v>
      </c>
      <c r="C68" s="61" t="s">
        <v>48</v>
      </c>
      <c r="D68" s="60" t="s">
        <v>114</v>
      </c>
      <c r="E68" s="73" t="s">
        <v>39</v>
      </c>
      <c r="F68" s="60" t="s">
        <v>593</v>
      </c>
      <c r="G68" s="60" t="s">
        <v>765</v>
      </c>
    </row>
    <row r="69" spans="1:7" ht="60" x14ac:dyDescent="0.25">
      <c r="A69" s="47"/>
      <c r="B69" s="60" t="s">
        <v>60</v>
      </c>
      <c r="C69" s="61" t="s">
        <v>48</v>
      </c>
      <c r="D69" s="60" t="s">
        <v>115</v>
      </c>
      <c r="E69" s="73" t="s">
        <v>39</v>
      </c>
      <c r="F69" s="60" t="s">
        <v>593</v>
      </c>
      <c r="G69" s="60" t="s">
        <v>765</v>
      </c>
    </row>
    <row r="70" spans="1:7" ht="60" x14ac:dyDescent="0.25">
      <c r="A70" s="47"/>
      <c r="B70" s="60" t="s">
        <v>116</v>
      </c>
      <c r="C70" s="61" t="s">
        <v>48</v>
      </c>
      <c r="D70" s="60" t="s">
        <v>117</v>
      </c>
      <c r="E70" s="73" t="s">
        <v>39</v>
      </c>
      <c r="F70" s="60" t="s">
        <v>593</v>
      </c>
      <c r="G70" s="60" t="s">
        <v>765</v>
      </c>
    </row>
    <row r="71" spans="1:7" ht="72" x14ac:dyDescent="0.25">
      <c r="A71" s="47"/>
      <c r="B71" s="60" t="s">
        <v>116</v>
      </c>
      <c r="C71" s="61" t="s">
        <v>48</v>
      </c>
      <c r="D71" s="60" t="s">
        <v>122</v>
      </c>
      <c r="E71" s="73" t="s">
        <v>39</v>
      </c>
      <c r="F71" s="60" t="s">
        <v>593</v>
      </c>
      <c r="G71" s="60" t="s">
        <v>766</v>
      </c>
    </row>
    <row r="72" spans="1:7" ht="72" x14ac:dyDescent="0.25">
      <c r="A72" s="47"/>
      <c r="B72" s="60" t="s">
        <v>52</v>
      </c>
      <c r="C72" s="61" t="s">
        <v>48</v>
      </c>
      <c r="D72" s="60" t="s">
        <v>124</v>
      </c>
      <c r="E72" s="73" t="s">
        <v>39</v>
      </c>
      <c r="F72" s="60" t="s">
        <v>593</v>
      </c>
      <c r="G72" s="60" t="s">
        <v>766</v>
      </c>
    </row>
    <row r="73" spans="1:7" ht="72" x14ac:dyDescent="0.25">
      <c r="A73" s="47"/>
      <c r="B73" s="60" t="s">
        <v>60</v>
      </c>
      <c r="C73" s="61" t="s">
        <v>48</v>
      </c>
      <c r="D73" s="60" t="s">
        <v>125</v>
      </c>
      <c r="E73" s="73" t="s">
        <v>39</v>
      </c>
      <c r="F73" s="60" t="s">
        <v>593</v>
      </c>
      <c r="G73" s="60" t="s">
        <v>766</v>
      </c>
    </row>
    <row r="74" spans="1:7" ht="72" x14ac:dyDescent="0.25">
      <c r="A74" s="47"/>
      <c r="B74" s="60" t="s">
        <v>126</v>
      </c>
      <c r="C74" s="61" t="s">
        <v>48</v>
      </c>
      <c r="D74" s="60" t="s">
        <v>127</v>
      </c>
      <c r="E74" s="73" t="s">
        <v>39</v>
      </c>
      <c r="F74" s="60" t="s">
        <v>593</v>
      </c>
      <c r="G74" s="60" t="s">
        <v>766</v>
      </c>
    </row>
    <row r="75" spans="1:7" ht="72" x14ac:dyDescent="0.25">
      <c r="A75" s="47"/>
      <c r="B75" s="60" t="s">
        <v>47</v>
      </c>
      <c r="C75" s="61" t="s">
        <v>48</v>
      </c>
      <c r="D75" s="60" t="s">
        <v>128</v>
      </c>
      <c r="E75" s="73" t="s">
        <v>39</v>
      </c>
      <c r="F75" s="60" t="s">
        <v>593</v>
      </c>
      <c r="G75" s="60" t="s">
        <v>766</v>
      </c>
    </row>
    <row r="76" spans="1:7" ht="72" x14ac:dyDescent="0.25">
      <c r="A76" s="47"/>
      <c r="B76" s="60" t="s">
        <v>64</v>
      </c>
      <c r="C76" s="61" t="s">
        <v>48</v>
      </c>
      <c r="D76" s="60" t="s">
        <v>129</v>
      </c>
      <c r="E76" s="73" t="s">
        <v>39</v>
      </c>
      <c r="F76" s="60" t="s">
        <v>593</v>
      </c>
      <c r="G76" s="60" t="s">
        <v>766</v>
      </c>
    </row>
    <row r="77" spans="1:7" ht="72" x14ac:dyDescent="0.25">
      <c r="A77" s="47"/>
      <c r="B77" s="60" t="s">
        <v>54</v>
      </c>
      <c r="C77" s="61" t="s">
        <v>48</v>
      </c>
      <c r="D77" s="60" t="s">
        <v>130</v>
      </c>
      <c r="E77" s="73" t="s">
        <v>39</v>
      </c>
      <c r="F77" s="60" t="s">
        <v>593</v>
      </c>
      <c r="G77" s="60" t="s">
        <v>766</v>
      </c>
    </row>
    <row r="78" spans="1:7" ht="72" x14ac:dyDescent="0.25">
      <c r="A78" s="47"/>
      <c r="B78" s="60" t="s">
        <v>50</v>
      </c>
      <c r="C78" s="61" t="s">
        <v>48</v>
      </c>
      <c r="D78" s="60" t="s">
        <v>131</v>
      </c>
      <c r="E78" s="73" t="s">
        <v>39</v>
      </c>
      <c r="F78" s="60" t="s">
        <v>593</v>
      </c>
      <c r="G78" s="60" t="s">
        <v>766</v>
      </c>
    </row>
    <row r="79" spans="1:7" ht="72" x14ac:dyDescent="0.25">
      <c r="A79" s="47"/>
      <c r="B79" s="60" t="s">
        <v>56</v>
      </c>
      <c r="C79" s="61" t="s">
        <v>48</v>
      </c>
      <c r="D79" s="60" t="s">
        <v>132</v>
      </c>
      <c r="E79" s="73" t="s">
        <v>39</v>
      </c>
      <c r="F79" s="60" t="s">
        <v>593</v>
      </c>
      <c r="G79" s="60" t="s">
        <v>766</v>
      </c>
    </row>
    <row r="80" spans="1:7" x14ac:dyDescent="0.25">
      <c r="A80" s="23"/>
      <c r="B80" s="29" t="s">
        <v>43</v>
      </c>
      <c r="C80" s="30" t="s">
        <v>48</v>
      </c>
      <c r="D80" s="23"/>
      <c r="E80" s="47"/>
      <c r="F80" s="23"/>
      <c r="G80" s="47"/>
    </row>
    <row r="81" spans="1:7" x14ac:dyDescent="0.25">
      <c r="A81" s="23"/>
      <c r="B81" s="23"/>
      <c r="C81" s="23"/>
      <c r="D81" s="23"/>
      <c r="E81" s="47"/>
      <c r="F81" s="23"/>
      <c r="G81" s="47"/>
    </row>
    <row r="82" spans="1:7" x14ac:dyDescent="0.25">
      <c r="A82" s="23"/>
      <c r="B82" s="24" t="s">
        <v>93</v>
      </c>
      <c r="C82" s="25" t="s">
        <v>94</v>
      </c>
      <c r="D82" s="25"/>
      <c r="E82" s="48"/>
      <c r="F82" s="25"/>
      <c r="G82" s="74"/>
    </row>
    <row r="83" spans="1:7" x14ac:dyDescent="0.25">
      <c r="A83" s="23"/>
      <c r="B83" s="24" t="s">
        <v>29</v>
      </c>
      <c r="C83" s="25" t="s">
        <v>95</v>
      </c>
      <c r="D83" s="25"/>
      <c r="E83" s="48"/>
      <c r="F83" s="25"/>
      <c r="G83" s="74"/>
    </row>
    <row r="84" spans="1:7" x14ac:dyDescent="0.25">
      <c r="A84" s="23"/>
      <c r="B84" s="23"/>
      <c r="C84" s="23"/>
      <c r="D84" s="23"/>
      <c r="E84" s="47"/>
      <c r="F84" s="23"/>
      <c r="G84" s="47"/>
    </row>
    <row r="85" spans="1:7" x14ac:dyDescent="0.25">
      <c r="A85" s="23"/>
      <c r="B85" s="26" t="s">
        <v>31</v>
      </c>
      <c r="C85" s="26" t="s">
        <v>32</v>
      </c>
      <c r="D85" s="26" t="s">
        <v>33</v>
      </c>
      <c r="E85" s="46" t="s">
        <v>34</v>
      </c>
      <c r="F85" s="26" t="s">
        <v>35</v>
      </c>
      <c r="G85" s="59" t="s">
        <v>36</v>
      </c>
    </row>
    <row r="86" spans="1:7" ht="84" x14ac:dyDescent="0.25">
      <c r="A86" s="23"/>
      <c r="B86" s="27" t="s">
        <v>96</v>
      </c>
      <c r="C86" s="28" t="s">
        <v>48</v>
      </c>
      <c r="D86" s="27" t="s">
        <v>97</v>
      </c>
      <c r="E86" s="73" t="s">
        <v>68</v>
      </c>
      <c r="F86" s="27" t="s">
        <v>593</v>
      </c>
      <c r="G86" s="60" t="s">
        <v>779</v>
      </c>
    </row>
    <row r="87" spans="1:7" x14ac:dyDescent="0.25">
      <c r="A87" s="23"/>
      <c r="B87" s="29" t="s">
        <v>43</v>
      </c>
      <c r="C87" s="30" t="s">
        <v>48</v>
      </c>
      <c r="D87" s="23"/>
      <c r="E87" s="47"/>
      <c r="F87" s="23"/>
      <c r="G87" s="47"/>
    </row>
    <row r="88" spans="1:7" x14ac:dyDescent="0.25">
      <c r="A88" s="23"/>
      <c r="B88" s="23"/>
      <c r="C88" s="23"/>
      <c r="D88" s="23"/>
      <c r="E88" s="47"/>
      <c r="F88" s="23"/>
      <c r="G88" s="47"/>
    </row>
    <row r="89" spans="1:7" x14ac:dyDescent="0.25">
      <c r="A89" s="23"/>
      <c r="B89" s="24" t="s">
        <v>98</v>
      </c>
      <c r="C89" s="25" t="s">
        <v>757</v>
      </c>
      <c r="D89" s="25"/>
      <c r="E89" s="48"/>
      <c r="F89" s="25"/>
      <c r="G89" s="74"/>
    </row>
    <row r="90" spans="1:7" x14ac:dyDescent="0.25">
      <c r="A90" s="23"/>
      <c r="B90" s="24" t="s">
        <v>29</v>
      </c>
      <c r="C90" s="25" t="s">
        <v>758</v>
      </c>
      <c r="D90" s="25"/>
      <c r="E90" s="48"/>
      <c r="F90" s="25"/>
      <c r="G90" s="74"/>
    </row>
    <row r="91" spans="1:7" x14ac:dyDescent="0.25">
      <c r="A91" s="23"/>
      <c r="B91" s="23"/>
      <c r="C91" s="23"/>
      <c r="D91" s="23"/>
      <c r="E91" s="47"/>
      <c r="F91" s="23"/>
      <c r="G91" s="47"/>
    </row>
    <row r="92" spans="1:7" x14ac:dyDescent="0.25">
      <c r="A92" s="47"/>
      <c r="B92" s="59" t="s">
        <v>31</v>
      </c>
      <c r="C92" s="59" t="s">
        <v>32</v>
      </c>
      <c r="D92" s="59" t="s">
        <v>33</v>
      </c>
      <c r="E92" s="46" t="s">
        <v>34</v>
      </c>
      <c r="F92" s="59" t="s">
        <v>35</v>
      </c>
      <c r="G92" s="59" t="s">
        <v>36</v>
      </c>
    </row>
    <row r="93" spans="1:7" ht="72" x14ac:dyDescent="0.25">
      <c r="A93" s="47"/>
      <c r="B93" s="60" t="s">
        <v>102</v>
      </c>
      <c r="C93" s="61" t="s">
        <v>48</v>
      </c>
      <c r="D93" s="60" t="s">
        <v>103</v>
      </c>
      <c r="E93" s="63">
        <v>0.26</v>
      </c>
      <c r="F93" s="60" t="s">
        <v>593</v>
      </c>
      <c r="G93" s="60" t="s">
        <v>764</v>
      </c>
    </row>
    <row r="94" spans="1:7" x14ac:dyDescent="0.25">
      <c r="A94" s="47"/>
      <c r="B94" s="62" t="s">
        <v>43</v>
      </c>
      <c r="C94" s="30" t="s">
        <v>48</v>
      </c>
      <c r="D94" s="47"/>
      <c r="E94" s="47"/>
      <c r="F94" s="47"/>
      <c r="G94" s="47"/>
    </row>
    <row r="95" spans="1:7" x14ac:dyDescent="0.25">
      <c r="A95" s="23"/>
      <c r="B95" s="23"/>
      <c r="C95" s="23"/>
      <c r="D95" s="23"/>
      <c r="E95" s="23"/>
      <c r="F95" s="23"/>
      <c r="G95" s="47"/>
    </row>
    <row r="96" spans="1:7" x14ac:dyDescent="0.25">
      <c r="A96" s="23"/>
      <c r="B96" s="24" t="s">
        <v>145</v>
      </c>
      <c r="C96" s="25" t="s">
        <v>734</v>
      </c>
      <c r="D96" s="25"/>
      <c r="E96" s="25"/>
      <c r="F96" s="25"/>
      <c r="G96" s="74"/>
    </row>
    <row r="97" spans="1:7" x14ac:dyDescent="0.25">
      <c r="A97" s="23"/>
      <c r="B97" s="23"/>
      <c r="C97" s="23"/>
      <c r="D97" s="23"/>
      <c r="E97" s="23"/>
      <c r="F97" s="23"/>
      <c r="G97" s="47"/>
    </row>
    <row r="98" spans="1:7" x14ac:dyDescent="0.25">
      <c r="A98" s="23"/>
      <c r="B98" s="26" t="s">
        <v>738</v>
      </c>
      <c r="C98" s="26" t="s">
        <v>32</v>
      </c>
      <c r="D98" s="26" t="s">
        <v>596</v>
      </c>
      <c r="E98" s="26" t="s">
        <v>34</v>
      </c>
      <c r="F98" s="26" t="s">
        <v>35</v>
      </c>
      <c r="G98" s="59" t="s">
        <v>36</v>
      </c>
    </row>
    <row r="99" spans="1:7" ht="120" x14ac:dyDescent="0.25">
      <c r="A99" s="23"/>
      <c r="B99" s="60" t="s">
        <v>792</v>
      </c>
      <c r="C99" s="61" t="s">
        <v>48</v>
      </c>
      <c r="D99" s="49" t="s">
        <v>793</v>
      </c>
      <c r="E99" s="60" t="s">
        <v>794</v>
      </c>
      <c r="F99" s="60" t="s">
        <v>795</v>
      </c>
      <c r="G99" s="60" t="s">
        <v>796</v>
      </c>
    </row>
    <row r="100" spans="1:7" ht="132" x14ac:dyDescent="0.25">
      <c r="A100" s="23"/>
      <c r="B100" s="60" t="s">
        <v>797</v>
      </c>
      <c r="C100" s="61" t="s">
        <v>48</v>
      </c>
      <c r="D100" s="60" t="s">
        <v>798</v>
      </c>
      <c r="E100" s="60" t="s">
        <v>799</v>
      </c>
      <c r="F100" s="60" t="s">
        <v>795</v>
      </c>
      <c r="G100" s="60" t="s">
        <v>800</v>
      </c>
    </row>
    <row r="101" spans="1:7" x14ac:dyDescent="0.25">
      <c r="A101" s="23"/>
      <c r="B101" s="29" t="s">
        <v>43</v>
      </c>
      <c r="C101" s="30" t="s">
        <v>48</v>
      </c>
      <c r="D101" s="23"/>
      <c r="E101" s="23"/>
      <c r="F101" s="23"/>
      <c r="G101" s="47"/>
    </row>
    <row r="102" spans="1:7" x14ac:dyDescent="0.25">
      <c r="A102" s="23"/>
      <c r="B102" s="23"/>
      <c r="C102" s="23"/>
      <c r="D102" s="23"/>
      <c r="E102" s="23"/>
      <c r="F102" s="23"/>
      <c r="G102" s="47"/>
    </row>
    <row r="103" spans="1:7" x14ac:dyDescent="0.25">
      <c r="A103" s="23"/>
      <c r="B103" s="155" t="s">
        <v>147</v>
      </c>
      <c r="C103" s="156"/>
      <c r="D103" s="156"/>
      <c r="E103" s="156"/>
      <c r="F103" s="156"/>
      <c r="G103" s="156"/>
    </row>
    <row r="104" spans="1:7" x14ac:dyDescent="0.25">
      <c r="A104" s="23"/>
      <c r="B104" s="157" t="s">
        <v>148</v>
      </c>
      <c r="C104" s="156"/>
      <c r="D104" s="156"/>
      <c r="E104" s="156"/>
      <c r="F104" s="156"/>
      <c r="G104" s="156"/>
    </row>
    <row r="105" spans="1:7" x14ac:dyDescent="0.25">
      <c r="A105" s="23"/>
      <c r="B105" s="157"/>
      <c r="C105" s="156"/>
      <c r="D105" s="156"/>
      <c r="E105" s="156"/>
      <c r="F105" s="156"/>
      <c r="G105" s="156"/>
    </row>
    <row r="106" spans="1:7" x14ac:dyDescent="0.25">
      <c r="A106" s="23"/>
      <c r="B106" s="157"/>
      <c r="C106" s="156"/>
      <c r="D106" s="156"/>
      <c r="E106" s="156"/>
      <c r="F106" s="156"/>
      <c r="G106" s="156"/>
    </row>
    <row r="107" spans="1:7" x14ac:dyDescent="0.25">
      <c r="A107" s="23"/>
      <c r="B107" s="157"/>
      <c r="C107" s="156"/>
      <c r="D107" s="156"/>
      <c r="E107" s="156"/>
      <c r="F107" s="156"/>
      <c r="G107" s="156"/>
    </row>
    <row r="108" spans="1:7" x14ac:dyDescent="0.25">
      <c r="A108" s="23"/>
      <c r="B108" s="157"/>
      <c r="C108" s="156"/>
      <c r="D108" s="156"/>
      <c r="E108" s="156"/>
      <c r="F108" s="156"/>
      <c r="G108" s="156"/>
    </row>
    <row r="109" spans="1:7" x14ac:dyDescent="0.25">
      <c r="B109" s="31"/>
      <c r="C109" s="32"/>
      <c r="D109" s="32"/>
      <c r="E109" s="32"/>
      <c r="F109" s="32"/>
      <c r="G109" s="32"/>
    </row>
  </sheetData>
  <mergeCells count="7">
    <mergeCell ref="B2:G2"/>
    <mergeCell ref="B108:G108"/>
    <mergeCell ref="B104:G104"/>
    <mergeCell ref="B105:G105"/>
    <mergeCell ref="B107:G107"/>
    <mergeCell ref="B103:G103"/>
    <mergeCell ref="B106:G106"/>
  </mergeCells>
  <printOptions horizontalCentered="1"/>
  <pageMargins left="0.25" right="0.25" top="0.75" bottom="0.75" header="0.511811023622047" footer="0"/>
  <pageSetup paperSize="5" fitToHeight="0" orientation="portrait" horizontalDpi="300" verticalDpi="300"/>
  <headerFooter>
    <oddFooter>&amp;LNew Horizon Energy&amp;CPage &amp;P of &amp;R405-203-8570</oddFooter>
  </headerFooter>
  <rowBreaks count="2" manualBreakCount="2">
    <brk id="33" max="16383" man="1"/>
    <brk id="9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93"/>
  <sheetViews>
    <sheetView view="pageBreakPreview" zoomScaleNormal="100" workbookViewId="0">
      <pane ySplit="1" topLeftCell="A113" activePane="bottomLeft" state="frozen"/>
      <selection pane="bottomLeft" activeCell="G114" sqref="G114"/>
    </sheetView>
  </sheetViews>
  <sheetFormatPr defaultColWidth="8.7109375" defaultRowHeight="15" x14ac:dyDescent="0.25"/>
  <cols>
    <col min="1" max="1" width="15" style="76" customWidth="1"/>
    <col min="2" max="2" width="14.5703125" style="76" customWidth="1"/>
    <col min="3" max="3" width="11.7109375" style="76" customWidth="1"/>
    <col min="4" max="4" width="11.140625" style="76" customWidth="1"/>
    <col min="5" max="5" width="12" style="76" customWidth="1"/>
    <col min="6" max="6" width="26.7109375" customWidth="1"/>
    <col min="7" max="7" width="29" customWidth="1"/>
    <col min="8" max="8" width="25.5703125" customWidth="1"/>
    <col min="9" max="9" width="60" customWidth="1"/>
    <col min="10" max="10" width="17.140625" style="77" customWidth="1"/>
  </cols>
  <sheetData>
    <row r="1" spans="1:10" ht="30" x14ac:dyDescent="0.25">
      <c r="A1" s="104" t="s">
        <v>149</v>
      </c>
      <c r="B1" s="104" t="s">
        <v>150</v>
      </c>
      <c r="C1" s="104" t="s">
        <v>33</v>
      </c>
      <c r="D1" s="104" t="s">
        <v>151</v>
      </c>
      <c r="E1" s="104" t="s">
        <v>152</v>
      </c>
      <c r="F1" s="104" t="s">
        <v>153</v>
      </c>
      <c r="G1" s="104" t="s">
        <v>154</v>
      </c>
      <c r="H1" s="104" t="s">
        <v>155</v>
      </c>
      <c r="I1" s="104" t="s">
        <v>147</v>
      </c>
      <c r="J1" s="104" t="s">
        <v>598</v>
      </c>
    </row>
    <row r="2" spans="1:10" ht="114.75" x14ac:dyDescent="0.25">
      <c r="A2" s="105" t="s">
        <v>162</v>
      </c>
      <c r="B2" s="105" t="s">
        <v>158</v>
      </c>
      <c r="C2" s="106" t="s">
        <v>163</v>
      </c>
      <c r="D2" s="107">
        <v>33142</v>
      </c>
      <c r="E2" s="107">
        <v>33147</v>
      </c>
      <c r="F2" s="108" t="s">
        <v>159</v>
      </c>
      <c r="G2" s="108" t="s">
        <v>575</v>
      </c>
      <c r="H2" s="108" t="s">
        <v>740</v>
      </c>
      <c r="I2" s="108" t="s">
        <v>587</v>
      </c>
      <c r="J2" s="78" t="s">
        <v>599</v>
      </c>
    </row>
    <row r="3" spans="1:10" ht="25.5" x14ac:dyDescent="0.25">
      <c r="A3" s="109" t="s">
        <v>164</v>
      </c>
      <c r="B3" s="109" t="s">
        <v>550</v>
      </c>
      <c r="C3" s="110" t="s">
        <v>165</v>
      </c>
      <c r="D3" s="111">
        <v>33266</v>
      </c>
      <c r="E3" s="111">
        <v>33269</v>
      </c>
      <c r="F3" s="112" t="s">
        <v>575</v>
      </c>
      <c r="G3" s="112" t="s">
        <v>166</v>
      </c>
      <c r="H3" s="112" t="s">
        <v>161</v>
      </c>
      <c r="I3" s="112" t="s">
        <v>549</v>
      </c>
      <c r="J3" s="79" t="s">
        <v>599</v>
      </c>
    </row>
    <row r="4" spans="1:10" ht="89.25" x14ac:dyDescent="0.25">
      <c r="A4" s="109" t="s">
        <v>176</v>
      </c>
      <c r="B4" s="109" t="s">
        <v>177</v>
      </c>
      <c r="C4" s="110" t="s">
        <v>178</v>
      </c>
      <c r="D4" s="111">
        <v>34397</v>
      </c>
      <c r="E4" s="111">
        <v>34899</v>
      </c>
      <c r="F4" s="112" t="s">
        <v>179</v>
      </c>
      <c r="G4" s="112" t="s">
        <v>575</v>
      </c>
      <c r="H4" s="112" t="s">
        <v>552</v>
      </c>
      <c r="I4" s="112" t="s">
        <v>787</v>
      </c>
      <c r="J4" s="79" t="s">
        <v>599</v>
      </c>
    </row>
    <row r="5" spans="1:10" ht="25.5" x14ac:dyDescent="0.25">
      <c r="A5" s="109" t="s">
        <v>180</v>
      </c>
      <c r="B5" s="109" t="s">
        <v>169</v>
      </c>
      <c r="C5" s="110" t="s">
        <v>138</v>
      </c>
      <c r="D5" s="111">
        <v>34555</v>
      </c>
      <c r="E5" s="111">
        <v>34925</v>
      </c>
      <c r="F5" s="112" t="s">
        <v>40</v>
      </c>
      <c r="G5" s="112" t="s">
        <v>577</v>
      </c>
      <c r="H5" s="112" t="s">
        <v>28</v>
      </c>
      <c r="I5" s="112" t="s">
        <v>611</v>
      </c>
      <c r="J5" s="79" t="s">
        <v>599</v>
      </c>
    </row>
    <row r="6" spans="1:10" ht="25.5" x14ac:dyDescent="0.25">
      <c r="A6" s="109" t="s">
        <v>181</v>
      </c>
      <c r="B6" s="109" t="s">
        <v>169</v>
      </c>
      <c r="C6" s="110" t="s">
        <v>137</v>
      </c>
      <c r="D6" s="111">
        <v>34554</v>
      </c>
      <c r="E6" s="111">
        <v>34925</v>
      </c>
      <c r="F6" s="112" t="s">
        <v>37</v>
      </c>
      <c r="G6" s="112" t="s">
        <v>577</v>
      </c>
      <c r="H6" s="112" t="s">
        <v>28</v>
      </c>
      <c r="I6" s="112" t="s">
        <v>612</v>
      </c>
      <c r="J6" s="79" t="s">
        <v>599</v>
      </c>
    </row>
    <row r="7" spans="1:10" ht="38.25" x14ac:dyDescent="0.25">
      <c r="A7" s="109" t="s">
        <v>182</v>
      </c>
      <c r="B7" s="109" t="s">
        <v>169</v>
      </c>
      <c r="C7" s="110" t="s">
        <v>136</v>
      </c>
      <c r="D7" s="111">
        <v>34554</v>
      </c>
      <c r="E7" s="111">
        <v>34925</v>
      </c>
      <c r="F7" s="112" t="s">
        <v>89</v>
      </c>
      <c r="G7" s="112" t="s">
        <v>577</v>
      </c>
      <c r="H7" s="112" t="s">
        <v>617</v>
      </c>
      <c r="I7" s="112" t="s">
        <v>618</v>
      </c>
      <c r="J7" s="79" t="s">
        <v>599</v>
      </c>
    </row>
    <row r="8" spans="1:10" ht="38.25" x14ac:dyDescent="0.25">
      <c r="A8" s="109" t="s">
        <v>183</v>
      </c>
      <c r="B8" s="109" t="s">
        <v>169</v>
      </c>
      <c r="C8" s="110" t="s">
        <v>135</v>
      </c>
      <c r="D8" s="111">
        <v>34554</v>
      </c>
      <c r="E8" s="111">
        <v>34925</v>
      </c>
      <c r="F8" s="112" t="s">
        <v>553</v>
      </c>
      <c r="G8" s="112" t="s">
        <v>577</v>
      </c>
      <c r="H8" s="112" t="s">
        <v>617</v>
      </c>
      <c r="I8" s="112" t="s">
        <v>619</v>
      </c>
      <c r="J8" s="79" t="s">
        <v>599</v>
      </c>
    </row>
    <row r="9" spans="1:10" ht="38.25" x14ac:dyDescent="0.25">
      <c r="A9" s="109" t="s">
        <v>184</v>
      </c>
      <c r="B9" s="109" t="s">
        <v>169</v>
      </c>
      <c r="C9" s="110" t="s">
        <v>134</v>
      </c>
      <c r="D9" s="111">
        <v>34570</v>
      </c>
      <c r="E9" s="111">
        <v>34925</v>
      </c>
      <c r="F9" s="112" t="s">
        <v>133</v>
      </c>
      <c r="G9" s="112" t="s">
        <v>577</v>
      </c>
      <c r="H9" s="112" t="s">
        <v>617</v>
      </c>
      <c r="I9" s="112" t="s">
        <v>620</v>
      </c>
      <c r="J9" s="79" t="s">
        <v>599</v>
      </c>
    </row>
    <row r="10" spans="1:10" ht="38.25" x14ac:dyDescent="0.25">
      <c r="A10" s="109" t="s">
        <v>185</v>
      </c>
      <c r="B10" s="109" t="s">
        <v>169</v>
      </c>
      <c r="C10" s="110" t="s">
        <v>132</v>
      </c>
      <c r="D10" s="111">
        <v>34569</v>
      </c>
      <c r="E10" s="111">
        <v>34925</v>
      </c>
      <c r="F10" s="112" t="s">
        <v>186</v>
      </c>
      <c r="G10" s="112" t="s">
        <v>577</v>
      </c>
      <c r="H10" s="112" t="s">
        <v>609</v>
      </c>
      <c r="I10" s="112" t="s">
        <v>628</v>
      </c>
      <c r="J10" s="79" t="s">
        <v>599</v>
      </c>
    </row>
    <row r="11" spans="1:10" ht="38.25" x14ac:dyDescent="0.25">
      <c r="A11" s="109" t="s">
        <v>187</v>
      </c>
      <c r="B11" s="109" t="s">
        <v>169</v>
      </c>
      <c r="C11" s="110" t="s">
        <v>131</v>
      </c>
      <c r="D11" s="111">
        <v>34569</v>
      </c>
      <c r="E11" s="111">
        <v>34925</v>
      </c>
      <c r="F11" s="112" t="s">
        <v>50</v>
      </c>
      <c r="G11" s="112" t="s">
        <v>577</v>
      </c>
      <c r="H11" s="112" t="s">
        <v>609</v>
      </c>
      <c r="I11" s="112" t="s">
        <v>629</v>
      </c>
      <c r="J11" s="79" t="s">
        <v>599</v>
      </c>
    </row>
    <row r="12" spans="1:10" ht="38.25" x14ac:dyDescent="0.25">
      <c r="A12" s="109" t="s">
        <v>188</v>
      </c>
      <c r="B12" s="109" t="s">
        <v>169</v>
      </c>
      <c r="C12" s="110" t="s">
        <v>130</v>
      </c>
      <c r="D12" s="111">
        <v>34569</v>
      </c>
      <c r="E12" s="111">
        <v>34925</v>
      </c>
      <c r="F12" s="112" t="s">
        <v>54</v>
      </c>
      <c r="G12" s="112" t="s">
        <v>577</v>
      </c>
      <c r="H12" s="112" t="s">
        <v>609</v>
      </c>
      <c r="I12" s="112" t="s">
        <v>630</v>
      </c>
      <c r="J12" s="79" t="s">
        <v>599</v>
      </c>
    </row>
    <row r="13" spans="1:10" ht="38.25" x14ac:dyDescent="0.25">
      <c r="A13" s="109" t="s">
        <v>189</v>
      </c>
      <c r="B13" s="109" t="s">
        <v>169</v>
      </c>
      <c r="C13" s="110" t="s">
        <v>129</v>
      </c>
      <c r="D13" s="111">
        <v>34569</v>
      </c>
      <c r="E13" s="111">
        <v>34925</v>
      </c>
      <c r="F13" s="112" t="s">
        <v>64</v>
      </c>
      <c r="G13" s="112" t="s">
        <v>577</v>
      </c>
      <c r="H13" s="112" t="s">
        <v>609</v>
      </c>
      <c r="I13" s="112" t="s">
        <v>631</v>
      </c>
      <c r="J13" s="79" t="s">
        <v>599</v>
      </c>
    </row>
    <row r="14" spans="1:10" ht="38.25" x14ac:dyDescent="0.25">
      <c r="A14" s="109" t="s">
        <v>190</v>
      </c>
      <c r="B14" s="109" t="s">
        <v>169</v>
      </c>
      <c r="C14" s="110" t="s">
        <v>128</v>
      </c>
      <c r="D14" s="111">
        <v>34569</v>
      </c>
      <c r="E14" s="111">
        <v>34925</v>
      </c>
      <c r="F14" s="112" t="s">
        <v>47</v>
      </c>
      <c r="G14" s="112" t="s">
        <v>577</v>
      </c>
      <c r="H14" s="112" t="s">
        <v>609</v>
      </c>
      <c r="I14" s="112" t="s">
        <v>632</v>
      </c>
      <c r="J14" s="79" t="s">
        <v>599</v>
      </c>
    </row>
    <row r="15" spans="1:10" ht="38.25" x14ac:dyDescent="0.25">
      <c r="A15" s="109" t="s">
        <v>191</v>
      </c>
      <c r="B15" s="109" t="s">
        <v>169</v>
      </c>
      <c r="C15" s="110" t="s">
        <v>127</v>
      </c>
      <c r="D15" s="111">
        <v>34569</v>
      </c>
      <c r="E15" s="111">
        <v>34925</v>
      </c>
      <c r="F15" s="112" t="s">
        <v>126</v>
      </c>
      <c r="G15" s="112" t="s">
        <v>577</v>
      </c>
      <c r="H15" s="112" t="s">
        <v>609</v>
      </c>
      <c r="I15" s="112" t="s">
        <v>633</v>
      </c>
      <c r="J15" s="79" t="s">
        <v>599</v>
      </c>
    </row>
    <row r="16" spans="1:10" ht="38.25" x14ac:dyDescent="0.25">
      <c r="A16" s="109" t="s">
        <v>192</v>
      </c>
      <c r="B16" s="109" t="s">
        <v>169</v>
      </c>
      <c r="C16" s="110" t="s">
        <v>125</v>
      </c>
      <c r="D16" s="111">
        <v>34569</v>
      </c>
      <c r="E16" s="111">
        <v>34925</v>
      </c>
      <c r="F16" s="112" t="s">
        <v>60</v>
      </c>
      <c r="G16" s="112" t="s">
        <v>577</v>
      </c>
      <c r="H16" s="112" t="s">
        <v>609</v>
      </c>
      <c r="I16" s="112" t="s">
        <v>634</v>
      </c>
      <c r="J16" s="79" t="s">
        <v>599</v>
      </c>
    </row>
    <row r="17" spans="1:10" ht="38.25" x14ac:dyDescent="0.25">
      <c r="A17" s="109" t="s">
        <v>193</v>
      </c>
      <c r="B17" s="109" t="s">
        <v>169</v>
      </c>
      <c r="C17" s="110" t="s">
        <v>124</v>
      </c>
      <c r="D17" s="111">
        <v>34569</v>
      </c>
      <c r="E17" s="111">
        <v>34925</v>
      </c>
      <c r="F17" s="112" t="s">
        <v>52</v>
      </c>
      <c r="G17" s="112" t="s">
        <v>577</v>
      </c>
      <c r="H17" s="112" t="s">
        <v>609</v>
      </c>
      <c r="I17" s="112" t="s">
        <v>635</v>
      </c>
      <c r="J17" s="79" t="s">
        <v>599</v>
      </c>
    </row>
    <row r="18" spans="1:10" ht="38.25" x14ac:dyDescent="0.25">
      <c r="A18" s="109" t="s">
        <v>194</v>
      </c>
      <c r="B18" s="109" t="s">
        <v>169</v>
      </c>
      <c r="C18" s="110" t="s">
        <v>123</v>
      </c>
      <c r="D18" s="111">
        <v>34554</v>
      </c>
      <c r="E18" s="111">
        <v>34933</v>
      </c>
      <c r="F18" s="112" t="s">
        <v>91</v>
      </c>
      <c r="G18" s="112" t="s">
        <v>577</v>
      </c>
      <c r="H18" s="112" t="s">
        <v>617</v>
      </c>
      <c r="I18" s="112" t="s">
        <v>621</v>
      </c>
      <c r="J18" s="79" t="s">
        <v>599</v>
      </c>
    </row>
    <row r="19" spans="1:10" ht="38.25" x14ac:dyDescent="0.25">
      <c r="A19" s="109" t="s">
        <v>195</v>
      </c>
      <c r="B19" s="109" t="s">
        <v>169</v>
      </c>
      <c r="C19" s="110" t="s">
        <v>122</v>
      </c>
      <c r="D19" s="111">
        <v>34576</v>
      </c>
      <c r="E19" s="111">
        <v>34947</v>
      </c>
      <c r="F19" s="112" t="s">
        <v>116</v>
      </c>
      <c r="G19" s="112" t="s">
        <v>577</v>
      </c>
      <c r="H19" s="112" t="s">
        <v>609</v>
      </c>
      <c r="I19" s="112" t="s">
        <v>636</v>
      </c>
      <c r="J19" s="79" t="s">
        <v>599</v>
      </c>
    </row>
    <row r="20" spans="1:10" ht="38.25" x14ac:dyDescent="0.25">
      <c r="A20" s="109" t="s">
        <v>196</v>
      </c>
      <c r="B20" s="109" t="s">
        <v>168</v>
      </c>
      <c r="C20" s="110" t="s">
        <v>197</v>
      </c>
      <c r="D20" s="111">
        <v>35466</v>
      </c>
      <c r="E20" s="111">
        <v>35471</v>
      </c>
      <c r="F20" s="112" t="s">
        <v>577</v>
      </c>
      <c r="G20" s="112" t="s">
        <v>578</v>
      </c>
      <c r="H20" s="112" t="s">
        <v>170</v>
      </c>
      <c r="I20" s="108" t="s">
        <v>615</v>
      </c>
      <c r="J20" s="79" t="s">
        <v>599</v>
      </c>
    </row>
    <row r="21" spans="1:10" ht="76.5" x14ac:dyDescent="0.25">
      <c r="A21" s="109" t="s">
        <v>198</v>
      </c>
      <c r="B21" s="109" t="s">
        <v>168</v>
      </c>
      <c r="C21" s="110" t="s">
        <v>199</v>
      </c>
      <c r="D21" s="111">
        <v>35473</v>
      </c>
      <c r="E21" s="111">
        <v>35475</v>
      </c>
      <c r="F21" s="112" t="s">
        <v>578</v>
      </c>
      <c r="G21" s="112" t="s">
        <v>783</v>
      </c>
      <c r="H21" s="108" t="s">
        <v>610</v>
      </c>
      <c r="I21" s="108" t="s">
        <v>741</v>
      </c>
      <c r="J21" s="79" t="s">
        <v>599</v>
      </c>
    </row>
    <row r="22" spans="1:10" ht="25.5" x14ac:dyDescent="0.25">
      <c r="A22" s="109" t="s">
        <v>200</v>
      </c>
      <c r="B22" s="109" t="s">
        <v>169</v>
      </c>
      <c r="C22" s="110" t="s">
        <v>121</v>
      </c>
      <c r="D22" s="111">
        <v>36021</v>
      </c>
      <c r="E22" s="111">
        <v>36040</v>
      </c>
      <c r="F22" s="112" t="s">
        <v>37</v>
      </c>
      <c r="G22" s="112" t="s">
        <v>173</v>
      </c>
      <c r="H22" s="112" t="s">
        <v>28</v>
      </c>
      <c r="I22" s="112" t="s">
        <v>613</v>
      </c>
      <c r="J22" s="79" t="s">
        <v>599</v>
      </c>
    </row>
    <row r="23" spans="1:10" ht="25.5" x14ac:dyDescent="0.25">
      <c r="A23" s="109" t="s">
        <v>201</v>
      </c>
      <c r="B23" s="109" t="s">
        <v>169</v>
      </c>
      <c r="C23" s="110" t="s">
        <v>120</v>
      </c>
      <c r="D23" s="111">
        <v>36024</v>
      </c>
      <c r="E23" s="111">
        <v>36040</v>
      </c>
      <c r="F23" s="112" t="s">
        <v>554</v>
      </c>
      <c r="G23" s="112" t="s">
        <v>173</v>
      </c>
      <c r="H23" s="112" t="s">
        <v>617</v>
      </c>
      <c r="I23" s="112" t="s">
        <v>622</v>
      </c>
      <c r="J23" s="79" t="s">
        <v>599</v>
      </c>
    </row>
    <row r="24" spans="1:10" ht="25.5" x14ac:dyDescent="0.25">
      <c r="A24" s="109" t="s">
        <v>202</v>
      </c>
      <c r="B24" s="109" t="s">
        <v>169</v>
      </c>
      <c r="C24" s="110" t="s">
        <v>119</v>
      </c>
      <c r="D24" s="111">
        <v>36024</v>
      </c>
      <c r="E24" s="111">
        <v>36040</v>
      </c>
      <c r="F24" s="112" t="s">
        <v>91</v>
      </c>
      <c r="G24" s="112" t="s">
        <v>173</v>
      </c>
      <c r="H24" s="112" t="s">
        <v>617</v>
      </c>
      <c r="I24" s="112" t="s">
        <v>623</v>
      </c>
      <c r="J24" s="79" t="s">
        <v>599</v>
      </c>
    </row>
    <row r="25" spans="1:10" ht="25.5" x14ac:dyDescent="0.25">
      <c r="A25" s="109" t="s">
        <v>203</v>
      </c>
      <c r="B25" s="109" t="s">
        <v>169</v>
      </c>
      <c r="C25" s="110" t="s">
        <v>118</v>
      </c>
      <c r="D25" s="111">
        <v>36024</v>
      </c>
      <c r="E25" s="111">
        <v>36040</v>
      </c>
      <c r="F25" s="112" t="s">
        <v>784</v>
      </c>
      <c r="G25" s="112" t="s">
        <v>173</v>
      </c>
      <c r="H25" s="112" t="s">
        <v>617</v>
      </c>
      <c r="I25" s="108" t="s">
        <v>624</v>
      </c>
      <c r="J25" s="79" t="s">
        <v>599</v>
      </c>
    </row>
    <row r="26" spans="1:10" ht="38.25" x14ac:dyDescent="0.25">
      <c r="A26" s="109" t="s">
        <v>204</v>
      </c>
      <c r="B26" s="109" t="s">
        <v>168</v>
      </c>
      <c r="C26" s="110" t="s">
        <v>205</v>
      </c>
      <c r="D26" s="111">
        <v>36028</v>
      </c>
      <c r="E26" s="111">
        <v>36059</v>
      </c>
      <c r="F26" s="112" t="s">
        <v>173</v>
      </c>
      <c r="G26" s="112" t="s">
        <v>206</v>
      </c>
      <c r="H26" s="112" t="s">
        <v>616</v>
      </c>
      <c r="I26" s="112" t="s">
        <v>697</v>
      </c>
      <c r="J26" s="79" t="s">
        <v>599</v>
      </c>
    </row>
    <row r="27" spans="1:10" ht="38.25" x14ac:dyDescent="0.25">
      <c r="A27" s="109" t="s">
        <v>207</v>
      </c>
      <c r="B27" s="109" t="s">
        <v>168</v>
      </c>
      <c r="C27" s="110" t="s">
        <v>208</v>
      </c>
      <c r="D27" s="111">
        <v>36035</v>
      </c>
      <c r="E27" s="111">
        <v>36066</v>
      </c>
      <c r="F27" s="112" t="s">
        <v>206</v>
      </c>
      <c r="G27" s="112" t="s">
        <v>209</v>
      </c>
      <c r="H27" s="112" t="s">
        <v>616</v>
      </c>
      <c r="I27" s="112" t="s">
        <v>697</v>
      </c>
      <c r="J27" s="79" t="s">
        <v>599</v>
      </c>
    </row>
    <row r="28" spans="1:10" ht="25.5" x14ac:dyDescent="0.25">
      <c r="A28" s="109" t="s">
        <v>216</v>
      </c>
      <c r="B28" s="109" t="s">
        <v>169</v>
      </c>
      <c r="C28" s="110" t="s">
        <v>110</v>
      </c>
      <c r="D28" s="111">
        <v>36027</v>
      </c>
      <c r="E28" s="111">
        <v>36094</v>
      </c>
      <c r="F28" s="112" t="s">
        <v>109</v>
      </c>
      <c r="G28" s="112" t="s">
        <v>577</v>
      </c>
      <c r="H28" s="112" t="s">
        <v>609</v>
      </c>
      <c r="I28" s="112" t="s">
        <v>637</v>
      </c>
      <c r="J28" s="79" t="s">
        <v>599</v>
      </c>
    </row>
    <row r="29" spans="1:10" ht="25.5" x14ac:dyDescent="0.25">
      <c r="A29" s="109" t="s">
        <v>217</v>
      </c>
      <c r="B29" s="109" t="s">
        <v>169</v>
      </c>
      <c r="C29" s="110" t="s">
        <v>108</v>
      </c>
      <c r="D29" s="111">
        <v>36027</v>
      </c>
      <c r="E29" s="111">
        <v>36094</v>
      </c>
      <c r="F29" s="112" t="s">
        <v>47</v>
      </c>
      <c r="G29" s="112" t="s">
        <v>577</v>
      </c>
      <c r="H29" s="112" t="s">
        <v>609</v>
      </c>
      <c r="I29" s="112" t="s">
        <v>638</v>
      </c>
      <c r="J29" s="79" t="s">
        <v>599</v>
      </c>
    </row>
    <row r="30" spans="1:10" ht="25.5" x14ac:dyDescent="0.25">
      <c r="A30" s="109" t="s">
        <v>218</v>
      </c>
      <c r="B30" s="109" t="s">
        <v>169</v>
      </c>
      <c r="C30" s="110" t="s">
        <v>107</v>
      </c>
      <c r="D30" s="111">
        <v>36027</v>
      </c>
      <c r="E30" s="111">
        <v>36094</v>
      </c>
      <c r="F30" s="112" t="s">
        <v>40</v>
      </c>
      <c r="G30" s="112" t="s">
        <v>577</v>
      </c>
      <c r="H30" s="108" t="s">
        <v>28</v>
      </c>
      <c r="I30" s="108" t="s">
        <v>614</v>
      </c>
      <c r="J30" s="79" t="s">
        <v>599</v>
      </c>
    </row>
    <row r="31" spans="1:10" ht="25.5" x14ac:dyDescent="0.25">
      <c r="A31" s="109" t="s">
        <v>219</v>
      </c>
      <c r="B31" s="109" t="s">
        <v>169</v>
      </c>
      <c r="C31" s="110" t="s">
        <v>106</v>
      </c>
      <c r="D31" s="111">
        <v>36027</v>
      </c>
      <c r="E31" s="111">
        <v>36094</v>
      </c>
      <c r="F31" s="112" t="s">
        <v>54</v>
      </c>
      <c r="G31" s="112" t="s">
        <v>577</v>
      </c>
      <c r="H31" s="108" t="s">
        <v>609</v>
      </c>
      <c r="I31" s="108" t="s">
        <v>639</v>
      </c>
      <c r="J31" s="79" t="s">
        <v>599</v>
      </c>
    </row>
    <row r="32" spans="1:10" ht="25.5" x14ac:dyDescent="0.25">
      <c r="A32" s="109" t="s">
        <v>210</v>
      </c>
      <c r="B32" s="109" t="s">
        <v>169</v>
      </c>
      <c r="C32" s="110" t="s">
        <v>117</v>
      </c>
      <c r="D32" s="111">
        <v>36027</v>
      </c>
      <c r="E32" s="111">
        <v>36094</v>
      </c>
      <c r="F32" s="112" t="s">
        <v>116</v>
      </c>
      <c r="G32" s="112" t="s">
        <v>577</v>
      </c>
      <c r="H32" s="112" t="s">
        <v>609</v>
      </c>
      <c r="I32" s="112" t="s">
        <v>640</v>
      </c>
      <c r="J32" s="79" t="s">
        <v>599</v>
      </c>
    </row>
    <row r="33" spans="1:10" ht="25.5" x14ac:dyDescent="0.25">
      <c r="A33" s="109" t="s">
        <v>211</v>
      </c>
      <c r="B33" s="109" t="s">
        <v>169</v>
      </c>
      <c r="C33" s="110" t="s">
        <v>115</v>
      </c>
      <c r="D33" s="111">
        <v>36027</v>
      </c>
      <c r="E33" s="111">
        <v>36094</v>
      </c>
      <c r="F33" s="112" t="s">
        <v>60</v>
      </c>
      <c r="G33" s="112" t="s">
        <v>577</v>
      </c>
      <c r="H33" s="112" t="s">
        <v>609</v>
      </c>
      <c r="I33" s="112" t="s">
        <v>641</v>
      </c>
      <c r="J33" s="79" t="s">
        <v>599</v>
      </c>
    </row>
    <row r="34" spans="1:10" ht="25.5" x14ac:dyDescent="0.25">
      <c r="A34" s="109" t="s">
        <v>212</v>
      </c>
      <c r="B34" s="109" t="s">
        <v>169</v>
      </c>
      <c r="C34" s="110" t="s">
        <v>114</v>
      </c>
      <c r="D34" s="111">
        <v>36027</v>
      </c>
      <c r="E34" s="111">
        <v>36094</v>
      </c>
      <c r="F34" s="112" t="s">
        <v>58</v>
      </c>
      <c r="G34" s="112" t="s">
        <v>577</v>
      </c>
      <c r="H34" s="112" t="s">
        <v>609</v>
      </c>
      <c r="I34" s="112" t="s">
        <v>642</v>
      </c>
      <c r="J34" s="79" t="s">
        <v>599</v>
      </c>
    </row>
    <row r="35" spans="1:10" ht="25.5" x14ac:dyDescent="0.25">
      <c r="A35" s="109" t="s">
        <v>213</v>
      </c>
      <c r="B35" s="109" t="s">
        <v>169</v>
      </c>
      <c r="C35" s="110" t="s">
        <v>113</v>
      </c>
      <c r="D35" s="111">
        <v>36027</v>
      </c>
      <c r="E35" s="111">
        <v>36094</v>
      </c>
      <c r="F35" s="112" t="s">
        <v>52</v>
      </c>
      <c r="G35" s="112" t="s">
        <v>577</v>
      </c>
      <c r="H35" s="112" t="s">
        <v>609</v>
      </c>
      <c r="I35" s="112" t="s">
        <v>643</v>
      </c>
      <c r="J35" s="79" t="s">
        <v>599</v>
      </c>
    </row>
    <row r="36" spans="1:10" ht="25.5" x14ac:dyDescent="0.25">
      <c r="A36" s="109" t="s">
        <v>214</v>
      </c>
      <c r="B36" s="109" t="s">
        <v>169</v>
      </c>
      <c r="C36" s="110" t="s">
        <v>112</v>
      </c>
      <c r="D36" s="111">
        <v>36027</v>
      </c>
      <c r="E36" s="111">
        <v>36094</v>
      </c>
      <c r="F36" s="112" t="s">
        <v>64</v>
      </c>
      <c r="G36" s="112" t="s">
        <v>577</v>
      </c>
      <c r="H36" s="112" t="s">
        <v>609</v>
      </c>
      <c r="I36" s="112" t="s">
        <v>644</v>
      </c>
      <c r="J36" s="79" t="s">
        <v>599</v>
      </c>
    </row>
    <row r="37" spans="1:10" ht="25.5" x14ac:dyDescent="0.25">
      <c r="A37" s="109" t="s">
        <v>215</v>
      </c>
      <c r="B37" s="109" t="s">
        <v>169</v>
      </c>
      <c r="C37" s="110" t="s">
        <v>111</v>
      </c>
      <c r="D37" s="111">
        <v>36027</v>
      </c>
      <c r="E37" s="111">
        <v>36094</v>
      </c>
      <c r="F37" s="112" t="s">
        <v>50</v>
      </c>
      <c r="G37" s="112" t="s">
        <v>577</v>
      </c>
      <c r="H37" s="112" t="s">
        <v>609</v>
      </c>
      <c r="I37" s="112" t="s">
        <v>645</v>
      </c>
      <c r="J37" s="79" t="s">
        <v>599</v>
      </c>
    </row>
    <row r="38" spans="1:10" ht="25.5" x14ac:dyDescent="0.25">
      <c r="A38" s="109" t="s">
        <v>220</v>
      </c>
      <c r="B38" s="109" t="s">
        <v>169</v>
      </c>
      <c r="C38" s="110" t="s">
        <v>105</v>
      </c>
      <c r="D38" s="111">
        <v>36104</v>
      </c>
      <c r="E38" s="111">
        <v>36158</v>
      </c>
      <c r="F38" s="112" t="s">
        <v>104</v>
      </c>
      <c r="G38" s="112" t="s">
        <v>578</v>
      </c>
      <c r="H38" s="108" t="s">
        <v>617</v>
      </c>
      <c r="I38" s="108" t="s">
        <v>625</v>
      </c>
      <c r="J38" s="79" t="s">
        <v>599</v>
      </c>
    </row>
    <row r="39" spans="1:10" ht="51" x14ac:dyDescent="0.25">
      <c r="A39" s="109" t="s">
        <v>221</v>
      </c>
      <c r="B39" s="109" t="s">
        <v>169</v>
      </c>
      <c r="C39" s="110" t="s">
        <v>103</v>
      </c>
      <c r="D39" s="111">
        <v>36119</v>
      </c>
      <c r="E39" s="111">
        <v>36173</v>
      </c>
      <c r="F39" s="112" t="s">
        <v>555</v>
      </c>
      <c r="G39" s="112" t="s">
        <v>222</v>
      </c>
      <c r="H39" s="112" t="s">
        <v>556</v>
      </c>
      <c r="I39" s="112" t="s">
        <v>654</v>
      </c>
      <c r="J39" s="79" t="s">
        <v>599</v>
      </c>
    </row>
    <row r="40" spans="1:10" ht="38.25" x14ac:dyDescent="0.25">
      <c r="A40" s="109" t="s">
        <v>223</v>
      </c>
      <c r="B40" s="109" t="s">
        <v>168</v>
      </c>
      <c r="C40" s="110" t="s">
        <v>224</v>
      </c>
      <c r="D40" s="111">
        <v>36193</v>
      </c>
      <c r="E40" s="111">
        <v>36196</v>
      </c>
      <c r="F40" s="112" t="s">
        <v>557</v>
      </c>
      <c r="G40" s="112" t="s">
        <v>225</v>
      </c>
      <c r="H40" s="112" t="s">
        <v>648</v>
      </c>
      <c r="I40" s="112" t="s">
        <v>698</v>
      </c>
      <c r="J40" s="79" t="s">
        <v>599</v>
      </c>
    </row>
    <row r="41" spans="1:10" ht="51" x14ac:dyDescent="0.25">
      <c r="A41" s="109" t="s">
        <v>229</v>
      </c>
      <c r="B41" s="109" t="s">
        <v>169</v>
      </c>
      <c r="C41" s="110" t="s">
        <v>97</v>
      </c>
      <c r="D41" s="111">
        <v>36182</v>
      </c>
      <c r="E41" s="111">
        <v>36209</v>
      </c>
      <c r="F41" s="112" t="s">
        <v>96</v>
      </c>
      <c r="G41" s="112" t="s">
        <v>578</v>
      </c>
      <c r="H41" s="112" t="s">
        <v>464</v>
      </c>
      <c r="I41" s="112" t="s">
        <v>655</v>
      </c>
      <c r="J41" s="79" t="s">
        <v>599</v>
      </c>
    </row>
    <row r="42" spans="1:10" ht="25.5" x14ac:dyDescent="0.25">
      <c r="A42" s="109" t="s">
        <v>230</v>
      </c>
      <c r="B42" s="109" t="s">
        <v>169</v>
      </c>
      <c r="C42" s="110" t="s">
        <v>72</v>
      </c>
      <c r="D42" s="111">
        <v>36166</v>
      </c>
      <c r="E42" s="111">
        <v>36209</v>
      </c>
      <c r="F42" s="112" t="s">
        <v>71</v>
      </c>
      <c r="G42" s="112" t="s">
        <v>578</v>
      </c>
      <c r="H42" s="108" t="s">
        <v>609</v>
      </c>
      <c r="I42" s="112" t="s">
        <v>656</v>
      </c>
      <c r="J42" s="79" t="s">
        <v>599</v>
      </c>
    </row>
    <row r="43" spans="1:10" ht="25.5" x14ac:dyDescent="0.25">
      <c r="A43" s="109" t="s">
        <v>226</v>
      </c>
      <c r="B43" s="109" t="s">
        <v>169</v>
      </c>
      <c r="C43" s="110" t="s">
        <v>101</v>
      </c>
      <c r="D43" s="111">
        <v>36129</v>
      </c>
      <c r="E43" s="111">
        <v>36203</v>
      </c>
      <c r="F43" s="112" t="s">
        <v>83</v>
      </c>
      <c r="G43" s="112" t="s">
        <v>222</v>
      </c>
      <c r="H43" s="108" t="s">
        <v>617</v>
      </c>
      <c r="I43" s="108" t="s">
        <v>657</v>
      </c>
      <c r="J43" s="79" t="s">
        <v>599</v>
      </c>
    </row>
    <row r="44" spans="1:10" ht="25.5" x14ac:dyDescent="0.25">
      <c r="A44" s="109" t="s">
        <v>227</v>
      </c>
      <c r="B44" s="109" t="s">
        <v>169</v>
      </c>
      <c r="C44" s="110" t="s">
        <v>100</v>
      </c>
      <c r="D44" s="111">
        <v>36129</v>
      </c>
      <c r="E44" s="111">
        <v>36203</v>
      </c>
      <c r="F44" s="112" t="s">
        <v>85</v>
      </c>
      <c r="G44" s="112" t="s">
        <v>222</v>
      </c>
      <c r="H44" s="112" t="s">
        <v>617</v>
      </c>
      <c r="I44" s="112" t="s">
        <v>658</v>
      </c>
      <c r="J44" s="79" t="s">
        <v>599</v>
      </c>
    </row>
    <row r="45" spans="1:10" ht="25.5" x14ac:dyDescent="0.25">
      <c r="A45" s="109" t="s">
        <v>228</v>
      </c>
      <c r="B45" s="109" t="s">
        <v>169</v>
      </c>
      <c r="C45" s="110" t="s">
        <v>99</v>
      </c>
      <c r="D45" s="111">
        <v>36129</v>
      </c>
      <c r="E45" s="111">
        <v>36203</v>
      </c>
      <c r="F45" s="112" t="s">
        <v>558</v>
      </c>
      <c r="G45" s="112" t="s">
        <v>222</v>
      </c>
      <c r="H45" s="112" t="s">
        <v>617</v>
      </c>
      <c r="I45" s="112" t="s">
        <v>659</v>
      </c>
      <c r="J45" s="79" t="s">
        <v>599</v>
      </c>
    </row>
    <row r="46" spans="1:10" ht="38.25" x14ac:dyDescent="0.25">
      <c r="A46" s="109" t="s">
        <v>233</v>
      </c>
      <c r="B46" s="109" t="s">
        <v>168</v>
      </c>
      <c r="C46" s="110" t="s">
        <v>234</v>
      </c>
      <c r="D46" s="111">
        <v>36167</v>
      </c>
      <c r="E46" s="111">
        <v>36234</v>
      </c>
      <c r="F46" s="112" t="s">
        <v>222</v>
      </c>
      <c r="G46" s="112" t="s">
        <v>258</v>
      </c>
      <c r="H46" s="108" t="s">
        <v>617</v>
      </c>
      <c r="I46" s="112" t="s">
        <v>699</v>
      </c>
      <c r="J46" s="79" t="s">
        <v>599</v>
      </c>
    </row>
    <row r="47" spans="1:10" ht="38.25" x14ac:dyDescent="0.25">
      <c r="A47" s="109" t="s">
        <v>231</v>
      </c>
      <c r="B47" s="109" t="s">
        <v>168</v>
      </c>
      <c r="C47" s="110" t="s">
        <v>232</v>
      </c>
      <c r="D47" s="111">
        <v>36196</v>
      </c>
      <c r="E47" s="111">
        <v>36231</v>
      </c>
      <c r="F47" s="112" t="s">
        <v>209</v>
      </c>
      <c r="G47" s="112" t="s">
        <v>578</v>
      </c>
      <c r="H47" s="108" t="s">
        <v>616</v>
      </c>
      <c r="I47" s="108" t="s">
        <v>743</v>
      </c>
      <c r="J47" s="79" t="s">
        <v>599</v>
      </c>
    </row>
    <row r="48" spans="1:10" ht="38.25" x14ac:dyDescent="0.25">
      <c r="A48" s="109" t="s">
        <v>235</v>
      </c>
      <c r="B48" s="109" t="s">
        <v>168</v>
      </c>
      <c r="C48" s="110" t="s">
        <v>236</v>
      </c>
      <c r="D48" s="111">
        <v>36101</v>
      </c>
      <c r="E48" s="111">
        <v>36255</v>
      </c>
      <c r="F48" s="112" t="s">
        <v>577</v>
      </c>
      <c r="G48" s="112" t="s">
        <v>578</v>
      </c>
      <c r="H48" s="108" t="s">
        <v>626</v>
      </c>
      <c r="I48" s="108" t="s">
        <v>742</v>
      </c>
      <c r="J48" s="79" t="s">
        <v>599</v>
      </c>
    </row>
    <row r="49" spans="1:10" ht="38.25" x14ac:dyDescent="0.25">
      <c r="A49" s="109" t="s">
        <v>237</v>
      </c>
      <c r="B49" s="109" t="s">
        <v>168</v>
      </c>
      <c r="C49" s="110" t="s">
        <v>238</v>
      </c>
      <c r="D49" s="111">
        <v>36199</v>
      </c>
      <c r="E49" s="111">
        <v>36265</v>
      </c>
      <c r="F49" s="112" t="s">
        <v>222</v>
      </c>
      <c r="G49" s="112" t="s">
        <v>258</v>
      </c>
      <c r="H49" s="108" t="s">
        <v>627</v>
      </c>
      <c r="I49" s="108" t="s">
        <v>700</v>
      </c>
      <c r="J49" s="79" t="s">
        <v>599</v>
      </c>
    </row>
    <row r="50" spans="1:10" ht="25.5" x14ac:dyDescent="0.25">
      <c r="A50" s="109" t="s">
        <v>239</v>
      </c>
      <c r="B50" s="109" t="s">
        <v>169</v>
      </c>
      <c r="C50" s="110" t="s">
        <v>70</v>
      </c>
      <c r="D50" s="111">
        <v>36327</v>
      </c>
      <c r="E50" s="111">
        <v>36336</v>
      </c>
      <c r="F50" s="112" t="s">
        <v>69</v>
      </c>
      <c r="G50" s="112" t="s">
        <v>69</v>
      </c>
      <c r="H50" s="108" t="s">
        <v>609</v>
      </c>
      <c r="I50" s="112" t="s">
        <v>660</v>
      </c>
      <c r="J50" s="79" t="s">
        <v>599</v>
      </c>
    </row>
    <row r="51" spans="1:10" ht="25.5" x14ac:dyDescent="0.25">
      <c r="A51" s="109" t="s">
        <v>240</v>
      </c>
      <c r="B51" s="109" t="s">
        <v>169</v>
      </c>
      <c r="C51" s="106" t="s">
        <v>67</v>
      </c>
      <c r="D51" s="111">
        <v>36327</v>
      </c>
      <c r="E51" s="111">
        <v>36357</v>
      </c>
      <c r="F51" s="112" t="s">
        <v>786</v>
      </c>
      <c r="G51" s="112" t="s">
        <v>69</v>
      </c>
      <c r="H51" s="112" t="s">
        <v>609</v>
      </c>
      <c r="I51" s="112" t="s">
        <v>661</v>
      </c>
      <c r="J51" s="79" t="s">
        <v>599</v>
      </c>
    </row>
    <row r="52" spans="1:10" ht="25.5" x14ac:dyDescent="0.25">
      <c r="A52" s="109" t="s">
        <v>241</v>
      </c>
      <c r="B52" s="109" t="s">
        <v>242</v>
      </c>
      <c r="C52" s="110" t="s">
        <v>243</v>
      </c>
      <c r="D52" s="111">
        <v>36464</v>
      </c>
      <c r="E52" s="111">
        <v>36524</v>
      </c>
      <c r="F52" s="112" t="s">
        <v>785</v>
      </c>
      <c r="G52" s="112" t="s">
        <v>244</v>
      </c>
      <c r="H52" s="112" t="s">
        <v>160</v>
      </c>
      <c r="I52" s="112" t="s">
        <v>559</v>
      </c>
      <c r="J52" s="79" t="s">
        <v>599</v>
      </c>
    </row>
    <row r="53" spans="1:10" ht="38.25" x14ac:dyDescent="0.25">
      <c r="A53" s="109" t="s">
        <v>245</v>
      </c>
      <c r="B53" s="109" t="s">
        <v>246</v>
      </c>
      <c r="C53" s="110" t="s">
        <v>247</v>
      </c>
      <c r="D53" s="111">
        <v>36524</v>
      </c>
      <c r="E53" s="111">
        <v>36535</v>
      </c>
      <c r="F53" s="112" t="s">
        <v>578</v>
      </c>
      <c r="G53" s="112" t="s">
        <v>646</v>
      </c>
      <c r="H53" s="112" t="s">
        <v>648</v>
      </c>
      <c r="I53" s="112" t="s">
        <v>647</v>
      </c>
      <c r="J53" s="79" t="s">
        <v>599</v>
      </c>
    </row>
    <row r="54" spans="1:10" ht="25.5" x14ac:dyDescent="0.25">
      <c r="A54" s="109" t="s">
        <v>248</v>
      </c>
      <c r="B54" s="109" t="s">
        <v>249</v>
      </c>
      <c r="C54" s="110" t="s">
        <v>250</v>
      </c>
      <c r="D54" s="111">
        <v>36523</v>
      </c>
      <c r="E54" s="111">
        <v>36535</v>
      </c>
      <c r="F54" s="112" t="s">
        <v>578</v>
      </c>
      <c r="G54" s="112" t="s">
        <v>251</v>
      </c>
      <c r="H54" s="112" t="s">
        <v>170</v>
      </c>
      <c r="I54" s="112" t="s">
        <v>560</v>
      </c>
      <c r="J54" s="79" t="s">
        <v>599</v>
      </c>
    </row>
    <row r="55" spans="1:10" ht="178.5" x14ac:dyDescent="0.25">
      <c r="A55" s="109" t="s">
        <v>252</v>
      </c>
      <c r="B55" s="109" t="s">
        <v>168</v>
      </c>
      <c r="C55" s="110" t="s">
        <v>253</v>
      </c>
      <c r="D55" s="111">
        <v>36570</v>
      </c>
      <c r="E55" s="111">
        <v>36593</v>
      </c>
      <c r="F55" s="112" t="s">
        <v>69</v>
      </c>
      <c r="G55" s="112" t="s">
        <v>578</v>
      </c>
      <c r="H55" s="112" t="s">
        <v>649</v>
      </c>
      <c r="I55" s="112" t="s">
        <v>745</v>
      </c>
      <c r="J55" s="79" t="s">
        <v>599</v>
      </c>
    </row>
    <row r="56" spans="1:10" ht="178.5" x14ac:dyDescent="0.25">
      <c r="A56" s="109" t="s">
        <v>254</v>
      </c>
      <c r="B56" s="109" t="s">
        <v>168</v>
      </c>
      <c r="C56" s="110" t="s">
        <v>255</v>
      </c>
      <c r="D56" s="111">
        <v>36570</v>
      </c>
      <c r="E56" s="111">
        <v>36593</v>
      </c>
      <c r="F56" s="112" t="s">
        <v>786</v>
      </c>
      <c r="G56" s="108" t="s">
        <v>578</v>
      </c>
      <c r="H56" s="108" t="s">
        <v>170</v>
      </c>
      <c r="I56" s="108" t="s">
        <v>746</v>
      </c>
      <c r="J56" s="79" t="s">
        <v>599</v>
      </c>
    </row>
    <row r="57" spans="1:10" ht="51" x14ac:dyDescent="0.25">
      <c r="A57" s="109" t="s">
        <v>256</v>
      </c>
      <c r="B57" s="109" t="s">
        <v>561</v>
      </c>
      <c r="C57" s="110" t="s">
        <v>257</v>
      </c>
      <c r="D57" s="111">
        <v>36574</v>
      </c>
      <c r="E57" s="111">
        <v>36594</v>
      </c>
      <c r="F57" s="112" t="s">
        <v>222</v>
      </c>
      <c r="G57" s="112" t="s">
        <v>258</v>
      </c>
      <c r="H57" s="108" t="s">
        <v>627</v>
      </c>
      <c r="I57" s="108" t="s">
        <v>701</v>
      </c>
      <c r="J57" s="79" t="s">
        <v>599</v>
      </c>
    </row>
    <row r="58" spans="1:10" ht="38.25" x14ac:dyDescent="0.25">
      <c r="A58" s="109" t="s">
        <v>259</v>
      </c>
      <c r="B58" s="109" t="s">
        <v>299</v>
      </c>
      <c r="C58" s="110" t="s">
        <v>260</v>
      </c>
      <c r="D58" s="111">
        <v>36451</v>
      </c>
      <c r="E58" s="111">
        <v>36609</v>
      </c>
      <c r="F58" s="108" t="s">
        <v>258</v>
      </c>
      <c r="G58" s="112" t="s">
        <v>261</v>
      </c>
      <c r="H58" s="112" t="s">
        <v>170</v>
      </c>
      <c r="I58" s="108" t="s">
        <v>744</v>
      </c>
      <c r="J58" s="79" t="s">
        <v>599</v>
      </c>
    </row>
    <row r="59" spans="1:10" ht="63.75" x14ac:dyDescent="0.25">
      <c r="A59" s="109" t="s">
        <v>262</v>
      </c>
      <c r="B59" s="109" t="s">
        <v>299</v>
      </c>
      <c r="C59" s="110" t="s">
        <v>263</v>
      </c>
      <c r="D59" s="111">
        <v>36601</v>
      </c>
      <c r="E59" s="111">
        <v>36609</v>
      </c>
      <c r="F59" s="112" t="s">
        <v>258</v>
      </c>
      <c r="G59" s="112" t="s">
        <v>264</v>
      </c>
      <c r="H59" s="112" t="s">
        <v>170</v>
      </c>
      <c r="I59" s="112" t="s">
        <v>711</v>
      </c>
      <c r="J59" s="79" t="s">
        <v>599</v>
      </c>
    </row>
    <row r="60" spans="1:10" ht="102" x14ac:dyDescent="0.25">
      <c r="A60" s="109" t="s">
        <v>265</v>
      </c>
      <c r="B60" s="109" t="s">
        <v>168</v>
      </c>
      <c r="C60" s="110" t="s">
        <v>266</v>
      </c>
      <c r="D60" s="111">
        <v>36619</v>
      </c>
      <c r="E60" s="111">
        <v>36623</v>
      </c>
      <c r="F60" s="112" t="s">
        <v>578</v>
      </c>
      <c r="G60" s="108" t="s">
        <v>650</v>
      </c>
      <c r="H60" s="108" t="s">
        <v>648</v>
      </c>
      <c r="I60" s="108" t="s">
        <v>702</v>
      </c>
      <c r="J60" s="79" t="s">
        <v>599</v>
      </c>
    </row>
    <row r="61" spans="1:10" ht="102" x14ac:dyDescent="0.25">
      <c r="A61" s="109" t="s">
        <v>267</v>
      </c>
      <c r="B61" s="109" t="s">
        <v>168</v>
      </c>
      <c r="C61" s="110" t="s">
        <v>268</v>
      </c>
      <c r="D61" s="111">
        <v>36619</v>
      </c>
      <c r="E61" s="111">
        <v>36623</v>
      </c>
      <c r="F61" s="112" t="s">
        <v>578</v>
      </c>
      <c r="G61" s="108" t="s">
        <v>650</v>
      </c>
      <c r="H61" s="112" t="s">
        <v>170</v>
      </c>
      <c r="I61" s="108" t="s">
        <v>703</v>
      </c>
      <c r="J61" s="79" t="s">
        <v>599</v>
      </c>
    </row>
    <row r="62" spans="1:10" ht="51" x14ac:dyDescent="0.25">
      <c r="A62" s="109" t="s">
        <v>269</v>
      </c>
      <c r="B62" s="109" t="s">
        <v>246</v>
      </c>
      <c r="C62" s="110" t="s">
        <v>270</v>
      </c>
      <c r="D62" s="111">
        <v>36633</v>
      </c>
      <c r="E62" s="111">
        <v>36643</v>
      </c>
      <c r="F62" s="112" t="s">
        <v>578</v>
      </c>
      <c r="G62" s="112" t="s">
        <v>579</v>
      </c>
      <c r="H62" s="112" t="s">
        <v>170</v>
      </c>
      <c r="I62" s="112" t="s">
        <v>580</v>
      </c>
      <c r="J62" s="79" t="s">
        <v>599</v>
      </c>
    </row>
    <row r="63" spans="1:10" ht="127.5" x14ac:dyDescent="0.25">
      <c r="A63" s="109" t="s">
        <v>271</v>
      </c>
      <c r="B63" s="109" t="s">
        <v>168</v>
      </c>
      <c r="C63" s="110" t="s">
        <v>272</v>
      </c>
      <c r="D63" s="111">
        <v>36634</v>
      </c>
      <c r="E63" s="111">
        <v>36643</v>
      </c>
      <c r="F63" s="112" t="s">
        <v>578</v>
      </c>
      <c r="G63" s="112" t="s">
        <v>747</v>
      </c>
      <c r="H63" s="112" t="s">
        <v>608</v>
      </c>
      <c r="I63" s="112" t="s">
        <v>704</v>
      </c>
      <c r="J63" s="79" t="s">
        <v>599</v>
      </c>
    </row>
    <row r="64" spans="1:10" ht="127.5" x14ac:dyDescent="0.25">
      <c r="A64" s="109" t="s">
        <v>273</v>
      </c>
      <c r="B64" s="109" t="s">
        <v>168</v>
      </c>
      <c r="C64" s="110" t="s">
        <v>274</v>
      </c>
      <c r="D64" s="111">
        <v>36635</v>
      </c>
      <c r="E64" s="111">
        <v>36643</v>
      </c>
      <c r="F64" s="112" t="s">
        <v>578</v>
      </c>
      <c r="G64" s="112" t="s">
        <v>747</v>
      </c>
      <c r="H64" s="112" t="s">
        <v>609</v>
      </c>
      <c r="I64" s="112" t="s">
        <v>705</v>
      </c>
      <c r="J64" s="79" t="s">
        <v>599</v>
      </c>
    </row>
    <row r="65" spans="1:10" ht="191.25" x14ac:dyDescent="0.25">
      <c r="A65" s="109" t="s">
        <v>275</v>
      </c>
      <c r="B65" s="109" t="s">
        <v>167</v>
      </c>
      <c r="C65" s="110" t="s">
        <v>276</v>
      </c>
      <c r="D65" s="111">
        <v>36636</v>
      </c>
      <c r="E65" s="111">
        <v>36643</v>
      </c>
      <c r="F65" s="112" t="s">
        <v>578</v>
      </c>
      <c r="G65" s="108" t="s">
        <v>651</v>
      </c>
      <c r="H65" s="112" t="s">
        <v>170</v>
      </c>
      <c r="I65" s="108" t="s">
        <v>652</v>
      </c>
      <c r="J65" s="79" t="s">
        <v>599</v>
      </c>
    </row>
    <row r="66" spans="1:10" ht="191.25" x14ac:dyDescent="0.25">
      <c r="A66" s="109" t="s">
        <v>277</v>
      </c>
      <c r="B66" s="109" t="s">
        <v>168</v>
      </c>
      <c r="C66" s="110" t="s">
        <v>278</v>
      </c>
      <c r="D66" s="111">
        <v>36637</v>
      </c>
      <c r="E66" s="111">
        <v>36643</v>
      </c>
      <c r="F66" s="112" t="s">
        <v>578</v>
      </c>
      <c r="G66" s="108" t="s">
        <v>651</v>
      </c>
      <c r="H66" s="112" t="s">
        <v>170</v>
      </c>
      <c r="I66" s="112" t="s">
        <v>748</v>
      </c>
      <c r="J66" s="79" t="s">
        <v>599</v>
      </c>
    </row>
    <row r="67" spans="1:10" ht="153" x14ac:dyDescent="0.25">
      <c r="A67" s="109" t="s">
        <v>279</v>
      </c>
      <c r="B67" s="109" t="s">
        <v>167</v>
      </c>
      <c r="C67" s="110" t="s">
        <v>280</v>
      </c>
      <c r="D67" s="111">
        <v>36640</v>
      </c>
      <c r="E67" s="111">
        <v>36643</v>
      </c>
      <c r="F67" s="112" t="s">
        <v>578</v>
      </c>
      <c r="G67" s="112" t="s">
        <v>749</v>
      </c>
      <c r="H67" s="112" t="s">
        <v>170</v>
      </c>
      <c r="I67" s="112" t="s">
        <v>653</v>
      </c>
      <c r="J67" s="79" t="s">
        <v>599</v>
      </c>
    </row>
    <row r="68" spans="1:10" ht="165.75" x14ac:dyDescent="0.25">
      <c r="A68" s="109" t="s">
        <v>281</v>
      </c>
      <c r="B68" s="109" t="s">
        <v>168</v>
      </c>
      <c r="C68" s="110" t="s">
        <v>282</v>
      </c>
      <c r="D68" s="111">
        <v>36641</v>
      </c>
      <c r="E68" s="111">
        <v>36643</v>
      </c>
      <c r="F68" s="112" t="s">
        <v>578</v>
      </c>
      <c r="G68" s="112" t="s">
        <v>788</v>
      </c>
      <c r="H68" s="112" t="s">
        <v>608</v>
      </c>
      <c r="I68" s="112" t="s">
        <v>706</v>
      </c>
      <c r="J68" s="79" t="s">
        <v>599</v>
      </c>
    </row>
    <row r="69" spans="1:10" ht="25.5" x14ac:dyDescent="0.25">
      <c r="A69" s="109" t="s">
        <v>283</v>
      </c>
      <c r="B69" s="109" t="s">
        <v>169</v>
      </c>
      <c r="C69" s="110" t="s">
        <v>42</v>
      </c>
      <c r="D69" s="111">
        <v>36830</v>
      </c>
      <c r="E69" s="111">
        <v>36857</v>
      </c>
      <c r="F69" s="112" t="s">
        <v>37</v>
      </c>
      <c r="G69" s="112" t="s">
        <v>578</v>
      </c>
      <c r="H69" s="112" t="s">
        <v>28</v>
      </c>
      <c r="I69" s="112" t="s">
        <v>662</v>
      </c>
      <c r="J69" s="79" t="s">
        <v>599</v>
      </c>
    </row>
    <row r="70" spans="1:10" ht="25.5" x14ac:dyDescent="0.25">
      <c r="A70" s="109" t="s">
        <v>284</v>
      </c>
      <c r="B70" s="109" t="s">
        <v>169</v>
      </c>
      <c r="C70" s="110" t="s">
        <v>92</v>
      </c>
      <c r="D70" s="111">
        <v>36830</v>
      </c>
      <c r="E70" s="111">
        <v>36857</v>
      </c>
      <c r="F70" s="112" t="s">
        <v>91</v>
      </c>
      <c r="G70" s="112" t="s">
        <v>578</v>
      </c>
      <c r="H70" s="112" t="s">
        <v>617</v>
      </c>
      <c r="I70" s="112" t="s">
        <v>663</v>
      </c>
      <c r="J70" s="79" t="s">
        <v>599</v>
      </c>
    </row>
    <row r="71" spans="1:10" ht="25.5" x14ac:dyDescent="0.25">
      <c r="A71" s="109" t="s">
        <v>285</v>
      </c>
      <c r="B71" s="109" t="s">
        <v>169</v>
      </c>
      <c r="C71" s="110" t="s">
        <v>90</v>
      </c>
      <c r="D71" s="111">
        <v>36830</v>
      </c>
      <c r="E71" s="111">
        <v>36857</v>
      </c>
      <c r="F71" s="112" t="s">
        <v>562</v>
      </c>
      <c r="G71" s="112" t="s">
        <v>578</v>
      </c>
      <c r="H71" s="112" t="s">
        <v>617</v>
      </c>
      <c r="I71" s="112" t="s">
        <v>664</v>
      </c>
      <c r="J71" s="79" t="s">
        <v>599</v>
      </c>
    </row>
    <row r="72" spans="1:10" ht="38.25" x14ac:dyDescent="0.25">
      <c r="A72" s="109" t="s">
        <v>286</v>
      </c>
      <c r="B72" s="109" t="s">
        <v>169</v>
      </c>
      <c r="C72" s="110" t="s">
        <v>88</v>
      </c>
      <c r="D72" s="111">
        <v>36830</v>
      </c>
      <c r="E72" s="111">
        <v>36857</v>
      </c>
      <c r="F72" s="112" t="s">
        <v>553</v>
      </c>
      <c r="G72" s="112" t="s">
        <v>578</v>
      </c>
      <c r="H72" s="112" t="s">
        <v>617</v>
      </c>
      <c r="I72" s="112" t="s">
        <v>665</v>
      </c>
      <c r="J72" s="79" t="s">
        <v>599</v>
      </c>
    </row>
    <row r="73" spans="1:10" ht="51" x14ac:dyDescent="0.25">
      <c r="A73" s="109" t="s">
        <v>287</v>
      </c>
      <c r="B73" s="109" t="s">
        <v>246</v>
      </c>
      <c r="C73" s="110" t="s">
        <v>288</v>
      </c>
      <c r="D73" s="111">
        <v>36936</v>
      </c>
      <c r="E73" s="111">
        <v>36942</v>
      </c>
      <c r="F73" s="112" t="s">
        <v>578</v>
      </c>
      <c r="G73" s="112" t="s">
        <v>579</v>
      </c>
      <c r="H73" s="112" t="s">
        <v>170</v>
      </c>
      <c r="I73" s="112" t="s">
        <v>580</v>
      </c>
      <c r="J73" s="79" t="s">
        <v>599</v>
      </c>
    </row>
    <row r="74" spans="1:10" ht="178.5" x14ac:dyDescent="0.25">
      <c r="A74" s="109" t="s">
        <v>289</v>
      </c>
      <c r="B74" s="109" t="s">
        <v>168</v>
      </c>
      <c r="C74" s="110" t="s">
        <v>290</v>
      </c>
      <c r="D74" s="111">
        <v>36937</v>
      </c>
      <c r="E74" s="111">
        <v>36942</v>
      </c>
      <c r="F74" s="112" t="s">
        <v>578</v>
      </c>
      <c r="G74" s="112" t="s">
        <v>750</v>
      </c>
      <c r="H74" s="112" t="s">
        <v>683</v>
      </c>
      <c r="I74" s="112" t="s">
        <v>782</v>
      </c>
      <c r="J74" s="79" t="s">
        <v>599</v>
      </c>
    </row>
    <row r="75" spans="1:10" ht="25.5" x14ac:dyDescent="0.25">
      <c r="A75" s="109" t="s">
        <v>291</v>
      </c>
      <c r="B75" s="109" t="s">
        <v>169</v>
      </c>
      <c r="C75" s="110" t="s">
        <v>86</v>
      </c>
      <c r="D75" s="111">
        <v>36831</v>
      </c>
      <c r="E75" s="111">
        <v>36979</v>
      </c>
      <c r="F75" s="112" t="s">
        <v>85</v>
      </c>
      <c r="G75" s="112" t="s">
        <v>222</v>
      </c>
      <c r="H75" s="112" t="s">
        <v>617</v>
      </c>
      <c r="I75" s="112" t="s">
        <v>666</v>
      </c>
      <c r="J75" s="79" t="s">
        <v>599</v>
      </c>
    </row>
    <row r="76" spans="1:10" ht="25.5" x14ac:dyDescent="0.25">
      <c r="A76" s="109" t="s">
        <v>292</v>
      </c>
      <c r="B76" s="109" t="s">
        <v>169</v>
      </c>
      <c r="C76" s="110" t="s">
        <v>84</v>
      </c>
      <c r="D76" s="111">
        <v>36831</v>
      </c>
      <c r="E76" s="111">
        <v>36979</v>
      </c>
      <c r="F76" s="112" t="s">
        <v>83</v>
      </c>
      <c r="G76" s="112" t="s">
        <v>222</v>
      </c>
      <c r="H76" s="112" t="s">
        <v>617</v>
      </c>
      <c r="I76" s="112" t="s">
        <v>667</v>
      </c>
      <c r="J76" s="79" t="s">
        <v>599</v>
      </c>
    </row>
    <row r="77" spans="1:10" ht="25.5" x14ac:dyDescent="0.25">
      <c r="A77" s="109" t="s">
        <v>293</v>
      </c>
      <c r="B77" s="109" t="s">
        <v>169</v>
      </c>
      <c r="C77" s="110" t="s">
        <v>82</v>
      </c>
      <c r="D77" s="111">
        <v>36831</v>
      </c>
      <c r="E77" s="111">
        <v>36979</v>
      </c>
      <c r="F77" s="112" t="s">
        <v>563</v>
      </c>
      <c r="G77" s="112" t="s">
        <v>222</v>
      </c>
      <c r="H77" s="112" t="s">
        <v>617</v>
      </c>
      <c r="I77" s="112" t="s">
        <v>668</v>
      </c>
      <c r="J77" s="79" t="s">
        <v>599</v>
      </c>
    </row>
    <row r="78" spans="1:10" ht="153" x14ac:dyDescent="0.25">
      <c r="A78" s="109" t="s">
        <v>294</v>
      </c>
      <c r="B78" s="109" t="s">
        <v>564</v>
      </c>
      <c r="C78" s="110" t="s">
        <v>295</v>
      </c>
      <c r="D78" s="111">
        <v>36640</v>
      </c>
      <c r="E78" s="111">
        <v>36983</v>
      </c>
      <c r="F78" s="112" t="s">
        <v>712</v>
      </c>
      <c r="G78" s="112" t="s">
        <v>66</v>
      </c>
      <c r="H78" s="112" t="s">
        <v>609</v>
      </c>
      <c r="I78" s="112" t="s">
        <v>780</v>
      </c>
      <c r="J78" s="79" t="s">
        <v>599</v>
      </c>
    </row>
    <row r="79" spans="1:10" ht="38.25" x14ac:dyDescent="0.25">
      <c r="A79" s="109" t="s">
        <v>296</v>
      </c>
      <c r="B79" s="109" t="s">
        <v>168</v>
      </c>
      <c r="C79" s="110" t="s">
        <v>297</v>
      </c>
      <c r="D79" s="111">
        <v>36949</v>
      </c>
      <c r="E79" s="111">
        <v>36993</v>
      </c>
      <c r="F79" s="112" t="s">
        <v>222</v>
      </c>
      <c r="G79" s="112" t="s">
        <v>258</v>
      </c>
      <c r="H79" s="112" t="s">
        <v>617</v>
      </c>
      <c r="I79" s="112" t="s">
        <v>707</v>
      </c>
      <c r="J79" s="79" t="s">
        <v>599</v>
      </c>
    </row>
    <row r="80" spans="1:10" ht="38.25" x14ac:dyDescent="0.25">
      <c r="A80" s="109" t="s">
        <v>298</v>
      </c>
      <c r="B80" s="109" t="s">
        <v>299</v>
      </c>
      <c r="C80" s="110" t="s">
        <v>300</v>
      </c>
      <c r="D80" s="111">
        <v>36993</v>
      </c>
      <c r="E80" s="111">
        <v>37001</v>
      </c>
      <c r="F80" s="112" t="s">
        <v>301</v>
      </c>
      <c r="G80" s="112" t="s">
        <v>302</v>
      </c>
      <c r="H80" s="112" t="s">
        <v>170</v>
      </c>
      <c r="I80" s="112" t="s">
        <v>565</v>
      </c>
      <c r="J80" s="79" t="s">
        <v>599</v>
      </c>
    </row>
    <row r="81" spans="1:10" ht="153" x14ac:dyDescent="0.25">
      <c r="A81" s="109" t="s">
        <v>303</v>
      </c>
      <c r="B81" s="109" t="s">
        <v>564</v>
      </c>
      <c r="C81" s="110" t="s">
        <v>304</v>
      </c>
      <c r="D81" s="111">
        <v>36830</v>
      </c>
      <c r="E81" s="111">
        <v>37025</v>
      </c>
      <c r="F81" s="112" t="s">
        <v>712</v>
      </c>
      <c r="G81" s="112" t="s">
        <v>69</v>
      </c>
      <c r="H81" s="112" t="s">
        <v>649</v>
      </c>
      <c r="I81" s="112" t="s">
        <v>781</v>
      </c>
      <c r="J81" s="79" t="s">
        <v>599</v>
      </c>
    </row>
    <row r="82" spans="1:10" ht="38.25" x14ac:dyDescent="0.25">
      <c r="A82" s="109" t="s">
        <v>305</v>
      </c>
      <c r="B82" s="109" t="s">
        <v>299</v>
      </c>
      <c r="C82" s="110" t="s">
        <v>306</v>
      </c>
      <c r="D82" s="111">
        <v>37042</v>
      </c>
      <c r="E82" s="111">
        <v>37046</v>
      </c>
      <c r="F82" s="112" t="s">
        <v>301</v>
      </c>
      <c r="G82" s="112" t="s">
        <v>581</v>
      </c>
      <c r="H82" s="112" t="s">
        <v>170</v>
      </c>
      <c r="I82" s="112" t="s">
        <v>582</v>
      </c>
      <c r="J82" s="79" t="s">
        <v>599</v>
      </c>
    </row>
    <row r="83" spans="1:10" ht="38.25" x14ac:dyDescent="0.25">
      <c r="A83" s="109" t="s">
        <v>307</v>
      </c>
      <c r="B83" s="109" t="s">
        <v>168</v>
      </c>
      <c r="C83" s="110" t="s">
        <v>308</v>
      </c>
      <c r="D83" s="111">
        <v>37099</v>
      </c>
      <c r="E83" s="111">
        <v>37111</v>
      </c>
      <c r="F83" s="112" t="s">
        <v>309</v>
      </c>
      <c r="G83" s="112" t="s">
        <v>310</v>
      </c>
      <c r="H83" s="112" t="s">
        <v>170</v>
      </c>
      <c r="I83" s="112" t="s">
        <v>708</v>
      </c>
      <c r="J83" s="79" t="s">
        <v>599</v>
      </c>
    </row>
    <row r="84" spans="1:10" ht="25.5" x14ac:dyDescent="0.25">
      <c r="A84" s="109" t="s">
        <v>311</v>
      </c>
      <c r="B84" s="109" t="s">
        <v>169</v>
      </c>
      <c r="C84" s="110" t="s">
        <v>65</v>
      </c>
      <c r="D84" s="111">
        <v>37195</v>
      </c>
      <c r="E84" s="111">
        <v>37224</v>
      </c>
      <c r="F84" s="112" t="s">
        <v>64</v>
      </c>
      <c r="G84" s="112" t="s">
        <v>578</v>
      </c>
      <c r="H84" s="112" t="s">
        <v>609</v>
      </c>
      <c r="I84" s="112" t="s">
        <v>669</v>
      </c>
      <c r="J84" s="79" t="s">
        <v>599</v>
      </c>
    </row>
    <row r="85" spans="1:10" ht="25.5" x14ac:dyDescent="0.25">
      <c r="A85" s="109" t="s">
        <v>312</v>
      </c>
      <c r="B85" s="109" t="s">
        <v>169</v>
      </c>
      <c r="C85" s="110" t="s">
        <v>63</v>
      </c>
      <c r="D85" s="111">
        <v>37195</v>
      </c>
      <c r="E85" s="111">
        <v>37224</v>
      </c>
      <c r="F85" s="112" t="s">
        <v>62</v>
      </c>
      <c r="G85" s="112" t="s">
        <v>578</v>
      </c>
      <c r="H85" s="112" t="s">
        <v>609</v>
      </c>
      <c r="I85" s="112" t="s">
        <v>670</v>
      </c>
      <c r="J85" s="79" t="s">
        <v>599</v>
      </c>
    </row>
    <row r="86" spans="1:10" ht="25.5" x14ac:dyDescent="0.25">
      <c r="A86" s="109" t="s">
        <v>313</v>
      </c>
      <c r="B86" s="109" t="s">
        <v>169</v>
      </c>
      <c r="C86" s="110" t="s">
        <v>61</v>
      </c>
      <c r="D86" s="111">
        <v>37195</v>
      </c>
      <c r="E86" s="111">
        <v>37224</v>
      </c>
      <c r="F86" s="112" t="s">
        <v>60</v>
      </c>
      <c r="G86" s="112" t="s">
        <v>578</v>
      </c>
      <c r="H86" s="112" t="s">
        <v>609</v>
      </c>
      <c r="I86" s="112" t="s">
        <v>671</v>
      </c>
      <c r="J86" s="79" t="s">
        <v>599</v>
      </c>
    </row>
    <row r="87" spans="1:10" ht="25.5" x14ac:dyDescent="0.25">
      <c r="A87" s="109" t="s">
        <v>314</v>
      </c>
      <c r="B87" s="109" t="s">
        <v>169</v>
      </c>
      <c r="C87" s="110" t="s">
        <v>59</v>
      </c>
      <c r="D87" s="111">
        <v>37195</v>
      </c>
      <c r="E87" s="111">
        <v>37224</v>
      </c>
      <c r="F87" s="112" t="s">
        <v>58</v>
      </c>
      <c r="G87" s="112" t="s">
        <v>578</v>
      </c>
      <c r="H87" s="112" t="s">
        <v>609</v>
      </c>
      <c r="I87" s="112" t="s">
        <v>672</v>
      </c>
      <c r="J87" s="79" t="s">
        <v>599</v>
      </c>
    </row>
    <row r="88" spans="1:10" ht="25.5" x14ac:dyDescent="0.25">
      <c r="A88" s="109" t="s">
        <v>315</v>
      </c>
      <c r="B88" s="109" t="s">
        <v>169</v>
      </c>
      <c r="C88" s="110" t="s">
        <v>57</v>
      </c>
      <c r="D88" s="111">
        <v>37195</v>
      </c>
      <c r="E88" s="111">
        <v>37224</v>
      </c>
      <c r="F88" s="112" t="s">
        <v>186</v>
      </c>
      <c r="G88" s="112" t="s">
        <v>578</v>
      </c>
      <c r="H88" s="112" t="s">
        <v>609</v>
      </c>
      <c r="I88" s="112" t="s">
        <v>673</v>
      </c>
      <c r="J88" s="79" t="s">
        <v>599</v>
      </c>
    </row>
    <row r="89" spans="1:10" ht="25.5" x14ac:dyDescent="0.25">
      <c r="A89" s="109" t="s">
        <v>316</v>
      </c>
      <c r="B89" s="109" t="s">
        <v>169</v>
      </c>
      <c r="C89" s="110" t="s">
        <v>55</v>
      </c>
      <c r="D89" s="111">
        <v>37195</v>
      </c>
      <c r="E89" s="111">
        <v>37224</v>
      </c>
      <c r="F89" s="112" t="s">
        <v>54</v>
      </c>
      <c r="G89" s="112" t="s">
        <v>578</v>
      </c>
      <c r="H89" s="112" t="s">
        <v>609</v>
      </c>
      <c r="I89" s="112" t="s">
        <v>674</v>
      </c>
      <c r="J89" s="79" t="s">
        <v>599</v>
      </c>
    </row>
    <row r="90" spans="1:10" ht="25.5" x14ac:dyDescent="0.25">
      <c r="A90" s="109" t="s">
        <v>317</v>
      </c>
      <c r="B90" s="109" t="s">
        <v>169</v>
      </c>
      <c r="C90" s="110" t="s">
        <v>53</v>
      </c>
      <c r="D90" s="111">
        <v>37195</v>
      </c>
      <c r="E90" s="111">
        <v>37224</v>
      </c>
      <c r="F90" s="112" t="s">
        <v>52</v>
      </c>
      <c r="G90" s="112" t="s">
        <v>578</v>
      </c>
      <c r="H90" s="112" t="s">
        <v>609</v>
      </c>
      <c r="I90" s="112" t="s">
        <v>675</v>
      </c>
      <c r="J90" s="79" t="s">
        <v>599</v>
      </c>
    </row>
    <row r="91" spans="1:10" ht="25.5" x14ac:dyDescent="0.25">
      <c r="A91" s="109" t="s">
        <v>318</v>
      </c>
      <c r="B91" s="109" t="s">
        <v>169</v>
      </c>
      <c r="C91" s="110" t="s">
        <v>51</v>
      </c>
      <c r="D91" s="111">
        <v>37195</v>
      </c>
      <c r="E91" s="111">
        <v>37224</v>
      </c>
      <c r="F91" s="112" t="s">
        <v>50</v>
      </c>
      <c r="G91" s="112" t="s">
        <v>578</v>
      </c>
      <c r="H91" s="112" t="s">
        <v>609</v>
      </c>
      <c r="I91" s="112" t="s">
        <v>676</v>
      </c>
      <c r="J91" s="79" t="s">
        <v>599</v>
      </c>
    </row>
    <row r="92" spans="1:10" ht="25.5" x14ac:dyDescent="0.25">
      <c r="A92" s="109" t="s">
        <v>319</v>
      </c>
      <c r="B92" s="109" t="s">
        <v>169</v>
      </c>
      <c r="C92" s="110" t="s">
        <v>80</v>
      </c>
      <c r="D92" s="111">
        <v>37195</v>
      </c>
      <c r="E92" s="111">
        <v>37224</v>
      </c>
      <c r="F92" s="112" t="s">
        <v>79</v>
      </c>
      <c r="G92" s="112" t="s">
        <v>578</v>
      </c>
      <c r="H92" s="112" t="s">
        <v>617</v>
      </c>
      <c r="I92" s="112" t="s">
        <v>677</v>
      </c>
      <c r="J92" s="79" t="s">
        <v>599</v>
      </c>
    </row>
    <row r="93" spans="1:10" ht="25.5" x14ac:dyDescent="0.25">
      <c r="A93" s="109" t="s">
        <v>320</v>
      </c>
      <c r="B93" s="109" t="s">
        <v>169</v>
      </c>
      <c r="C93" s="110" t="s">
        <v>78</v>
      </c>
      <c r="D93" s="111">
        <v>37195</v>
      </c>
      <c r="E93" s="111">
        <v>37224</v>
      </c>
      <c r="F93" s="112" t="s">
        <v>566</v>
      </c>
      <c r="G93" s="112" t="s">
        <v>578</v>
      </c>
      <c r="H93" s="112" t="s">
        <v>617</v>
      </c>
      <c r="I93" s="112" t="s">
        <v>678</v>
      </c>
      <c r="J93" s="79" t="s">
        <v>599</v>
      </c>
    </row>
    <row r="94" spans="1:10" ht="25.5" x14ac:dyDescent="0.25">
      <c r="A94" s="109" t="s">
        <v>321</v>
      </c>
      <c r="B94" s="109" t="s">
        <v>169</v>
      </c>
      <c r="C94" s="110" t="s">
        <v>41</v>
      </c>
      <c r="D94" s="111">
        <v>37195</v>
      </c>
      <c r="E94" s="111">
        <v>37224</v>
      </c>
      <c r="F94" s="112" t="s">
        <v>40</v>
      </c>
      <c r="G94" s="112" t="s">
        <v>578</v>
      </c>
      <c r="H94" s="112" t="s">
        <v>28</v>
      </c>
      <c r="I94" s="112" t="s">
        <v>679</v>
      </c>
      <c r="J94" s="79" t="s">
        <v>599</v>
      </c>
    </row>
    <row r="95" spans="1:10" ht="25.5" x14ac:dyDescent="0.25">
      <c r="A95" s="109" t="s">
        <v>322</v>
      </c>
      <c r="B95" s="109" t="s">
        <v>169</v>
      </c>
      <c r="C95" s="110" t="s">
        <v>49</v>
      </c>
      <c r="D95" s="111">
        <v>37195</v>
      </c>
      <c r="E95" s="111">
        <v>37224</v>
      </c>
      <c r="F95" s="112" t="s">
        <v>47</v>
      </c>
      <c r="G95" s="112" t="s">
        <v>578</v>
      </c>
      <c r="H95" s="112" t="s">
        <v>609</v>
      </c>
      <c r="I95" s="112" t="s">
        <v>680</v>
      </c>
      <c r="J95" s="79" t="s">
        <v>599</v>
      </c>
    </row>
    <row r="96" spans="1:10" ht="25.5" x14ac:dyDescent="0.25">
      <c r="A96" s="109" t="s">
        <v>323</v>
      </c>
      <c r="B96" s="109" t="s">
        <v>169</v>
      </c>
      <c r="C96" s="110" t="s">
        <v>76</v>
      </c>
      <c r="D96" s="111">
        <v>37195</v>
      </c>
      <c r="E96" s="111">
        <v>37224</v>
      </c>
      <c r="F96" s="112" t="s">
        <v>75</v>
      </c>
      <c r="G96" s="112" t="s">
        <v>578</v>
      </c>
      <c r="H96" s="112" t="s">
        <v>617</v>
      </c>
      <c r="I96" s="112" t="s">
        <v>681</v>
      </c>
      <c r="J96" s="79" t="s">
        <v>599</v>
      </c>
    </row>
    <row r="97" spans="1:10" ht="25.5" x14ac:dyDescent="0.25">
      <c r="A97" s="109" t="s">
        <v>324</v>
      </c>
      <c r="B97" s="109" t="s">
        <v>169</v>
      </c>
      <c r="C97" s="110" t="s">
        <v>38</v>
      </c>
      <c r="D97" s="111">
        <v>37195</v>
      </c>
      <c r="E97" s="111">
        <v>37224</v>
      </c>
      <c r="F97" s="112" t="s">
        <v>37</v>
      </c>
      <c r="G97" s="112" t="s">
        <v>578</v>
      </c>
      <c r="H97" s="112" t="s">
        <v>28</v>
      </c>
      <c r="I97" s="112" t="s">
        <v>682</v>
      </c>
      <c r="J97" s="79" t="s">
        <v>599</v>
      </c>
    </row>
    <row r="98" spans="1:10" ht="191.25" x14ac:dyDescent="0.25">
      <c r="A98" s="109" t="s">
        <v>325</v>
      </c>
      <c r="B98" s="109" t="s">
        <v>326</v>
      </c>
      <c r="C98" s="110" t="s">
        <v>327</v>
      </c>
      <c r="D98" s="111">
        <v>37195</v>
      </c>
      <c r="E98" s="111">
        <v>37238</v>
      </c>
      <c r="F98" s="112" t="s">
        <v>712</v>
      </c>
      <c r="G98" s="112" t="s">
        <v>712</v>
      </c>
      <c r="H98" s="112" t="s">
        <v>170</v>
      </c>
      <c r="I98" s="112" t="s">
        <v>684</v>
      </c>
      <c r="J98" s="79" t="s">
        <v>599</v>
      </c>
    </row>
    <row r="99" spans="1:10" ht="63.75" x14ac:dyDescent="0.25">
      <c r="A99" s="109" t="s">
        <v>329</v>
      </c>
      <c r="B99" s="109" t="s">
        <v>246</v>
      </c>
      <c r="C99" s="110" t="s">
        <v>330</v>
      </c>
      <c r="D99" s="111">
        <v>37434</v>
      </c>
      <c r="E99" s="111">
        <v>37459</v>
      </c>
      <c r="F99" s="112" t="s">
        <v>578</v>
      </c>
      <c r="G99" s="112" t="s">
        <v>583</v>
      </c>
      <c r="H99" s="112" t="s">
        <v>170</v>
      </c>
      <c r="I99" s="112" t="s">
        <v>584</v>
      </c>
      <c r="J99" s="79" t="s">
        <v>599</v>
      </c>
    </row>
    <row r="100" spans="1:10" ht="191.25" x14ac:dyDescent="0.25">
      <c r="A100" s="109" t="s">
        <v>331</v>
      </c>
      <c r="B100" s="109" t="s">
        <v>168</v>
      </c>
      <c r="C100" s="110" t="s">
        <v>332</v>
      </c>
      <c r="D100" s="111">
        <v>37435</v>
      </c>
      <c r="E100" s="111">
        <v>37459</v>
      </c>
      <c r="F100" s="112" t="s">
        <v>578</v>
      </c>
      <c r="G100" s="108" t="s">
        <v>651</v>
      </c>
      <c r="H100" s="112" t="s">
        <v>685</v>
      </c>
      <c r="I100" s="112" t="s">
        <v>709</v>
      </c>
      <c r="J100" s="79" t="s">
        <v>599</v>
      </c>
    </row>
    <row r="101" spans="1:10" ht="229.5" x14ac:dyDescent="0.25">
      <c r="A101" s="109" t="s">
        <v>333</v>
      </c>
      <c r="B101" s="109" t="s">
        <v>168</v>
      </c>
      <c r="C101" s="110" t="s">
        <v>334</v>
      </c>
      <c r="D101" s="111">
        <v>37435</v>
      </c>
      <c r="E101" s="111">
        <v>37459</v>
      </c>
      <c r="F101" s="112" t="s">
        <v>578</v>
      </c>
      <c r="G101" s="112" t="s">
        <v>686</v>
      </c>
      <c r="H101" s="112" t="s">
        <v>687</v>
      </c>
      <c r="I101" s="112" t="s">
        <v>710</v>
      </c>
      <c r="J101" s="79" t="s">
        <v>599</v>
      </c>
    </row>
    <row r="102" spans="1:10" ht="178.5" x14ac:dyDescent="0.25">
      <c r="A102" s="109" t="s">
        <v>688</v>
      </c>
      <c r="B102" s="109" t="s">
        <v>335</v>
      </c>
      <c r="C102" s="110" t="s">
        <v>336</v>
      </c>
      <c r="D102" s="111">
        <v>37518</v>
      </c>
      <c r="E102" s="111">
        <v>37529</v>
      </c>
      <c r="F102" s="112" t="s">
        <v>337</v>
      </c>
      <c r="G102" s="112" t="s">
        <v>338</v>
      </c>
      <c r="H102" s="112" t="s">
        <v>160</v>
      </c>
      <c r="I102" s="108" t="s">
        <v>751</v>
      </c>
      <c r="J102" s="79" t="s">
        <v>599</v>
      </c>
    </row>
    <row r="103" spans="1:10" ht="63.75" x14ac:dyDescent="0.25">
      <c r="A103" s="109" t="s">
        <v>725</v>
      </c>
      <c r="B103" s="109" t="s">
        <v>167</v>
      </c>
      <c r="C103" s="110" t="s">
        <v>721</v>
      </c>
      <c r="D103" s="111">
        <v>40410</v>
      </c>
      <c r="E103" s="111">
        <v>40420</v>
      </c>
      <c r="F103" s="112" t="s">
        <v>722</v>
      </c>
      <c r="G103" s="112" t="s">
        <v>723</v>
      </c>
      <c r="H103" s="112" t="s">
        <v>170</v>
      </c>
      <c r="I103" s="112" t="s">
        <v>724</v>
      </c>
      <c r="J103" s="79" t="s">
        <v>599</v>
      </c>
    </row>
    <row r="104" spans="1:10" x14ac:dyDescent="0.25">
      <c r="A104" s="109" t="s">
        <v>728</v>
      </c>
      <c r="B104" s="109" t="s">
        <v>167</v>
      </c>
      <c r="C104" s="110" t="s">
        <v>726</v>
      </c>
      <c r="D104" s="111">
        <v>41529</v>
      </c>
      <c r="E104" s="111">
        <v>41575</v>
      </c>
      <c r="F104" s="112" t="s">
        <v>727</v>
      </c>
      <c r="G104" s="112" t="s">
        <v>723</v>
      </c>
      <c r="H104" s="112" t="s">
        <v>170</v>
      </c>
      <c r="I104" s="112" t="s">
        <v>724</v>
      </c>
      <c r="J104" s="79" t="s">
        <v>599</v>
      </c>
    </row>
    <row r="105" spans="1:10" ht="216.75" x14ac:dyDescent="0.25">
      <c r="A105" s="109" t="s">
        <v>339</v>
      </c>
      <c r="B105" s="109" t="s">
        <v>167</v>
      </c>
      <c r="C105" s="110" t="s">
        <v>340</v>
      </c>
      <c r="D105" s="111">
        <v>42914</v>
      </c>
      <c r="E105" s="111">
        <v>43032</v>
      </c>
      <c r="F105" s="112" t="s">
        <v>341</v>
      </c>
      <c r="G105" s="112" t="s">
        <v>597</v>
      </c>
      <c r="H105" s="112" t="s">
        <v>170</v>
      </c>
      <c r="I105" s="108" t="s">
        <v>789</v>
      </c>
      <c r="J105" s="79" t="s">
        <v>599</v>
      </c>
    </row>
    <row r="106" spans="1:10" ht="76.5" x14ac:dyDescent="0.25">
      <c r="A106" s="109" t="s">
        <v>342</v>
      </c>
      <c r="B106" s="109" t="s">
        <v>564</v>
      </c>
      <c r="C106" s="110" t="s">
        <v>343</v>
      </c>
      <c r="D106" s="111">
        <v>43657</v>
      </c>
      <c r="E106" s="111">
        <v>43670</v>
      </c>
      <c r="F106" s="136" t="s">
        <v>344</v>
      </c>
      <c r="G106" s="112" t="s">
        <v>597</v>
      </c>
      <c r="H106" s="112" t="s">
        <v>170</v>
      </c>
      <c r="I106" s="136" t="s">
        <v>790</v>
      </c>
      <c r="J106" s="79" t="s">
        <v>599</v>
      </c>
    </row>
    <row r="107" spans="1:10" ht="165.75" x14ac:dyDescent="0.25">
      <c r="A107" s="105" t="s">
        <v>345</v>
      </c>
      <c r="B107" s="109" t="s">
        <v>564</v>
      </c>
      <c r="C107" s="106" t="s">
        <v>346</v>
      </c>
      <c r="D107" s="111">
        <v>43657</v>
      </c>
      <c r="E107" s="111">
        <v>43672</v>
      </c>
      <c r="F107" s="108" t="s">
        <v>344</v>
      </c>
      <c r="G107" s="108" t="s">
        <v>597</v>
      </c>
      <c r="H107" s="112" t="s">
        <v>170</v>
      </c>
      <c r="I107" s="108" t="s">
        <v>752</v>
      </c>
      <c r="J107" s="80" t="s">
        <v>599</v>
      </c>
    </row>
    <row r="108" spans="1:10" ht="63.75" x14ac:dyDescent="0.25">
      <c r="A108" s="105" t="s">
        <v>718</v>
      </c>
      <c r="B108" s="109" t="s">
        <v>717</v>
      </c>
      <c r="C108" s="106" t="s">
        <v>713</v>
      </c>
      <c r="D108" s="111">
        <v>44174</v>
      </c>
      <c r="E108" s="111">
        <v>44175</v>
      </c>
      <c r="F108" s="108" t="s">
        <v>714</v>
      </c>
      <c r="G108" s="108" t="s">
        <v>690</v>
      </c>
      <c r="H108" s="112" t="s">
        <v>170</v>
      </c>
      <c r="I108" s="108" t="s">
        <v>719</v>
      </c>
      <c r="J108" s="80" t="s">
        <v>599</v>
      </c>
    </row>
    <row r="109" spans="1:10" ht="178.5" x14ac:dyDescent="0.25">
      <c r="A109" s="109" t="s">
        <v>732</v>
      </c>
      <c r="B109" s="109" t="s">
        <v>167</v>
      </c>
      <c r="C109" s="110" t="s">
        <v>368</v>
      </c>
      <c r="D109" s="111">
        <v>44176</v>
      </c>
      <c r="E109" s="111">
        <v>44176</v>
      </c>
      <c r="F109" s="112" t="s">
        <v>585</v>
      </c>
      <c r="G109" s="112" t="s">
        <v>369</v>
      </c>
      <c r="H109" s="112" t="s">
        <v>370</v>
      </c>
      <c r="I109" s="112" t="s">
        <v>753</v>
      </c>
      <c r="J109" s="79" t="s">
        <v>599</v>
      </c>
    </row>
    <row r="110" spans="1:10" ht="178.5" x14ac:dyDescent="0.25">
      <c r="A110" s="109" t="s">
        <v>731</v>
      </c>
      <c r="B110" s="109" t="s">
        <v>167</v>
      </c>
      <c r="C110" s="110" t="s">
        <v>347</v>
      </c>
      <c r="D110" s="111">
        <v>44176</v>
      </c>
      <c r="E110" s="111">
        <v>44179</v>
      </c>
      <c r="F110" s="112" t="s">
        <v>736</v>
      </c>
      <c r="G110" s="112" t="s">
        <v>348</v>
      </c>
      <c r="H110" s="112" t="s">
        <v>160</v>
      </c>
      <c r="I110" s="108" t="s">
        <v>754</v>
      </c>
      <c r="J110" s="79" t="s">
        <v>599</v>
      </c>
    </row>
    <row r="111" spans="1:10" ht="140.25" x14ac:dyDescent="0.25">
      <c r="A111" s="113" t="s">
        <v>351</v>
      </c>
      <c r="B111" s="113" t="s">
        <v>328</v>
      </c>
      <c r="C111" s="113" t="s">
        <v>352</v>
      </c>
      <c r="D111" s="114">
        <v>38687</v>
      </c>
      <c r="E111" s="114">
        <v>44797</v>
      </c>
      <c r="F111" s="115" t="s">
        <v>353</v>
      </c>
      <c r="G111" s="108" t="s">
        <v>690</v>
      </c>
      <c r="H111" s="115" t="s">
        <v>160</v>
      </c>
      <c r="I111" s="115" t="s">
        <v>689</v>
      </c>
      <c r="J111" s="81" t="s">
        <v>599</v>
      </c>
    </row>
    <row r="112" spans="1:10" ht="63.75" x14ac:dyDescent="0.25">
      <c r="A112" s="109" t="s">
        <v>354</v>
      </c>
      <c r="B112" s="109" t="s">
        <v>167</v>
      </c>
      <c r="C112" s="110" t="s">
        <v>355</v>
      </c>
      <c r="D112" s="111">
        <v>44831</v>
      </c>
      <c r="E112" s="111">
        <v>44851</v>
      </c>
      <c r="F112" s="136" t="s">
        <v>737</v>
      </c>
      <c r="G112" s="136" t="s">
        <v>356</v>
      </c>
      <c r="H112" s="112" t="s">
        <v>691</v>
      </c>
      <c r="I112" s="112" t="s">
        <v>724</v>
      </c>
      <c r="J112" s="79" t="s">
        <v>599</v>
      </c>
    </row>
    <row r="113" spans="1:10" ht="153" x14ac:dyDescent="0.25">
      <c r="A113" s="109" t="s">
        <v>357</v>
      </c>
      <c r="B113" s="109" t="s">
        <v>335</v>
      </c>
      <c r="C113" s="110" t="s">
        <v>358</v>
      </c>
      <c r="D113" s="111">
        <v>44861</v>
      </c>
      <c r="E113" s="111">
        <v>44883</v>
      </c>
      <c r="F113" s="112" t="s">
        <v>350</v>
      </c>
      <c r="G113" s="136" t="s">
        <v>586</v>
      </c>
      <c r="H113" s="112" t="s">
        <v>160</v>
      </c>
      <c r="I113" s="112" t="s">
        <v>692</v>
      </c>
      <c r="J113" s="79" t="s">
        <v>599</v>
      </c>
    </row>
    <row r="114" spans="1:10" ht="89.25" x14ac:dyDescent="0.25">
      <c r="A114" s="105" t="s">
        <v>360</v>
      </c>
      <c r="B114" s="109" t="s">
        <v>335</v>
      </c>
      <c r="C114" s="106" t="s">
        <v>361</v>
      </c>
      <c r="D114" s="111">
        <v>39568</v>
      </c>
      <c r="E114" s="111">
        <v>44987</v>
      </c>
      <c r="F114" s="112" t="s">
        <v>362</v>
      </c>
      <c r="G114" s="136" t="s">
        <v>363</v>
      </c>
      <c r="H114" s="112" t="s">
        <v>160</v>
      </c>
      <c r="I114" s="108" t="s">
        <v>693</v>
      </c>
      <c r="J114" s="81" t="s">
        <v>599</v>
      </c>
    </row>
    <row r="115" spans="1:10" ht="38.25" x14ac:dyDescent="0.25">
      <c r="A115" s="113" t="s">
        <v>720</v>
      </c>
      <c r="B115" s="113" t="s">
        <v>167</v>
      </c>
      <c r="C115" s="113" t="s">
        <v>715</v>
      </c>
      <c r="D115" s="116">
        <v>44999</v>
      </c>
      <c r="E115" s="116">
        <v>45007</v>
      </c>
      <c r="F115" s="115" t="s">
        <v>714</v>
      </c>
      <c r="G115" s="115" t="s">
        <v>716</v>
      </c>
      <c r="H115" s="115" t="s">
        <v>170</v>
      </c>
      <c r="I115" s="115" t="s">
        <v>735</v>
      </c>
      <c r="J115" s="81" t="s">
        <v>599</v>
      </c>
    </row>
    <row r="116" spans="1:10" ht="127.5" x14ac:dyDescent="0.25">
      <c r="A116" s="109" t="s">
        <v>365</v>
      </c>
      <c r="B116" s="109" t="s">
        <v>349</v>
      </c>
      <c r="C116" s="110" t="s">
        <v>366</v>
      </c>
      <c r="D116" s="111">
        <v>45784</v>
      </c>
      <c r="E116" s="111">
        <v>45790</v>
      </c>
      <c r="F116" s="112" t="s">
        <v>367</v>
      </c>
      <c r="G116" s="112" t="s">
        <v>690</v>
      </c>
      <c r="H116" s="112" t="s">
        <v>359</v>
      </c>
      <c r="I116" s="112" t="s">
        <v>694</v>
      </c>
      <c r="J116" s="79" t="s">
        <v>599</v>
      </c>
    </row>
    <row r="117" spans="1:10" ht="63.75" x14ac:dyDescent="0.25">
      <c r="A117" s="109" t="s">
        <v>729</v>
      </c>
      <c r="B117" s="109" t="s">
        <v>167</v>
      </c>
      <c r="C117" s="110" t="s">
        <v>730</v>
      </c>
      <c r="D117" s="111">
        <v>44659</v>
      </c>
      <c r="E117" s="111">
        <v>46055</v>
      </c>
      <c r="F117" s="112" t="s">
        <v>696</v>
      </c>
      <c r="G117" s="112" t="s">
        <v>695</v>
      </c>
      <c r="H117" s="112" t="s">
        <v>160</v>
      </c>
      <c r="I117" s="112" t="s">
        <v>724</v>
      </c>
      <c r="J117" s="79" t="s">
        <v>599</v>
      </c>
    </row>
    <row r="118" spans="1:10" x14ac:dyDescent="0.25">
      <c r="A118"/>
      <c r="B118"/>
      <c r="C118"/>
      <c r="D118"/>
      <c r="E118"/>
      <c r="J118"/>
    </row>
    <row r="119" spans="1:10" x14ac:dyDescent="0.25">
      <c r="A119"/>
      <c r="B119"/>
      <c r="C119"/>
      <c r="D119"/>
      <c r="E119"/>
      <c r="J119"/>
    </row>
    <row r="120" spans="1:10" x14ac:dyDescent="0.25">
      <c r="A120"/>
      <c r="B120"/>
      <c r="C120"/>
      <c r="D120"/>
      <c r="E120"/>
      <c r="J120"/>
    </row>
    <row r="121" spans="1:10" x14ac:dyDescent="0.25">
      <c r="A121"/>
      <c r="B121"/>
      <c r="C121"/>
      <c r="D121"/>
      <c r="E121"/>
      <c r="J121"/>
    </row>
    <row r="122" spans="1:10" x14ac:dyDescent="0.25">
      <c r="A122"/>
      <c r="B122"/>
      <c r="C122"/>
      <c r="D122"/>
      <c r="E122"/>
      <c r="J122"/>
    </row>
    <row r="123" spans="1:10" x14ac:dyDescent="0.25">
      <c r="A123"/>
      <c r="B123"/>
      <c r="C123"/>
      <c r="D123"/>
      <c r="E123"/>
      <c r="J123"/>
    </row>
    <row r="124" spans="1:10" x14ac:dyDescent="0.25">
      <c r="A124"/>
      <c r="B124"/>
      <c r="C124"/>
      <c r="D124"/>
      <c r="E124"/>
      <c r="J124"/>
    </row>
    <row r="125" spans="1:10" x14ac:dyDescent="0.25">
      <c r="A125"/>
      <c r="B125"/>
      <c r="C125"/>
      <c r="D125"/>
      <c r="E125"/>
      <c r="J125"/>
    </row>
    <row r="126" spans="1:10" x14ac:dyDescent="0.25">
      <c r="A126"/>
      <c r="B126"/>
      <c r="C126"/>
      <c r="D126"/>
      <c r="E126"/>
      <c r="J126"/>
    </row>
    <row r="127" spans="1:10" x14ac:dyDescent="0.25">
      <c r="A127"/>
      <c r="B127"/>
      <c r="C127"/>
      <c r="D127"/>
      <c r="E127"/>
      <c r="J127"/>
    </row>
    <row r="128" spans="1:10" x14ac:dyDescent="0.25">
      <c r="A128"/>
      <c r="B128"/>
      <c r="C128"/>
      <c r="D128"/>
      <c r="E128"/>
      <c r="J128"/>
    </row>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sheetData>
  <autoFilter ref="A1:J117" xr:uid="{00000000-0001-0000-0200-000000000000}">
    <sortState xmlns:xlrd2="http://schemas.microsoft.com/office/spreadsheetml/2017/richdata2" ref="A2:J117">
      <sortCondition ref="C1:C117"/>
    </sortState>
  </autoFilter>
  <hyperlinks>
    <hyperlink ref="J2" r:id="rId1" xr:uid="{12BAEF52-DE57-4C29-B0F9-D8C807FF8459}"/>
    <hyperlink ref="J3" r:id="rId2" xr:uid="{4E9F273D-CC87-4CF0-A68D-0AFBFC8E4795}"/>
    <hyperlink ref="J4" r:id="rId3" xr:uid="{5F24C44A-22DB-48F7-B2F5-96A665A63CED}"/>
    <hyperlink ref="J6" r:id="rId4" xr:uid="{05FC98BA-BB92-4EA6-9384-72CA67A1DDF2}"/>
    <hyperlink ref="J7" r:id="rId5" xr:uid="{E352C33F-B640-4673-B536-D05FC517DC27}"/>
    <hyperlink ref="J8" r:id="rId6" xr:uid="{33D42233-838F-4491-A074-5E5C49612B51}"/>
    <hyperlink ref="J18" r:id="rId7" xr:uid="{A23F56D7-3008-408C-B562-2DD2660188F8}"/>
    <hyperlink ref="J5" r:id="rId8" xr:uid="{5188971D-4752-4620-8DF8-E62FA75124A0}"/>
    <hyperlink ref="J10" r:id="rId9" xr:uid="{7CFC6947-22B8-4EC5-91ED-9EDA70D65926}"/>
    <hyperlink ref="J11" r:id="rId10" xr:uid="{97782F8A-CB94-4915-B2A6-8AB8D6E6762B}"/>
    <hyperlink ref="J12" r:id="rId11" xr:uid="{1CA493D1-03A0-4495-9452-31A36BA7D977}"/>
    <hyperlink ref="J13" r:id="rId12" xr:uid="{B15A57B3-AD8B-4BDC-8BD8-99691FB338A0}"/>
    <hyperlink ref="J14" r:id="rId13" xr:uid="{718077AE-ED85-4693-BECD-19C2FC46F1B5}"/>
    <hyperlink ref="J15" r:id="rId14" xr:uid="{26557BCB-E499-4C1D-B6A3-708956AB3EC6}"/>
    <hyperlink ref="J16" r:id="rId15" xr:uid="{C580B4E2-FDAC-47E6-803E-D62CF56ADB64}"/>
    <hyperlink ref="J17" r:id="rId16" xr:uid="{84A3313D-732A-4302-9134-2731BB38E212}"/>
    <hyperlink ref="J9" r:id="rId17" xr:uid="{F54C37B3-1210-4E07-AED2-2EF013D88CE3}"/>
    <hyperlink ref="J19" r:id="rId18" xr:uid="{925445C0-A437-4A03-A604-922477D8566A}"/>
    <hyperlink ref="J20" r:id="rId19" xr:uid="{4BAEA31D-4BDC-4B9D-A8A0-E133A88FA18A}"/>
    <hyperlink ref="J21" r:id="rId20" xr:uid="{1B1612BA-CF3C-4B04-B64F-F628903B63EA}"/>
    <hyperlink ref="J22" r:id="rId21" xr:uid="{26E42855-A0DD-4488-AF11-AF7DBC724997}"/>
    <hyperlink ref="J23" r:id="rId22" xr:uid="{D9595CB1-EEB8-4036-9FDE-A024D4C9D725}"/>
    <hyperlink ref="J24" r:id="rId23" xr:uid="{886135B8-B4F2-4147-A77F-C626E68EBFC1}"/>
    <hyperlink ref="J25" r:id="rId24" xr:uid="{149D1DE8-D9A2-4479-8D47-9106D1775D37}"/>
    <hyperlink ref="J32" r:id="rId25" xr:uid="{5441B86D-785C-4C16-996E-87982E50AF52}"/>
    <hyperlink ref="J33" r:id="rId26" xr:uid="{E9F9C021-8AB4-4E4A-BFE2-91893D563602}"/>
    <hyperlink ref="J34" r:id="rId27" xr:uid="{BA2A92A8-0A34-46C4-8E20-C6538B6EEDB0}"/>
    <hyperlink ref="J35" r:id="rId28" xr:uid="{AF3D4A89-E8F9-48A6-AB90-BAE847E9BA18}"/>
    <hyperlink ref="J36" r:id="rId29" xr:uid="{BFAE390C-4F7A-455F-8DCD-1EC685AB5F63}"/>
    <hyperlink ref="J37" r:id="rId30" xr:uid="{E9701667-791B-4AF9-BE2B-FD9A132344BC}"/>
    <hyperlink ref="J28" r:id="rId31" xr:uid="{E4323CFB-A317-4497-B563-C5CFBAB80A6A}"/>
    <hyperlink ref="J29" r:id="rId32" xr:uid="{9E94839F-5E3F-486B-A348-26A94DD4D7EE}"/>
    <hyperlink ref="J30" r:id="rId33" xr:uid="{EEB0E46A-79C4-424C-86B6-A9C567CC503A}"/>
    <hyperlink ref="J31" r:id="rId34" xr:uid="{FC8679A7-0371-4591-B657-6D9AD76F627F}"/>
    <hyperlink ref="J26" r:id="rId35" xr:uid="{A290C4E7-1912-484A-B301-17B76D80E439}"/>
    <hyperlink ref="J27" r:id="rId36" xr:uid="{A1ABEFA2-5258-453F-B5A4-3A8B2E7DA36B}"/>
    <hyperlink ref="J48" r:id="rId37" xr:uid="{148C055D-D367-4CD7-8BE8-A6C31D22A8E3}"/>
    <hyperlink ref="J39" r:id="rId38" xr:uid="{553E8D2B-CCAE-4C71-BB6B-14E054134F83}"/>
    <hyperlink ref="J43" r:id="rId39" xr:uid="{400ED2AE-98FF-4932-AB4B-771842C54AD3}"/>
    <hyperlink ref="J44" r:id="rId40" xr:uid="{83DA37C4-A337-45FF-A93B-55E0292D1D3B}"/>
    <hyperlink ref="J45" r:id="rId41" xr:uid="{408E0D74-4824-45A2-8DC6-60B15E465981}"/>
    <hyperlink ref="J42" r:id="rId42" xr:uid="{EDC4BB49-35C0-4A6F-A1C2-28FAF58AC03A}"/>
    <hyperlink ref="J46" r:id="rId43" xr:uid="{4DCAFBBA-D5CC-4CDC-A88B-28C2F58278C3}"/>
    <hyperlink ref="J41" r:id="rId44" xr:uid="{C1715E64-CDD0-439A-95F9-647739805C2C}"/>
    <hyperlink ref="J40" r:id="rId45" xr:uid="{499BD3AA-8EE8-470D-9B66-5E8F4A17DF2C}"/>
    <hyperlink ref="J47" r:id="rId46" xr:uid="{27D631BB-73EF-448C-A61D-BB0BA9C1769A}"/>
    <hyperlink ref="J49" r:id="rId47" xr:uid="{8C06143E-F9A5-4AF0-9C97-D0BB247EF0AA}"/>
    <hyperlink ref="J50" r:id="rId48" xr:uid="{21BD03DB-1596-4CD8-AECE-11D07128C39D}"/>
    <hyperlink ref="J51" r:id="rId49" xr:uid="{2360A3B7-8561-42D7-AF1B-EC60D32F1C94}"/>
    <hyperlink ref="J58" r:id="rId50" xr:uid="{CCC4B7CB-A675-44F9-AE3D-B66D7C831C69}"/>
    <hyperlink ref="J52" r:id="rId51" xr:uid="{8857AF29-4963-41F3-B090-82A6B466EF6A}"/>
    <hyperlink ref="J53" r:id="rId52" xr:uid="{A9E29ABE-9B07-4BEE-8CA3-EF3F8C69486E}"/>
    <hyperlink ref="J55" r:id="rId53" xr:uid="{BA86F0E9-D136-4686-B069-7364F3759CE7}"/>
    <hyperlink ref="J56" r:id="rId54" xr:uid="{ACE71A61-4B79-4B53-985B-E3CC6C643F34}"/>
    <hyperlink ref="J57" r:id="rId55" xr:uid="{F82C1CA5-4068-43D5-852D-039B5D2052A9}"/>
    <hyperlink ref="J59" r:id="rId56" xr:uid="{A766C3CB-BA83-4B6C-A8B4-E111925C4325}"/>
    <hyperlink ref="J60" r:id="rId57" xr:uid="{26D68478-4D38-422B-B252-66AEB43B151B}"/>
    <hyperlink ref="J61" r:id="rId58" xr:uid="{EDD34A85-1DDE-48AC-A214-DAB7035007C5}"/>
    <hyperlink ref="J62" r:id="rId59" xr:uid="{0735BE61-3432-4554-B88C-7A240B3D718E}"/>
    <hyperlink ref="J63" r:id="rId60" xr:uid="{FA0E428A-5E22-418A-B74E-E834CC2EDC22}"/>
    <hyperlink ref="J64" r:id="rId61" xr:uid="{095C5ED1-0677-4C7C-9FAF-9EBE0B1931C9}"/>
    <hyperlink ref="J65" r:id="rId62" xr:uid="{4D7FE1BF-6A9B-4F96-B01D-D6BF01617469}"/>
    <hyperlink ref="J66" r:id="rId63" xr:uid="{43CC76EF-97FC-4F3D-B700-8B6FE66CCBBA}"/>
    <hyperlink ref="J67" r:id="rId64" xr:uid="{67FE4AD2-D793-438A-9FAC-F5B0D0B7C08F}"/>
    <hyperlink ref="J78" r:id="rId65" xr:uid="{6EDE5B84-486B-424C-808E-88205818DB14}"/>
    <hyperlink ref="J68" r:id="rId66" xr:uid="{D6430DB5-9B30-44F3-8B2B-F2DDC9AE5A72}"/>
    <hyperlink ref="J69" r:id="rId67" xr:uid="{6490101A-D08F-47D4-8322-D6715186C8D2}"/>
    <hyperlink ref="J70" r:id="rId68" xr:uid="{9F6D85F6-803F-442E-B0EE-2616588C4DD4}"/>
    <hyperlink ref="J71" r:id="rId69" xr:uid="{670F8E9C-4E9B-4141-A0D1-AB877A9ECA5E}"/>
    <hyperlink ref="J72" r:id="rId70" xr:uid="{E998B263-D283-4D97-A904-D8CB73E24231}"/>
    <hyperlink ref="J81" r:id="rId71" xr:uid="{D549C001-1232-46B1-BF88-31105E045128}"/>
    <hyperlink ref="J75" r:id="rId72" xr:uid="{72B3BD1E-46DD-4357-80E8-BFF24513D221}"/>
    <hyperlink ref="J76" r:id="rId73" xr:uid="{7D8B48CE-0863-45CC-8108-707F716DA515}"/>
    <hyperlink ref="J77" r:id="rId74" xr:uid="{E6A9BEEC-D5D6-420A-8BB8-8924BD383FC7}"/>
    <hyperlink ref="J73" r:id="rId75" xr:uid="{ED18F861-553A-4483-A076-0856BD189AB5}"/>
    <hyperlink ref="J74" r:id="rId76" xr:uid="{03A8984D-E6C8-4CEA-8451-5639E48C2ED2}"/>
    <hyperlink ref="J79" r:id="rId77" xr:uid="{D0D19C9A-6980-4B3C-B1C0-B2DC406BF866}"/>
    <hyperlink ref="J80" r:id="rId78" xr:uid="{5EE50F47-7332-4423-AF4E-4A79F06519D3}"/>
    <hyperlink ref="J82" r:id="rId79" xr:uid="{5D2EF649-992C-495B-9E71-D5D42F64B797}"/>
    <hyperlink ref="J83" r:id="rId80" xr:uid="{6D11C0FC-EB40-4C62-BD1A-C277CAC87314}"/>
    <hyperlink ref="J84" r:id="rId81" xr:uid="{E41C0307-79D5-4279-97BF-DF2BB08E3319}"/>
    <hyperlink ref="J85" r:id="rId82" xr:uid="{2DB2D341-F31D-4062-81DD-8711F6DE1D1B}"/>
    <hyperlink ref="J86" r:id="rId83" xr:uid="{22712FA3-EC04-42E1-92FB-D8E34A6ECE42}"/>
    <hyperlink ref="J87" r:id="rId84" xr:uid="{738EE722-3587-4183-B46E-2C61CD1FCA7A}"/>
    <hyperlink ref="J88" r:id="rId85" xr:uid="{51D3D3A8-BDD8-4D99-94B1-37B485388908}"/>
    <hyperlink ref="J89" r:id="rId86" xr:uid="{3E554315-B6B8-4F45-A772-4625D1D19DEF}"/>
    <hyperlink ref="J90" r:id="rId87" xr:uid="{1F0F1E52-2AD9-4E14-AC7B-EF93CDBC334A}"/>
    <hyperlink ref="J91" r:id="rId88" xr:uid="{0C4ABBA4-34F3-4FAE-965D-01AAA8DCBD74}"/>
    <hyperlink ref="J92" r:id="rId89" xr:uid="{3FCED425-F2ED-4858-9ECB-9EAB3B7DAF1D}"/>
    <hyperlink ref="J93" r:id="rId90" xr:uid="{5878DBA2-8823-4DE2-89C4-059A415B83E1}"/>
    <hyperlink ref="J94" r:id="rId91" xr:uid="{0A6C0494-8FA7-40C5-A411-659CED7B4CC7}"/>
    <hyperlink ref="J95" r:id="rId92" xr:uid="{4996C534-CB20-4F02-9AEC-0A70C01A799E}"/>
    <hyperlink ref="J96" r:id="rId93" xr:uid="{A734DA2E-58F5-4FB7-9560-D4081D61050E}"/>
    <hyperlink ref="J97" r:id="rId94" xr:uid="{E668F5B6-D007-43E7-BE8A-EF16AF7AA589}"/>
    <hyperlink ref="J98" r:id="rId95" xr:uid="{27B0FFBC-AAF9-4FCA-9136-15E06B26D811}"/>
    <hyperlink ref="J99" r:id="rId96" xr:uid="{92CBC466-56FE-43B5-823A-DFD3EE1D8990}"/>
    <hyperlink ref="J100" r:id="rId97" xr:uid="{BAFF8267-A24A-4EE7-A0D8-E6011ECBAC69}"/>
    <hyperlink ref="J101" r:id="rId98" xr:uid="{864A24C8-677B-4D63-8B9A-11FFB0F4CA06}"/>
    <hyperlink ref="J102" r:id="rId99" xr:uid="{D6B9C9A2-189B-493B-891C-6221A42BD65B}"/>
    <hyperlink ref="J111" r:id="rId100" xr:uid="{15EEFEDD-E135-46F2-847D-2F0C1F145A74}"/>
    <hyperlink ref="J114" r:id="rId101" xr:uid="{CFA29BDE-F575-401D-8A4F-23AEC1F1418C}"/>
    <hyperlink ref="J103" r:id="rId102" xr:uid="{811D722E-B533-4EC9-A34A-1CABC0123E8D}"/>
    <hyperlink ref="J104" r:id="rId103" xr:uid="{F7520BB7-F7BC-4898-9DB5-57A138156D3A}"/>
    <hyperlink ref="J105" r:id="rId104" xr:uid="{C079ABD4-6577-451E-B035-BAC86B3383B3}"/>
    <hyperlink ref="J106" r:id="rId105" xr:uid="{A362377C-AA73-44FA-B240-4787604A672A}"/>
    <hyperlink ref="J107" r:id="rId106" xr:uid="{4C2A3646-1F1C-43CA-B8A5-E736B17DE5A9}"/>
    <hyperlink ref="J108" r:id="rId107" xr:uid="{2766419A-ECBC-40A7-9930-504F7A2E50CA}"/>
    <hyperlink ref="J109" r:id="rId108" xr:uid="{AEB1FBAA-0AFC-4CA7-B773-237FEEC36AC1}"/>
    <hyperlink ref="J110" r:id="rId109" xr:uid="{9D1AAA2E-CBEA-4E01-B6A6-FF6F148DE4BE}"/>
    <hyperlink ref="J117" r:id="rId110" xr:uid="{FDB7BA53-E831-4E8F-9BD9-00EC3B85BB52}"/>
    <hyperlink ref="J112" r:id="rId111" xr:uid="{ECBA86B2-72E6-44C4-97B0-963634BDE199}"/>
    <hyperlink ref="J113" r:id="rId112" xr:uid="{FF7A8362-F44B-4C47-BB86-6535925B13F4}"/>
    <hyperlink ref="J115" r:id="rId113" xr:uid="{D742B6EC-77D9-4089-BC7C-39A6DDEAFB32}"/>
    <hyperlink ref="J116" r:id="rId114" xr:uid="{04B6188C-23C8-4EFB-8A47-5B17E6A437E1}"/>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64"/>
  <sheetViews>
    <sheetView view="pageBreakPreview" zoomScaleNormal="85" workbookViewId="0">
      <pane ySplit="1" topLeftCell="A2" activePane="bottomLeft" state="frozen"/>
      <selection pane="bottomLeft" activeCell="B1" sqref="B1"/>
    </sheetView>
  </sheetViews>
  <sheetFormatPr defaultColWidth="9.140625" defaultRowHeight="12.75" x14ac:dyDescent="0.25"/>
  <cols>
    <col min="1" max="1" width="4.5703125" style="33" customWidth="1"/>
    <col min="2" max="2" width="11.85546875" style="34" customWidth="1"/>
    <col min="3" max="5" width="10.85546875" style="34" customWidth="1"/>
    <col min="6" max="6" width="23.140625" style="34" customWidth="1"/>
    <col min="7" max="7" width="24.28515625" style="34" customWidth="1"/>
    <col min="8" max="8" width="19.28515625" style="34" customWidth="1"/>
    <col min="9" max="9" width="10.140625" style="34" customWidth="1"/>
    <col min="10" max="10" width="11.140625" style="34" customWidth="1"/>
    <col min="11" max="11" width="11.5703125" style="34" customWidth="1"/>
    <col min="12" max="12" width="15.5703125" style="34" customWidth="1"/>
    <col min="13" max="13" width="12.140625" style="35" customWidth="1"/>
    <col min="14" max="14" width="10.7109375" style="34" customWidth="1"/>
    <col min="15" max="18" width="13" style="34" hidden="1" customWidth="1"/>
    <col min="19" max="19" width="13.42578125" style="34" customWidth="1"/>
    <col min="20" max="20" width="13.85546875" style="34" customWidth="1"/>
    <col min="21" max="21" width="12.42578125" style="34" customWidth="1"/>
    <col min="22" max="22" width="10.42578125" style="34" customWidth="1"/>
    <col min="23" max="23" width="15.28515625" style="33" customWidth="1"/>
    <col min="24" max="16384" width="9.140625" style="33"/>
  </cols>
  <sheetData>
    <row r="1" spans="1:25" s="37" customFormat="1" ht="30" customHeight="1" x14ac:dyDescent="0.25">
      <c r="A1" s="117" t="s">
        <v>157</v>
      </c>
      <c r="B1" s="117" t="s">
        <v>434</v>
      </c>
      <c r="C1" s="117" t="s">
        <v>33</v>
      </c>
      <c r="D1" s="118" t="s">
        <v>435</v>
      </c>
      <c r="E1" s="118" t="s">
        <v>436</v>
      </c>
      <c r="F1" s="117" t="s">
        <v>437</v>
      </c>
      <c r="G1" s="117" t="s">
        <v>438</v>
      </c>
      <c r="H1" s="117" t="s">
        <v>439</v>
      </c>
      <c r="I1" s="117" t="s">
        <v>440</v>
      </c>
      <c r="J1" s="117" t="s">
        <v>441</v>
      </c>
      <c r="K1" s="117" t="s">
        <v>442</v>
      </c>
      <c r="L1" s="117" t="s">
        <v>443</v>
      </c>
      <c r="M1" s="119" t="s">
        <v>444</v>
      </c>
      <c r="N1" s="117" t="s">
        <v>34</v>
      </c>
      <c r="O1" s="120" t="s">
        <v>445</v>
      </c>
      <c r="P1" s="120" t="s">
        <v>446</v>
      </c>
      <c r="Q1" s="120" t="s">
        <v>447</v>
      </c>
      <c r="R1" s="120" t="s">
        <v>448</v>
      </c>
      <c r="S1" s="117" t="s">
        <v>449</v>
      </c>
      <c r="T1" s="117" t="s">
        <v>450</v>
      </c>
      <c r="U1" s="117" t="s">
        <v>451</v>
      </c>
      <c r="V1" s="121" t="s">
        <v>452</v>
      </c>
      <c r="W1" s="122" t="s">
        <v>156</v>
      </c>
      <c r="X1" s="36"/>
      <c r="Y1" s="36"/>
    </row>
    <row r="2" spans="1:25" s="132" customFormat="1" ht="90" customHeight="1" x14ac:dyDescent="0.25">
      <c r="A2" s="123">
        <v>1</v>
      </c>
      <c r="B2" s="124" t="s">
        <v>324</v>
      </c>
      <c r="C2" s="125" t="s">
        <v>38</v>
      </c>
      <c r="D2" s="126">
        <v>37195</v>
      </c>
      <c r="E2" s="126">
        <v>37224</v>
      </c>
      <c r="F2" s="126" t="s">
        <v>37</v>
      </c>
      <c r="G2" s="124" t="s">
        <v>578</v>
      </c>
      <c r="H2" s="124" t="s">
        <v>28</v>
      </c>
      <c r="I2" s="123" t="s">
        <v>453</v>
      </c>
      <c r="J2" s="123">
        <v>160</v>
      </c>
      <c r="K2" s="123">
        <v>1</v>
      </c>
      <c r="L2" s="127" t="s">
        <v>593</v>
      </c>
      <c r="M2" s="128" t="s">
        <v>48</v>
      </c>
      <c r="N2" s="129" t="s">
        <v>39</v>
      </c>
      <c r="O2" s="130" t="s">
        <v>588</v>
      </c>
      <c r="P2" s="130" t="s">
        <v>600</v>
      </c>
      <c r="Q2" s="130" t="s">
        <v>433</v>
      </c>
      <c r="R2" s="130" t="s">
        <v>567</v>
      </c>
      <c r="S2" s="123" t="s">
        <v>454</v>
      </c>
      <c r="T2" s="123" t="s">
        <v>594</v>
      </c>
      <c r="U2" s="123" t="s">
        <v>594</v>
      </c>
      <c r="V2" s="123" t="s">
        <v>44</v>
      </c>
      <c r="W2" s="133" t="s">
        <v>599</v>
      </c>
      <c r="X2" s="131"/>
      <c r="Y2" s="131"/>
    </row>
    <row r="3" spans="1:25" s="132" customFormat="1" ht="90" customHeight="1" x14ac:dyDescent="0.25">
      <c r="A3" s="123">
        <v>2</v>
      </c>
      <c r="B3" s="124" t="s">
        <v>323</v>
      </c>
      <c r="C3" s="125" t="s">
        <v>76</v>
      </c>
      <c r="D3" s="126">
        <v>37195</v>
      </c>
      <c r="E3" s="126">
        <v>37224</v>
      </c>
      <c r="F3" s="126" t="s">
        <v>75</v>
      </c>
      <c r="G3" s="124" t="s">
        <v>578</v>
      </c>
      <c r="H3" s="124" t="s">
        <v>74</v>
      </c>
      <c r="I3" s="123" t="s">
        <v>453</v>
      </c>
      <c r="J3" s="123">
        <v>160</v>
      </c>
      <c r="K3" s="123">
        <v>3</v>
      </c>
      <c r="L3" s="127" t="s">
        <v>593</v>
      </c>
      <c r="M3" s="128" t="s">
        <v>48</v>
      </c>
      <c r="N3" s="129" t="s">
        <v>39</v>
      </c>
      <c r="O3" s="130" t="s">
        <v>588</v>
      </c>
      <c r="P3" s="130" t="s">
        <v>600</v>
      </c>
      <c r="Q3" s="130" t="s">
        <v>432</v>
      </c>
      <c r="R3" s="130" t="s">
        <v>567</v>
      </c>
      <c r="S3" s="123" t="s">
        <v>454</v>
      </c>
      <c r="T3" s="123" t="s">
        <v>594</v>
      </c>
      <c r="U3" s="123" t="s">
        <v>594</v>
      </c>
      <c r="V3" s="123" t="s">
        <v>44</v>
      </c>
      <c r="W3" s="134" t="s">
        <v>599</v>
      </c>
      <c r="X3" s="131"/>
      <c r="Y3" s="131"/>
    </row>
    <row r="4" spans="1:25" s="132" customFormat="1" ht="90" customHeight="1" x14ac:dyDescent="0.25">
      <c r="A4" s="123">
        <v>3</v>
      </c>
      <c r="B4" s="124" t="s">
        <v>322</v>
      </c>
      <c r="C4" s="125" t="s">
        <v>49</v>
      </c>
      <c r="D4" s="126">
        <v>37195</v>
      </c>
      <c r="E4" s="126">
        <v>37224</v>
      </c>
      <c r="F4" s="126" t="s">
        <v>47</v>
      </c>
      <c r="G4" s="124" t="s">
        <v>578</v>
      </c>
      <c r="H4" s="124" t="s">
        <v>46</v>
      </c>
      <c r="I4" s="123" t="s">
        <v>453</v>
      </c>
      <c r="J4" s="123">
        <v>160</v>
      </c>
      <c r="K4" s="123">
        <v>2</v>
      </c>
      <c r="L4" s="127" t="s">
        <v>593</v>
      </c>
      <c r="M4" s="128" t="s">
        <v>48</v>
      </c>
      <c r="N4" s="129" t="s">
        <v>39</v>
      </c>
      <c r="O4" s="130" t="s">
        <v>588</v>
      </c>
      <c r="P4" s="130" t="s">
        <v>600</v>
      </c>
      <c r="Q4" s="130" t="s">
        <v>431</v>
      </c>
      <c r="R4" s="130" t="s">
        <v>567</v>
      </c>
      <c r="S4" s="123" t="s">
        <v>454</v>
      </c>
      <c r="T4" s="123" t="s">
        <v>594</v>
      </c>
      <c r="U4" s="123" t="s">
        <v>594</v>
      </c>
      <c r="V4" s="123" t="s">
        <v>44</v>
      </c>
      <c r="W4" s="133" t="s">
        <v>599</v>
      </c>
      <c r="X4" s="131"/>
      <c r="Y4" s="131"/>
    </row>
    <row r="5" spans="1:25" s="132" customFormat="1" ht="90" customHeight="1" x14ac:dyDescent="0.25">
      <c r="A5" s="123">
        <v>4</v>
      </c>
      <c r="B5" s="124" t="s">
        <v>321</v>
      </c>
      <c r="C5" s="125" t="s">
        <v>41</v>
      </c>
      <c r="D5" s="126">
        <v>37195</v>
      </c>
      <c r="E5" s="126">
        <v>37224</v>
      </c>
      <c r="F5" s="124" t="s">
        <v>40</v>
      </c>
      <c r="G5" s="124" t="s">
        <v>578</v>
      </c>
      <c r="H5" s="124" t="s">
        <v>28</v>
      </c>
      <c r="I5" s="123" t="s">
        <v>453</v>
      </c>
      <c r="J5" s="123">
        <v>160</v>
      </c>
      <c r="K5" s="123">
        <v>1</v>
      </c>
      <c r="L5" s="127" t="s">
        <v>593</v>
      </c>
      <c r="M5" s="128" t="s">
        <v>48</v>
      </c>
      <c r="N5" s="129" t="s">
        <v>39</v>
      </c>
      <c r="O5" s="130" t="s">
        <v>588</v>
      </c>
      <c r="P5" s="130" t="s">
        <v>600</v>
      </c>
      <c r="Q5" s="130" t="s">
        <v>430</v>
      </c>
      <c r="R5" s="130" t="s">
        <v>567</v>
      </c>
      <c r="S5" s="123" t="s">
        <v>454</v>
      </c>
      <c r="T5" s="123" t="s">
        <v>594</v>
      </c>
      <c r="U5" s="123" t="s">
        <v>594</v>
      </c>
      <c r="V5" s="123" t="s">
        <v>44</v>
      </c>
      <c r="W5" s="133" t="s">
        <v>599</v>
      </c>
      <c r="X5" s="131"/>
      <c r="Y5" s="131"/>
    </row>
    <row r="6" spans="1:25" s="132" customFormat="1" ht="90" customHeight="1" x14ac:dyDescent="0.25">
      <c r="A6" s="123">
        <v>5</v>
      </c>
      <c r="B6" s="124" t="s">
        <v>320</v>
      </c>
      <c r="C6" s="125" t="s">
        <v>78</v>
      </c>
      <c r="D6" s="126">
        <v>37195</v>
      </c>
      <c r="E6" s="126">
        <v>37224</v>
      </c>
      <c r="F6" s="124" t="s">
        <v>77</v>
      </c>
      <c r="G6" s="124" t="s">
        <v>578</v>
      </c>
      <c r="H6" s="124" t="s">
        <v>74</v>
      </c>
      <c r="I6" s="123" t="s">
        <v>453</v>
      </c>
      <c r="J6" s="123">
        <v>160</v>
      </c>
      <c r="K6" s="123">
        <v>3</v>
      </c>
      <c r="L6" s="127" t="s">
        <v>593</v>
      </c>
      <c r="M6" s="128" t="s">
        <v>48</v>
      </c>
      <c r="N6" s="129" t="s">
        <v>39</v>
      </c>
      <c r="O6" s="130" t="s">
        <v>588</v>
      </c>
      <c r="P6" s="130" t="s">
        <v>600</v>
      </c>
      <c r="Q6" s="130" t="s">
        <v>429</v>
      </c>
      <c r="R6" s="130" t="s">
        <v>567</v>
      </c>
      <c r="S6" s="123" t="s">
        <v>454</v>
      </c>
      <c r="T6" s="123" t="s">
        <v>594</v>
      </c>
      <c r="U6" s="123" t="s">
        <v>755</v>
      </c>
      <c r="V6" s="123" t="s">
        <v>44</v>
      </c>
      <c r="W6" s="133" t="s">
        <v>599</v>
      </c>
      <c r="X6" s="131"/>
      <c r="Y6" s="131"/>
    </row>
    <row r="7" spans="1:25" s="132" customFormat="1" ht="90" customHeight="1" x14ac:dyDescent="0.25">
      <c r="A7" s="123">
        <v>6</v>
      </c>
      <c r="B7" s="124" t="s">
        <v>319</v>
      </c>
      <c r="C7" s="125" t="s">
        <v>80</v>
      </c>
      <c r="D7" s="126">
        <v>37195</v>
      </c>
      <c r="E7" s="126">
        <v>37224</v>
      </c>
      <c r="F7" s="124" t="s">
        <v>79</v>
      </c>
      <c r="G7" s="124" t="s">
        <v>578</v>
      </c>
      <c r="H7" s="124" t="s">
        <v>74</v>
      </c>
      <c r="I7" s="123" t="s">
        <v>453</v>
      </c>
      <c r="J7" s="123">
        <v>160</v>
      </c>
      <c r="K7" s="123">
        <v>3</v>
      </c>
      <c r="L7" s="127" t="s">
        <v>593</v>
      </c>
      <c r="M7" s="128" t="s">
        <v>48</v>
      </c>
      <c r="N7" s="129" t="s">
        <v>39</v>
      </c>
      <c r="O7" s="130" t="s">
        <v>588</v>
      </c>
      <c r="P7" s="130" t="s">
        <v>600</v>
      </c>
      <c r="Q7" s="130" t="s">
        <v>428</v>
      </c>
      <c r="R7" s="130" t="s">
        <v>567</v>
      </c>
      <c r="S7" s="123" t="s">
        <v>454</v>
      </c>
      <c r="T7" s="123" t="s">
        <v>594</v>
      </c>
      <c r="U7" s="123" t="s">
        <v>755</v>
      </c>
      <c r="V7" s="123" t="s">
        <v>44</v>
      </c>
      <c r="W7" s="134" t="s">
        <v>599</v>
      </c>
      <c r="X7" s="131"/>
      <c r="Y7" s="131"/>
    </row>
    <row r="8" spans="1:25" s="132" customFormat="1" ht="90" customHeight="1" x14ac:dyDescent="0.25">
      <c r="A8" s="123">
        <v>7</v>
      </c>
      <c r="B8" s="124" t="s">
        <v>318</v>
      </c>
      <c r="C8" s="125" t="s">
        <v>51</v>
      </c>
      <c r="D8" s="126">
        <v>37195</v>
      </c>
      <c r="E8" s="126">
        <v>37224</v>
      </c>
      <c r="F8" s="124" t="s">
        <v>50</v>
      </c>
      <c r="G8" s="124" t="s">
        <v>578</v>
      </c>
      <c r="H8" s="124" t="s">
        <v>46</v>
      </c>
      <c r="I8" s="123" t="s">
        <v>453</v>
      </c>
      <c r="J8" s="123">
        <v>160</v>
      </c>
      <c r="K8" s="123">
        <v>2</v>
      </c>
      <c r="L8" s="127" t="s">
        <v>593</v>
      </c>
      <c r="M8" s="128" t="s">
        <v>48</v>
      </c>
      <c r="N8" s="129" t="s">
        <v>39</v>
      </c>
      <c r="O8" s="130" t="s">
        <v>588</v>
      </c>
      <c r="P8" s="130" t="s">
        <v>600</v>
      </c>
      <c r="Q8" s="130" t="s">
        <v>427</v>
      </c>
      <c r="R8" s="130" t="s">
        <v>567</v>
      </c>
      <c r="S8" s="123" t="s">
        <v>454</v>
      </c>
      <c r="T8" s="123" t="s">
        <v>594</v>
      </c>
      <c r="U8" s="123" t="s">
        <v>594</v>
      </c>
      <c r="V8" s="123" t="s">
        <v>44</v>
      </c>
      <c r="W8" s="134" t="s">
        <v>599</v>
      </c>
      <c r="X8" s="131"/>
      <c r="Y8" s="131"/>
    </row>
    <row r="9" spans="1:25" s="132" customFormat="1" ht="90" customHeight="1" x14ac:dyDescent="0.25">
      <c r="A9" s="123">
        <v>8</v>
      </c>
      <c r="B9" s="124" t="s">
        <v>317</v>
      </c>
      <c r="C9" s="125" t="s">
        <v>53</v>
      </c>
      <c r="D9" s="126">
        <v>37195</v>
      </c>
      <c r="E9" s="126">
        <v>37224</v>
      </c>
      <c r="F9" s="124" t="s">
        <v>52</v>
      </c>
      <c r="G9" s="124" t="s">
        <v>578</v>
      </c>
      <c r="H9" s="124" t="s">
        <v>46</v>
      </c>
      <c r="I9" s="123" t="s">
        <v>453</v>
      </c>
      <c r="J9" s="123">
        <v>160</v>
      </c>
      <c r="K9" s="123">
        <v>2</v>
      </c>
      <c r="L9" s="127" t="s">
        <v>593</v>
      </c>
      <c r="M9" s="128" t="s">
        <v>48</v>
      </c>
      <c r="N9" s="129" t="s">
        <v>39</v>
      </c>
      <c r="O9" s="130" t="s">
        <v>588</v>
      </c>
      <c r="P9" s="130" t="s">
        <v>600</v>
      </c>
      <c r="Q9" s="130" t="s">
        <v>426</v>
      </c>
      <c r="R9" s="130" t="s">
        <v>567</v>
      </c>
      <c r="S9" s="123" t="s">
        <v>454</v>
      </c>
      <c r="T9" s="123" t="s">
        <v>594</v>
      </c>
      <c r="U9" s="123" t="s">
        <v>594</v>
      </c>
      <c r="V9" s="123" t="s">
        <v>44</v>
      </c>
      <c r="W9" s="134" t="s">
        <v>599</v>
      </c>
      <c r="X9" s="131"/>
      <c r="Y9" s="131"/>
    </row>
    <row r="10" spans="1:25" s="132" customFormat="1" ht="90" customHeight="1" x14ac:dyDescent="0.25">
      <c r="A10" s="123">
        <v>9</v>
      </c>
      <c r="B10" s="124" t="s">
        <v>316</v>
      </c>
      <c r="C10" s="125" t="s">
        <v>55</v>
      </c>
      <c r="D10" s="126">
        <v>37195</v>
      </c>
      <c r="E10" s="126">
        <v>37224</v>
      </c>
      <c r="F10" s="124" t="s">
        <v>54</v>
      </c>
      <c r="G10" s="124" t="s">
        <v>578</v>
      </c>
      <c r="H10" s="124" t="s">
        <v>46</v>
      </c>
      <c r="I10" s="123" t="s">
        <v>453</v>
      </c>
      <c r="J10" s="123">
        <v>160</v>
      </c>
      <c r="K10" s="123">
        <v>2</v>
      </c>
      <c r="L10" s="127" t="s">
        <v>593</v>
      </c>
      <c r="M10" s="128" t="s">
        <v>48</v>
      </c>
      <c r="N10" s="129" t="s">
        <v>39</v>
      </c>
      <c r="O10" s="130" t="s">
        <v>588</v>
      </c>
      <c r="P10" s="130" t="s">
        <v>600</v>
      </c>
      <c r="Q10" s="130" t="s">
        <v>425</v>
      </c>
      <c r="R10" s="130" t="s">
        <v>567</v>
      </c>
      <c r="S10" s="123" t="s">
        <v>454</v>
      </c>
      <c r="T10" s="123" t="s">
        <v>594</v>
      </c>
      <c r="U10" s="123" t="s">
        <v>594</v>
      </c>
      <c r="V10" s="123" t="s">
        <v>44</v>
      </c>
      <c r="W10" s="133" t="s">
        <v>599</v>
      </c>
      <c r="X10" s="131"/>
      <c r="Y10" s="131"/>
    </row>
    <row r="11" spans="1:25" s="132" customFormat="1" ht="90" customHeight="1" x14ac:dyDescent="0.25">
      <c r="A11" s="123">
        <v>10</v>
      </c>
      <c r="B11" s="124" t="s">
        <v>315</v>
      </c>
      <c r="C11" s="125" t="s">
        <v>57</v>
      </c>
      <c r="D11" s="126">
        <v>37195</v>
      </c>
      <c r="E11" s="126">
        <v>37224</v>
      </c>
      <c r="F11" s="124" t="s">
        <v>186</v>
      </c>
      <c r="G11" s="124" t="s">
        <v>578</v>
      </c>
      <c r="H11" s="124" t="s">
        <v>46</v>
      </c>
      <c r="I11" s="123" t="s">
        <v>453</v>
      </c>
      <c r="J11" s="123">
        <v>160</v>
      </c>
      <c r="K11" s="123">
        <v>2</v>
      </c>
      <c r="L11" s="127" t="s">
        <v>593</v>
      </c>
      <c r="M11" s="128" t="s">
        <v>48</v>
      </c>
      <c r="N11" s="129" t="s">
        <v>39</v>
      </c>
      <c r="O11" s="130" t="s">
        <v>588</v>
      </c>
      <c r="P11" s="130" t="s">
        <v>600</v>
      </c>
      <c r="Q11" s="130" t="s">
        <v>424</v>
      </c>
      <c r="R11" s="130" t="s">
        <v>567</v>
      </c>
      <c r="S11" s="123" t="s">
        <v>454</v>
      </c>
      <c r="T11" s="123" t="s">
        <v>594</v>
      </c>
      <c r="U11" s="123" t="s">
        <v>594</v>
      </c>
      <c r="V11" s="123" t="s">
        <v>44</v>
      </c>
      <c r="W11" s="133" t="s">
        <v>599</v>
      </c>
      <c r="X11" s="131"/>
      <c r="Y11" s="131"/>
    </row>
    <row r="12" spans="1:25" s="132" customFormat="1" ht="90" customHeight="1" x14ac:dyDescent="0.25">
      <c r="A12" s="123">
        <v>11</v>
      </c>
      <c r="B12" s="124" t="s">
        <v>314</v>
      </c>
      <c r="C12" s="125" t="s">
        <v>59</v>
      </c>
      <c r="D12" s="126">
        <v>37195</v>
      </c>
      <c r="E12" s="126">
        <v>37224</v>
      </c>
      <c r="F12" s="124" t="s">
        <v>58</v>
      </c>
      <c r="G12" s="124" t="s">
        <v>578</v>
      </c>
      <c r="H12" s="124" t="s">
        <v>46</v>
      </c>
      <c r="I12" s="123" t="s">
        <v>453</v>
      </c>
      <c r="J12" s="123">
        <v>160</v>
      </c>
      <c r="K12" s="123">
        <v>2</v>
      </c>
      <c r="L12" s="127" t="s">
        <v>593</v>
      </c>
      <c r="M12" s="128" t="s">
        <v>48</v>
      </c>
      <c r="N12" s="129" t="s">
        <v>39</v>
      </c>
      <c r="O12" s="130" t="s">
        <v>588</v>
      </c>
      <c r="P12" s="130" t="s">
        <v>600</v>
      </c>
      <c r="Q12" s="130" t="s">
        <v>423</v>
      </c>
      <c r="R12" s="130" t="s">
        <v>567</v>
      </c>
      <c r="S12" s="123" t="s">
        <v>454</v>
      </c>
      <c r="T12" s="123" t="s">
        <v>594</v>
      </c>
      <c r="U12" s="123" t="s">
        <v>594</v>
      </c>
      <c r="V12" s="123" t="s">
        <v>44</v>
      </c>
      <c r="W12" s="133" t="s">
        <v>599</v>
      </c>
      <c r="X12" s="131"/>
      <c r="Y12" s="131"/>
    </row>
    <row r="13" spans="1:25" s="132" customFormat="1" ht="90" customHeight="1" x14ac:dyDescent="0.25">
      <c r="A13" s="123">
        <v>12</v>
      </c>
      <c r="B13" s="124" t="s">
        <v>313</v>
      </c>
      <c r="C13" s="125" t="s">
        <v>61</v>
      </c>
      <c r="D13" s="126">
        <v>37195</v>
      </c>
      <c r="E13" s="126">
        <v>37224</v>
      </c>
      <c r="F13" s="124" t="s">
        <v>60</v>
      </c>
      <c r="G13" s="124" t="s">
        <v>578</v>
      </c>
      <c r="H13" s="124" t="s">
        <v>46</v>
      </c>
      <c r="I13" s="123" t="s">
        <v>453</v>
      </c>
      <c r="J13" s="123">
        <v>160</v>
      </c>
      <c r="K13" s="123">
        <v>2</v>
      </c>
      <c r="L13" s="127" t="s">
        <v>593</v>
      </c>
      <c r="M13" s="128" t="s">
        <v>48</v>
      </c>
      <c r="N13" s="129" t="s">
        <v>39</v>
      </c>
      <c r="O13" s="130" t="s">
        <v>588</v>
      </c>
      <c r="P13" s="130" t="s">
        <v>600</v>
      </c>
      <c r="Q13" s="130" t="s">
        <v>422</v>
      </c>
      <c r="R13" s="130" t="s">
        <v>567</v>
      </c>
      <c r="S13" s="123" t="s">
        <v>454</v>
      </c>
      <c r="T13" s="123" t="s">
        <v>594</v>
      </c>
      <c r="U13" s="123" t="s">
        <v>594</v>
      </c>
      <c r="V13" s="123" t="s">
        <v>44</v>
      </c>
      <c r="W13" s="133" t="s">
        <v>599</v>
      </c>
      <c r="X13" s="131"/>
      <c r="Y13" s="131"/>
    </row>
    <row r="14" spans="1:25" s="132" customFormat="1" ht="90" customHeight="1" x14ac:dyDescent="0.25">
      <c r="A14" s="123">
        <v>13</v>
      </c>
      <c r="B14" s="124" t="s">
        <v>312</v>
      </c>
      <c r="C14" s="125" t="s">
        <v>63</v>
      </c>
      <c r="D14" s="126">
        <v>37195</v>
      </c>
      <c r="E14" s="126">
        <v>37224</v>
      </c>
      <c r="F14" s="124" t="s">
        <v>62</v>
      </c>
      <c r="G14" s="124" t="s">
        <v>578</v>
      </c>
      <c r="H14" s="124" t="s">
        <v>46</v>
      </c>
      <c r="I14" s="123" t="s">
        <v>453</v>
      </c>
      <c r="J14" s="123">
        <v>160</v>
      </c>
      <c r="K14" s="123">
        <v>2</v>
      </c>
      <c r="L14" s="127" t="s">
        <v>593</v>
      </c>
      <c r="M14" s="128" t="s">
        <v>48</v>
      </c>
      <c r="N14" s="129" t="s">
        <v>39</v>
      </c>
      <c r="O14" s="130" t="s">
        <v>588</v>
      </c>
      <c r="P14" s="130" t="s">
        <v>600</v>
      </c>
      <c r="Q14" s="130" t="s">
        <v>421</v>
      </c>
      <c r="R14" s="130" t="s">
        <v>567</v>
      </c>
      <c r="S14" s="123" t="s">
        <v>454</v>
      </c>
      <c r="T14" s="123" t="s">
        <v>594</v>
      </c>
      <c r="U14" s="123" t="s">
        <v>594</v>
      </c>
      <c r="V14" s="123" t="s">
        <v>44</v>
      </c>
      <c r="W14" s="133" t="s">
        <v>599</v>
      </c>
      <c r="X14" s="131"/>
      <c r="Y14" s="131"/>
    </row>
    <row r="15" spans="1:25" s="132" customFormat="1" ht="90" customHeight="1" x14ac:dyDescent="0.25">
      <c r="A15" s="123">
        <v>14</v>
      </c>
      <c r="B15" s="124" t="s">
        <v>311</v>
      </c>
      <c r="C15" s="125" t="s">
        <v>65</v>
      </c>
      <c r="D15" s="126">
        <v>37195</v>
      </c>
      <c r="E15" s="126">
        <v>37224</v>
      </c>
      <c r="F15" s="124" t="s">
        <v>64</v>
      </c>
      <c r="G15" s="124" t="s">
        <v>578</v>
      </c>
      <c r="H15" s="124" t="s">
        <v>46</v>
      </c>
      <c r="I15" s="123" t="s">
        <v>453</v>
      </c>
      <c r="J15" s="123">
        <v>160</v>
      </c>
      <c r="K15" s="123">
        <v>2</v>
      </c>
      <c r="L15" s="127" t="s">
        <v>593</v>
      </c>
      <c r="M15" s="128" t="s">
        <v>48</v>
      </c>
      <c r="N15" s="129" t="s">
        <v>39</v>
      </c>
      <c r="O15" s="130" t="s">
        <v>588</v>
      </c>
      <c r="P15" s="130" t="s">
        <v>600</v>
      </c>
      <c r="Q15" s="130" t="s">
        <v>420</v>
      </c>
      <c r="R15" s="130" t="s">
        <v>567</v>
      </c>
      <c r="S15" s="123" t="s">
        <v>454</v>
      </c>
      <c r="T15" s="123" t="s">
        <v>594</v>
      </c>
      <c r="U15" s="123" t="s">
        <v>594</v>
      </c>
      <c r="V15" s="123" t="s">
        <v>44</v>
      </c>
      <c r="W15" s="133" t="s">
        <v>599</v>
      </c>
      <c r="X15" s="131"/>
      <c r="Y15" s="131"/>
    </row>
    <row r="16" spans="1:25" s="132" customFormat="1" ht="75" customHeight="1" x14ac:dyDescent="0.25">
      <c r="A16" s="123">
        <v>15</v>
      </c>
      <c r="B16" s="124" t="s">
        <v>293</v>
      </c>
      <c r="C16" s="125" t="s">
        <v>82</v>
      </c>
      <c r="D16" s="126">
        <v>36831</v>
      </c>
      <c r="E16" s="126">
        <v>36979</v>
      </c>
      <c r="F16" s="124" t="s">
        <v>81</v>
      </c>
      <c r="G16" s="124" t="s">
        <v>222</v>
      </c>
      <c r="H16" s="124" t="s">
        <v>74</v>
      </c>
      <c r="I16" s="123" t="s">
        <v>453</v>
      </c>
      <c r="J16" s="123">
        <v>160</v>
      </c>
      <c r="K16" s="123">
        <v>3</v>
      </c>
      <c r="L16" s="127" t="s">
        <v>593</v>
      </c>
      <c r="M16" s="128" t="s">
        <v>48</v>
      </c>
      <c r="N16" s="129" t="s">
        <v>39</v>
      </c>
      <c r="O16" s="130" t="s">
        <v>588</v>
      </c>
      <c r="P16" s="130" t="s">
        <v>600</v>
      </c>
      <c r="Q16" s="130" t="s">
        <v>419</v>
      </c>
      <c r="R16" s="130" t="s">
        <v>567</v>
      </c>
      <c r="S16" s="123" t="s">
        <v>455</v>
      </c>
      <c r="T16" s="123" t="s">
        <v>594</v>
      </c>
      <c r="U16" s="123" t="s">
        <v>589</v>
      </c>
      <c r="V16" s="123" t="s">
        <v>456</v>
      </c>
      <c r="W16" s="133" t="s">
        <v>599</v>
      </c>
      <c r="X16" s="131"/>
      <c r="Y16" s="131"/>
    </row>
    <row r="17" spans="1:25" s="132" customFormat="1" ht="75" customHeight="1" x14ac:dyDescent="0.25">
      <c r="A17" s="123">
        <v>16</v>
      </c>
      <c r="B17" s="123" t="s">
        <v>292</v>
      </c>
      <c r="C17" s="129" t="s">
        <v>84</v>
      </c>
      <c r="D17" s="127">
        <v>36831</v>
      </c>
      <c r="E17" s="127">
        <v>36979</v>
      </c>
      <c r="F17" s="123" t="s">
        <v>83</v>
      </c>
      <c r="G17" s="123" t="s">
        <v>222</v>
      </c>
      <c r="H17" s="123" t="s">
        <v>74</v>
      </c>
      <c r="I17" s="123" t="s">
        <v>453</v>
      </c>
      <c r="J17" s="123">
        <v>160</v>
      </c>
      <c r="K17" s="123">
        <v>3</v>
      </c>
      <c r="L17" s="127" t="s">
        <v>593</v>
      </c>
      <c r="M17" s="128" t="s">
        <v>48</v>
      </c>
      <c r="N17" s="129" t="s">
        <v>39</v>
      </c>
      <c r="O17" s="130" t="s">
        <v>588</v>
      </c>
      <c r="P17" s="130" t="s">
        <v>600</v>
      </c>
      <c r="Q17" s="130" t="s">
        <v>418</v>
      </c>
      <c r="R17" s="130" t="s">
        <v>567</v>
      </c>
      <c r="S17" s="123" t="s">
        <v>455</v>
      </c>
      <c r="T17" s="123" t="s">
        <v>594</v>
      </c>
      <c r="U17" s="123" t="s">
        <v>589</v>
      </c>
      <c r="V17" s="123" t="s">
        <v>456</v>
      </c>
      <c r="W17" s="133" t="s">
        <v>599</v>
      </c>
      <c r="X17" s="131"/>
      <c r="Y17" s="131"/>
    </row>
    <row r="18" spans="1:25" s="132" customFormat="1" ht="75" customHeight="1" x14ac:dyDescent="0.25">
      <c r="A18" s="123">
        <v>17</v>
      </c>
      <c r="B18" s="123" t="s">
        <v>291</v>
      </c>
      <c r="C18" s="129" t="s">
        <v>86</v>
      </c>
      <c r="D18" s="127">
        <v>36831</v>
      </c>
      <c r="E18" s="127">
        <v>36979</v>
      </c>
      <c r="F18" s="123" t="s">
        <v>85</v>
      </c>
      <c r="G18" s="123" t="s">
        <v>222</v>
      </c>
      <c r="H18" s="123" t="s">
        <v>74</v>
      </c>
      <c r="I18" s="123" t="s">
        <v>453</v>
      </c>
      <c r="J18" s="123">
        <v>160</v>
      </c>
      <c r="K18" s="123">
        <v>3</v>
      </c>
      <c r="L18" s="127" t="s">
        <v>593</v>
      </c>
      <c r="M18" s="128" t="s">
        <v>48</v>
      </c>
      <c r="N18" s="129" t="s">
        <v>39</v>
      </c>
      <c r="O18" s="130" t="s">
        <v>588</v>
      </c>
      <c r="P18" s="130" t="s">
        <v>600</v>
      </c>
      <c r="Q18" s="130" t="s">
        <v>417</v>
      </c>
      <c r="R18" s="130" t="s">
        <v>567</v>
      </c>
      <c r="S18" s="123" t="s">
        <v>455</v>
      </c>
      <c r="T18" s="123" t="s">
        <v>594</v>
      </c>
      <c r="U18" s="123" t="s">
        <v>589</v>
      </c>
      <c r="V18" s="123" t="s">
        <v>456</v>
      </c>
      <c r="W18" s="133" t="s">
        <v>599</v>
      </c>
      <c r="X18" s="131"/>
      <c r="Y18" s="131"/>
    </row>
    <row r="19" spans="1:25" s="132" customFormat="1" ht="135" customHeight="1" x14ac:dyDescent="0.25">
      <c r="A19" s="123">
        <v>18</v>
      </c>
      <c r="B19" s="123" t="s">
        <v>286</v>
      </c>
      <c r="C19" s="129" t="s">
        <v>88</v>
      </c>
      <c r="D19" s="127">
        <v>36830</v>
      </c>
      <c r="E19" s="127">
        <v>36857</v>
      </c>
      <c r="F19" s="123" t="s">
        <v>457</v>
      </c>
      <c r="G19" s="123" t="s">
        <v>578</v>
      </c>
      <c r="H19" s="123" t="s">
        <v>74</v>
      </c>
      <c r="I19" s="123" t="s">
        <v>458</v>
      </c>
      <c r="J19" s="123">
        <v>160</v>
      </c>
      <c r="K19" s="123">
        <v>3</v>
      </c>
      <c r="L19" s="127" t="s">
        <v>593</v>
      </c>
      <c r="M19" s="128" t="s">
        <v>48</v>
      </c>
      <c r="N19" s="129" t="s">
        <v>39</v>
      </c>
      <c r="O19" s="130" t="s">
        <v>588</v>
      </c>
      <c r="P19" s="130" t="s">
        <v>600</v>
      </c>
      <c r="Q19" s="130" t="s">
        <v>416</v>
      </c>
      <c r="R19" s="130" t="s">
        <v>567</v>
      </c>
      <c r="S19" s="123" t="s">
        <v>459</v>
      </c>
      <c r="T19" s="123" t="s">
        <v>594</v>
      </c>
      <c r="U19" s="123" t="s">
        <v>756</v>
      </c>
      <c r="V19" s="123" t="s">
        <v>456</v>
      </c>
      <c r="W19" s="133" t="s">
        <v>599</v>
      </c>
      <c r="X19" s="131"/>
      <c r="Y19" s="131"/>
    </row>
    <row r="20" spans="1:25" s="132" customFormat="1" ht="135" customHeight="1" x14ac:dyDescent="0.25">
      <c r="A20" s="123">
        <v>19</v>
      </c>
      <c r="B20" s="123" t="s">
        <v>285</v>
      </c>
      <c r="C20" s="129" t="s">
        <v>90</v>
      </c>
      <c r="D20" s="127">
        <v>36830</v>
      </c>
      <c r="E20" s="127">
        <v>36857</v>
      </c>
      <c r="F20" s="123" t="s">
        <v>89</v>
      </c>
      <c r="G20" s="123" t="s">
        <v>578</v>
      </c>
      <c r="H20" s="123" t="s">
        <v>74</v>
      </c>
      <c r="I20" s="123" t="s">
        <v>458</v>
      </c>
      <c r="J20" s="123">
        <v>160</v>
      </c>
      <c r="K20" s="123">
        <v>3</v>
      </c>
      <c r="L20" s="127" t="s">
        <v>593</v>
      </c>
      <c r="M20" s="128" t="s">
        <v>48</v>
      </c>
      <c r="N20" s="129" t="s">
        <v>39</v>
      </c>
      <c r="O20" s="130" t="s">
        <v>588</v>
      </c>
      <c r="P20" s="130" t="s">
        <v>600</v>
      </c>
      <c r="Q20" s="130" t="s">
        <v>415</v>
      </c>
      <c r="R20" s="130" t="s">
        <v>567</v>
      </c>
      <c r="S20" s="123" t="s">
        <v>459</v>
      </c>
      <c r="T20" s="123" t="s">
        <v>594</v>
      </c>
      <c r="U20" s="123" t="s">
        <v>601</v>
      </c>
      <c r="V20" s="123" t="s">
        <v>456</v>
      </c>
      <c r="W20" s="133" t="s">
        <v>599</v>
      </c>
      <c r="X20" s="131"/>
      <c r="Y20" s="131"/>
    </row>
    <row r="21" spans="1:25" s="132" customFormat="1" ht="135" customHeight="1" x14ac:dyDescent="0.25">
      <c r="A21" s="123">
        <v>20</v>
      </c>
      <c r="B21" s="123" t="s">
        <v>284</v>
      </c>
      <c r="C21" s="129" t="s">
        <v>92</v>
      </c>
      <c r="D21" s="127">
        <v>36830</v>
      </c>
      <c r="E21" s="127">
        <v>36857</v>
      </c>
      <c r="F21" s="123" t="s">
        <v>91</v>
      </c>
      <c r="G21" s="123" t="s">
        <v>578</v>
      </c>
      <c r="H21" s="123" t="s">
        <v>74</v>
      </c>
      <c r="I21" s="123" t="s">
        <v>458</v>
      </c>
      <c r="J21" s="123">
        <v>160</v>
      </c>
      <c r="K21" s="123">
        <v>3</v>
      </c>
      <c r="L21" s="127" t="s">
        <v>593</v>
      </c>
      <c r="M21" s="128" t="s">
        <v>48</v>
      </c>
      <c r="N21" s="129" t="s">
        <v>39</v>
      </c>
      <c r="O21" s="130" t="s">
        <v>588</v>
      </c>
      <c r="P21" s="130" t="s">
        <v>600</v>
      </c>
      <c r="Q21" s="130" t="s">
        <v>414</v>
      </c>
      <c r="R21" s="130" t="s">
        <v>567</v>
      </c>
      <c r="S21" s="123" t="s">
        <v>459</v>
      </c>
      <c r="T21" s="123" t="s">
        <v>594</v>
      </c>
      <c r="U21" s="123" t="s">
        <v>601</v>
      </c>
      <c r="V21" s="123" t="s">
        <v>456</v>
      </c>
      <c r="W21" s="133" t="s">
        <v>599</v>
      </c>
      <c r="X21" s="131"/>
      <c r="Y21" s="131"/>
    </row>
    <row r="22" spans="1:25" ht="135" customHeight="1" x14ac:dyDescent="0.25">
      <c r="A22" s="123">
        <v>21</v>
      </c>
      <c r="B22" s="123" t="s">
        <v>283</v>
      </c>
      <c r="C22" s="129" t="s">
        <v>42</v>
      </c>
      <c r="D22" s="127">
        <v>36830</v>
      </c>
      <c r="E22" s="127">
        <v>36857</v>
      </c>
      <c r="F22" s="123" t="s">
        <v>37</v>
      </c>
      <c r="G22" s="123" t="s">
        <v>578</v>
      </c>
      <c r="H22" s="123" t="s">
        <v>28</v>
      </c>
      <c r="I22" s="123" t="s">
        <v>458</v>
      </c>
      <c r="J22" s="123">
        <v>160</v>
      </c>
      <c r="K22" s="123">
        <v>1</v>
      </c>
      <c r="L22" s="127" t="s">
        <v>593</v>
      </c>
      <c r="M22" s="128" t="s">
        <v>48</v>
      </c>
      <c r="N22" s="129" t="s">
        <v>39</v>
      </c>
      <c r="O22" s="130" t="s">
        <v>588</v>
      </c>
      <c r="P22" s="130" t="s">
        <v>600</v>
      </c>
      <c r="Q22" s="130" t="s">
        <v>413</v>
      </c>
      <c r="R22" s="130" t="s">
        <v>567</v>
      </c>
      <c r="S22" s="123" t="s">
        <v>459</v>
      </c>
      <c r="T22" s="123" t="s">
        <v>594</v>
      </c>
      <c r="U22" s="123" t="s">
        <v>601</v>
      </c>
      <c r="V22" s="123" t="s">
        <v>456</v>
      </c>
      <c r="W22" s="133" t="s">
        <v>599</v>
      </c>
      <c r="X22" s="131"/>
      <c r="Y22" s="131"/>
    </row>
    <row r="23" spans="1:25" ht="75" customHeight="1" x14ac:dyDescent="0.25">
      <c r="A23" s="123">
        <v>22</v>
      </c>
      <c r="B23" s="123" t="s">
        <v>240</v>
      </c>
      <c r="C23" s="129" t="s">
        <v>67</v>
      </c>
      <c r="D23" s="127">
        <v>36327</v>
      </c>
      <c r="E23" s="127">
        <v>36357</v>
      </c>
      <c r="F23" s="123" t="s">
        <v>66</v>
      </c>
      <c r="G23" s="123" t="s">
        <v>66</v>
      </c>
      <c r="H23" s="123" t="s">
        <v>46</v>
      </c>
      <c r="I23" s="123" t="s">
        <v>460</v>
      </c>
      <c r="J23" s="123">
        <v>160</v>
      </c>
      <c r="K23" s="123">
        <v>2</v>
      </c>
      <c r="L23" s="127" t="s">
        <v>593</v>
      </c>
      <c r="M23" s="128" t="s">
        <v>48</v>
      </c>
      <c r="N23" s="129" t="s">
        <v>68</v>
      </c>
      <c r="O23" s="130" t="s">
        <v>588</v>
      </c>
      <c r="P23" s="130" t="s">
        <v>600</v>
      </c>
      <c r="Q23" s="130" t="s">
        <v>412</v>
      </c>
      <c r="R23" s="130" t="s">
        <v>567</v>
      </c>
      <c r="S23" s="123" t="s">
        <v>594</v>
      </c>
      <c r="T23" s="123" t="s">
        <v>594</v>
      </c>
      <c r="U23" s="123" t="s">
        <v>594</v>
      </c>
      <c r="V23" s="123" t="s">
        <v>594</v>
      </c>
      <c r="W23" s="133" t="s">
        <v>599</v>
      </c>
      <c r="X23" s="131"/>
      <c r="Y23" s="131"/>
    </row>
    <row r="24" spans="1:25" ht="75" customHeight="1" x14ac:dyDescent="0.25">
      <c r="A24" s="123">
        <v>23</v>
      </c>
      <c r="B24" s="123" t="s">
        <v>239</v>
      </c>
      <c r="C24" s="129" t="s">
        <v>70</v>
      </c>
      <c r="D24" s="127">
        <v>36327</v>
      </c>
      <c r="E24" s="127">
        <v>36336</v>
      </c>
      <c r="F24" s="123" t="s">
        <v>69</v>
      </c>
      <c r="G24" s="123" t="s">
        <v>69</v>
      </c>
      <c r="H24" s="123" t="s">
        <v>46</v>
      </c>
      <c r="I24" s="123" t="s">
        <v>460</v>
      </c>
      <c r="J24" s="123">
        <v>160</v>
      </c>
      <c r="K24" s="123">
        <v>2</v>
      </c>
      <c r="L24" s="127" t="s">
        <v>593</v>
      </c>
      <c r="M24" s="128" t="s">
        <v>48</v>
      </c>
      <c r="N24" s="129" t="s">
        <v>68</v>
      </c>
      <c r="O24" s="130" t="s">
        <v>588</v>
      </c>
      <c r="P24" s="130" t="s">
        <v>600</v>
      </c>
      <c r="Q24" s="130" t="s">
        <v>411</v>
      </c>
      <c r="R24" s="130" t="s">
        <v>567</v>
      </c>
      <c r="S24" s="123" t="s">
        <v>594</v>
      </c>
      <c r="T24" s="123" t="s">
        <v>594</v>
      </c>
      <c r="U24" s="123" t="s">
        <v>594</v>
      </c>
      <c r="V24" s="123" t="s">
        <v>594</v>
      </c>
      <c r="W24" s="133" t="s">
        <v>599</v>
      </c>
      <c r="X24" s="131"/>
      <c r="Y24" s="131"/>
    </row>
    <row r="25" spans="1:25" ht="75" customHeight="1" x14ac:dyDescent="0.25">
      <c r="A25" s="123">
        <v>24</v>
      </c>
      <c r="B25" s="123" t="s">
        <v>230</v>
      </c>
      <c r="C25" s="129" t="s">
        <v>72</v>
      </c>
      <c r="D25" s="127">
        <v>36166</v>
      </c>
      <c r="E25" s="127">
        <v>36209</v>
      </c>
      <c r="F25" s="123" t="s">
        <v>71</v>
      </c>
      <c r="G25" s="123" t="s">
        <v>578</v>
      </c>
      <c r="H25" s="123" t="s">
        <v>46</v>
      </c>
      <c r="I25" s="123" t="s">
        <v>462</v>
      </c>
      <c r="J25" s="123">
        <v>160</v>
      </c>
      <c r="K25" s="123">
        <v>2</v>
      </c>
      <c r="L25" s="127" t="s">
        <v>593</v>
      </c>
      <c r="M25" s="128" t="s">
        <v>48</v>
      </c>
      <c r="N25" s="129" t="s">
        <v>68</v>
      </c>
      <c r="O25" s="130" t="s">
        <v>588</v>
      </c>
      <c r="P25" s="130" t="s">
        <v>600</v>
      </c>
      <c r="Q25" s="130" t="s">
        <v>410</v>
      </c>
      <c r="R25" s="130" t="s">
        <v>567</v>
      </c>
      <c r="S25" s="123" t="s">
        <v>463</v>
      </c>
      <c r="T25" s="123" t="s">
        <v>594</v>
      </c>
      <c r="U25" s="123" t="s">
        <v>456</v>
      </c>
      <c r="V25" s="123" t="s">
        <v>456</v>
      </c>
      <c r="W25" s="133" t="s">
        <v>599</v>
      </c>
      <c r="X25" s="131"/>
      <c r="Y25" s="131"/>
    </row>
    <row r="26" spans="1:25" ht="75" customHeight="1" x14ac:dyDescent="0.25">
      <c r="A26" s="123">
        <v>25</v>
      </c>
      <c r="B26" s="123" t="s">
        <v>229</v>
      </c>
      <c r="C26" s="129" t="s">
        <v>97</v>
      </c>
      <c r="D26" s="127">
        <v>36182</v>
      </c>
      <c r="E26" s="127">
        <v>36209</v>
      </c>
      <c r="F26" s="123" t="s">
        <v>96</v>
      </c>
      <c r="G26" s="123" t="s">
        <v>578</v>
      </c>
      <c r="H26" s="123" t="s">
        <v>602</v>
      </c>
      <c r="I26" s="123" t="s">
        <v>462</v>
      </c>
      <c r="J26" s="123">
        <v>159</v>
      </c>
      <c r="K26" s="123">
        <v>4</v>
      </c>
      <c r="L26" s="127" t="s">
        <v>593</v>
      </c>
      <c r="M26" s="128" t="s">
        <v>48</v>
      </c>
      <c r="N26" s="129" t="s">
        <v>68</v>
      </c>
      <c r="O26" s="130" t="s">
        <v>588</v>
      </c>
      <c r="P26" s="130" t="s">
        <v>600</v>
      </c>
      <c r="Q26" s="130" t="s">
        <v>409</v>
      </c>
      <c r="R26" s="130" t="s">
        <v>567</v>
      </c>
      <c r="S26" s="123" t="s">
        <v>461</v>
      </c>
      <c r="T26" s="123" t="s">
        <v>594</v>
      </c>
      <c r="U26" s="123" t="s">
        <v>456</v>
      </c>
      <c r="V26" s="123" t="s">
        <v>456</v>
      </c>
      <c r="W26" s="133" t="s">
        <v>599</v>
      </c>
      <c r="X26" s="131"/>
      <c r="Y26" s="131"/>
    </row>
    <row r="27" spans="1:25" ht="90" customHeight="1" x14ac:dyDescent="0.25">
      <c r="A27" s="123">
        <v>26</v>
      </c>
      <c r="B27" s="123" t="s">
        <v>228</v>
      </c>
      <c r="C27" s="129" t="s">
        <v>99</v>
      </c>
      <c r="D27" s="127">
        <v>36129</v>
      </c>
      <c r="E27" s="127">
        <v>36203</v>
      </c>
      <c r="F27" s="123" t="s">
        <v>81</v>
      </c>
      <c r="G27" s="123" t="s">
        <v>222</v>
      </c>
      <c r="H27" s="123" t="s">
        <v>74</v>
      </c>
      <c r="I27" s="123" t="s">
        <v>453</v>
      </c>
      <c r="J27" s="123">
        <v>160</v>
      </c>
      <c r="K27" s="123">
        <v>3</v>
      </c>
      <c r="L27" s="127" t="s">
        <v>593</v>
      </c>
      <c r="M27" s="128" t="s">
        <v>48</v>
      </c>
      <c r="N27" s="129" t="s">
        <v>39</v>
      </c>
      <c r="O27" s="130" t="s">
        <v>568</v>
      </c>
      <c r="P27" s="130" t="s">
        <v>600</v>
      </c>
      <c r="Q27" s="130" t="s">
        <v>408</v>
      </c>
      <c r="R27" s="130" t="s">
        <v>567</v>
      </c>
      <c r="S27" s="123" t="s">
        <v>594</v>
      </c>
      <c r="T27" s="123" t="s">
        <v>594</v>
      </c>
      <c r="U27" s="123" t="s">
        <v>594</v>
      </c>
      <c r="V27" s="123" t="s">
        <v>594</v>
      </c>
      <c r="W27" s="133" t="s">
        <v>599</v>
      </c>
      <c r="X27" s="131"/>
      <c r="Y27" s="131"/>
    </row>
    <row r="28" spans="1:25" ht="90" customHeight="1" x14ac:dyDescent="0.25">
      <c r="A28" s="123">
        <v>27</v>
      </c>
      <c r="B28" s="123" t="s">
        <v>227</v>
      </c>
      <c r="C28" s="129" t="s">
        <v>100</v>
      </c>
      <c r="D28" s="127">
        <v>36129</v>
      </c>
      <c r="E28" s="127">
        <v>36203</v>
      </c>
      <c r="F28" s="123" t="s">
        <v>85</v>
      </c>
      <c r="G28" s="123" t="s">
        <v>222</v>
      </c>
      <c r="H28" s="123" t="s">
        <v>74</v>
      </c>
      <c r="I28" s="123" t="s">
        <v>453</v>
      </c>
      <c r="J28" s="123">
        <v>160</v>
      </c>
      <c r="K28" s="123">
        <v>3</v>
      </c>
      <c r="L28" s="127" t="s">
        <v>593</v>
      </c>
      <c r="M28" s="128" t="s">
        <v>48</v>
      </c>
      <c r="N28" s="129" t="s">
        <v>39</v>
      </c>
      <c r="O28" s="130" t="s">
        <v>568</v>
      </c>
      <c r="P28" s="130" t="s">
        <v>600</v>
      </c>
      <c r="Q28" s="130" t="s">
        <v>407</v>
      </c>
      <c r="R28" s="130" t="s">
        <v>567</v>
      </c>
      <c r="S28" s="123" t="s">
        <v>594</v>
      </c>
      <c r="T28" s="123" t="s">
        <v>594</v>
      </c>
      <c r="U28" s="123" t="s">
        <v>594</v>
      </c>
      <c r="V28" s="123" t="s">
        <v>594</v>
      </c>
      <c r="W28" s="133" t="s">
        <v>599</v>
      </c>
      <c r="X28" s="131"/>
      <c r="Y28" s="131"/>
    </row>
    <row r="29" spans="1:25" ht="90" customHeight="1" x14ac:dyDescent="0.25">
      <c r="A29" s="123">
        <v>28</v>
      </c>
      <c r="B29" s="123" t="s">
        <v>226</v>
      </c>
      <c r="C29" s="129" t="s">
        <v>101</v>
      </c>
      <c r="D29" s="127">
        <v>36129</v>
      </c>
      <c r="E29" s="127">
        <v>36203</v>
      </c>
      <c r="F29" s="123" t="s">
        <v>83</v>
      </c>
      <c r="G29" s="123" t="s">
        <v>222</v>
      </c>
      <c r="H29" s="123" t="s">
        <v>74</v>
      </c>
      <c r="I29" s="123" t="s">
        <v>453</v>
      </c>
      <c r="J29" s="123">
        <v>160</v>
      </c>
      <c r="K29" s="123">
        <v>3</v>
      </c>
      <c r="L29" s="127" t="s">
        <v>593</v>
      </c>
      <c r="M29" s="128" t="s">
        <v>48</v>
      </c>
      <c r="N29" s="129" t="s">
        <v>39</v>
      </c>
      <c r="O29" s="130" t="s">
        <v>568</v>
      </c>
      <c r="P29" s="130" t="s">
        <v>600</v>
      </c>
      <c r="Q29" s="130" t="s">
        <v>406</v>
      </c>
      <c r="R29" s="130" t="s">
        <v>567</v>
      </c>
      <c r="S29" s="123" t="s">
        <v>594</v>
      </c>
      <c r="T29" s="123" t="s">
        <v>594</v>
      </c>
      <c r="U29" s="123" t="s">
        <v>594</v>
      </c>
      <c r="V29" s="123" t="s">
        <v>594</v>
      </c>
      <c r="W29" s="133" t="s">
        <v>599</v>
      </c>
      <c r="X29" s="131"/>
      <c r="Y29" s="131"/>
    </row>
    <row r="30" spans="1:25" ht="90" customHeight="1" x14ac:dyDescent="0.25">
      <c r="A30" s="123">
        <v>29</v>
      </c>
      <c r="B30" s="123" t="s">
        <v>221</v>
      </c>
      <c r="C30" s="129" t="s">
        <v>103</v>
      </c>
      <c r="D30" s="127">
        <v>36119</v>
      </c>
      <c r="E30" s="127">
        <v>36173</v>
      </c>
      <c r="F30" s="123" t="s">
        <v>102</v>
      </c>
      <c r="G30" s="123" t="s">
        <v>222</v>
      </c>
      <c r="H30" s="123" t="s">
        <v>556</v>
      </c>
      <c r="I30" s="123" t="s">
        <v>569</v>
      </c>
      <c r="J30" s="123">
        <v>1</v>
      </c>
      <c r="K30" s="123">
        <v>5</v>
      </c>
      <c r="L30" s="127" t="s">
        <v>593</v>
      </c>
      <c r="M30" s="128" t="s">
        <v>48</v>
      </c>
      <c r="N30" s="135">
        <v>0.26</v>
      </c>
      <c r="O30" s="130" t="s">
        <v>568</v>
      </c>
      <c r="P30" s="130" t="s">
        <v>600</v>
      </c>
      <c r="Q30" s="130" t="s">
        <v>405</v>
      </c>
      <c r="R30" s="130" t="s">
        <v>567</v>
      </c>
      <c r="S30" s="123" t="s">
        <v>594</v>
      </c>
      <c r="T30" s="123" t="s">
        <v>594</v>
      </c>
      <c r="U30" s="123" t="s">
        <v>594</v>
      </c>
      <c r="V30" s="123" t="s">
        <v>594</v>
      </c>
      <c r="W30" s="133" t="s">
        <v>599</v>
      </c>
      <c r="X30" s="131"/>
      <c r="Y30" s="131"/>
    </row>
    <row r="31" spans="1:25" ht="90" customHeight="1" x14ac:dyDescent="0.25">
      <c r="A31" s="123">
        <v>30</v>
      </c>
      <c r="B31" s="123" t="s">
        <v>220</v>
      </c>
      <c r="C31" s="129" t="s">
        <v>105</v>
      </c>
      <c r="D31" s="127">
        <v>36104</v>
      </c>
      <c r="E31" s="127">
        <v>36158</v>
      </c>
      <c r="F31" s="123" t="s">
        <v>104</v>
      </c>
      <c r="G31" s="123" t="s">
        <v>578</v>
      </c>
      <c r="H31" s="123" t="s">
        <v>74</v>
      </c>
      <c r="I31" s="123" t="s">
        <v>569</v>
      </c>
      <c r="J31" s="123">
        <v>160</v>
      </c>
      <c r="K31" s="123">
        <v>3</v>
      </c>
      <c r="L31" s="127" t="s">
        <v>593</v>
      </c>
      <c r="M31" s="128" t="s">
        <v>48</v>
      </c>
      <c r="N31" s="129" t="s">
        <v>39</v>
      </c>
      <c r="O31" s="130" t="s">
        <v>568</v>
      </c>
      <c r="P31" s="130" t="s">
        <v>600</v>
      </c>
      <c r="Q31" s="130" t="s">
        <v>404</v>
      </c>
      <c r="R31" s="130" t="s">
        <v>567</v>
      </c>
      <c r="S31" s="123" t="s">
        <v>594</v>
      </c>
      <c r="T31" s="123" t="s">
        <v>603</v>
      </c>
      <c r="U31" s="123" t="s">
        <v>594</v>
      </c>
      <c r="V31" s="123" t="s">
        <v>604</v>
      </c>
      <c r="W31" s="133" t="s">
        <v>599</v>
      </c>
      <c r="X31" s="131"/>
      <c r="Y31" s="131"/>
    </row>
    <row r="32" spans="1:25" ht="90" customHeight="1" x14ac:dyDescent="0.25">
      <c r="A32" s="123">
        <v>31</v>
      </c>
      <c r="B32" s="123" t="s">
        <v>219</v>
      </c>
      <c r="C32" s="129" t="s">
        <v>106</v>
      </c>
      <c r="D32" s="127">
        <v>36027</v>
      </c>
      <c r="E32" s="127">
        <v>36094</v>
      </c>
      <c r="F32" s="123" t="s">
        <v>54</v>
      </c>
      <c r="G32" s="123" t="s">
        <v>577</v>
      </c>
      <c r="H32" s="123" t="s">
        <v>46</v>
      </c>
      <c r="I32" s="123" t="s">
        <v>570</v>
      </c>
      <c r="J32" s="123">
        <v>160</v>
      </c>
      <c r="K32" s="123">
        <v>2</v>
      </c>
      <c r="L32" s="127" t="s">
        <v>593</v>
      </c>
      <c r="M32" s="128" t="s">
        <v>48</v>
      </c>
      <c r="N32" s="129" t="s">
        <v>39</v>
      </c>
      <c r="O32" s="130" t="s">
        <v>571</v>
      </c>
      <c r="P32" s="130" t="s">
        <v>600</v>
      </c>
      <c r="Q32" s="130" t="s">
        <v>403</v>
      </c>
      <c r="R32" s="130" t="s">
        <v>567</v>
      </c>
      <c r="S32" s="123" t="s">
        <v>594</v>
      </c>
      <c r="T32" s="123" t="s">
        <v>603</v>
      </c>
      <c r="U32" s="123" t="s">
        <v>594</v>
      </c>
      <c r="V32" s="123" t="s">
        <v>604</v>
      </c>
      <c r="W32" s="133" t="s">
        <v>599</v>
      </c>
      <c r="X32" s="131"/>
      <c r="Y32" s="131"/>
    </row>
    <row r="33" spans="1:25" ht="90" customHeight="1" x14ac:dyDescent="0.25">
      <c r="A33" s="123">
        <v>32</v>
      </c>
      <c r="B33" s="123" t="s">
        <v>218</v>
      </c>
      <c r="C33" s="129" t="s">
        <v>107</v>
      </c>
      <c r="D33" s="127">
        <v>36027</v>
      </c>
      <c r="E33" s="127">
        <v>36094</v>
      </c>
      <c r="F33" s="123" t="s">
        <v>40</v>
      </c>
      <c r="G33" s="123" t="s">
        <v>577</v>
      </c>
      <c r="H33" s="123" t="s">
        <v>28</v>
      </c>
      <c r="I33" s="123" t="s">
        <v>570</v>
      </c>
      <c r="J33" s="123">
        <v>160</v>
      </c>
      <c r="K33" s="123">
        <v>1</v>
      </c>
      <c r="L33" s="127" t="s">
        <v>593</v>
      </c>
      <c r="M33" s="128" t="s">
        <v>48</v>
      </c>
      <c r="N33" s="129" t="s">
        <v>39</v>
      </c>
      <c r="O33" s="130" t="s">
        <v>571</v>
      </c>
      <c r="P33" s="130" t="s">
        <v>600</v>
      </c>
      <c r="Q33" s="130" t="s">
        <v>402</v>
      </c>
      <c r="R33" s="130" t="s">
        <v>567</v>
      </c>
      <c r="S33" s="123" t="s">
        <v>594</v>
      </c>
      <c r="T33" s="123" t="s">
        <v>603</v>
      </c>
      <c r="U33" s="123" t="s">
        <v>594</v>
      </c>
      <c r="V33" s="123" t="s">
        <v>604</v>
      </c>
      <c r="W33" s="133" t="s">
        <v>599</v>
      </c>
      <c r="X33" s="131"/>
      <c r="Y33" s="131"/>
    </row>
    <row r="34" spans="1:25" ht="90" customHeight="1" x14ac:dyDescent="0.25">
      <c r="A34" s="123">
        <v>33</v>
      </c>
      <c r="B34" s="123" t="s">
        <v>217</v>
      </c>
      <c r="C34" s="129" t="s">
        <v>108</v>
      </c>
      <c r="D34" s="127">
        <v>36027</v>
      </c>
      <c r="E34" s="127">
        <v>36094</v>
      </c>
      <c r="F34" s="123" t="s">
        <v>47</v>
      </c>
      <c r="G34" s="123" t="s">
        <v>577</v>
      </c>
      <c r="H34" s="123" t="s">
        <v>46</v>
      </c>
      <c r="I34" s="123" t="s">
        <v>570</v>
      </c>
      <c r="J34" s="123">
        <v>160</v>
      </c>
      <c r="K34" s="123">
        <v>2</v>
      </c>
      <c r="L34" s="127" t="s">
        <v>593</v>
      </c>
      <c r="M34" s="128" t="s">
        <v>48</v>
      </c>
      <c r="N34" s="129" t="s">
        <v>39</v>
      </c>
      <c r="O34" s="130" t="s">
        <v>571</v>
      </c>
      <c r="P34" s="130" t="s">
        <v>600</v>
      </c>
      <c r="Q34" s="130" t="s">
        <v>401</v>
      </c>
      <c r="R34" s="130" t="s">
        <v>567</v>
      </c>
      <c r="S34" s="123" t="s">
        <v>594</v>
      </c>
      <c r="T34" s="123" t="s">
        <v>603</v>
      </c>
      <c r="U34" s="123" t="s">
        <v>594</v>
      </c>
      <c r="V34" s="123" t="s">
        <v>604</v>
      </c>
      <c r="W34" s="133" t="s">
        <v>599</v>
      </c>
      <c r="X34" s="131"/>
      <c r="Y34" s="131"/>
    </row>
    <row r="35" spans="1:25" ht="90" customHeight="1" x14ac:dyDescent="0.25">
      <c r="A35" s="123">
        <v>34</v>
      </c>
      <c r="B35" s="123" t="s">
        <v>216</v>
      </c>
      <c r="C35" s="129" t="s">
        <v>110</v>
      </c>
      <c r="D35" s="127">
        <v>36027</v>
      </c>
      <c r="E35" s="127">
        <v>36094</v>
      </c>
      <c r="F35" s="123" t="s">
        <v>109</v>
      </c>
      <c r="G35" s="123" t="s">
        <v>577</v>
      </c>
      <c r="H35" s="123" t="s">
        <v>46</v>
      </c>
      <c r="I35" s="123" t="s">
        <v>570</v>
      </c>
      <c r="J35" s="123">
        <v>160</v>
      </c>
      <c r="K35" s="123">
        <v>2</v>
      </c>
      <c r="L35" s="127" t="s">
        <v>593</v>
      </c>
      <c r="M35" s="128" t="s">
        <v>48</v>
      </c>
      <c r="N35" s="129" t="s">
        <v>39</v>
      </c>
      <c r="O35" s="130" t="s">
        <v>571</v>
      </c>
      <c r="P35" s="130" t="s">
        <v>600</v>
      </c>
      <c r="Q35" s="130" t="s">
        <v>400</v>
      </c>
      <c r="R35" s="130" t="s">
        <v>567</v>
      </c>
      <c r="S35" s="123" t="s">
        <v>594</v>
      </c>
      <c r="T35" s="123" t="s">
        <v>603</v>
      </c>
      <c r="U35" s="123" t="s">
        <v>594</v>
      </c>
      <c r="V35" s="123" t="s">
        <v>604</v>
      </c>
      <c r="W35" s="133" t="s">
        <v>599</v>
      </c>
      <c r="X35" s="131"/>
      <c r="Y35" s="131"/>
    </row>
    <row r="36" spans="1:25" ht="90" customHeight="1" x14ac:dyDescent="0.25">
      <c r="A36" s="123">
        <v>35</v>
      </c>
      <c r="B36" s="123" t="s">
        <v>215</v>
      </c>
      <c r="C36" s="129" t="s">
        <v>111</v>
      </c>
      <c r="D36" s="127">
        <v>36027</v>
      </c>
      <c r="E36" s="127">
        <v>36094</v>
      </c>
      <c r="F36" s="123" t="s">
        <v>50</v>
      </c>
      <c r="G36" s="123" t="s">
        <v>577</v>
      </c>
      <c r="H36" s="123" t="s">
        <v>46</v>
      </c>
      <c r="I36" s="123" t="s">
        <v>570</v>
      </c>
      <c r="J36" s="123">
        <v>160</v>
      </c>
      <c r="K36" s="123">
        <v>2</v>
      </c>
      <c r="L36" s="127" t="s">
        <v>593</v>
      </c>
      <c r="M36" s="128" t="s">
        <v>48</v>
      </c>
      <c r="N36" s="129" t="s">
        <v>39</v>
      </c>
      <c r="O36" s="130" t="s">
        <v>571</v>
      </c>
      <c r="P36" s="130" t="s">
        <v>600</v>
      </c>
      <c r="Q36" s="130" t="s">
        <v>399</v>
      </c>
      <c r="R36" s="130" t="s">
        <v>567</v>
      </c>
      <c r="S36" s="123" t="s">
        <v>594</v>
      </c>
      <c r="T36" s="123" t="s">
        <v>603</v>
      </c>
      <c r="U36" s="123" t="s">
        <v>594</v>
      </c>
      <c r="V36" s="123" t="s">
        <v>604</v>
      </c>
      <c r="W36" s="133" t="s">
        <v>599</v>
      </c>
      <c r="X36" s="131"/>
      <c r="Y36" s="131"/>
    </row>
    <row r="37" spans="1:25" ht="90" customHeight="1" x14ac:dyDescent="0.25">
      <c r="A37" s="123">
        <v>36</v>
      </c>
      <c r="B37" s="123" t="s">
        <v>214</v>
      </c>
      <c r="C37" s="129" t="s">
        <v>112</v>
      </c>
      <c r="D37" s="127">
        <v>36027</v>
      </c>
      <c r="E37" s="127">
        <v>36094</v>
      </c>
      <c r="F37" s="123" t="s">
        <v>64</v>
      </c>
      <c r="G37" s="123" t="s">
        <v>577</v>
      </c>
      <c r="H37" s="123" t="s">
        <v>46</v>
      </c>
      <c r="I37" s="123" t="s">
        <v>570</v>
      </c>
      <c r="J37" s="123">
        <v>160</v>
      </c>
      <c r="K37" s="123">
        <v>2</v>
      </c>
      <c r="L37" s="127" t="s">
        <v>593</v>
      </c>
      <c r="M37" s="128" t="s">
        <v>48</v>
      </c>
      <c r="N37" s="129" t="s">
        <v>39</v>
      </c>
      <c r="O37" s="130" t="s">
        <v>571</v>
      </c>
      <c r="P37" s="130" t="s">
        <v>600</v>
      </c>
      <c r="Q37" s="130" t="s">
        <v>398</v>
      </c>
      <c r="R37" s="130" t="s">
        <v>567</v>
      </c>
      <c r="S37" s="123" t="s">
        <v>594</v>
      </c>
      <c r="T37" s="123" t="s">
        <v>603</v>
      </c>
      <c r="U37" s="123" t="s">
        <v>594</v>
      </c>
      <c r="V37" s="123" t="s">
        <v>604</v>
      </c>
      <c r="W37" s="133" t="s">
        <v>599</v>
      </c>
      <c r="X37" s="131"/>
      <c r="Y37" s="131"/>
    </row>
    <row r="38" spans="1:25" ht="90" customHeight="1" x14ac:dyDescent="0.25">
      <c r="A38" s="123">
        <v>37</v>
      </c>
      <c r="B38" s="123" t="s">
        <v>213</v>
      </c>
      <c r="C38" s="129" t="s">
        <v>113</v>
      </c>
      <c r="D38" s="127">
        <v>36027</v>
      </c>
      <c r="E38" s="127">
        <v>36094</v>
      </c>
      <c r="F38" s="123" t="s">
        <v>52</v>
      </c>
      <c r="G38" s="123" t="s">
        <v>577</v>
      </c>
      <c r="H38" s="123" t="s">
        <v>46</v>
      </c>
      <c r="I38" s="123" t="s">
        <v>570</v>
      </c>
      <c r="J38" s="123">
        <v>160</v>
      </c>
      <c r="K38" s="123">
        <v>2</v>
      </c>
      <c r="L38" s="127" t="s">
        <v>593</v>
      </c>
      <c r="M38" s="128" t="s">
        <v>48</v>
      </c>
      <c r="N38" s="129" t="s">
        <v>39</v>
      </c>
      <c r="O38" s="130" t="s">
        <v>571</v>
      </c>
      <c r="P38" s="130" t="s">
        <v>600</v>
      </c>
      <c r="Q38" s="130" t="s">
        <v>397</v>
      </c>
      <c r="R38" s="130" t="s">
        <v>567</v>
      </c>
      <c r="S38" s="123" t="s">
        <v>594</v>
      </c>
      <c r="T38" s="123" t="s">
        <v>603</v>
      </c>
      <c r="U38" s="123" t="s">
        <v>594</v>
      </c>
      <c r="V38" s="123" t="s">
        <v>604</v>
      </c>
      <c r="W38" s="133" t="s">
        <v>599</v>
      </c>
      <c r="X38" s="131"/>
      <c r="Y38" s="131"/>
    </row>
    <row r="39" spans="1:25" ht="90" customHeight="1" x14ac:dyDescent="0.25">
      <c r="A39" s="123">
        <v>38</v>
      </c>
      <c r="B39" s="123" t="s">
        <v>212</v>
      </c>
      <c r="C39" s="129" t="s">
        <v>114</v>
      </c>
      <c r="D39" s="127">
        <v>36027</v>
      </c>
      <c r="E39" s="127">
        <v>36094</v>
      </c>
      <c r="F39" s="123" t="s">
        <v>58</v>
      </c>
      <c r="G39" s="123" t="s">
        <v>577</v>
      </c>
      <c r="H39" s="123" t="s">
        <v>46</v>
      </c>
      <c r="I39" s="123" t="s">
        <v>570</v>
      </c>
      <c r="J39" s="123">
        <v>160</v>
      </c>
      <c r="K39" s="123">
        <v>2</v>
      </c>
      <c r="L39" s="127" t="s">
        <v>593</v>
      </c>
      <c r="M39" s="128" t="s">
        <v>48</v>
      </c>
      <c r="N39" s="129" t="s">
        <v>39</v>
      </c>
      <c r="O39" s="130" t="s">
        <v>571</v>
      </c>
      <c r="P39" s="130" t="s">
        <v>600</v>
      </c>
      <c r="Q39" s="130" t="s">
        <v>396</v>
      </c>
      <c r="R39" s="130" t="s">
        <v>567</v>
      </c>
      <c r="S39" s="123" t="s">
        <v>594</v>
      </c>
      <c r="T39" s="123" t="s">
        <v>603</v>
      </c>
      <c r="U39" s="123" t="s">
        <v>594</v>
      </c>
      <c r="V39" s="123" t="s">
        <v>604</v>
      </c>
      <c r="W39" s="133" t="s">
        <v>599</v>
      </c>
      <c r="X39" s="131"/>
      <c r="Y39" s="131"/>
    </row>
    <row r="40" spans="1:25" ht="90" customHeight="1" x14ac:dyDescent="0.25">
      <c r="A40" s="123">
        <v>39</v>
      </c>
      <c r="B40" s="123" t="s">
        <v>211</v>
      </c>
      <c r="C40" s="129" t="s">
        <v>115</v>
      </c>
      <c r="D40" s="127">
        <v>36027</v>
      </c>
      <c r="E40" s="127">
        <v>36094</v>
      </c>
      <c r="F40" s="123" t="s">
        <v>60</v>
      </c>
      <c r="G40" s="123" t="s">
        <v>577</v>
      </c>
      <c r="H40" s="123" t="s">
        <v>46</v>
      </c>
      <c r="I40" s="123" t="s">
        <v>570</v>
      </c>
      <c r="J40" s="123">
        <v>160</v>
      </c>
      <c r="K40" s="123">
        <v>2</v>
      </c>
      <c r="L40" s="127" t="s">
        <v>593</v>
      </c>
      <c r="M40" s="128" t="s">
        <v>48</v>
      </c>
      <c r="N40" s="129" t="s">
        <v>39</v>
      </c>
      <c r="O40" s="130" t="s">
        <v>571</v>
      </c>
      <c r="P40" s="130" t="s">
        <v>600</v>
      </c>
      <c r="Q40" s="130" t="s">
        <v>395</v>
      </c>
      <c r="R40" s="130" t="s">
        <v>567</v>
      </c>
      <c r="S40" s="123" t="s">
        <v>594</v>
      </c>
      <c r="T40" s="123" t="s">
        <v>603</v>
      </c>
      <c r="U40" s="123" t="s">
        <v>594</v>
      </c>
      <c r="V40" s="123" t="s">
        <v>604</v>
      </c>
      <c r="W40" s="133" t="s">
        <v>599</v>
      </c>
      <c r="X40" s="131"/>
      <c r="Y40" s="131"/>
    </row>
    <row r="41" spans="1:25" ht="90" customHeight="1" x14ac:dyDescent="0.25">
      <c r="A41" s="123">
        <v>40</v>
      </c>
      <c r="B41" s="123" t="s">
        <v>210</v>
      </c>
      <c r="C41" s="129" t="s">
        <v>117</v>
      </c>
      <c r="D41" s="127">
        <v>36027</v>
      </c>
      <c r="E41" s="127">
        <v>36094</v>
      </c>
      <c r="F41" s="123" t="s">
        <v>116</v>
      </c>
      <c r="G41" s="123" t="s">
        <v>577</v>
      </c>
      <c r="H41" s="123" t="s">
        <v>46</v>
      </c>
      <c r="I41" s="123" t="s">
        <v>570</v>
      </c>
      <c r="J41" s="123">
        <v>160</v>
      </c>
      <c r="K41" s="123">
        <v>2</v>
      </c>
      <c r="L41" s="127" t="s">
        <v>593</v>
      </c>
      <c r="M41" s="128" t="s">
        <v>48</v>
      </c>
      <c r="N41" s="129" t="s">
        <v>39</v>
      </c>
      <c r="O41" s="130" t="s">
        <v>571</v>
      </c>
      <c r="P41" s="130" t="s">
        <v>600</v>
      </c>
      <c r="Q41" s="130" t="s">
        <v>394</v>
      </c>
      <c r="R41" s="130" t="s">
        <v>567</v>
      </c>
      <c r="S41" s="123" t="s">
        <v>594</v>
      </c>
      <c r="T41" s="123" t="s">
        <v>603</v>
      </c>
      <c r="U41" s="123" t="s">
        <v>594</v>
      </c>
      <c r="V41" s="123" t="s">
        <v>604</v>
      </c>
      <c r="W41" s="133" t="s">
        <v>599</v>
      </c>
      <c r="X41" s="131"/>
      <c r="Y41" s="131"/>
    </row>
    <row r="42" spans="1:25" ht="90" customHeight="1" x14ac:dyDescent="0.25">
      <c r="A42" s="123">
        <v>41</v>
      </c>
      <c r="B42" s="123" t="s">
        <v>203</v>
      </c>
      <c r="C42" s="129" t="s">
        <v>118</v>
      </c>
      <c r="D42" s="127">
        <v>36024</v>
      </c>
      <c r="E42" s="127">
        <v>36040</v>
      </c>
      <c r="F42" s="123" t="s">
        <v>457</v>
      </c>
      <c r="G42" s="123" t="s">
        <v>173</v>
      </c>
      <c r="H42" s="123" t="s">
        <v>74</v>
      </c>
      <c r="I42" s="123" t="s">
        <v>569</v>
      </c>
      <c r="J42" s="123">
        <v>160</v>
      </c>
      <c r="K42" s="123">
        <v>3</v>
      </c>
      <c r="L42" s="127" t="s">
        <v>593</v>
      </c>
      <c r="M42" s="128" t="s">
        <v>48</v>
      </c>
      <c r="N42" s="129" t="s">
        <v>39</v>
      </c>
      <c r="O42" s="130" t="s">
        <v>571</v>
      </c>
      <c r="P42" s="130" t="s">
        <v>600</v>
      </c>
      <c r="Q42" s="130" t="s">
        <v>393</v>
      </c>
      <c r="R42" s="130" t="s">
        <v>567</v>
      </c>
      <c r="S42" s="123" t="s">
        <v>594</v>
      </c>
      <c r="T42" s="123" t="s">
        <v>603</v>
      </c>
      <c r="U42" s="123" t="s">
        <v>594</v>
      </c>
      <c r="V42" s="123" t="s">
        <v>604</v>
      </c>
      <c r="W42" s="133" t="s">
        <v>599</v>
      </c>
      <c r="X42" s="131"/>
      <c r="Y42" s="131"/>
    </row>
    <row r="43" spans="1:25" ht="90" customHeight="1" x14ac:dyDescent="0.25">
      <c r="A43" s="123">
        <v>42</v>
      </c>
      <c r="B43" s="123" t="s">
        <v>202</v>
      </c>
      <c r="C43" s="129" t="s">
        <v>119</v>
      </c>
      <c r="D43" s="127">
        <v>36024</v>
      </c>
      <c r="E43" s="127">
        <v>36040</v>
      </c>
      <c r="F43" s="123" t="s">
        <v>91</v>
      </c>
      <c r="G43" s="123" t="s">
        <v>173</v>
      </c>
      <c r="H43" s="123" t="s">
        <v>74</v>
      </c>
      <c r="I43" s="123" t="s">
        <v>569</v>
      </c>
      <c r="J43" s="123">
        <v>160</v>
      </c>
      <c r="K43" s="123">
        <v>3</v>
      </c>
      <c r="L43" s="127" t="s">
        <v>593</v>
      </c>
      <c r="M43" s="128" t="s">
        <v>48</v>
      </c>
      <c r="N43" s="129" t="s">
        <v>39</v>
      </c>
      <c r="O43" s="130" t="s">
        <v>571</v>
      </c>
      <c r="P43" s="130" t="s">
        <v>600</v>
      </c>
      <c r="Q43" s="130" t="s">
        <v>392</v>
      </c>
      <c r="R43" s="130" t="s">
        <v>567</v>
      </c>
      <c r="S43" s="123" t="s">
        <v>594</v>
      </c>
      <c r="T43" s="123" t="s">
        <v>603</v>
      </c>
      <c r="U43" s="123" t="s">
        <v>594</v>
      </c>
      <c r="V43" s="123" t="s">
        <v>604</v>
      </c>
      <c r="W43" s="133" t="s">
        <v>599</v>
      </c>
      <c r="X43" s="131"/>
      <c r="Y43" s="131"/>
    </row>
    <row r="44" spans="1:25" ht="90" customHeight="1" x14ac:dyDescent="0.25">
      <c r="A44" s="123">
        <v>43</v>
      </c>
      <c r="B44" s="123" t="s">
        <v>201</v>
      </c>
      <c r="C44" s="129" t="s">
        <v>120</v>
      </c>
      <c r="D44" s="127">
        <v>36024</v>
      </c>
      <c r="E44" s="127">
        <v>36040</v>
      </c>
      <c r="F44" s="123" t="s">
        <v>89</v>
      </c>
      <c r="G44" s="123" t="s">
        <v>173</v>
      </c>
      <c r="H44" s="123" t="s">
        <v>74</v>
      </c>
      <c r="I44" s="123" t="s">
        <v>569</v>
      </c>
      <c r="J44" s="123">
        <v>160</v>
      </c>
      <c r="K44" s="123">
        <v>3</v>
      </c>
      <c r="L44" s="127" t="s">
        <v>593</v>
      </c>
      <c r="M44" s="128" t="s">
        <v>48</v>
      </c>
      <c r="N44" s="129" t="s">
        <v>39</v>
      </c>
      <c r="O44" s="130" t="s">
        <v>571</v>
      </c>
      <c r="P44" s="130" t="s">
        <v>600</v>
      </c>
      <c r="Q44" s="130" t="s">
        <v>391</v>
      </c>
      <c r="R44" s="130" t="s">
        <v>567</v>
      </c>
      <c r="S44" s="123" t="s">
        <v>594</v>
      </c>
      <c r="T44" s="123" t="s">
        <v>603</v>
      </c>
      <c r="U44" s="123" t="s">
        <v>594</v>
      </c>
      <c r="V44" s="123" t="s">
        <v>604</v>
      </c>
      <c r="W44" s="133" t="s">
        <v>599</v>
      </c>
      <c r="X44" s="131"/>
      <c r="Y44" s="131"/>
    </row>
    <row r="45" spans="1:25" ht="90" customHeight="1" x14ac:dyDescent="0.25">
      <c r="A45" s="123">
        <v>44</v>
      </c>
      <c r="B45" s="123" t="s">
        <v>200</v>
      </c>
      <c r="C45" s="129" t="s">
        <v>121</v>
      </c>
      <c r="D45" s="127">
        <v>36021</v>
      </c>
      <c r="E45" s="127">
        <v>36040</v>
      </c>
      <c r="F45" s="123" t="s">
        <v>37</v>
      </c>
      <c r="G45" s="123" t="s">
        <v>173</v>
      </c>
      <c r="H45" s="123" t="s">
        <v>28</v>
      </c>
      <c r="I45" s="123" t="s">
        <v>569</v>
      </c>
      <c r="J45" s="123">
        <v>160</v>
      </c>
      <c r="K45" s="123">
        <v>1</v>
      </c>
      <c r="L45" s="127" t="s">
        <v>593</v>
      </c>
      <c r="M45" s="128" t="s">
        <v>48</v>
      </c>
      <c r="N45" s="129" t="s">
        <v>39</v>
      </c>
      <c r="O45" s="130" t="s">
        <v>571</v>
      </c>
      <c r="P45" s="130" t="s">
        <v>600</v>
      </c>
      <c r="Q45" s="130" t="s">
        <v>390</v>
      </c>
      <c r="R45" s="130" t="s">
        <v>567</v>
      </c>
      <c r="S45" s="123" t="s">
        <v>594</v>
      </c>
      <c r="T45" s="123" t="s">
        <v>603</v>
      </c>
      <c r="U45" s="123" t="s">
        <v>594</v>
      </c>
      <c r="V45" s="123" t="s">
        <v>604</v>
      </c>
      <c r="W45" s="133" t="s">
        <v>599</v>
      </c>
      <c r="X45" s="131"/>
      <c r="Y45" s="131"/>
    </row>
    <row r="46" spans="1:25" ht="90" customHeight="1" x14ac:dyDescent="0.25">
      <c r="A46" s="123">
        <v>45</v>
      </c>
      <c r="B46" s="123" t="s">
        <v>195</v>
      </c>
      <c r="C46" s="129" t="s">
        <v>122</v>
      </c>
      <c r="D46" s="127">
        <v>34576</v>
      </c>
      <c r="E46" s="127">
        <v>34947</v>
      </c>
      <c r="F46" s="123" t="s">
        <v>116</v>
      </c>
      <c r="G46" s="123" t="s">
        <v>577</v>
      </c>
      <c r="H46" s="123" t="s">
        <v>46</v>
      </c>
      <c r="I46" s="123" t="s">
        <v>572</v>
      </c>
      <c r="J46" s="123">
        <v>160</v>
      </c>
      <c r="K46" s="123">
        <v>2</v>
      </c>
      <c r="L46" s="127" t="s">
        <v>593</v>
      </c>
      <c r="M46" s="128" t="s">
        <v>48</v>
      </c>
      <c r="N46" s="129" t="s">
        <v>39</v>
      </c>
      <c r="O46" s="130" t="s">
        <v>573</v>
      </c>
      <c r="P46" s="130" t="s">
        <v>600</v>
      </c>
      <c r="Q46" s="130" t="s">
        <v>389</v>
      </c>
      <c r="R46" s="130" t="s">
        <v>567</v>
      </c>
      <c r="S46" s="123" t="s">
        <v>605</v>
      </c>
      <c r="T46" s="123" t="s">
        <v>607</v>
      </c>
      <c r="U46" s="123" t="s">
        <v>594</v>
      </c>
      <c r="V46" s="123" t="s">
        <v>606</v>
      </c>
      <c r="W46" s="133" t="s">
        <v>599</v>
      </c>
      <c r="X46" s="131"/>
      <c r="Y46" s="131"/>
    </row>
    <row r="47" spans="1:25" ht="90" customHeight="1" x14ac:dyDescent="0.25">
      <c r="A47" s="123">
        <v>46</v>
      </c>
      <c r="B47" s="123" t="s">
        <v>194</v>
      </c>
      <c r="C47" s="129" t="s">
        <v>123</v>
      </c>
      <c r="D47" s="127">
        <v>34554</v>
      </c>
      <c r="E47" s="127">
        <v>34933</v>
      </c>
      <c r="F47" s="123" t="s">
        <v>91</v>
      </c>
      <c r="G47" s="123" t="s">
        <v>577</v>
      </c>
      <c r="H47" s="123" t="s">
        <v>74</v>
      </c>
      <c r="I47" s="123" t="s">
        <v>572</v>
      </c>
      <c r="J47" s="123">
        <v>160</v>
      </c>
      <c r="K47" s="123">
        <v>3</v>
      </c>
      <c r="L47" s="127" t="s">
        <v>593</v>
      </c>
      <c r="M47" s="128" t="s">
        <v>48</v>
      </c>
      <c r="N47" s="129" t="s">
        <v>39</v>
      </c>
      <c r="O47" s="130" t="s">
        <v>573</v>
      </c>
      <c r="P47" s="130" t="s">
        <v>600</v>
      </c>
      <c r="Q47" s="130" t="s">
        <v>388</v>
      </c>
      <c r="R47" s="130" t="s">
        <v>567</v>
      </c>
      <c r="S47" s="123" t="s">
        <v>605</v>
      </c>
      <c r="T47" s="123" t="s">
        <v>607</v>
      </c>
      <c r="U47" s="123" t="s">
        <v>594</v>
      </c>
      <c r="V47" s="123" t="s">
        <v>606</v>
      </c>
      <c r="W47" s="133" t="s">
        <v>599</v>
      </c>
      <c r="X47" s="131"/>
      <c r="Y47" s="131"/>
    </row>
    <row r="48" spans="1:25" ht="90" customHeight="1" x14ac:dyDescent="0.25">
      <c r="A48" s="123">
        <v>47</v>
      </c>
      <c r="B48" s="123" t="s">
        <v>193</v>
      </c>
      <c r="C48" s="129" t="s">
        <v>124</v>
      </c>
      <c r="D48" s="127">
        <v>34569</v>
      </c>
      <c r="E48" s="127">
        <v>34925</v>
      </c>
      <c r="F48" s="123" t="s">
        <v>52</v>
      </c>
      <c r="G48" s="123" t="s">
        <v>577</v>
      </c>
      <c r="H48" s="123" t="s">
        <v>46</v>
      </c>
      <c r="I48" s="123" t="s">
        <v>572</v>
      </c>
      <c r="J48" s="123">
        <v>160</v>
      </c>
      <c r="K48" s="123">
        <v>2</v>
      </c>
      <c r="L48" s="127" t="s">
        <v>593</v>
      </c>
      <c r="M48" s="128" t="s">
        <v>48</v>
      </c>
      <c r="N48" s="129" t="s">
        <v>39</v>
      </c>
      <c r="O48" s="130" t="s">
        <v>573</v>
      </c>
      <c r="P48" s="130" t="s">
        <v>600</v>
      </c>
      <c r="Q48" s="130" t="s">
        <v>387</v>
      </c>
      <c r="R48" s="130" t="s">
        <v>567</v>
      </c>
      <c r="S48" s="123" t="s">
        <v>605</v>
      </c>
      <c r="T48" s="123" t="s">
        <v>607</v>
      </c>
      <c r="U48" s="123" t="s">
        <v>594</v>
      </c>
      <c r="V48" s="123" t="s">
        <v>606</v>
      </c>
      <c r="W48" s="133" t="s">
        <v>599</v>
      </c>
      <c r="X48" s="131"/>
      <c r="Y48" s="131"/>
    </row>
    <row r="49" spans="1:25" ht="90" customHeight="1" x14ac:dyDescent="0.25">
      <c r="A49" s="123">
        <v>48</v>
      </c>
      <c r="B49" s="123" t="s">
        <v>192</v>
      </c>
      <c r="C49" s="129" t="s">
        <v>125</v>
      </c>
      <c r="D49" s="127">
        <v>34569</v>
      </c>
      <c r="E49" s="127">
        <v>34925</v>
      </c>
      <c r="F49" s="123" t="s">
        <v>60</v>
      </c>
      <c r="G49" s="123" t="s">
        <v>577</v>
      </c>
      <c r="H49" s="123" t="s">
        <v>46</v>
      </c>
      <c r="I49" s="123" t="s">
        <v>572</v>
      </c>
      <c r="J49" s="123">
        <v>160</v>
      </c>
      <c r="K49" s="123">
        <v>2</v>
      </c>
      <c r="L49" s="127" t="s">
        <v>593</v>
      </c>
      <c r="M49" s="128" t="s">
        <v>48</v>
      </c>
      <c r="N49" s="129" t="s">
        <v>39</v>
      </c>
      <c r="O49" s="130" t="s">
        <v>573</v>
      </c>
      <c r="P49" s="130" t="s">
        <v>600</v>
      </c>
      <c r="Q49" s="130" t="s">
        <v>386</v>
      </c>
      <c r="R49" s="130" t="s">
        <v>567</v>
      </c>
      <c r="S49" s="123" t="s">
        <v>605</v>
      </c>
      <c r="T49" s="123" t="s">
        <v>607</v>
      </c>
      <c r="U49" s="123" t="s">
        <v>594</v>
      </c>
      <c r="V49" s="123" t="s">
        <v>606</v>
      </c>
      <c r="W49" s="133" t="s">
        <v>599</v>
      </c>
      <c r="X49" s="131"/>
      <c r="Y49" s="131"/>
    </row>
    <row r="50" spans="1:25" ht="90" customHeight="1" x14ac:dyDescent="0.25">
      <c r="A50" s="123">
        <v>49</v>
      </c>
      <c r="B50" s="123" t="s">
        <v>191</v>
      </c>
      <c r="C50" s="129" t="s">
        <v>127</v>
      </c>
      <c r="D50" s="127">
        <v>34569</v>
      </c>
      <c r="E50" s="127">
        <v>34925</v>
      </c>
      <c r="F50" s="123" t="s">
        <v>126</v>
      </c>
      <c r="G50" s="123" t="s">
        <v>577</v>
      </c>
      <c r="H50" s="123" t="s">
        <v>46</v>
      </c>
      <c r="I50" s="123" t="s">
        <v>572</v>
      </c>
      <c r="J50" s="123">
        <v>160</v>
      </c>
      <c r="K50" s="123">
        <v>2</v>
      </c>
      <c r="L50" s="127" t="s">
        <v>593</v>
      </c>
      <c r="M50" s="128" t="s">
        <v>48</v>
      </c>
      <c r="N50" s="129" t="s">
        <v>39</v>
      </c>
      <c r="O50" s="130" t="s">
        <v>573</v>
      </c>
      <c r="P50" s="130" t="s">
        <v>600</v>
      </c>
      <c r="Q50" s="130" t="s">
        <v>385</v>
      </c>
      <c r="R50" s="130" t="s">
        <v>567</v>
      </c>
      <c r="S50" s="123" t="s">
        <v>605</v>
      </c>
      <c r="T50" s="123" t="s">
        <v>607</v>
      </c>
      <c r="U50" s="123" t="s">
        <v>594</v>
      </c>
      <c r="V50" s="123" t="s">
        <v>606</v>
      </c>
      <c r="W50" s="133" t="s">
        <v>599</v>
      </c>
      <c r="X50" s="131"/>
      <c r="Y50" s="131"/>
    </row>
    <row r="51" spans="1:25" ht="90" customHeight="1" x14ac:dyDescent="0.25">
      <c r="A51" s="123">
        <v>50</v>
      </c>
      <c r="B51" s="123" t="s">
        <v>190</v>
      </c>
      <c r="C51" s="129" t="s">
        <v>128</v>
      </c>
      <c r="D51" s="127">
        <v>34569</v>
      </c>
      <c r="E51" s="127">
        <v>34925</v>
      </c>
      <c r="F51" s="123" t="s">
        <v>47</v>
      </c>
      <c r="G51" s="123" t="s">
        <v>577</v>
      </c>
      <c r="H51" s="123" t="s">
        <v>46</v>
      </c>
      <c r="I51" s="123" t="s">
        <v>572</v>
      </c>
      <c r="J51" s="123">
        <v>160</v>
      </c>
      <c r="K51" s="123">
        <v>2</v>
      </c>
      <c r="L51" s="127" t="s">
        <v>593</v>
      </c>
      <c r="M51" s="128" t="s">
        <v>48</v>
      </c>
      <c r="N51" s="129" t="s">
        <v>39</v>
      </c>
      <c r="O51" s="130" t="s">
        <v>573</v>
      </c>
      <c r="P51" s="130" t="s">
        <v>600</v>
      </c>
      <c r="Q51" s="130" t="s">
        <v>384</v>
      </c>
      <c r="R51" s="130" t="s">
        <v>567</v>
      </c>
      <c r="S51" s="123" t="s">
        <v>605</v>
      </c>
      <c r="T51" s="123" t="s">
        <v>607</v>
      </c>
      <c r="U51" s="123" t="s">
        <v>594</v>
      </c>
      <c r="V51" s="123" t="s">
        <v>606</v>
      </c>
      <c r="W51" s="133" t="s">
        <v>599</v>
      </c>
      <c r="X51" s="131"/>
      <c r="Y51" s="131"/>
    </row>
    <row r="52" spans="1:25" ht="90" customHeight="1" x14ac:dyDescent="0.25">
      <c r="A52" s="123">
        <v>51</v>
      </c>
      <c r="B52" s="123" t="s">
        <v>189</v>
      </c>
      <c r="C52" s="129" t="s">
        <v>129</v>
      </c>
      <c r="D52" s="127">
        <v>34569</v>
      </c>
      <c r="E52" s="127">
        <v>34925</v>
      </c>
      <c r="F52" s="123" t="s">
        <v>64</v>
      </c>
      <c r="G52" s="123" t="s">
        <v>577</v>
      </c>
      <c r="H52" s="123" t="s">
        <v>46</v>
      </c>
      <c r="I52" s="123" t="s">
        <v>572</v>
      </c>
      <c r="J52" s="123">
        <v>160</v>
      </c>
      <c r="K52" s="123">
        <v>2</v>
      </c>
      <c r="L52" s="127" t="s">
        <v>593</v>
      </c>
      <c r="M52" s="128" t="s">
        <v>48</v>
      </c>
      <c r="N52" s="129" t="s">
        <v>39</v>
      </c>
      <c r="O52" s="130" t="s">
        <v>573</v>
      </c>
      <c r="P52" s="130" t="s">
        <v>600</v>
      </c>
      <c r="Q52" s="130" t="s">
        <v>383</v>
      </c>
      <c r="R52" s="130" t="s">
        <v>567</v>
      </c>
      <c r="S52" s="123" t="s">
        <v>605</v>
      </c>
      <c r="T52" s="123" t="s">
        <v>607</v>
      </c>
      <c r="U52" s="123" t="s">
        <v>594</v>
      </c>
      <c r="V52" s="123" t="s">
        <v>606</v>
      </c>
      <c r="W52" s="133" t="s">
        <v>599</v>
      </c>
      <c r="X52" s="131"/>
      <c r="Y52" s="131"/>
    </row>
    <row r="53" spans="1:25" ht="90" customHeight="1" x14ac:dyDescent="0.25">
      <c r="A53" s="123">
        <v>52</v>
      </c>
      <c r="B53" s="123" t="s">
        <v>188</v>
      </c>
      <c r="C53" s="129" t="s">
        <v>130</v>
      </c>
      <c r="D53" s="127">
        <v>34569</v>
      </c>
      <c r="E53" s="127">
        <v>34925</v>
      </c>
      <c r="F53" s="123" t="s">
        <v>54</v>
      </c>
      <c r="G53" s="123" t="s">
        <v>577</v>
      </c>
      <c r="H53" s="123" t="s">
        <v>46</v>
      </c>
      <c r="I53" s="123" t="s">
        <v>572</v>
      </c>
      <c r="J53" s="123">
        <v>160</v>
      </c>
      <c r="K53" s="123">
        <v>2</v>
      </c>
      <c r="L53" s="127" t="s">
        <v>593</v>
      </c>
      <c r="M53" s="128" t="s">
        <v>48</v>
      </c>
      <c r="N53" s="129" t="s">
        <v>39</v>
      </c>
      <c r="O53" s="130" t="s">
        <v>573</v>
      </c>
      <c r="P53" s="130" t="s">
        <v>600</v>
      </c>
      <c r="Q53" s="130" t="s">
        <v>382</v>
      </c>
      <c r="R53" s="130" t="s">
        <v>567</v>
      </c>
      <c r="S53" s="123" t="s">
        <v>605</v>
      </c>
      <c r="T53" s="123" t="s">
        <v>607</v>
      </c>
      <c r="U53" s="123" t="s">
        <v>594</v>
      </c>
      <c r="V53" s="123" t="s">
        <v>606</v>
      </c>
      <c r="W53" s="133" t="s">
        <v>599</v>
      </c>
      <c r="X53" s="131"/>
      <c r="Y53" s="131"/>
    </row>
    <row r="54" spans="1:25" ht="90" customHeight="1" x14ac:dyDescent="0.25">
      <c r="A54" s="123">
        <v>53</v>
      </c>
      <c r="B54" s="123" t="s">
        <v>187</v>
      </c>
      <c r="C54" s="129" t="s">
        <v>131</v>
      </c>
      <c r="D54" s="127">
        <v>34569</v>
      </c>
      <c r="E54" s="127">
        <v>34925</v>
      </c>
      <c r="F54" s="123" t="s">
        <v>50</v>
      </c>
      <c r="G54" s="123" t="s">
        <v>577</v>
      </c>
      <c r="H54" s="123" t="s">
        <v>46</v>
      </c>
      <c r="I54" s="123" t="s">
        <v>572</v>
      </c>
      <c r="J54" s="123">
        <v>160</v>
      </c>
      <c r="K54" s="123">
        <v>2</v>
      </c>
      <c r="L54" s="127" t="s">
        <v>593</v>
      </c>
      <c r="M54" s="128" t="s">
        <v>48</v>
      </c>
      <c r="N54" s="129" t="s">
        <v>39</v>
      </c>
      <c r="O54" s="130" t="s">
        <v>573</v>
      </c>
      <c r="P54" s="130" t="s">
        <v>600</v>
      </c>
      <c r="Q54" s="130" t="s">
        <v>381</v>
      </c>
      <c r="R54" s="130" t="s">
        <v>567</v>
      </c>
      <c r="S54" s="123" t="s">
        <v>605</v>
      </c>
      <c r="T54" s="123" t="s">
        <v>607</v>
      </c>
      <c r="U54" s="123" t="s">
        <v>594</v>
      </c>
      <c r="V54" s="123" t="s">
        <v>606</v>
      </c>
      <c r="W54" s="133" t="s">
        <v>599</v>
      </c>
      <c r="X54" s="131"/>
      <c r="Y54" s="131"/>
    </row>
    <row r="55" spans="1:25" ht="90" customHeight="1" x14ac:dyDescent="0.25">
      <c r="A55" s="123">
        <v>54</v>
      </c>
      <c r="B55" s="123" t="s">
        <v>185</v>
      </c>
      <c r="C55" s="129" t="s">
        <v>132</v>
      </c>
      <c r="D55" s="127">
        <v>34569</v>
      </c>
      <c r="E55" s="127">
        <v>34925</v>
      </c>
      <c r="F55" s="123" t="s">
        <v>186</v>
      </c>
      <c r="G55" s="123" t="s">
        <v>577</v>
      </c>
      <c r="H55" s="123" t="s">
        <v>46</v>
      </c>
      <c r="I55" s="123" t="s">
        <v>572</v>
      </c>
      <c r="J55" s="123">
        <v>160</v>
      </c>
      <c r="K55" s="123">
        <v>2</v>
      </c>
      <c r="L55" s="127" t="s">
        <v>593</v>
      </c>
      <c r="M55" s="128" t="s">
        <v>48</v>
      </c>
      <c r="N55" s="129" t="s">
        <v>39</v>
      </c>
      <c r="O55" s="130" t="s">
        <v>573</v>
      </c>
      <c r="P55" s="130" t="s">
        <v>600</v>
      </c>
      <c r="Q55" s="130" t="s">
        <v>380</v>
      </c>
      <c r="R55" s="130" t="s">
        <v>567</v>
      </c>
      <c r="S55" s="123" t="s">
        <v>605</v>
      </c>
      <c r="T55" s="123" t="s">
        <v>607</v>
      </c>
      <c r="U55" s="123" t="s">
        <v>594</v>
      </c>
      <c r="V55" s="123" t="s">
        <v>606</v>
      </c>
      <c r="W55" s="133" t="s">
        <v>599</v>
      </c>
      <c r="X55" s="131"/>
      <c r="Y55" s="131"/>
    </row>
    <row r="56" spans="1:25" ht="90" customHeight="1" x14ac:dyDescent="0.25">
      <c r="A56" s="123">
        <v>55</v>
      </c>
      <c r="B56" s="123" t="s">
        <v>184</v>
      </c>
      <c r="C56" s="129" t="s">
        <v>134</v>
      </c>
      <c r="D56" s="127">
        <v>34570</v>
      </c>
      <c r="E56" s="127">
        <v>34925</v>
      </c>
      <c r="F56" s="123" t="s">
        <v>133</v>
      </c>
      <c r="G56" s="123" t="s">
        <v>577</v>
      </c>
      <c r="H56" s="123" t="s">
        <v>74</v>
      </c>
      <c r="I56" s="123" t="s">
        <v>572</v>
      </c>
      <c r="J56" s="123">
        <v>160</v>
      </c>
      <c r="K56" s="123">
        <v>3</v>
      </c>
      <c r="L56" s="127" t="s">
        <v>593</v>
      </c>
      <c r="M56" s="128" t="s">
        <v>48</v>
      </c>
      <c r="N56" s="129" t="s">
        <v>39</v>
      </c>
      <c r="O56" s="130" t="s">
        <v>573</v>
      </c>
      <c r="P56" s="130" t="s">
        <v>600</v>
      </c>
      <c r="Q56" s="130" t="s">
        <v>379</v>
      </c>
      <c r="R56" s="130" t="s">
        <v>567</v>
      </c>
      <c r="S56" s="123" t="s">
        <v>605</v>
      </c>
      <c r="T56" s="123" t="s">
        <v>607</v>
      </c>
      <c r="U56" s="123" t="s">
        <v>594</v>
      </c>
      <c r="V56" s="123" t="s">
        <v>606</v>
      </c>
      <c r="W56" s="133" t="s">
        <v>599</v>
      </c>
      <c r="X56" s="131"/>
      <c r="Y56" s="131"/>
    </row>
    <row r="57" spans="1:25" ht="90" customHeight="1" x14ac:dyDescent="0.25">
      <c r="A57" s="123">
        <v>56</v>
      </c>
      <c r="B57" s="123" t="s">
        <v>183</v>
      </c>
      <c r="C57" s="129" t="s">
        <v>135</v>
      </c>
      <c r="D57" s="127">
        <v>34554</v>
      </c>
      <c r="E57" s="127">
        <v>34925</v>
      </c>
      <c r="F57" s="123" t="s">
        <v>457</v>
      </c>
      <c r="G57" s="123" t="s">
        <v>577</v>
      </c>
      <c r="H57" s="123" t="s">
        <v>74</v>
      </c>
      <c r="I57" s="123" t="s">
        <v>572</v>
      </c>
      <c r="J57" s="123">
        <v>160</v>
      </c>
      <c r="K57" s="123">
        <v>3</v>
      </c>
      <c r="L57" s="127" t="s">
        <v>593</v>
      </c>
      <c r="M57" s="128" t="s">
        <v>48</v>
      </c>
      <c r="N57" s="129" t="s">
        <v>39</v>
      </c>
      <c r="O57" s="130" t="s">
        <v>573</v>
      </c>
      <c r="P57" s="130" t="s">
        <v>600</v>
      </c>
      <c r="Q57" s="130" t="s">
        <v>378</v>
      </c>
      <c r="R57" s="130" t="s">
        <v>567</v>
      </c>
      <c r="S57" s="123" t="s">
        <v>605</v>
      </c>
      <c r="T57" s="123" t="s">
        <v>607</v>
      </c>
      <c r="U57" s="123" t="s">
        <v>594</v>
      </c>
      <c r="V57" s="123" t="s">
        <v>606</v>
      </c>
      <c r="W57" s="133" t="s">
        <v>599</v>
      </c>
      <c r="X57" s="131"/>
      <c r="Y57" s="131"/>
    </row>
    <row r="58" spans="1:25" ht="90" customHeight="1" x14ac:dyDescent="0.25">
      <c r="A58" s="123">
        <v>57</v>
      </c>
      <c r="B58" s="123" t="s">
        <v>182</v>
      </c>
      <c r="C58" s="129" t="s">
        <v>136</v>
      </c>
      <c r="D58" s="127">
        <v>34554</v>
      </c>
      <c r="E58" s="127">
        <v>34925</v>
      </c>
      <c r="F58" s="123" t="s">
        <v>89</v>
      </c>
      <c r="G58" s="123" t="s">
        <v>577</v>
      </c>
      <c r="H58" s="123" t="s">
        <v>74</v>
      </c>
      <c r="I58" s="123" t="s">
        <v>572</v>
      </c>
      <c r="J58" s="123">
        <v>160</v>
      </c>
      <c r="K58" s="123">
        <v>3</v>
      </c>
      <c r="L58" s="127" t="s">
        <v>593</v>
      </c>
      <c r="M58" s="128" t="s">
        <v>48</v>
      </c>
      <c r="N58" s="129" t="s">
        <v>39</v>
      </c>
      <c r="O58" s="130" t="s">
        <v>573</v>
      </c>
      <c r="P58" s="130" t="s">
        <v>600</v>
      </c>
      <c r="Q58" s="130" t="s">
        <v>377</v>
      </c>
      <c r="R58" s="130" t="s">
        <v>567</v>
      </c>
      <c r="S58" s="123" t="s">
        <v>605</v>
      </c>
      <c r="T58" s="123" t="s">
        <v>607</v>
      </c>
      <c r="U58" s="123" t="s">
        <v>594</v>
      </c>
      <c r="V58" s="123" t="s">
        <v>606</v>
      </c>
      <c r="W58" s="133" t="s">
        <v>599</v>
      </c>
      <c r="X58" s="131"/>
      <c r="Y58" s="131"/>
    </row>
    <row r="59" spans="1:25" ht="90" customHeight="1" x14ac:dyDescent="0.25">
      <c r="A59" s="123">
        <v>58</v>
      </c>
      <c r="B59" s="123" t="s">
        <v>181</v>
      </c>
      <c r="C59" s="129" t="s">
        <v>137</v>
      </c>
      <c r="D59" s="127">
        <v>34554</v>
      </c>
      <c r="E59" s="127">
        <v>34925</v>
      </c>
      <c r="F59" s="123" t="s">
        <v>37</v>
      </c>
      <c r="G59" s="123" t="s">
        <v>577</v>
      </c>
      <c r="H59" s="123" t="s">
        <v>28</v>
      </c>
      <c r="I59" s="123" t="s">
        <v>572</v>
      </c>
      <c r="J59" s="123">
        <v>160</v>
      </c>
      <c r="K59" s="123">
        <v>1</v>
      </c>
      <c r="L59" s="127" t="s">
        <v>593</v>
      </c>
      <c r="M59" s="128" t="s">
        <v>48</v>
      </c>
      <c r="N59" s="129" t="s">
        <v>39</v>
      </c>
      <c r="O59" s="130" t="s">
        <v>573</v>
      </c>
      <c r="P59" s="130" t="s">
        <v>600</v>
      </c>
      <c r="Q59" s="130" t="s">
        <v>376</v>
      </c>
      <c r="R59" s="130" t="s">
        <v>567</v>
      </c>
      <c r="S59" s="123" t="s">
        <v>605</v>
      </c>
      <c r="T59" s="123" t="s">
        <v>607</v>
      </c>
      <c r="U59" s="123" t="s">
        <v>594</v>
      </c>
      <c r="V59" s="123" t="s">
        <v>606</v>
      </c>
      <c r="W59" s="133" t="s">
        <v>599</v>
      </c>
      <c r="X59" s="131"/>
      <c r="Y59" s="131"/>
    </row>
    <row r="60" spans="1:25" ht="90" customHeight="1" x14ac:dyDescent="0.25">
      <c r="A60" s="123">
        <v>59</v>
      </c>
      <c r="B60" s="123" t="s">
        <v>180</v>
      </c>
      <c r="C60" s="129" t="s">
        <v>138</v>
      </c>
      <c r="D60" s="127">
        <v>34555</v>
      </c>
      <c r="E60" s="127">
        <v>34925</v>
      </c>
      <c r="F60" s="123" t="s">
        <v>40</v>
      </c>
      <c r="G60" s="123" t="s">
        <v>577</v>
      </c>
      <c r="H60" s="123" t="s">
        <v>28</v>
      </c>
      <c r="I60" s="123" t="s">
        <v>572</v>
      </c>
      <c r="J60" s="123">
        <v>160</v>
      </c>
      <c r="K60" s="123">
        <v>1</v>
      </c>
      <c r="L60" s="127" t="s">
        <v>593</v>
      </c>
      <c r="M60" s="128" t="s">
        <v>48</v>
      </c>
      <c r="N60" s="129" t="s">
        <v>39</v>
      </c>
      <c r="O60" s="130" t="s">
        <v>573</v>
      </c>
      <c r="P60" s="130" t="s">
        <v>600</v>
      </c>
      <c r="Q60" s="130" t="s">
        <v>375</v>
      </c>
      <c r="R60" s="130" t="s">
        <v>567</v>
      </c>
      <c r="S60" s="123" t="s">
        <v>605</v>
      </c>
      <c r="T60" s="123" t="s">
        <v>607</v>
      </c>
      <c r="U60" s="123" t="s">
        <v>594</v>
      </c>
      <c r="V60" s="123" t="s">
        <v>606</v>
      </c>
      <c r="W60" s="133" t="s">
        <v>599</v>
      </c>
      <c r="X60" s="131"/>
      <c r="Y60" s="131"/>
    </row>
    <row r="61" spans="1:25" ht="90" customHeight="1" x14ac:dyDescent="0.25">
      <c r="A61" s="123">
        <v>60</v>
      </c>
      <c r="B61" s="123" t="s">
        <v>175</v>
      </c>
      <c r="C61" s="129" t="s">
        <v>140</v>
      </c>
      <c r="D61" s="127">
        <v>34806</v>
      </c>
      <c r="E61" s="127">
        <v>34842</v>
      </c>
      <c r="F61" s="123" t="s">
        <v>139</v>
      </c>
      <c r="G61" s="123" t="s">
        <v>173</v>
      </c>
      <c r="H61" s="123" t="s">
        <v>74</v>
      </c>
      <c r="I61" s="123" t="s">
        <v>570</v>
      </c>
      <c r="J61" s="123">
        <v>160</v>
      </c>
      <c r="K61" s="123">
        <v>3</v>
      </c>
      <c r="L61" s="127" t="s">
        <v>593</v>
      </c>
      <c r="M61" s="128" t="s">
        <v>48</v>
      </c>
      <c r="N61" s="129" t="s">
        <v>548</v>
      </c>
      <c r="O61" s="130" t="s">
        <v>568</v>
      </c>
      <c r="P61" s="130" t="s">
        <v>600</v>
      </c>
      <c r="Q61" s="130" t="s">
        <v>374</v>
      </c>
      <c r="R61" s="130" t="s">
        <v>567</v>
      </c>
      <c r="S61" s="123" t="s">
        <v>594</v>
      </c>
      <c r="T61" s="123" t="s">
        <v>594</v>
      </c>
      <c r="U61" s="123" t="s">
        <v>594</v>
      </c>
      <c r="V61" s="123" t="s">
        <v>594</v>
      </c>
      <c r="W61" s="133" t="s">
        <v>599</v>
      </c>
      <c r="X61" s="131"/>
      <c r="Y61" s="131"/>
    </row>
    <row r="62" spans="1:25" ht="90" customHeight="1" x14ac:dyDescent="0.25">
      <c r="A62" s="123">
        <v>61</v>
      </c>
      <c r="B62" s="123" t="s">
        <v>174</v>
      </c>
      <c r="C62" s="129" t="s">
        <v>142</v>
      </c>
      <c r="D62" s="127">
        <v>34806</v>
      </c>
      <c r="E62" s="127">
        <v>34842</v>
      </c>
      <c r="F62" s="123" t="s">
        <v>141</v>
      </c>
      <c r="G62" s="123" t="s">
        <v>173</v>
      </c>
      <c r="H62" s="123" t="s">
        <v>74</v>
      </c>
      <c r="I62" s="123" t="s">
        <v>570</v>
      </c>
      <c r="J62" s="123">
        <v>160</v>
      </c>
      <c r="K62" s="123">
        <v>3</v>
      </c>
      <c r="L62" s="127" t="s">
        <v>593</v>
      </c>
      <c r="M62" s="128" t="s">
        <v>48</v>
      </c>
      <c r="N62" s="129" t="s">
        <v>548</v>
      </c>
      <c r="O62" s="130" t="s">
        <v>568</v>
      </c>
      <c r="P62" s="130" t="s">
        <v>600</v>
      </c>
      <c r="Q62" s="130" t="s">
        <v>373</v>
      </c>
      <c r="R62" s="130" t="s">
        <v>567</v>
      </c>
      <c r="S62" s="123" t="s">
        <v>594</v>
      </c>
      <c r="T62" s="123" t="s">
        <v>594</v>
      </c>
      <c r="U62" s="123" t="s">
        <v>594</v>
      </c>
      <c r="V62" s="123" t="s">
        <v>594</v>
      </c>
      <c r="W62" s="133" t="s">
        <v>599</v>
      </c>
      <c r="X62" s="131"/>
      <c r="Y62" s="131"/>
    </row>
    <row r="63" spans="1:25" ht="90" customHeight="1" x14ac:dyDescent="0.25">
      <c r="A63" s="123">
        <v>62</v>
      </c>
      <c r="B63" s="123" t="s">
        <v>172</v>
      </c>
      <c r="C63" s="129" t="s">
        <v>143</v>
      </c>
      <c r="D63" s="127">
        <v>34806</v>
      </c>
      <c r="E63" s="127">
        <v>34842</v>
      </c>
      <c r="F63" s="123" t="s">
        <v>85</v>
      </c>
      <c r="G63" s="123" t="s">
        <v>173</v>
      </c>
      <c r="H63" s="123" t="s">
        <v>74</v>
      </c>
      <c r="I63" s="123" t="s">
        <v>570</v>
      </c>
      <c r="J63" s="123">
        <v>160</v>
      </c>
      <c r="K63" s="123">
        <v>3</v>
      </c>
      <c r="L63" s="127" t="s">
        <v>593</v>
      </c>
      <c r="M63" s="128" t="s">
        <v>48</v>
      </c>
      <c r="N63" s="129" t="s">
        <v>548</v>
      </c>
      <c r="O63" s="130" t="s">
        <v>568</v>
      </c>
      <c r="P63" s="130" t="s">
        <v>600</v>
      </c>
      <c r="Q63" s="130" t="s">
        <v>372</v>
      </c>
      <c r="R63" s="130" t="s">
        <v>567</v>
      </c>
      <c r="S63" s="123" t="s">
        <v>594</v>
      </c>
      <c r="T63" s="123" t="s">
        <v>594</v>
      </c>
      <c r="U63" s="123" t="s">
        <v>594</v>
      </c>
      <c r="V63" s="123" t="s">
        <v>594</v>
      </c>
      <c r="W63" s="133" t="s">
        <v>599</v>
      </c>
      <c r="X63" s="131"/>
      <c r="Y63" s="131"/>
    </row>
    <row r="64" spans="1:25" ht="90" customHeight="1" x14ac:dyDescent="0.25">
      <c r="A64" s="123">
        <v>63</v>
      </c>
      <c r="B64" s="123" t="s">
        <v>171</v>
      </c>
      <c r="C64" s="129" t="s">
        <v>144</v>
      </c>
      <c r="D64" s="127">
        <v>34583</v>
      </c>
      <c r="E64" s="127">
        <v>34624</v>
      </c>
      <c r="F64" s="123" t="s">
        <v>96</v>
      </c>
      <c r="G64" s="123" t="s">
        <v>576</v>
      </c>
      <c r="H64" s="123" t="s">
        <v>551</v>
      </c>
      <c r="I64" s="123" t="s">
        <v>574</v>
      </c>
      <c r="J64" s="123">
        <v>159</v>
      </c>
      <c r="K64" s="123">
        <v>4</v>
      </c>
      <c r="L64" s="127" t="s">
        <v>593</v>
      </c>
      <c r="M64" s="128" t="s">
        <v>48</v>
      </c>
      <c r="N64" s="129" t="s">
        <v>39</v>
      </c>
      <c r="O64" s="130" t="s">
        <v>568</v>
      </c>
      <c r="P64" s="130" t="s">
        <v>600</v>
      </c>
      <c r="Q64" s="130" t="s">
        <v>371</v>
      </c>
      <c r="R64" s="130" t="s">
        <v>567</v>
      </c>
      <c r="S64" s="123" t="s">
        <v>594</v>
      </c>
      <c r="T64" s="123" t="s">
        <v>594</v>
      </c>
      <c r="U64" s="123" t="s">
        <v>594</v>
      </c>
      <c r="V64" s="123" t="s">
        <v>594</v>
      </c>
      <c r="W64" s="133" t="s">
        <v>599</v>
      </c>
      <c r="X64" s="131"/>
      <c r="Y64" s="131"/>
    </row>
  </sheetData>
  <hyperlinks>
    <hyperlink ref="W2" r:id="rId1" xr:uid="{34A8BF57-1EB1-4F0E-B960-45E1BD95308B}"/>
    <hyperlink ref="W3" r:id="rId2" xr:uid="{50A6970D-8253-480D-AEAC-1D8DB55AAEA1}"/>
    <hyperlink ref="W4" r:id="rId3" xr:uid="{6526B102-30B8-45CA-845E-F3E46F73D0AE}"/>
    <hyperlink ref="W5" r:id="rId4" xr:uid="{1D08DD5B-054C-47FF-B205-513C77FD6DAC}"/>
    <hyperlink ref="W6" r:id="rId5" xr:uid="{04A0F1C4-6D14-491B-89A3-7846AB9E092D}"/>
    <hyperlink ref="W7" r:id="rId6" xr:uid="{FD47EA9A-1D44-4141-9768-78CAA2788853}"/>
    <hyperlink ref="W8" r:id="rId7" xr:uid="{B1CD5D88-C345-40B2-B309-56B7175A0ACD}"/>
    <hyperlink ref="W9" r:id="rId8" xr:uid="{C7471185-BFE2-4916-B95E-DA888BC6975D}"/>
    <hyperlink ref="W10" r:id="rId9" xr:uid="{7920D9B5-6E72-4C78-B66F-C5A6292E22D7}"/>
    <hyperlink ref="W11" r:id="rId10" xr:uid="{A4E9E9F6-049B-46EB-A648-92F4DC3FAE76}"/>
    <hyperlink ref="W12" r:id="rId11" xr:uid="{FA0DCFE7-8B3E-41BE-81A7-925C433304C9}"/>
    <hyperlink ref="W13" r:id="rId12" xr:uid="{9AC5C3E4-3FE8-460B-A197-92FC4B09F898}"/>
    <hyperlink ref="W14" r:id="rId13" xr:uid="{26A1F909-6E3F-480E-AD22-B6B78FC05E2A}"/>
    <hyperlink ref="W15" r:id="rId14" xr:uid="{9F003751-D440-4293-AA72-2EC9F8ACEC25}"/>
    <hyperlink ref="W16" r:id="rId15" xr:uid="{BD634D77-DC0E-40D4-ACA6-5E3065A13629}"/>
    <hyperlink ref="W17" r:id="rId16" xr:uid="{0ADEC858-1676-460F-82BC-C0B423703CB5}"/>
    <hyperlink ref="W18" r:id="rId17" xr:uid="{60EA3183-B487-4F0F-AD47-51AF7C6335E3}"/>
    <hyperlink ref="W19" r:id="rId18" xr:uid="{33FE0E11-96DA-42A7-9DEB-E3F464BABB3A}"/>
    <hyperlink ref="W20" r:id="rId19" xr:uid="{BB5A07B8-C421-4674-BA7A-08ABEEF7AEA9}"/>
    <hyperlink ref="W21" r:id="rId20" xr:uid="{70DA4E69-D9F5-4D7F-A0E8-7B457A85DA70}"/>
    <hyperlink ref="W22" r:id="rId21" xr:uid="{737FAD23-7775-4307-8984-79CC98A682D7}"/>
    <hyperlink ref="W23" r:id="rId22" xr:uid="{9584C2E1-3F31-456D-AB08-E17067F82CA3}"/>
    <hyperlink ref="W24" r:id="rId23" xr:uid="{4CB7C8EA-6409-416A-B5E3-A1520F514376}"/>
    <hyperlink ref="W25" r:id="rId24" xr:uid="{15AB8DA4-AA11-4450-A61F-7EAEF9453E3D}"/>
    <hyperlink ref="W26" r:id="rId25" xr:uid="{7A3D25D4-6D65-45BE-9FAE-BFA5385323E8}"/>
    <hyperlink ref="W27" r:id="rId26" xr:uid="{65AB7BFA-1F37-4947-8D7D-45A5FBF0C56C}"/>
    <hyperlink ref="W28" r:id="rId27" xr:uid="{F0848AEC-D09F-4435-B465-CAAEBADB3DDF}"/>
    <hyperlink ref="W29" r:id="rId28" xr:uid="{CA1EA6C1-9776-40EC-B926-BA66C9128CF3}"/>
    <hyperlink ref="W30" r:id="rId29" xr:uid="{97A5BC32-6ED5-4095-8AB9-3070695DAE09}"/>
    <hyperlink ref="W31" r:id="rId30" xr:uid="{0FAB6DB7-F9D0-4295-92D4-226B6E5F562D}"/>
    <hyperlink ref="W32" r:id="rId31" xr:uid="{58CFE665-FA6D-4FB3-906F-20843DD7A3FE}"/>
    <hyperlink ref="W33" r:id="rId32" xr:uid="{1AFAFAC0-B0D8-4959-9CD5-F5EACA96CEFD}"/>
    <hyperlink ref="W34" r:id="rId33" xr:uid="{628AAF52-5628-4640-811D-AC500078159E}"/>
    <hyperlink ref="W35" r:id="rId34" xr:uid="{C1E87FD6-086F-43B2-8F04-607F9B7662BB}"/>
    <hyperlink ref="W36" r:id="rId35" xr:uid="{7AEF566D-5C3A-488E-B55C-0B8495F19453}"/>
    <hyperlink ref="W37" r:id="rId36" xr:uid="{4A2BEA17-18BB-4CE2-9F73-A6D2A08489A0}"/>
    <hyperlink ref="W38" r:id="rId37" xr:uid="{EEFAB17C-CC95-47E6-8BE5-6E0BBA4C9C37}"/>
    <hyperlink ref="W39" r:id="rId38" xr:uid="{A4316917-464E-4B75-9D45-7D8E69406375}"/>
    <hyperlink ref="W40" r:id="rId39" xr:uid="{30B8C992-A296-4B9B-93D4-4CE78A612A72}"/>
    <hyperlink ref="W41" r:id="rId40" xr:uid="{1E71CEBE-CB8C-4371-9AD7-A7D1842EA190}"/>
    <hyperlink ref="W42" r:id="rId41" xr:uid="{C1CDE40E-F8E7-42C1-B1F6-66C8592D8271}"/>
    <hyperlink ref="W43" r:id="rId42" xr:uid="{3168CE17-24B0-42B8-80F9-C1AF41D57C54}"/>
    <hyperlink ref="W44" r:id="rId43" xr:uid="{5A8B803E-9AEC-4348-BD3C-F0CA2A7686C7}"/>
    <hyperlink ref="W45" r:id="rId44" xr:uid="{E92F1E81-F0CF-46DD-ABA4-2DF705E4F668}"/>
    <hyperlink ref="W46" r:id="rId45" xr:uid="{24478620-373D-4B3A-BC35-A10DCE3A0E58}"/>
    <hyperlink ref="W47" r:id="rId46" xr:uid="{391E8253-2236-4460-93F3-58F3805F8484}"/>
    <hyperlink ref="W48" r:id="rId47" xr:uid="{B68DFE95-4756-4ED7-9A2D-2312296B7BFB}"/>
    <hyperlink ref="W49" r:id="rId48" xr:uid="{3EF285EA-35B1-44AE-8D67-3C57C9F0AF56}"/>
    <hyperlink ref="W50" r:id="rId49" xr:uid="{04005979-2423-4423-A439-5B7904FF84F9}"/>
    <hyperlink ref="W51" r:id="rId50" xr:uid="{4A48EAB1-EC3B-4B72-8A90-83AB210DE488}"/>
    <hyperlink ref="W52" r:id="rId51" xr:uid="{92D47E7B-5FF7-4157-9ED9-DC05F28AEE51}"/>
    <hyperlink ref="W53" r:id="rId52" xr:uid="{4E02E390-9565-4303-A120-B00F84589046}"/>
    <hyperlink ref="W54" r:id="rId53" xr:uid="{E8E59CC7-6C95-4CBB-B3DA-D553D87FCAB3}"/>
    <hyperlink ref="W55" r:id="rId54" xr:uid="{07EB3792-3947-463A-A685-A9E559F6297C}"/>
    <hyperlink ref="W56" r:id="rId55" xr:uid="{9C87E4FD-C223-4988-8CC9-1A2ED5D72891}"/>
    <hyperlink ref="W57" r:id="rId56" xr:uid="{6B8E0C54-1E8A-4E5C-AB11-492558D762A7}"/>
    <hyperlink ref="W58" r:id="rId57" xr:uid="{53DD89AC-7BAC-415E-87AB-C8A339AF6308}"/>
    <hyperlink ref="W59" r:id="rId58" xr:uid="{816851A1-9300-4A63-83DB-DD6F07FE2D2A}"/>
    <hyperlink ref="W60" r:id="rId59" xr:uid="{A06E92F1-F278-4E52-906F-78B76A6D1DC3}"/>
    <hyperlink ref="W61" r:id="rId60" xr:uid="{AEDFB404-3789-4F88-9F30-E2F1FC2AD974}"/>
    <hyperlink ref="W62" r:id="rId61" xr:uid="{C7D6DA1B-5C3E-4013-A16C-D1EE4DC3ABD7}"/>
    <hyperlink ref="W63" r:id="rId62" xr:uid="{69DCB4A2-349E-4BF9-AA16-B6FD88AAF208}"/>
    <hyperlink ref="W64" r:id="rId63" xr:uid="{2B8ED0B7-A9D4-4C00-BA27-92D269EB626E}"/>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X163"/>
  <sheetViews>
    <sheetView view="pageBreakPreview" zoomScaleNormal="100" workbookViewId="0">
      <pane xSplit="6" topLeftCell="G1" activePane="topRight" state="frozen"/>
      <selection pane="topRight" activeCell="D10" sqref="D10"/>
    </sheetView>
  </sheetViews>
  <sheetFormatPr defaultColWidth="14.42578125" defaultRowHeight="15" x14ac:dyDescent="0.25"/>
  <cols>
    <col min="1" max="1" width="34" style="68" customWidth="1"/>
    <col min="2" max="2" width="28" style="69" customWidth="1"/>
    <col min="3" max="3" width="13" style="70" customWidth="1"/>
    <col min="4" max="4" width="44" style="71" customWidth="1"/>
    <col min="5" max="5" width="12" style="72" customWidth="1"/>
    <col min="6" max="6" width="12" style="64" customWidth="1"/>
    <col min="7" max="7" width="14" style="64" customWidth="1"/>
    <col min="8" max="8" width="16" style="65" customWidth="1"/>
    <col min="9" max="10" width="16" customWidth="1"/>
    <col min="11" max="11" width="15" customWidth="1"/>
    <col min="12" max="12" width="18" customWidth="1"/>
    <col min="13" max="13" width="15" customWidth="1"/>
    <col min="14" max="26" width="3" customWidth="1"/>
    <col min="27" max="173" width="14.42578125" style="64"/>
    <col min="174" max="174" width="3" style="202" customWidth="1"/>
    <col min="175" max="16384" width="14.42578125" style="64"/>
  </cols>
  <sheetData>
    <row r="1" spans="1:180" ht="48" customHeight="1" thickBot="1" x14ac:dyDescent="0.3">
      <c r="A1" s="160"/>
      <c r="B1" s="160"/>
      <c r="C1" s="160"/>
      <c r="D1" s="161" t="s">
        <v>801</v>
      </c>
      <c r="E1" s="162" t="s">
        <v>434</v>
      </c>
      <c r="F1" s="162"/>
      <c r="G1" s="163" t="s">
        <v>802</v>
      </c>
      <c r="H1" s="163" t="s">
        <v>465</v>
      </c>
      <c r="I1" s="163" t="s">
        <v>803</v>
      </c>
      <c r="J1" s="163" t="s">
        <v>804</v>
      </c>
      <c r="K1" s="163" t="s">
        <v>805</v>
      </c>
      <c r="L1" s="163" t="s">
        <v>806</v>
      </c>
      <c r="M1" s="163" t="s">
        <v>807</v>
      </c>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s="164"/>
      <c r="FS1" s="164"/>
      <c r="FT1" s="164"/>
      <c r="FU1" s="164"/>
      <c r="FV1" s="164"/>
      <c r="FW1" s="164"/>
      <c r="FX1" s="165"/>
    </row>
    <row r="2" spans="1:180" s="171" customFormat="1" ht="42" customHeight="1" x14ac:dyDescent="0.25">
      <c r="A2" s="166" t="s">
        <v>808</v>
      </c>
      <c r="B2" s="167" t="s">
        <v>467</v>
      </c>
      <c r="C2" s="160"/>
      <c r="D2" s="168"/>
      <c r="E2" s="169" t="s">
        <v>468</v>
      </c>
      <c r="F2" s="169"/>
      <c r="G2" s="163" t="s">
        <v>809</v>
      </c>
      <c r="H2" s="163" t="s">
        <v>810</v>
      </c>
      <c r="I2" s="163" t="s">
        <v>718</v>
      </c>
      <c r="J2" s="163" t="s">
        <v>811</v>
      </c>
      <c r="K2" s="163" t="s">
        <v>720</v>
      </c>
      <c r="L2" s="163" t="s">
        <v>812</v>
      </c>
      <c r="M2" s="163" t="s">
        <v>791</v>
      </c>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s="170"/>
      <c r="FS2" s="170"/>
      <c r="FT2" s="170"/>
      <c r="FU2" s="170"/>
      <c r="FV2" s="170"/>
      <c r="FW2" s="170"/>
      <c r="FX2" s="170"/>
    </row>
    <row r="3" spans="1:180" s="171" customFormat="1" ht="42" customHeight="1" x14ac:dyDescent="0.25">
      <c r="A3" s="172"/>
      <c r="B3" s="167" t="s">
        <v>469</v>
      </c>
      <c r="C3" s="160"/>
      <c r="D3" s="168"/>
      <c r="E3" s="169" t="s">
        <v>813</v>
      </c>
      <c r="F3" s="169"/>
      <c r="G3" s="163" t="s">
        <v>814</v>
      </c>
      <c r="H3" s="163" t="s">
        <v>146</v>
      </c>
      <c r="I3" s="163" t="s">
        <v>713</v>
      </c>
      <c r="J3" s="163" t="s">
        <v>815</v>
      </c>
      <c r="K3" s="163" t="s">
        <v>715</v>
      </c>
      <c r="L3" s="163" t="s">
        <v>816</v>
      </c>
      <c r="M3" s="163" t="s">
        <v>817</v>
      </c>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s="170"/>
      <c r="FS3" s="170"/>
      <c r="FT3" s="170"/>
      <c r="FU3" s="170"/>
      <c r="FV3" s="170"/>
      <c r="FW3" s="170"/>
      <c r="FX3" s="170"/>
    </row>
    <row r="4" spans="1:180" s="171" customFormat="1" ht="36" customHeight="1" x14ac:dyDescent="0.25">
      <c r="A4" s="172"/>
      <c r="B4" s="167"/>
      <c r="C4" s="160"/>
      <c r="D4" s="168"/>
      <c r="E4" s="169" t="s">
        <v>818</v>
      </c>
      <c r="F4" s="169"/>
      <c r="G4" s="163" t="s">
        <v>819</v>
      </c>
      <c r="H4" s="163" t="s">
        <v>820</v>
      </c>
      <c r="I4" s="163" t="s">
        <v>821</v>
      </c>
      <c r="J4" s="163" t="s">
        <v>822</v>
      </c>
      <c r="K4" s="163" t="s">
        <v>823</v>
      </c>
      <c r="L4" s="163" t="s">
        <v>824</v>
      </c>
      <c r="M4" s="163" t="s">
        <v>825</v>
      </c>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s="170"/>
      <c r="FS4" s="170"/>
      <c r="FT4" s="170"/>
      <c r="FU4" s="170"/>
      <c r="FV4" s="170"/>
      <c r="FW4" s="170"/>
      <c r="FX4" s="170"/>
    </row>
    <row r="5" spans="1:180" s="175" customFormat="1" ht="48" customHeight="1" thickBot="1" x14ac:dyDescent="0.3">
      <c r="A5" s="172"/>
      <c r="B5" s="167" t="s">
        <v>470</v>
      </c>
      <c r="C5" s="160"/>
      <c r="D5" s="173">
        <v>640</v>
      </c>
      <c r="E5" s="169" t="s">
        <v>335</v>
      </c>
      <c r="F5" s="169"/>
      <c r="G5" s="163" t="s">
        <v>826</v>
      </c>
      <c r="H5" s="163" t="s">
        <v>827</v>
      </c>
      <c r="I5" s="163" t="s">
        <v>828</v>
      </c>
      <c r="J5" s="163" t="s">
        <v>829</v>
      </c>
      <c r="K5" s="163" t="s">
        <v>830</v>
      </c>
      <c r="L5" s="163" t="s">
        <v>831</v>
      </c>
      <c r="M5" s="163" t="s">
        <v>832</v>
      </c>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s="174"/>
      <c r="FS5" s="174"/>
      <c r="FT5" s="174"/>
      <c r="FU5" s="174"/>
      <c r="FV5" s="174"/>
      <c r="FW5" s="174"/>
      <c r="FX5" s="174"/>
    </row>
    <row r="6" spans="1:180" s="180" customFormat="1" ht="18" customHeight="1" thickBot="1" x14ac:dyDescent="0.3">
      <c r="A6" s="176"/>
      <c r="B6" s="167" t="s">
        <v>471</v>
      </c>
      <c r="C6" s="177">
        <f>ROUND(SUBTOTAL(9,C10:C80),6)</f>
        <v>640</v>
      </c>
      <c r="D6" s="177" t="s">
        <v>833</v>
      </c>
      <c r="E6" s="177">
        <f>ROUND(SUBTOTAL(9,E10:E80),9)</f>
        <v>1</v>
      </c>
      <c r="F6" s="178" t="s">
        <v>834</v>
      </c>
      <c r="G6" s="178"/>
      <c r="H6" s="178" t="str">
        <f t="shared" ref="H6:M6" si="0">IF(ABS(H7)&lt;0.00000001,"","RECHECK")</f>
        <v/>
      </c>
      <c r="I6" s="178" t="str">
        <f t="shared" si="0"/>
        <v/>
      </c>
      <c r="J6" s="178" t="str">
        <f t="shared" si="0"/>
        <v/>
      </c>
      <c r="K6" s="178" t="str">
        <f t="shared" si="0"/>
        <v/>
      </c>
      <c r="L6" s="178" t="str">
        <f t="shared" si="0"/>
        <v/>
      </c>
      <c r="M6" s="178" t="str">
        <f t="shared" si="0"/>
        <v/>
      </c>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s="179"/>
      <c r="FS6" s="179"/>
      <c r="FT6" s="179"/>
      <c r="FU6" s="179"/>
      <c r="FV6" s="179"/>
      <c r="FW6" s="179"/>
      <c r="FX6" s="179"/>
    </row>
    <row r="7" spans="1:180" s="180" customFormat="1" ht="18" customHeight="1" x14ac:dyDescent="0.25">
      <c r="A7" s="181"/>
      <c r="B7" s="181"/>
      <c r="C7" s="181"/>
      <c r="D7" s="181"/>
      <c r="E7" s="181"/>
      <c r="F7" s="181"/>
      <c r="G7" s="182">
        <f t="shared" ref="G7:M7" si="1">SUBTOTAL(9,G10:G80)</f>
        <v>1</v>
      </c>
      <c r="H7" s="182">
        <f t="shared" si="1"/>
        <v>0</v>
      </c>
      <c r="I7" s="182">
        <f t="shared" si="1"/>
        <v>0</v>
      </c>
      <c r="J7" s="182">
        <f t="shared" si="1"/>
        <v>0</v>
      </c>
      <c r="K7" s="182">
        <f t="shared" si="1"/>
        <v>0</v>
      </c>
      <c r="L7" s="182">
        <f t="shared" si="1"/>
        <v>0</v>
      </c>
      <c r="M7" s="182">
        <f t="shared" si="1"/>
        <v>0</v>
      </c>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s="179"/>
      <c r="FS7" s="179"/>
      <c r="FT7" s="179"/>
      <c r="FU7" s="179"/>
      <c r="FV7" s="179"/>
      <c r="FW7" s="179"/>
      <c r="FX7" s="179"/>
    </row>
    <row r="8" spans="1:180" s="66" customFormat="1" ht="18" customHeight="1" x14ac:dyDescent="0.25">
      <c r="A8" s="181" t="s">
        <v>472</v>
      </c>
      <c r="B8" s="181"/>
      <c r="C8" s="181" t="s">
        <v>473</v>
      </c>
      <c r="D8" s="181" t="s">
        <v>474</v>
      </c>
      <c r="E8" s="181" t="s">
        <v>43</v>
      </c>
      <c r="F8" s="181"/>
      <c r="G8" s="182"/>
      <c r="H8" s="182"/>
      <c r="I8" s="182"/>
      <c r="J8" s="182"/>
      <c r="K8" s="182"/>
      <c r="L8" s="182"/>
      <c r="M8" s="182"/>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s="183"/>
      <c r="FS8" s="183"/>
      <c r="FT8" s="183"/>
      <c r="FU8" s="183"/>
      <c r="FV8" s="183"/>
      <c r="FW8" s="183"/>
      <c r="FX8" s="183"/>
    </row>
    <row r="9" spans="1:180" s="186" customFormat="1" ht="9.9499999999999993" customHeight="1" x14ac:dyDescent="0.25">
      <c r="A9" s="160"/>
      <c r="B9" s="160"/>
      <c r="C9" s="160"/>
      <c r="D9" s="160"/>
      <c r="E9" s="160"/>
      <c r="F9" s="160"/>
      <c r="G9" s="184"/>
      <c r="H9" s="184"/>
      <c r="I9" s="184"/>
      <c r="J9" s="184"/>
      <c r="K9" s="184"/>
      <c r="L9" s="184"/>
      <c r="M9" s="184"/>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s="185"/>
      <c r="FS9" s="185"/>
      <c r="FT9" s="185"/>
      <c r="FU9" s="185"/>
      <c r="FV9" s="185"/>
      <c r="FW9" s="185"/>
      <c r="FX9" s="185"/>
    </row>
    <row r="10" spans="1:180" s="67" customFormat="1" ht="74.099999999999994" customHeight="1" x14ac:dyDescent="0.25">
      <c r="A10" s="187" t="s">
        <v>835</v>
      </c>
      <c r="B10" s="187" t="s">
        <v>836</v>
      </c>
      <c r="C10" s="188">
        <f t="shared" ref="C10:C23" si="2">E10*$D$5</f>
        <v>191.66666700000002</v>
      </c>
      <c r="D10" s="189" t="s">
        <v>837</v>
      </c>
      <c r="E10" s="190">
        <f t="shared" ref="E10:E23" si="3">F10</f>
        <v>0.29947916718750001</v>
      </c>
      <c r="F10" s="190">
        <f t="shared" ref="F10:F23" si="4">SUM(G10:M10)</f>
        <v>0.29947916718750001</v>
      </c>
      <c r="G10" s="191">
        <v>0.29947916718750001</v>
      </c>
      <c r="H10" s="191"/>
      <c r="I10" s="191"/>
      <c r="J10" s="191"/>
      <c r="K10" s="191"/>
      <c r="L10" s="191"/>
      <c r="M10" s="191"/>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s="192"/>
      <c r="FS10" s="192"/>
      <c r="FT10" s="192"/>
      <c r="FU10" s="192"/>
      <c r="FV10" s="192"/>
      <c r="FW10" s="192"/>
      <c r="FX10" s="192"/>
    </row>
    <row r="11" spans="1:180" s="67" customFormat="1" ht="92.1" customHeight="1" x14ac:dyDescent="0.25">
      <c r="A11" s="187" t="s">
        <v>838</v>
      </c>
      <c r="B11" s="187" t="s">
        <v>839</v>
      </c>
      <c r="C11" s="188">
        <f t="shared" si="2"/>
        <v>0</v>
      </c>
      <c r="D11" s="189" t="s">
        <v>840</v>
      </c>
      <c r="E11" s="190">
        <f t="shared" si="3"/>
        <v>0</v>
      </c>
      <c r="F11" s="190">
        <f t="shared" si="4"/>
        <v>0</v>
      </c>
      <c r="G11" s="191">
        <v>0.70052083281249999</v>
      </c>
      <c r="H11" s="191">
        <v>-0.70052083281249999</v>
      </c>
      <c r="I11" s="191"/>
      <c r="J11" s="191"/>
      <c r="K11" s="191"/>
      <c r="L11" s="191"/>
      <c r="M11" s="19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s="192"/>
      <c r="FS11" s="192"/>
      <c r="FT11" s="192"/>
      <c r="FU11" s="192"/>
      <c r="FV11" s="192"/>
      <c r="FW11" s="192"/>
      <c r="FX11" s="192"/>
    </row>
    <row r="12" spans="1:180" s="67" customFormat="1" ht="57.95" customHeight="1" x14ac:dyDescent="0.25">
      <c r="A12" s="187" t="s">
        <v>841</v>
      </c>
      <c r="B12" s="187" t="s">
        <v>842</v>
      </c>
      <c r="C12" s="188">
        <f t="shared" si="2"/>
        <v>0</v>
      </c>
      <c r="D12" s="189" t="s">
        <v>597</v>
      </c>
      <c r="E12" s="190">
        <f t="shared" si="3"/>
        <v>0</v>
      </c>
      <c r="F12" s="190">
        <f t="shared" si="4"/>
        <v>0</v>
      </c>
      <c r="G12" s="191"/>
      <c r="H12" s="191">
        <v>0.70052083281249999</v>
      </c>
      <c r="I12" s="191">
        <v>-0.70052083281249999</v>
      </c>
      <c r="J12" s="191"/>
      <c r="K12" s="191"/>
      <c r="L12" s="191"/>
      <c r="M12" s="191"/>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s="192"/>
      <c r="FS12" s="192"/>
      <c r="FT12" s="192"/>
      <c r="FU12" s="192"/>
      <c r="FV12" s="192"/>
      <c r="FW12" s="192"/>
      <c r="FX12" s="192"/>
    </row>
    <row r="13" spans="1:180" s="67" customFormat="1" ht="57.95" customHeight="1" x14ac:dyDescent="0.25">
      <c r="A13" s="187" t="s">
        <v>843</v>
      </c>
      <c r="B13" s="187" t="s">
        <v>844</v>
      </c>
      <c r="C13" s="188">
        <f t="shared" si="2"/>
        <v>0</v>
      </c>
      <c r="D13" s="189" t="s">
        <v>845</v>
      </c>
      <c r="E13" s="190">
        <f t="shared" si="3"/>
        <v>0</v>
      </c>
      <c r="F13" s="190">
        <f t="shared" si="4"/>
        <v>0</v>
      </c>
      <c r="G13" s="191"/>
      <c r="H13" s="191"/>
      <c r="I13" s="191">
        <v>0.70052083281249999</v>
      </c>
      <c r="J13" s="191">
        <v>-0.70052083281249999</v>
      </c>
      <c r="K13" s="191"/>
      <c r="L13" s="191"/>
      <c r="M13" s="191"/>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s="192"/>
      <c r="FS13" s="192"/>
      <c r="FT13" s="192"/>
      <c r="FU13" s="192"/>
      <c r="FV13" s="192"/>
      <c r="FW13" s="192"/>
      <c r="FX13" s="192"/>
    </row>
    <row r="14" spans="1:180" s="67" customFormat="1" ht="57.95" customHeight="1" x14ac:dyDescent="0.25">
      <c r="A14" s="187" t="s">
        <v>846</v>
      </c>
      <c r="B14" s="187" t="s">
        <v>847</v>
      </c>
      <c r="C14" s="188">
        <f t="shared" si="2"/>
        <v>448.33333299999998</v>
      </c>
      <c r="D14" s="189" t="s">
        <v>848</v>
      </c>
      <c r="E14" s="190">
        <f t="shared" si="3"/>
        <v>0.70052083281249999</v>
      </c>
      <c r="F14" s="190">
        <f t="shared" si="4"/>
        <v>0.70052083281249999</v>
      </c>
      <c r="G14" s="191"/>
      <c r="H14" s="191"/>
      <c r="I14" s="191"/>
      <c r="J14" s="191">
        <v>0.70052083281249999</v>
      </c>
      <c r="K14" s="191"/>
      <c r="L14" s="191"/>
      <c r="M14" s="191"/>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s="192"/>
      <c r="FS14" s="192"/>
      <c r="FT14" s="192"/>
      <c r="FU14" s="192"/>
      <c r="FV14" s="192"/>
      <c r="FW14" s="192"/>
      <c r="FX14" s="192"/>
    </row>
    <row r="15" spans="1:180" s="67" customFormat="1" ht="50.1" customHeight="1" x14ac:dyDescent="0.25">
      <c r="A15" s="187" t="s">
        <v>849</v>
      </c>
      <c r="B15" s="187" t="s">
        <v>850</v>
      </c>
      <c r="C15" s="188">
        <f t="shared" si="2"/>
        <v>0</v>
      </c>
      <c r="D15" s="193" t="s">
        <v>364</v>
      </c>
      <c r="E15" s="190">
        <f t="shared" si="3"/>
        <v>0</v>
      </c>
      <c r="F15" s="190">
        <f t="shared" si="4"/>
        <v>0</v>
      </c>
      <c r="G15" s="191"/>
      <c r="H15" s="191"/>
      <c r="I15" s="191"/>
      <c r="J15" s="191"/>
      <c r="K15" s="191">
        <v>0</v>
      </c>
      <c r="L15" s="191"/>
      <c r="M15" s="191"/>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s="192"/>
      <c r="FS15" s="192"/>
      <c r="FT15" s="192"/>
      <c r="FU15" s="192"/>
      <c r="FV15" s="192"/>
      <c r="FW15" s="192"/>
      <c r="FX15" s="192"/>
    </row>
    <row r="16" spans="1:180" s="67" customFormat="1" ht="57.95" customHeight="1" x14ac:dyDescent="0.25">
      <c r="A16" s="187" t="s">
        <v>851</v>
      </c>
      <c r="B16" s="187" t="s">
        <v>852</v>
      </c>
      <c r="C16" s="188">
        <f t="shared" si="2"/>
        <v>0</v>
      </c>
      <c r="D16" s="193" t="s">
        <v>853</v>
      </c>
      <c r="E16" s="190">
        <f t="shared" si="3"/>
        <v>0</v>
      </c>
      <c r="F16" s="190">
        <f t="shared" si="4"/>
        <v>0</v>
      </c>
      <c r="G16" s="191"/>
      <c r="H16" s="191"/>
      <c r="I16" s="191"/>
      <c r="J16" s="191"/>
      <c r="K16" s="191"/>
      <c r="L16" s="191">
        <v>0</v>
      </c>
      <c r="M16" s="191"/>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s="192"/>
      <c r="FS16" s="192"/>
      <c r="FT16" s="192"/>
      <c r="FU16" s="192"/>
      <c r="FV16" s="192"/>
      <c r="FW16" s="192"/>
      <c r="FX16" s="192"/>
    </row>
    <row r="17" spans="1:180" s="67" customFormat="1" ht="44.1" customHeight="1" x14ac:dyDescent="0.25">
      <c r="A17" s="187" t="s">
        <v>854</v>
      </c>
      <c r="B17" s="187" t="s">
        <v>855</v>
      </c>
      <c r="C17" s="188">
        <f t="shared" si="2"/>
        <v>0</v>
      </c>
      <c r="D17" s="193" t="s">
        <v>856</v>
      </c>
      <c r="E17" s="190">
        <f t="shared" si="3"/>
        <v>0</v>
      </c>
      <c r="F17" s="190">
        <f t="shared" si="4"/>
        <v>0</v>
      </c>
      <c r="G17" s="191"/>
      <c r="H17" s="191"/>
      <c r="I17" s="191"/>
      <c r="J17" s="191"/>
      <c r="K17" s="191"/>
      <c r="L17" s="191"/>
      <c r="M17" s="191">
        <v>0</v>
      </c>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s="192"/>
      <c r="FS17" s="192"/>
      <c r="FT17" s="192"/>
      <c r="FU17" s="192"/>
      <c r="FV17" s="192"/>
      <c r="FW17" s="192"/>
      <c r="FX17" s="192"/>
    </row>
    <row r="18" spans="1:180" s="67" customFormat="1" ht="69.95" customHeight="1" x14ac:dyDescent="0.25">
      <c r="A18" s="194" t="s">
        <v>857</v>
      </c>
      <c r="B18" s="194" t="s">
        <v>858</v>
      </c>
      <c r="C18" s="195">
        <f t="shared" si="2"/>
        <v>0</v>
      </c>
      <c r="D18" s="194" t="s">
        <v>859</v>
      </c>
      <c r="E18" s="190">
        <f t="shared" si="3"/>
        <v>0</v>
      </c>
      <c r="F18" s="190">
        <f t="shared" si="4"/>
        <v>0</v>
      </c>
      <c r="G18" s="191"/>
      <c r="H18" s="191"/>
      <c r="I18" s="191"/>
      <c r="J18" s="191"/>
      <c r="K18" s="191"/>
      <c r="L18" s="191"/>
      <c r="M18" s="191"/>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s="192"/>
      <c r="FS18" s="192"/>
      <c r="FT18" s="192"/>
      <c r="FU18" s="192"/>
      <c r="FV18" s="192"/>
      <c r="FW18" s="192"/>
      <c r="FX18" s="192"/>
    </row>
    <row r="19" spans="1:180" s="67" customFormat="1" ht="36" customHeight="1" x14ac:dyDescent="0.25">
      <c r="A19" s="187"/>
      <c r="B19" s="187"/>
      <c r="C19" s="188">
        <f t="shared" si="2"/>
        <v>0</v>
      </c>
      <c r="D19" s="189"/>
      <c r="E19" s="190">
        <f t="shared" si="3"/>
        <v>0</v>
      </c>
      <c r="F19" s="190">
        <f t="shared" si="4"/>
        <v>0</v>
      </c>
      <c r="G19" s="191"/>
      <c r="H19" s="191"/>
      <c r="I19" s="191"/>
      <c r="J19" s="191"/>
      <c r="K19" s="191"/>
      <c r="L19" s="191"/>
      <c r="M19" s="191"/>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s="192"/>
      <c r="FS19" s="192"/>
      <c r="FT19" s="192"/>
      <c r="FU19" s="192"/>
      <c r="FV19" s="192"/>
      <c r="FW19" s="192"/>
      <c r="FX19" s="192"/>
    </row>
    <row r="20" spans="1:180" s="67" customFormat="1" ht="36" customHeight="1" x14ac:dyDescent="0.25">
      <c r="A20" s="187"/>
      <c r="B20" s="187"/>
      <c r="C20" s="188">
        <f t="shared" si="2"/>
        <v>0</v>
      </c>
      <c r="D20" s="189"/>
      <c r="E20" s="190">
        <f t="shared" si="3"/>
        <v>0</v>
      </c>
      <c r="F20" s="190">
        <f t="shared" si="4"/>
        <v>0</v>
      </c>
      <c r="G20" s="191"/>
      <c r="H20" s="191"/>
      <c r="I20" s="191"/>
      <c r="J20" s="191"/>
      <c r="K20" s="191"/>
      <c r="L20" s="191"/>
      <c r="M20" s="191"/>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s="192"/>
      <c r="FS20" s="192"/>
      <c r="FT20" s="192"/>
      <c r="FU20" s="192"/>
      <c r="FV20" s="192"/>
      <c r="FW20" s="192"/>
      <c r="FX20" s="192"/>
    </row>
    <row r="21" spans="1:180" s="67" customFormat="1" ht="36" customHeight="1" x14ac:dyDescent="0.25">
      <c r="A21" s="187"/>
      <c r="B21" s="187"/>
      <c r="C21" s="188">
        <f t="shared" si="2"/>
        <v>0</v>
      </c>
      <c r="D21" s="189"/>
      <c r="E21" s="190">
        <f t="shared" si="3"/>
        <v>0</v>
      </c>
      <c r="F21" s="190">
        <f t="shared" si="4"/>
        <v>0</v>
      </c>
      <c r="G21" s="191"/>
      <c r="H21" s="191"/>
      <c r="I21" s="191"/>
      <c r="J21" s="191"/>
      <c r="K21" s="191"/>
      <c r="L21" s="191"/>
      <c r="M21" s="19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s="192"/>
      <c r="FS21" s="192"/>
      <c r="FT21" s="192"/>
      <c r="FU21" s="192"/>
      <c r="FV21" s="192"/>
      <c r="FW21" s="192"/>
      <c r="FX21" s="192"/>
    </row>
    <row r="22" spans="1:180" s="67" customFormat="1" ht="36" customHeight="1" x14ac:dyDescent="0.25">
      <c r="A22" s="187"/>
      <c r="B22" s="187"/>
      <c r="C22" s="188">
        <f t="shared" si="2"/>
        <v>0</v>
      </c>
      <c r="D22" s="189"/>
      <c r="E22" s="190">
        <f t="shared" si="3"/>
        <v>0</v>
      </c>
      <c r="F22" s="190">
        <f t="shared" si="4"/>
        <v>0</v>
      </c>
      <c r="G22" s="191"/>
      <c r="H22" s="191"/>
      <c r="I22" s="191"/>
      <c r="J22" s="191"/>
      <c r="K22" s="191"/>
      <c r="L22" s="191"/>
      <c r="M22" s="191"/>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s="192"/>
      <c r="FS22" s="192"/>
      <c r="FT22" s="192"/>
      <c r="FU22" s="192"/>
      <c r="FV22" s="192"/>
      <c r="FW22" s="192"/>
      <c r="FX22" s="192"/>
    </row>
    <row r="23" spans="1:180" s="67" customFormat="1" ht="36" customHeight="1" thickBot="1" x14ac:dyDescent="0.3">
      <c r="A23" s="187"/>
      <c r="B23" s="187"/>
      <c r="C23" s="188">
        <f t="shared" si="2"/>
        <v>0</v>
      </c>
      <c r="D23" s="189"/>
      <c r="E23" s="190">
        <f t="shared" si="3"/>
        <v>0</v>
      </c>
      <c r="F23" s="190">
        <f t="shared" si="4"/>
        <v>0</v>
      </c>
      <c r="G23" s="191"/>
      <c r="H23" s="191"/>
      <c r="I23" s="191"/>
      <c r="J23" s="191"/>
      <c r="K23" s="191"/>
      <c r="L23" s="191"/>
      <c r="M23" s="191"/>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s="192"/>
      <c r="FS23" s="192"/>
      <c r="FT23" s="192"/>
      <c r="FU23" s="192"/>
      <c r="FV23" s="192"/>
      <c r="FW23" s="192"/>
      <c r="FX23" s="192"/>
    </row>
    <row r="24" spans="1:180" s="67" customFormat="1" ht="24" customHeight="1" thickBot="1" x14ac:dyDescent="0.3">
      <c r="A24" s="196" t="s">
        <v>860</v>
      </c>
      <c r="B24" s="197"/>
      <c r="C24" s="197"/>
      <c r="D24" s="197"/>
      <c r="E24" s="197"/>
      <c r="F24" s="197"/>
      <c r="G24" s="197"/>
      <c r="H24" s="197"/>
      <c r="I24" s="197"/>
      <c r="J24" s="197"/>
      <c r="K24" s="197"/>
      <c r="L24" s="197"/>
      <c r="M24" s="198"/>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s="192"/>
      <c r="FS24" s="192"/>
      <c r="FT24" s="192"/>
      <c r="FU24" s="192"/>
      <c r="FV24" s="192"/>
      <c r="FW24" s="192"/>
      <c r="FX24" s="192"/>
    </row>
    <row r="25" spans="1:180" s="67" customFormat="1" ht="27.95" customHeight="1" x14ac:dyDescent="0.25">
      <c r="A25" s="199" t="s">
        <v>466</v>
      </c>
      <c r="B25" s="200" t="s">
        <v>861</v>
      </c>
      <c r="C25" s="200"/>
      <c r="D25" s="200"/>
      <c r="E25" s="200"/>
      <c r="F25" s="200"/>
      <c r="G25" s="200"/>
      <c r="H25" s="200"/>
      <c r="I25" s="200"/>
      <c r="J25" s="200"/>
      <c r="K25" s="200"/>
      <c r="L25" s="200"/>
      <c r="M25" s="200"/>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s="192"/>
      <c r="FS25" s="192"/>
      <c r="FT25" s="192"/>
      <c r="FU25" s="192"/>
      <c r="FV25" s="192"/>
      <c r="FW25" s="192"/>
      <c r="FX25" s="192"/>
    </row>
    <row r="26" spans="1:180" s="67" customFormat="1" ht="27.95" customHeight="1" x14ac:dyDescent="0.25">
      <c r="A26" s="199" t="s">
        <v>862</v>
      </c>
      <c r="B26" s="200" t="s">
        <v>863</v>
      </c>
      <c r="C26" s="200"/>
      <c r="D26" s="200"/>
      <c r="E26" s="200"/>
      <c r="F26" s="200"/>
      <c r="G26" s="200"/>
      <c r="H26" s="200"/>
      <c r="I26" s="200"/>
      <c r="J26" s="200"/>
      <c r="K26" s="200"/>
      <c r="L26" s="200"/>
      <c r="M26" s="200"/>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s="192"/>
      <c r="FS26" s="192"/>
      <c r="FT26" s="192"/>
      <c r="FU26" s="192"/>
      <c r="FV26" s="192"/>
      <c r="FW26" s="192"/>
      <c r="FX26" s="192"/>
    </row>
    <row r="27" spans="1:180" s="67" customFormat="1" ht="27.95" customHeight="1" x14ac:dyDescent="0.25">
      <c r="A27" s="199" t="s">
        <v>864</v>
      </c>
      <c r="B27" s="200" t="s">
        <v>865</v>
      </c>
      <c r="C27" s="200"/>
      <c r="D27" s="200"/>
      <c r="E27" s="200"/>
      <c r="F27" s="200"/>
      <c r="G27" s="200"/>
      <c r="H27" s="200"/>
      <c r="I27" s="200"/>
      <c r="J27" s="200"/>
      <c r="K27" s="200"/>
      <c r="L27" s="200"/>
      <c r="M27" s="200"/>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s="192"/>
      <c r="FS27" s="192"/>
      <c r="FT27" s="192"/>
      <c r="FU27" s="192"/>
      <c r="FV27" s="192"/>
      <c r="FW27" s="192"/>
      <c r="FX27" s="192"/>
    </row>
    <row r="28" spans="1:180" s="67" customFormat="1" ht="27.95" customHeight="1" x14ac:dyDescent="0.25">
      <c r="A28" s="199" t="s">
        <v>866</v>
      </c>
      <c r="B28" s="200" t="s">
        <v>867</v>
      </c>
      <c r="C28" s="200"/>
      <c r="D28" s="200"/>
      <c r="E28" s="200"/>
      <c r="F28" s="200"/>
      <c r="G28" s="200"/>
      <c r="H28" s="200"/>
      <c r="I28" s="200"/>
      <c r="J28" s="200"/>
      <c r="K28" s="200"/>
      <c r="L28" s="200"/>
      <c r="M28" s="200"/>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s="192"/>
      <c r="FS28" s="192"/>
      <c r="FT28" s="192"/>
      <c r="FU28" s="192"/>
      <c r="FV28" s="192"/>
      <c r="FW28" s="192"/>
      <c r="FX28" s="192"/>
    </row>
    <row r="29" spans="1:180" s="67" customFormat="1" ht="27.95" customHeight="1" x14ac:dyDescent="0.25">
      <c r="A29" s="199" t="s">
        <v>868</v>
      </c>
      <c r="B29" s="200" t="s">
        <v>869</v>
      </c>
      <c r="C29" s="200"/>
      <c r="D29" s="200"/>
      <c r="E29" s="200"/>
      <c r="F29" s="200"/>
      <c r="G29" s="200"/>
      <c r="H29" s="200"/>
      <c r="I29" s="200"/>
      <c r="J29" s="200"/>
      <c r="K29" s="200"/>
      <c r="L29" s="200"/>
      <c r="M29" s="200"/>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s="192"/>
      <c r="FS29" s="192"/>
      <c r="FT29" s="192"/>
      <c r="FU29" s="192"/>
      <c r="FV29" s="192"/>
      <c r="FW29" s="192"/>
      <c r="FX29" s="192"/>
    </row>
    <row r="30" spans="1:180" s="67" customFormat="1" ht="27.95" customHeight="1" x14ac:dyDescent="0.25">
      <c r="A30" s="199" t="s">
        <v>870</v>
      </c>
      <c r="B30" s="200" t="s">
        <v>871</v>
      </c>
      <c r="C30" s="200"/>
      <c r="D30" s="200"/>
      <c r="E30" s="200"/>
      <c r="F30" s="200"/>
      <c r="G30" s="200"/>
      <c r="H30" s="200"/>
      <c r="I30" s="200"/>
      <c r="J30" s="200"/>
      <c r="K30" s="200"/>
      <c r="L30" s="200"/>
      <c r="M30" s="20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s="192"/>
      <c r="FS30" s="192"/>
      <c r="FT30" s="192"/>
      <c r="FU30" s="192"/>
      <c r="FV30" s="192"/>
      <c r="FW30" s="192"/>
      <c r="FX30" s="192"/>
    </row>
    <row r="31" spans="1:180" s="67" customFormat="1" ht="36" customHeight="1" x14ac:dyDescent="0.25">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s="192"/>
      <c r="FS31" s="192"/>
      <c r="FT31" s="192"/>
      <c r="FU31" s="192"/>
      <c r="FV31" s="192"/>
      <c r="FW31" s="192"/>
      <c r="FX31" s="192"/>
    </row>
    <row r="32" spans="1:180" s="67" customFormat="1" ht="36" customHeight="1" x14ac:dyDescent="0.25">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s="192"/>
      <c r="FS32" s="192"/>
      <c r="FT32" s="192"/>
      <c r="FU32" s="192"/>
      <c r="FV32" s="192"/>
      <c r="FW32" s="192"/>
      <c r="FX32" s="192"/>
    </row>
    <row r="33" spans="1:180" s="67" customFormat="1" ht="36" customHeight="1" x14ac:dyDescent="0.2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s="192"/>
      <c r="FS33" s="192"/>
      <c r="FT33" s="192"/>
      <c r="FU33" s="192"/>
      <c r="FV33" s="192"/>
      <c r="FW33" s="192"/>
      <c r="FX33" s="192"/>
    </row>
    <row r="34" spans="1:180" s="67" customFormat="1" ht="36" customHeight="1" x14ac:dyDescent="0.2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s="192"/>
      <c r="FS34" s="192"/>
      <c r="FT34" s="192"/>
      <c r="FU34" s="192"/>
      <c r="FV34" s="192"/>
      <c r="FW34" s="192"/>
      <c r="FX34" s="192"/>
    </row>
    <row r="35" spans="1:180" s="67" customFormat="1" ht="36" customHeight="1" x14ac:dyDescent="0.25">
      <c r="A35"/>
      <c r="B35"/>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s="192"/>
      <c r="FS35" s="192"/>
      <c r="FT35" s="192"/>
      <c r="FU35" s="192"/>
      <c r="FV35" s="192"/>
      <c r="FW35" s="192"/>
      <c r="FX35" s="192"/>
    </row>
    <row r="36" spans="1:180" s="67" customFormat="1" ht="36" customHeight="1" x14ac:dyDescent="0.25">
      <c r="A36"/>
      <c r="B36"/>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s="192"/>
      <c r="FS36" s="192"/>
      <c r="FT36" s="192"/>
      <c r="FU36" s="192"/>
      <c r="FV36" s="192"/>
      <c r="FW36" s="192"/>
      <c r="FX36" s="192"/>
    </row>
    <row r="37" spans="1:180" s="67" customFormat="1" ht="36" customHeight="1" x14ac:dyDescent="0.2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s="192"/>
      <c r="FS37" s="192"/>
      <c r="FT37" s="192"/>
      <c r="FU37" s="192"/>
      <c r="FV37" s="192"/>
      <c r="FW37" s="192"/>
      <c r="FX37" s="192"/>
    </row>
    <row r="38" spans="1:180" s="67" customFormat="1" ht="36" customHeight="1" x14ac:dyDescent="0.2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s="192"/>
      <c r="FS38" s="192"/>
      <c r="FT38" s="192"/>
      <c r="FU38" s="192"/>
      <c r="FV38" s="192"/>
      <c r="FW38" s="192"/>
      <c r="FX38" s="192"/>
    </row>
    <row r="39" spans="1:180" s="67" customFormat="1" ht="36" customHeight="1" x14ac:dyDescent="0.25">
      <c r="A39"/>
      <c r="B39"/>
      <c r="C39"/>
      <c r="D39"/>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s="192"/>
      <c r="FS39" s="192"/>
      <c r="FT39" s="192"/>
      <c r="FU39" s="192"/>
      <c r="FV39" s="192"/>
      <c r="FW39" s="192"/>
      <c r="FX39" s="192"/>
    </row>
    <row r="40" spans="1:180" s="67" customFormat="1" ht="36" customHeight="1" x14ac:dyDescent="0.2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s="192"/>
      <c r="FS40" s="192"/>
      <c r="FT40" s="192"/>
      <c r="FU40" s="192"/>
      <c r="FV40" s="192"/>
      <c r="FW40" s="192"/>
      <c r="FX40" s="192"/>
    </row>
    <row r="41" spans="1:180" s="67" customFormat="1" ht="36" customHeight="1" x14ac:dyDescent="0.25">
      <c r="A41"/>
      <c r="B41"/>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s="192"/>
      <c r="FS41" s="192"/>
      <c r="FT41" s="192"/>
      <c r="FU41" s="192"/>
      <c r="FV41" s="192"/>
      <c r="FW41" s="192"/>
      <c r="FX41" s="192"/>
    </row>
    <row r="42" spans="1:180" s="67" customFormat="1" ht="36" customHeight="1" x14ac:dyDescent="0.25">
      <c r="A42"/>
      <c r="B42"/>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s="192"/>
      <c r="FS42" s="192"/>
      <c r="FT42" s="192"/>
      <c r="FU42" s="192"/>
      <c r="FV42" s="192"/>
      <c r="FW42" s="192"/>
      <c r="FX42" s="192"/>
    </row>
    <row r="43" spans="1:180" s="67" customFormat="1" ht="36" customHeight="1" x14ac:dyDescent="0.2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s="192"/>
      <c r="FS43" s="192"/>
      <c r="FT43" s="192"/>
      <c r="FU43" s="192"/>
      <c r="FV43" s="192"/>
      <c r="FW43" s="192"/>
      <c r="FX43" s="192"/>
    </row>
    <row r="44" spans="1:180" s="67" customFormat="1" ht="36" customHeight="1" x14ac:dyDescent="0.2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s="192"/>
      <c r="FS44" s="192"/>
      <c r="FT44" s="192"/>
      <c r="FU44" s="192"/>
      <c r="FV44" s="192"/>
      <c r="FW44" s="192"/>
      <c r="FX44" s="192"/>
    </row>
    <row r="45" spans="1:180" s="67" customFormat="1" ht="36" customHeight="1" x14ac:dyDescent="0.2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s="192"/>
      <c r="FS45" s="192"/>
      <c r="FT45" s="192"/>
      <c r="FU45" s="192"/>
      <c r="FV45" s="192"/>
      <c r="FW45" s="192"/>
      <c r="FX45" s="192"/>
    </row>
    <row r="46" spans="1:180" s="67" customFormat="1" ht="36" customHeight="1" x14ac:dyDescent="0.2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s="192"/>
      <c r="FS46" s="192"/>
      <c r="FT46" s="192"/>
      <c r="FU46" s="192"/>
      <c r="FV46" s="192"/>
      <c r="FW46" s="192"/>
      <c r="FX46" s="192"/>
    </row>
    <row r="47" spans="1:180" s="67" customFormat="1" ht="36" customHeight="1" x14ac:dyDescent="0.2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s="192"/>
      <c r="FS47" s="192"/>
      <c r="FT47" s="192"/>
      <c r="FU47" s="192"/>
      <c r="FV47" s="192"/>
      <c r="FW47" s="192"/>
      <c r="FX47" s="192"/>
    </row>
    <row r="48" spans="1:180" s="67" customFormat="1" ht="36" customHeight="1" x14ac:dyDescent="0.2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s="192"/>
      <c r="FS48" s="192"/>
      <c r="FT48" s="192"/>
      <c r="FU48" s="192"/>
      <c r="FV48" s="192"/>
      <c r="FW48" s="192"/>
      <c r="FX48" s="192"/>
    </row>
    <row r="49" spans="1:180" s="67" customFormat="1" ht="36" customHeight="1" x14ac:dyDescent="0.25">
      <c r="A49"/>
      <c r="B49"/>
      <c r="C49"/>
      <c r="D49"/>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s="192"/>
      <c r="FS49" s="192"/>
      <c r="FT49" s="192"/>
      <c r="FU49" s="192"/>
      <c r="FV49" s="192"/>
      <c r="FW49" s="192"/>
      <c r="FX49" s="192"/>
    </row>
    <row r="50" spans="1:180" s="67" customFormat="1" ht="36" customHeight="1" x14ac:dyDescent="0.25">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s="192"/>
      <c r="FS50" s="192"/>
      <c r="FT50" s="192"/>
      <c r="FU50" s="192"/>
      <c r="FV50" s="192"/>
      <c r="FW50" s="192"/>
      <c r="FX50" s="192"/>
    </row>
    <row r="51" spans="1:180" s="67" customFormat="1" ht="36" customHeight="1" x14ac:dyDescent="0.25">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s="192"/>
      <c r="FS51" s="192"/>
      <c r="FT51" s="192"/>
      <c r="FU51" s="192"/>
      <c r="FV51" s="192"/>
      <c r="FW51" s="192"/>
      <c r="FX51" s="192"/>
    </row>
    <row r="52" spans="1:180" s="67" customFormat="1" ht="36" customHeight="1" x14ac:dyDescent="0.2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s="192"/>
      <c r="FS52" s="192"/>
      <c r="FT52" s="192"/>
      <c r="FU52" s="192"/>
      <c r="FV52" s="192"/>
      <c r="FW52" s="192"/>
      <c r="FX52" s="192"/>
    </row>
    <row r="53" spans="1:180" s="67" customFormat="1" ht="36" customHeight="1" x14ac:dyDescent="0.25">
      <c r="A53"/>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s="192"/>
      <c r="FS53" s="192"/>
      <c r="FT53" s="192"/>
      <c r="FU53" s="192"/>
      <c r="FV53" s="192"/>
      <c r="FW53" s="192"/>
      <c r="FX53" s="192"/>
    </row>
    <row r="54" spans="1:180" s="67" customFormat="1" ht="36" customHeight="1" x14ac:dyDescent="0.25">
      <c r="A54"/>
      <c r="B54"/>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s="192"/>
      <c r="FS54" s="192"/>
      <c r="FT54" s="192"/>
      <c r="FU54" s="192"/>
      <c r="FV54" s="192"/>
      <c r="FW54" s="192"/>
      <c r="FX54" s="192"/>
    </row>
    <row r="55" spans="1:180" s="67" customFormat="1" ht="36" customHeight="1" x14ac:dyDescent="0.25">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s="192"/>
      <c r="FS55" s="192"/>
      <c r="FT55" s="192"/>
      <c r="FU55" s="192"/>
      <c r="FV55" s="192"/>
      <c r="FW55" s="192"/>
      <c r="FX55" s="192"/>
    </row>
    <row r="56" spans="1:180" s="67" customFormat="1" ht="36" customHeight="1" x14ac:dyDescent="0.2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s="192"/>
      <c r="FS56" s="192"/>
      <c r="FT56" s="192"/>
      <c r="FU56" s="192"/>
      <c r="FV56" s="192"/>
      <c r="FW56" s="192"/>
      <c r="FX56" s="192"/>
    </row>
    <row r="57" spans="1:180" s="67" customFormat="1" ht="36" customHeight="1" x14ac:dyDescent="0.25">
      <c r="A57"/>
      <c r="B57"/>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s="192"/>
      <c r="FS57" s="192"/>
      <c r="FT57" s="192"/>
      <c r="FU57" s="192"/>
      <c r="FV57" s="192"/>
      <c r="FW57" s="192"/>
      <c r="FX57" s="192"/>
    </row>
    <row r="58" spans="1:180" s="67" customFormat="1" ht="15" customHeight="1" x14ac:dyDescent="0.2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s="192"/>
      <c r="FS58" s="192"/>
      <c r="FT58" s="192"/>
      <c r="FU58" s="192"/>
      <c r="FV58" s="192"/>
      <c r="FW58" s="192"/>
      <c r="FX58" s="192"/>
    </row>
    <row r="59" spans="1:180" s="67" customFormat="1" ht="15" customHeight="1" x14ac:dyDescent="0.2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s="192"/>
      <c r="FS59" s="192"/>
      <c r="FT59" s="192"/>
      <c r="FU59" s="192"/>
      <c r="FV59" s="192"/>
      <c r="FW59" s="192"/>
      <c r="FX59" s="192"/>
    </row>
    <row r="60" spans="1:180" s="67" customFormat="1" ht="15" customHeight="1" x14ac:dyDescent="0.25">
      <c r="A60"/>
      <c r="B60"/>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s="192"/>
      <c r="FS60" s="192"/>
      <c r="FT60" s="192"/>
      <c r="FU60" s="192"/>
      <c r="FV60" s="192"/>
      <c r="FW60" s="192"/>
      <c r="FX60" s="192"/>
    </row>
    <row r="61" spans="1:180" s="67" customFormat="1" ht="15" customHeight="1" x14ac:dyDescent="0.2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s="192"/>
      <c r="FS61" s="192"/>
      <c r="FT61" s="192"/>
      <c r="FU61" s="192"/>
      <c r="FV61" s="192"/>
      <c r="FW61" s="192"/>
      <c r="FX61" s="192"/>
    </row>
    <row r="62" spans="1:180" s="67" customFormat="1" ht="15" customHeight="1" x14ac:dyDescent="0.25">
      <c r="A62"/>
      <c r="B62"/>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s="192"/>
      <c r="FS62" s="192"/>
      <c r="FT62" s="192"/>
      <c r="FU62" s="192"/>
      <c r="FV62" s="192"/>
      <c r="FW62" s="192"/>
      <c r="FX62" s="192"/>
    </row>
    <row r="63" spans="1:180" s="67" customFormat="1" ht="15" customHeight="1" x14ac:dyDescent="0.25">
      <c r="A63"/>
      <c r="B63"/>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s="192"/>
      <c r="FS63" s="192"/>
      <c r="FT63" s="192"/>
      <c r="FU63" s="192"/>
      <c r="FV63" s="192"/>
      <c r="FW63" s="192"/>
      <c r="FX63" s="192"/>
    </row>
    <row r="64" spans="1:180" s="67" customFormat="1" ht="15" customHeight="1" x14ac:dyDescent="0.25">
      <c r="A64"/>
      <c r="B64"/>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s="192"/>
      <c r="FS64" s="192"/>
      <c r="FT64" s="192"/>
      <c r="FU64" s="192"/>
      <c r="FV64" s="192"/>
      <c r="FW64" s="192"/>
      <c r="FX64" s="192"/>
    </row>
    <row r="65" spans="1:180" s="67" customFormat="1" ht="15" customHeight="1" x14ac:dyDescent="0.2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s="192"/>
      <c r="FS65" s="192"/>
      <c r="FT65" s="192"/>
      <c r="FU65" s="192"/>
      <c r="FV65" s="192"/>
      <c r="FW65" s="192"/>
      <c r="FX65" s="192"/>
    </row>
    <row r="66" spans="1:180" s="67" customFormat="1" ht="15" customHeight="1" x14ac:dyDescent="0.2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s="192"/>
      <c r="FS66" s="192"/>
      <c r="FT66" s="192"/>
      <c r="FU66" s="192"/>
      <c r="FV66" s="192"/>
      <c r="FW66" s="192"/>
      <c r="FX66" s="192"/>
    </row>
    <row r="67" spans="1:180" s="67" customFormat="1" ht="15" customHeight="1" x14ac:dyDescent="0.2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s="192"/>
      <c r="FS67" s="192"/>
      <c r="FT67" s="192"/>
      <c r="FU67" s="192"/>
      <c r="FV67" s="192"/>
      <c r="FW67" s="192"/>
      <c r="FX67" s="192"/>
    </row>
    <row r="68" spans="1:180" s="67" customFormat="1" ht="15" customHeight="1" x14ac:dyDescent="0.2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s="192"/>
      <c r="FS68" s="192"/>
      <c r="FT68" s="192"/>
      <c r="FU68" s="192"/>
      <c r="FV68" s="192"/>
      <c r="FW68" s="192"/>
      <c r="FX68" s="192"/>
    </row>
    <row r="69" spans="1:180" s="67" customFormat="1" ht="15" customHeight="1" x14ac:dyDescent="0.25">
      <c r="A69"/>
      <c r="B69"/>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s="192"/>
      <c r="FS69" s="192"/>
      <c r="FT69" s="192"/>
      <c r="FU69" s="192"/>
      <c r="FV69" s="192"/>
      <c r="FW69" s="192"/>
      <c r="FX69" s="192"/>
    </row>
    <row r="70" spans="1:180" s="67" customFormat="1" ht="15" customHeight="1" x14ac:dyDescent="0.25">
      <c r="A70"/>
      <c r="B70"/>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s="192"/>
      <c r="FS70" s="192"/>
      <c r="FT70" s="192"/>
      <c r="FU70" s="192"/>
      <c r="FV70" s="192"/>
      <c r="FW70" s="192"/>
      <c r="FX70" s="192"/>
    </row>
    <row r="71" spans="1:180" s="67" customFormat="1" ht="15" customHeight="1" x14ac:dyDescent="0.2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s="192"/>
      <c r="FS71" s="192"/>
      <c r="FT71" s="192"/>
      <c r="FU71" s="192"/>
      <c r="FV71" s="192"/>
      <c r="FW71" s="192"/>
      <c r="FX71" s="192"/>
    </row>
    <row r="72" spans="1:180" s="67" customFormat="1" ht="15" customHeight="1" x14ac:dyDescent="0.25">
      <c r="A72"/>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s="192"/>
      <c r="FS72" s="192"/>
      <c r="FT72" s="192"/>
      <c r="FU72" s="192"/>
      <c r="FV72" s="192"/>
      <c r="FW72" s="192"/>
      <c r="FX72" s="192"/>
    </row>
    <row r="73" spans="1:180" s="67" customFormat="1" ht="15" customHeight="1" x14ac:dyDescent="0.25">
      <c r="A73"/>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s="192"/>
      <c r="FS73" s="192"/>
      <c r="FT73" s="192"/>
      <c r="FU73" s="192"/>
      <c r="FV73" s="192"/>
      <c r="FW73" s="192"/>
      <c r="FX73" s="192"/>
    </row>
    <row r="74" spans="1:180" s="67" customFormat="1" ht="15" customHeight="1" x14ac:dyDescent="0.25">
      <c r="A74"/>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s="192"/>
      <c r="FS74" s="192"/>
      <c r="FT74" s="192"/>
      <c r="FU74" s="192"/>
      <c r="FV74" s="192"/>
      <c r="FW74" s="192"/>
      <c r="FX74" s="192"/>
    </row>
    <row r="75" spans="1:180" s="67" customFormat="1" ht="15" customHeight="1" x14ac:dyDescent="0.2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s="192"/>
      <c r="FS75" s="192"/>
      <c r="FT75" s="192"/>
      <c r="FU75" s="192"/>
      <c r="FV75" s="192"/>
      <c r="FW75" s="192"/>
      <c r="FX75" s="192"/>
    </row>
    <row r="76" spans="1:180" s="67" customFormat="1" ht="15" customHeight="1" x14ac:dyDescent="0.2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s="192"/>
      <c r="FS76" s="192"/>
      <c r="FT76" s="192"/>
      <c r="FU76" s="192"/>
      <c r="FV76" s="192"/>
      <c r="FW76" s="192"/>
      <c r="FX76" s="192"/>
    </row>
    <row r="77" spans="1:180" s="67" customFormat="1" ht="15" customHeight="1" x14ac:dyDescent="0.25">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s="192"/>
      <c r="FS77" s="192"/>
      <c r="FT77" s="192"/>
      <c r="FU77" s="192"/>
      <c r="FV77" s="192"/>
      <c r="FW77" s="192"/>
      <c r="FX77" s="192"/>
    </row>
    <row r="78" spans="1:180" s="67" customFormat="1" ht="15" customHeight="1" x14ac:dyDescent="0.25">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s="192"/>
      <c r="FS78" s="192"/>
      <c r="FT78" s="192"/>
      <c r="FU78" s="192"/>
      <c r="FV78" s="192"/>
      <c r="FW78" s="192"/>
      <c r="FX78" s="192"/>
    </row>
    <row r="79" spans="1:180" s="67" customFormat="1" ht="15" customHeight="1" x14ac:dyDescent="0.25">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s="192"/>
      <c r="FS79" s="192"/>
      <c r="FT79" s="192"/>
      <c r="FU79" s="192"/>
      <c r="FV79" s="192"/>
      <c r="FW79" s="192"/>
      <c r="FX79" s="192"/>
    </row>
    <row r="80" spans="1:180" s="67" customFormat="1" ht="15" customHeight="1" x14ac:dyDescent="0.2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s="192"/>
      <c r="FS80" s="192"/>
      <c r="FT80" s="192"/>
      <c r="FU80" s="192"/>
      <c r="FV80" s="192"/>
      <c r="FW80" s="192"/>
      <c r="FX80" s="192"/>
    </row>
    <row r="81" spans="1:180" s="67" customFormat="1" ht="15" customHeight="1" x14ac:dyDescent="0.25">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s="192"/>
      <c r="FS81" s="192"/>
      <c r="FT81" s="192"/>
      <c r="FU81" s="192"/>
      <c r="FV81" s="192"/>
      <c r="FW81" s="192"/>
      <c r="FX81" s="192"/>
    </row>
    <row r="82" spans="1:180" s="67" customFormat="1" ht="15" customHeight="1" x14ac:dyDescent="0.2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s="192"/>
      <c r="FS82" s="192"/>
      <c r="FT82" s="192"/>
      <c r="FU82" s="192"/>
      <c r="FV82" s="192"/>
      <c r="FW82" s="192"/>
      <c r="FX82" s="192"/>
    </row>
    <row r="83" spans="1:180" s="67" customFormat="1" ht="15" customHeight="1" x14ac:dyDescent="0.2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s="192"/>
      <c r="FS83" s="192"/>
      <c r="FT83" s="192"/>
      <c r="FU83" s="192"/>
      <c r="FV83" s="192"/>
      <c r="FW83" s="192"/>
      <c r="FX83" s="192"/>
    </row>
    <row r="84" spans="1:180" s="67" customFormat="1" ht="15" customHeight="1" x14ac:dyDescent="0.25">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s="192"/>
      <c r="FS84" s="192"/>
      <c r="FT84" s="192"/>
      <c r="FU84" s="192"/>
      <c r="FV84" s="192"/>
      <c r="FW84" s="192"/>
      <c r="FX84" s="192"/>
    </row>
    <row r="85" spans="1:180" s="67" customFormat="1" ht="15" customHeight="1" x14ac:dyDescent="0.2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s="192"/>
      <c r="FS85" s="192"/>
      <c r="FT85" s="192"/>
      <c r="FU85" s="192"/>
      <c r="FV85" s="192"/>
      <c r="FW85" s="192"/>
      <c r="FX85" s="192"/>
    </row>
    <row r="86" spans="1:180" s="67" customFormat="1" ht="15" customHeight="1"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s="192"/>
      <c r="FS86" s="192"/>
      <c r="FT86" s="192"/>
      <c r="FU86" s="192"/>
      <c r="FV86" s="192"/>
      <c r="FW86" s="192"/>
      <c r="FX86" s="192"/>
    </row>
    <row r="87" spans="1:180" s="67" customFormat="1" ht="15" customHeight="1" x14ac:dyDescent="0.25">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s="192"/>
      <c r="FS87" s="192"/>
      <c r="FT87" s="192"/>
      <c r="FU87" s="192"/>
      <c r="FV87" s="192"/>
      <c r="FW87" s="192"/>
      <c r="FX87" s="192"/>
    </row>
    <row r="88" spans="1:180" s="67" customFormat="1" ht="15" customHeight="1" x14ac:dyDescent="0.25">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s="192"/>
      <c r="FS88" s="192"/>
      <c r="FT88" s="192"/>
      <c r="FU88" s="192"/>
      <c r="FV88" s="192"/>
      <c r="FW88" s="192"/>
      <c r="FX88" s="192"/>
    </row>
    <row r="89" spans="1:180" s="67" customFormat="1" ht="15" customHeight="1" x14ac:dyDescent="0.25">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s="192"/>
      <c r="FS89" s="192"/>
      <c r="FT89" s="192"/>
      <c r="FU89" s="192"/>
      <c r="FV89" s="192"/>
      <c r="FW89" s="192"/>
      <c r="FX89" s="192"/>
    </row>
    <row r="90" spans="1:180" s="67" customFormat="1" ht="15" customHeight="1" x14ac:dyDescent="0.25">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s="192"/>
      <c r="FS90" s="192"/>
      <c r="FT90" s="192"/>
      <c r="FU90" s="192"/>
      <c r="FV90" s="192"/>
      <c r="FW90" s="192"/>
      <c r="FX90" s="192"/>
    </row>
    <row r="91" spans="1:180" s="67" customFormat="1" ht="15" customHeight="1" x14ac:dyDescent="0.25">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s="192"/>
      <c r="FS91" s="192"/>
      <c r="FT91" s="192"/>
      <c r="FU91" s="192"/>
      <c r="FV91" s="192"/>
      <c r="FW91" s="192"/>
      <c r="FX91" s="192"/>
    </row>
    <row r="92" spans="1:180" s="67" customFormat="1" ht="15" customHeight="1"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s="192"/>
      <c r="FS92" s="192"/>
      <c r="FT92" s="192"/>
      <c r="FU92" s="192"/>
      <c r="FV92" s="192"/>
      <c r="FW92" s="192"/>
      <c r="FX92" s="192"/>
    </row>
    <row r="93" spans="1:180" s="67" customFormat="1" ht="15" customHeight="1" x14ac:dyDescent="0.2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s="192"/>
      <c r="FS93" s="192"/>
      <c r="FT93" s="192"/>
      <c r="FU93" s="192"/>
      <c r="FV93" s="192"/>
      <c r="FW93" s="192"/>
      <c r="FX93" s="192"/>
    </row>
    <row r="94" spans="1:180" s="67" customFormat="1" ht="15" customHeight="1" x14ac:dyDescent="0.25">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s="192"/>
      <c r="FS94" s="192"/>
      <c r="FT94" s="192"/>
      <c r="FU94" s="192"/>
      <c r="FV94" s="192"/>
      <c r="FW94" s="192"/>
      <c r="FX94" s="192"/>
    </row>
    <row r="95" spans="1:180" s="67" customFormat="1" ht="15" customHeight="1" x14ac:dyDescent="0.2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s="192"/>
      <c r="FS95" s="192"/>
      <c r="FT95" s="192"/>
      <c r="FU95" s="192"/>
      <c r="FV95" s="192"/>
      <c r="FW95" s="192"/>
      <c r="FX95" s="192"/>
    </row>
    <row r="96" spans="1:180" s="67" customFormat="1" ht="15" customHeight="1" x14ac:dyDescent="0.25">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s="192"/>
      <c r="FS96" s="192"/>
      <c r="FT96" s="192"/>
      <c r="FU96" s="192"/>
      <c r="FV96" s="192"/>
      <c r="FW96" s="192"/>
      <c r="FX96" s="192"/>
    </row>
    <row r="97" spans="1:180" s="67" customFormat="1" ht="15" customHeight="1" x14ac:dyDescent="0.25">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s="192"/>
      <c r="FS97" s="192"/>
      <c r="FT97" s="192"/>
      <c r="FU97" s="192"/>
      <c r="FV97" s="192"/>
      <c r="FW97" s="192"/>
      <c r="FX97" s="192"/>
    </row>
    <row r="98" spans="1:180" s="67" customFormat="1" ht="15" customHeight="1"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s="192"/>
      <c r="FS98" s="192"/>
      <c r="FT98" s="192"/>
      <c r="FU98" s="192"/>
      <c r="FV98" s="192"/>
      <c r="FW98" s="192"/>
      <c r="FX98" s="192"/>
    </row>
    <row r="99" spans="1:180" s="67" customFormat="1" ht="15" customHeight="1" x14ac:dyDescent="0.25">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s="192"/>
      <c r="FS99" s="192"/>
      <c r="FT99" s="192"/>
      <c r="FU99" s="192"/>
      <c r="FV99" s="192"/>
      <c r="FW99" s="192"/>
      <c r="FX99" s="192"/>
    </row>
    <row r="100" spans="1:180" s="67" customFormat="1" ht="15" customHeight="1" x14ac:dyDescent="0.2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s="192"/>
      <c r="FS100" s="192"/>
      <c r="FT100" s="192"/>
      <c r="FU100" s="192"/>
      <c r="FV100" s="192"/>
      <c r="FW100" s="192"/>
      <c r="FX100" s="192"/>
    </row>
    <row r="101" spans="1:180" s="67" customFormat="1" ht="15" customHeight="1" x14ac:dyDescent="0.2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s="192"/>
      <c r="FS101" s="192"/>
      <c r="FT101" s="192"/>
      <c r="FU101" s="192"/>
      <c r="FV101" s="192"/>
      <c r="FW101" s="192"/>
      <c r="FX101" s="192"/>
    </row>
    <row r="102" spans="1:180" s="67" customFormat="1" ht="15" customHeight="1" x14ac:dyDescent="0.2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s="192"/>
      <c r="FS102" s="192"/>
      <c r="FT102" s="192"/>
      <c r="FU102" s="192"/>
      <c r="FV102" s="192"/>
      <c r="FW102" s="192"/>
      <c r="FX102" s="192"/>
    </row>
    <row r="103" spans="1:180" s="67" customFormat="1" ht="15" customHeight="1" x14ac:dyDescent="0.2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s="192"/>
      <c r="FS103" s="192"/>
      <c r="FT103" s="192"/>
      <c r="FU103" s="192"/>
      <c r="FV103" s="192"/>
      <c r="FW103" s="192"/>
      <c r="FX103" s="192"/>
    </row>
    <row r="104" spans="1:180" s="67" customFormat="1" ht="15" customHeight="1" x14ac:dyDescent="0.2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s="192"/>
      <c r="FS104" s="192"/>
      <c r="FT104" s="192"/>
      <c r="FU104" s="192"/>
      <c r="FV104" s="192"/>
      <c r="FW104" s="192"/>
      <c r="FX104" s="192"/>
    </row>
    <row r="105" spans="1:180" s="67" customFormat="1" ht="15" customHeight="1" x14ac:dyDescent="0.2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s="192"/>
      <c r="FS105" s="192"/>
      <c r="FT105" s="192"/>
      <c r="FU105" s="192"/>
      <c r="FV105" s="192"/>
      <c r="FW105" s="192"/>
      <c r="FX105" s="192"/>
    </row>
    <row r="106" spans="1:180" s="67" customFormat="1" ht="15" customHeight="1" x14ac:dyDescent="0.2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s="192"/>
      <c r="FS106" s="192"/>
      <c r="FT106" s="192"/>
      <c r="FU106" s="192"/>
      <c r="FV106" s="192"/>
      <c r="FW106" s="192"/>
      <c r="FX106" s="192"/>
    </row>
    <row r="107" spans="1:180" s="67" customFormat="1" ht="15" customHeight="1" x14ac:dyDescent="0.2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s="192"/>
      <c r="FS107" s="192"/>
      <c r="FT107" s="192"/>
      <c r="FU107" s="192"/>
      <c r="FV107" s="192"/>
      <c r="FW107" s="192"/>
      <c r="FX107" s="192"/>
    </row>
    <row r="108" spans="1:180" s="67" customFormat="1" ht="15" customHeight="1" x14ac:dyDescent="0.2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s="192"/>
      <c r="FS108" s="192"/>
      <c r="FT108" s="192"/>
      <c r="FU108" s="192"/>
      <c r="FV108" s="192"/>
      <c r="FW108" s="192"/>
      <c r="FX108" s="192"/>
    </row>
    <row r="109" spans="1:180" s="67" customFormat="1" ht="15" customHeight="1" x14ac:dyDescent="0.2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s="192"/>
      <c r="FS109" s="192"/>
      <c r="FT109" s="192"/>
      <c r="FU109" s="192"/>
      <c r="FV109" s="192"/>
      <c r="FW109" s="192"/>
      <c r="FX109" s="192"/>
    </row>
    <row r="110" spans="1:180" s="67" customFormat="1" ht="15" customHeight="1" x14ac:dyDescent="0.2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s="192"/>
      <c r="FS110" s="192"/>
      <c r="FT110" s="192"/>
      <c r="FU110" s="192"/>
      <c r="FV110" s="192"/>
      <c r="FW110" s="192"/>
      <c r="FX110" s="192"/>
    </row>
    <row r="111" spans="1:180" s="67" customFormat="1" ht="15" customHeight="1" x14ac:dyDescent="0.2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s="192"/>
      <c r="FS111" s="192"/>
      <c r="FT111" s="192"/>
      <c r="FU111" s="192"/>
      <c r="FV111" s="192"/>
      <c r="FW111" s="192"/>
      <c r="FX111" s="192"/>
    </row>
    <row r="112" spans="1:180" s="67" customFormat="1" ht="15" customHeight="1" x14ac:dyDescent="0.2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s="192"/>
      <c r="FS112" s="192"/>
      <c r="FT112" s="192"/>
      <c r="FU112" s="192"/>
      <c r="FV112" s="192"/>
      <c r="FW112" s="192"/>
      <c r="FX112" s="192"/>
    </row>
    <row r="113" spans="1:180" s="67" customFormat="1" ht="15" customHeight="1"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s="192"/>
      <c r="FS113" s="192"/>
      <c r="FT113" s="192"/>
      <c r="FU113" s="192"/>
      <c r="FV113" s="192"/>
      <c r="FW113" s="192"/>
      <c r="FX113" s="192"/>
    </row>
    <row r="114" spans="1:180" s="67" customFormat="1" ht="15" customHeight="1"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s="192"/>
      <c r="FS114" s="192"/>
      <c r="FT114" s="192"/>
      <c r="FU114" s="192"/>
      <c r="FV114" s="192"/>
      <c r="FW114" s="192"/>
      <c r="FX114" s="192"/>
    </row>
    <row r="115" spans="1:180" s="67" customFormat="1" ht="15" customHeight="1"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s="192"/>
      <c r="FS115" s="192"/>
      <c r="FT115" s="192"/>
      <c r="FU115" s="192"/>
      <c r="FV115" s="192"/>
      <c r="FW115" s="192"/>
      <c r="FX115" s="192"/>
    </row>
    <row r="116" spans="1:180" s="67" customFormat="1" ht="15" customHeight="1"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s="192"/>
      <c r="FS116" s="192"/>
      <c r="FT116" s="192"/>
      <c r="FU116" s="192"/>
      <c r="FV116" s="192"/>
      <c r="FW116" s="192"/>
      <c r="FX116" s="192"/>
    </row>
    <row r="117" spans="1:180" s="67" customFormat="1" ht="15" customHeight="1"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s="192"/>
      <c r="FS117" s="192"/>
      <c r="FT117" s="192"/>
      <c r="FU117" s="192"/>
      <c r="FV117" s="192"/>
      <c r="FW117" s="192"/>
      <c r="FX117" s="192"/>
    </row>
    <row r="118" spans="1:180" s="67" customFormat="1" ht="15" customHeight="1"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s="192"/>
      <c r="FS118" s="192"/>
      <c r="FT118" s="192"/>
      <c r="FU118" s="192"/>
      <c r="FV118" s="192"/>
      <c r="FW118" s="192"/>
      <c r="FX118" s="192"/>
    </row>
    <row r="119" spans="1:180" s="67" customFormat="1" ht="15" customHeight="1"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s="192"/>
      <c r="FS119" s="192"/>
      <c r="FT119" s="192"/>
      <c r="FU119" s="192"/>
      <c r="FV119" s="192"/>
      <c r="FW119" s="192"/>
      <c r="FX119" s="192"/>
    </row>
    <row r="120" spans="1:180" s="67" customFormat="1" ht="15" customHeight="1"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s="192"/>
      <c r="FS120" s="192"/>
      <c r="FT120" s="192"/>
      <c r="FU120" s="192"/>
      <c r="FV120" s="192"/>
      <c r="FW120" s="192"/>
      <c r="FX120" s="192"/>
    </row>
    <row r="121" spans="1:180" s="67" customFormat="1" ht="15" customHeight="1"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s="192"/>
      <c r="FS121" s="192"/>
      <c r="FT121" s="192"/>
      <c r="FU121" s="192"/>
      <c r="FV121" s="192"/>
      <c r="FW121" s="192"/>
      <c r="FX121" s="192"/>
    </row>
    <row r="122" spans="1:180" s="67" customFormat="1" ht="15" customHeight="1"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s="192"/>
      <c r="FS122" s="192"/>
      <c r="FT122" s="192"/>
      <c r="FU122" s="192"/>
      <c r="FV122" s="192"/>
      <c r="FW122" s="192"/>
      <c r="FX122" s="192"/>
    </row>
    <row r="123" spans="1:180" s="67" customFormat="1" ht="15" customHeight="1"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s="192"/>
      <c r="FS123" s="192"/>
      <c r="FT123" s="192"/>
      <c r="FU123" s="192"/>
      <c r="FV123" s="192"/>
      <c r="FW123" s="192"/>
      <c r="FX123" s="192"/>
    </row>
    <row r="124" spans="1:180" s="67" customFormat="1" ht="15" customHeight="1"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s="192"/>
      <c r="FS124" s="192"/>
      <c r="FT124" s="192"/>
      <c r="FU124" s="192"/>
      <c r="FV124" s="192"/>
      <c r="FW124" s="192"/>
      <c r="FX124" s="192"/>
    </row>
    <row r="125" spans="1:180" s="67" customFormat="1" ht="15" customHeight="1"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s="192"/>
      <c r="FS125" s="192"/>
      <c r="FT125" s="192"/>
      <c r="FU125" s="192"/>
      <c r="FV125" s="192"/>
      <c r="FW125" s="192"/>
      <c r="FX125" s="192"/>
    </row>
    <row r="126" spans="1:180" s="67" customFormat="1" ht="15" customHeight="1"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s="192"/>
      <c r="FS126" s="192"/>
      <c r="FT126" s="192"/>
      <c r="FU126" s="192"/>
      <c r="FV126" s="192"/>
      <c r="FW126" s="192"/>
      <c r="FX126" s="192"/>
    </row>
    <row r="127" spans="1:180" s="67" customFormat="1" ht="15" customHeight="1"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s="192"/>
      <c r="FS127" s="192"/>
      <c r="FT127" s="192"/>
      <c r="FU127" s="192"/>
      <c r="FV127" s="192"/>
      <c r="FW127" s="192"/>
      <c r="FX127" s="192"/>
    </row>
    <row r="128" spans="1:180" s="67" customFormat="1" ht="15" customHeight="1"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s="192"/>
      <c r="FS128" s="192"/>
      <c r="FT128" s="192"/>
      <c r="FU128" s="192"/>
      <c r="FV128" s="192"/>
      <c r="FW128" s="192"/>
      <c r="FX128" s="192"/>
    </row>
    <row r="129" spans="1:180" s="67" customFormat="1" ht="15" customHeight="1"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s="192"/>
      <c r="FS129" s="192"/>
      <c r="FT129" s="192"/>
      <c r="FU129" s="192"/>
      <c r="FV129" s="192"/>
      <c r="FW129" s="192"/>
      <c r="FX129" s="192"/>
    </row>
    <row r="130" spans="1:180" s="67" customFormat="1" ht="15" customHeight="1"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s="192"/>
      <c r="FS130" s="192"/>
      <c r="FT130" s="192"/>
      <c r="FU130" s="192"/>
      <c r="FV130" s="192"/>
      <c r="FW130" s="192"/>
      <c r="FX130" s="192"/>
    </row>
    <row r="131" spans="1:180" s="67" customFormat="1" ht="15" customHeight="1"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s="192"/>
      <c r="FS131" s="192"/>
      <c r="FT131" s="192"/>
      <c r="FU131" s="192"/>
      <c r="FV131" s="192"/>
      <c r="FW131" s="192"/>
      <c r="FX131" s="192"/>
    </row>
    <row r="132" spans="1:180" s="67" customFormat="1" ht="15" customHeight="1"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s="192"/>
      <c r="FS132" s="192"/>
      <c r="FT132" s="192"/>
      <c r="FU132" s="192"/>
      <c r="FV132" s="192"/>
      <c r="FW132" s="192"/>
      <c r="FX132" s="192"/>
    </row>
    <row r="133" spans="1:180" s="67" customFormat="1" ht="15" customHeight="1"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s="192"/>
      <c r="FS133" s="192"/>
      <c r="FT133" s="192"/>
      <c r="FU133" s="192"/>
      <c r="FV133" s="192"/>
      <c r="FW133" s="192"/>
      <c r="FX133" s="192"/>
    </row>
    <row r="134" spans="1:180" s="67" customFormat="1" ht="15" customHeight="1"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s="192"/>
      <c r="FS134" s="192"/>
      <c r="FT134" s="192"/>
      <c r="FU134" s="192"/>
      <c r="FV134" s="192"/>
      <c r="FW134" s="192"/>
      <c r="FX134" s="192"/>
    </row>
    <row r="135" spans="1:180" s="67" customFormat="1" ht="15" customHeight="1"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s="192"/>
      <c r="FS135" s="192"/>
      <c r="FT135" s="192"/>
      <c r="FU135" s="192"/>
      <c r="FV135" s="192"/>
      <c r="FW135" s="192"/>
      <c r="FX135" s="192"/>
    </row>
    <row r="136" spans="1:180" s="67" customFormat="1" ht="15" customHeight="1"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s="192"/>
      <c r="FS136" s="192"/>
      <c r="FT136" s="192"/>
      <c r="FU136" s="192"/>
      <c r="FV136" s="192"/>
      <c r="FW136" s="192"/>
      <c r="FX136" s="192"/>
    </row>
    <row r="137" spans="1:180" s="67" customFormat="1" ht="15" customHeight="1"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s="192"/>
      <c r="FS137" s="192"/>
      <c r="FT137" s="192"/>
      <c r="FU137" s="192"/>
      <c r="FV137" s="192"/>
      <c r="FW137" s="192"/>
      <c r="FX137" s="192"/>
    </row>
    <row r="138" spans="1:180" s="67" customFormat="1" ht="15" customHeight="1"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s="192"/>
      <c r="FS138" s="192"/>
      <c r="FT138" s="192"/>
      <c r="FU138" s="192"/>
      <c r="FV138" s="192"/>
      <c r="FW138" s="192"/>
      <c r="FX138" s="192"/>
    </row>
    <row r="139" spans="1:180" s="67" customFormat="1" ht="15" customHeight="1"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s="192"/>
      <c r="FS139" s="192"/>
      <c r="FT139" s="192"/>
      <c r="FU139" s="192"/>
      <c r="FV139" s="192"/>
      <c r="FW139" s="192"/>
      <c r="FX139" s="192"/>
    </row>
    <row r="140" spans="1:180" s="67" customFormat="1" ht="15" customHeight="1"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s="192"/>
      <c r="FS140" s="192"/>
      <c r="FT140" s="192"/>
      <c r="FU140" s="192"/>
      <c r="FV140" s="192"/>
      <c r="FW140" s="192"/>
      <c r="FX140" s="192"/>
    </row>
    <row r="141" spans="1:180" s="67" customFormat="1" ht="15" customHeight="1"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s="192"/>
      <c r="FS141" s="192"/>
      <c r="FT141" s="192"/>
      <c r="FU141" s="192"/>
      <c r="FV141" s="192"/>
      <c r="FW141" s="192"/>
      <c r="FX141" s="192"/>
    </row>
    <row r="142" spans="1:180" s="67" customFormat="1" ht="15" customHeight="1"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s="192"/>
      <c r="FS142" s="192"/>
      <c r="FT142" s="192"/>
      <c r="FU142" s="192"/>
      <c r="FV142" s="192"/>
      <c r="FW142" s="192"/>
      <c r="FX142" s="192"/>
    </row>
    <row r="143" spans="1:180" s="67" customFormat="1" ht="15" customHeight="1"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s="192"/>
      <c r="FS143" s="192"/>
      <c r="FT143" s="192"/>
      <c r="FU143" s="192"/>
      <c r="FV143" s="192"/>
      <c r="FW143" s="192"/>
      <c r="FX143" s="192"/>
    </row>
    <row r="144" spans="1:180" s="67" customFormat="1" ht="15" customHeight="1"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s="192"/>
      <c r="FS144" s="192"/>
      <c r="FT144" s="192"/>
      <c r="FU144" s="192"/>
      <c r="FV144" s="192"/>
      <c r="FW144" s="192"/>
      <c r="FX144" s="192"/>
    </row>
    <row r="145" spans="1:180" s="67" customFormat="1" ht="15" customHeight="1"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s="192"/>
      <c r="FS145" s="192"/>
      <c r="FT145" s="192"/>
      <c r="FU145" s="192"/>
      <c r="FV145" s="192"/>
      <c r="FW145" s="192"/>
      <c r="FX145" s="192"/>
    </row>
    <row r="146" spans="1:180" s="67" customFormat="1" ht="15" customHeight="1"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s="192"/>
      <c r="FS146" s="192"/>
      <c r="FT146" s="192"/>
      <c r="FU146" s="192"/>
      <c r="FV146" s="192"/>
      <c r="FW146" s="192"/>
      <c r="FX146" s="192"/>
    </row>
    <row r="147" spans="1:180" s="67" customFormat="1" ht="15" customHeight="1"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s="192"/>
      <c r="FS147" s="192"/>
      <c r="FT147" s="192"/>
      <c r="FU147" s="192"/>
      <c r="FV147" s="192"/>
      <c r="FW147" s="192"/>
      <c r="FX147" s="192"/>
    </row>
    <row r="148" spans="1:180" s="67" customFormat="1" ht="15" customHeight="1"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s="192"/>
      <c r="FS148" s="192"/>
      <c r="FT148" s="192"/>
      <c r="FU148" s="192"/>
      <c r="FV148" s="192"/>
      <c r="FW148" s="192"/>
      <c r="FX148" s="192"/>
    </row>
    <row r="149" spans="1:180" s="67" customFormat="1" ht="15" customHeight="1"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s="192"/>
      <c r="FS149" s="192"/>
      <c r="FT149" s="192"/>
      <c r="FU149" s="192"/>
      <c r="FV149" s="192"/>
      <c r="FW149" s="192"/>
      <c r="FX149" s="192"/>
    </row>
    <row r="150" spans="1:180" s="67" customFormat="1" ht="15" customHeight="1"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s="192"/>
      <c r="FS150" s="192"/>
      <c r="FT150" s="192"/>
      <c r="FU150" s="192"/>
      <c r="FV150" s="192"/>
      <c r="FW150" s="192"/>
      <c r="FX150" s="192"/>
    </row>
    <row r="151" spans="1:180" s="67" customFormat="1" ht="15" customHeight="1"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s="192"/>
      <c r="FS151" s="192"/>
      <c r="FT151" s="192"/>
      <c r="FU151" s="192"/>
      <c r="FV151" s="192"/>
      <c r="FW151" s="192"/>
      <c r="FX151" s="192"/>
    </row>
    <row r="152" spans="1:180" s="67" customFormat="1" ht="15" customHeight="1"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s="192"/>
      <c r="FS152" s="192"/>
      <c r="FT152" s="192"/>
      <c r="FU152" s="192"/>
      <c r="FV152" s="192"/>
      <c r="FW152" s="192"/>
      <c r="FX152" s="192"/>
    </row>
    <row r="153" spans="1:180" s="67" customFormat="1" ht="15" customHeight="1"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s="192"/>
      <c r="FS153" s="192"/>
      <c r="FT153" s="192"/>
      <c r="FU153" s="192"/>
      <c r="FV153" s="192"/>
      <c r="FW153" s="192"/>
      <c r="FX153" s="192"/>
    </row>
    <row r="154" spans="1:180" s="67" customFormat="1" ht="15" customHeight="1"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s="192"/>
      <c r="FS154" s="192"/>
      <c r="FT154" s="192"/>
      <c r="FU154" s="192"/>
      <c r="FV154" s="192"/>
      <c r="FW154" s="192"/>
      <c r="FX154" s="192"/>
    </row>
    <row r="155" spans="1:180" s="67" customFormat="1" ht="15" customHeight="1"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s="192"/>
      <c r="FS155" s="192"/>
      <c r="FT155" s="192"/>
      <c r="FU155" s="192"/>
      <c r="FV155" s="192"/>
      <c r="FW155" s="192"/>
      <c r="FX155" s="192"/>
    </row>
    <row r="156" spans="1:180" s="67" customFormat="1" ht="15" customHeight="1"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s="192"/>
      <c r="FS156" s="192"/>
      <c r="FT156" s="192"/>
      <c r="FU156" s="192"/>
      <c r="FV156" s="192"/>
      <c r="FW156" s="192"/>
      <c r="FX156" s="192"/>
    </row>
    <row r="157" spans="1:180" s="67" customFormat="1" ht="15" customHeight="1"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s="192"/>
      <c r="FS157" s="192"/>
      <c r="FT157" s="192"/>
      <c r="FU157" s="192"/>
      <c r="FV157" s="192"/>
      <c r="FW157" s="192"/>
      <c r="FX157" s="192"/>
    </row>
    <row r="158" spans="1:180" s="67" customFormat="1" ht="15" customHeight="1"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s="192"/>
      <c r="FS158" s="192"/>
      <c r="FT158" s="192"/>
      <c r="FU158" s="192"/>
      <c r="FV158" s="192"/>
      <c r="FW158" s="192"/>
      <c r="FX158" s="192"/>
    </row>
    <row r="159" spans="1:180" s="67" customFormat="1" ht="15" customHeight="1"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s="192"/>
      <c r="FS159" s="192"/>
      <c r="FT159" s="192"/>
      <c r="FU159" s="192"/>
      <c r="FV159" s="192"/>
      <c r="FW159" s="192"/>
      <c r="FX159" s="192"/>
    </row>
    <row r="160" spans="1:180" s="67" customFormat="1" ht="15" customHeight="1" x14ac:dyDescent="0.2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s="192"/>
      <c r="FS160" s="192"/>
      <c r="FT160" s="192"/>
      <c r="FU160" s="192"/>
      <c r="FV160" s="192"/>
      <c r="FW160" s="192"/>
      <c r="FX160" s="192"/>
    </row>
    <row r="161" spans="1:180" s="180" customFormat="1" ht="15" customHeight="1"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s="179"/>
      <c r="FS161" s="179"/>
      <c r="FT161" s="179"/>
      <c r="FU161" s="179"/>
      <c r="FV161" s="179"/>
      <c r="FW161" s="179"/>
      <c r="FX161" s="179"/>
    </row>
    <row r="162" spans="1:180" s="66" customFormat="1" ht="15" customHeight="1"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s="183"/>
      <c r="FS162" s="183"/>
      <c r="FT162" s="183"/>
      <c r="FU162" s="183"/>
      <c r="FV162" s="183"/>
      <c r="FW162" s="183"/>
      <c r="FX162" s="183"/>
    </row>
    <row r="163" spans="1:180" ht="15" customHeight="1" x14ac:dyDescent="0.25">
      <c r="A163"/>
      <c r="B163"/>
      <c r="C163"/>
      <c r="D163"/>
      <c r="E163"/>
      <c r="F163"/>
      <c r="G163"/>
      <c r="H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s="165"/>
      <c r="FS163" s="201"/>
      <c r="FT163" s="201"/>
      <c r="FU163" s="201"/>
      <c r="FV163" s="201"/>
      <c r="FW163" s="201"/>
      <c r="FX163" s="201"/>
    </row>
  </sheetData>
  <mergeCells count="10">
    <mergeCell ref="A24:M24"/>
    <mergeCell ref="B25:M25"/>
    <mergeCell ref="B26:M26"/>
    <mergeCell ref="B27:M27"/>
    <mergeCell ref="B28:M28"/>
    <mergeCell ref="B29:M29"/>
    <mergeCell ref="B30:M30"/>
    <mergeCell ref="D1:D5"/>
    <mergeCell ref="A2:A6"/>
    <mergeCell ref="E1:F1"/>
  </mergeCells>
  <pageMargins left="0.7" right="0.7" top="0.75" bottom="0.75"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200"/>
  <sheetViews>
    <sheetView view="pageBreakPreview" zoomScaleNormal="100" workbookViewId="0">
      <selection activeCell="F6" sqref="F6"/>
    </sheetView>
  </sheetViews>
  <sheetFormatPr defaultColWidth="8.7109375" defaultRowHeight="15" x14ac:dyDescent="0.25"/>
  <cols>
    <col min="1" max="1" width="6.7109375" style="38" bestFit="1" customWidth="1"/>
    <col min="2" max="2" width="12.42578125" style="38" customWidth="1"/>
    <col min="3" max="3" width="21.140625" style="38" customWidth="1"/>
    <col min="4" max="4" width="17.42578125" style="38" customWidth="1"/>
    <col min="5" max="5" width="22.140625" style="38" customWidth="1"/>
    <col min="6" max="6" width="43.42578125" style="38" customWidth="1"/>
    <col min="7" max="7" width="41.7109375" style="38" customWidth="1"/>
    <col min="8" max="8" width="10.7109375" style="38" customWidth="1"/>
    <col min="9" max="9" width="20.42578125" style="38" customWidth="1"/>
    <col min="10" max="10" width="12.28515625" style="38" customWidth="1"/>
    <col min="11" max="11" width="11.5703125" style="38" customWidth="1"/>
    <col min="12" max="12" width="10.140625" style="38" customWidth="1"/>
    <col min="13" max="13" width="26.140625" style="39" bestFit="1" customWidth="1"/>
    <col min="14" max="14" width="16.140625" style="38" customWidth="1"/>
    <col min="15" max="15" width="14.7109375" style="38" customWidth="1"/>
    <col min="16" max="16" width="12.85546875" style="38" customWidth="1"/>
    <col min="17" max="17" width="22.85546875" style="38" customWidth="1"/>
    <col min="18" max="19" width="8.7109375" style="38" customWidth="1"/>
    <col min="20" max="16384" width="8.7109375" style="38"/>
  </cols>
  <sheetData>
    <row r="1" spans="1:17" x14ac:dyDescent="0.25">
      <c r="A1" s="40" t="s">
        <v>475</v>
      </c>
      <c r="B1" s="40"/>
      <c r="C1" s="40"/>
      <c r="D1" s="40"/>
      <c r="E1" s="40"/>
      <c r="F1" s="40"/>
      <c r="G1" s="40"/>
      <c r="H1" s="40"/>
      <c r="I1" s="40"/>
      <c r="J1" s="40"/>
      <c r="K1" s="40"/>
      <c r="L1" s="40"/>
      <c r="M1" s="41"/>
      <c r="N1" s="40"/>
      <c r="O1" s="40"/>
      <c r="P1" s="42"/>
      <c r="Q1" s="42"/>
    </row>
    <row r="2" spans="1:17" x14ac:dyDescent="0.25">
      <c r="A2" s="50" t="s">
        <v>476</v>
      </c>
      <c r="B2" s="50" t="s">
        <v>477</v>
      </c>
      <c r="C2" s="50" t="s">
        <v>478</v>
      </c>
      <c r="D2" s="50" t="s">
        <v>479</v>
      </c>
      <c r="E2" s="50" t="s">
        <v>480</v>
      </c>
      <c r="F2" s="50" t="s">
        <v>481</v>
      </c>
      <c r="G2" s="50" t="s">
        <v>482</v>
      </c>
      <c r="H2" s="50" t="s">
        <v>483</v>
      </c>
      <c r="I2" s="50" t="s">
        <v>484</v>
      </c>
      <c r="J2" s="50" t="s">
        <v>485</v>
      </c>
      <c r="K2" s="50" t="s">
        <v>486</v>
      </c>
      <c r="L2" s="50" t="s">
        <v>487</v>
      </c>
      <c r="M2" s="51" t="s">
        <v>488</v>
      </c>
      <c r="N2" s="50" t="s">
        <v>489</v>
      </c>
      <c r="O2" s="50" t="s">
        <v>490</v>
      </c>
      <c r="P2" s="50" t="s">
        <v>491</v>
      </c>
      <c r="Q2" s="50" t="s">
        <v>492</v>
      </c>
    </row>
    <row r="3" spans="1:17" s="44" customFormat="1" ht="156" customHeight="1" x14ac:dyDescent="0.25">
      <c r="A3" s="52">
        <v>1</v>
      </c>
      <c r="B3" s="52" t="s">
        <v>493</v>
      </c>
      <c r="C3" s="52" t="s">
        <v>494</v>
      </c>
      <c r="D3" s="52" t="s">
        <v>495</v>
      </c>
      <c r="E3" s="52" t="s">
        <v>496</v>
      </c>
      <c r="F3" s="52" t="s">
        <v>497</v>
      </c>
      <c r="G3" s="52" t="s">
        <v>498</v>
      </c>
      <c r="H3" s="53" t="s">
        <v>499</v>
      </c>
      <c r="I3" s="53" t="s">
        <v>500</v>
      </c>
      <c r="J3" s="53" t="s">
        <v>501</v>
      </c>
      <c r="K3" s="52" t="s">
        <v>502</v>
      </c>
      <c r="L3" s="54" t="s">
        <v>590</v>
      </c>
      <c r="M3" s="55" t="s">
        <v>503</v>
      </c>
      <c r="N3" s="53" t="s">
        <v>504</v>
      </c>
      <c r="O3" s="52" t="s">
        <v>505</v>
      </c>
      <c r="P3" s="53" t="s">
        <v>506</v>
      </c>
      <c r="Q3" s="52" t="s">
        <v>507</v>
      </c>
    </row>
    <row r="4" spans="1:17" s="44" customFormat="1" ht="60" customHeight="1" x14ac:dyDescent="0.25">
      <c r="A4" s="52">
        <v>2</v>
      </c>
      <c r="B4" s="52" t="s">
        <v>508</v>
      </c>
      <c r="C4" s="52" t="s">
        <v>494</v>
      </c>
      <c r="D4" s="52" t="s">
        <v>509</v>
      </c>
      <c r="E4" s="52" t="s">
        <v>496</v>
      </c>
      <c r="F4" s="52" t="s">
        <v>510</v>
      </c>
      <c r="G4" s="52" t="s">
        <v>498</v>
      </c>
      <c r="H4" s="53" t="s">
        <v>511</v>
      </c>
      <c r="I4" s="53" t="s">
        <v>500</v>
      </c>
      <c r="J4" s="53" t="s">
        <v>512</v>
      </c>
      <c r="K4" s="52" t="s">
        <v>513</v>
      </c>
      <c r="L4" s="54" t="s">
        <v>590</v>
      </c>
      <c r="M4" s="55" t="s">
        <v>503</v>
      </c>
      <c r="N4" s="53" t="s">
        <v>514</v>
      </c>
      <c r="O4" s="56" t="s">
        <v>515</v>
      </c>
      <c r="P4" s="53" t="s">
        <v>516</v>
      </c>
      <c r="Q4" s="52" t="s">
        <v>517</v>
      </c>
    </row>
    <row r="5" spans="1:17" s="44" customFormat="1" ht="72" customHeight="1" x14ac:dyDescent="0.25">
      <c r="A5" s="52">
        <v>3</v>
      </c>
      <c r="B5" s="52" t="s">
        <v>518</v>
      </c>
      <c r="C5" s="52" t="s">
        <v>519</v>
      </c>
      <c r="D5" s="52" t="s">
        <v>520</v>
      </c>
      <c r="E5" s="52" t="s">
        <v>521</v>
      </c>
      <c r="F5" s="52" t="s">
        <v>522</v>
      </c>
      <c r="G5" s="52" t="s">
        <v>523</v>
      </c>
      <c r="H5" s="53" t="s">
        <v>524</v>
      </c>
      <c r="I5" s="53" t="s">
        <v>591</v>
      </c>
      <c r="J5" s="53" t="s">
        <v>525</v>
      </c>
      <c r="K5" s="52" t="s">
        <v>526</v>
      </c>
      <c r="L5" s="54" t="s">
        <v>527</v>
      </c>
      <c r="M5" s="57" t="s">
        <v>528</v>
      </c>
      <c r="N5" s="53" t="s">
        <v>529</v>
      </c>
      <c r="O5" s="56" t="s">
        <v>530</v>
      </c>
      <c r="P5" s="53" t="s">
        <v>516</v>
      </c>
      <c r="Q5" s="52" t="s">
        <v>531</v>
      </c>
    </row>
    <row r="6" spans="1:17" s="44" customFormat="1" ht="72" customHeight="1" x14ac:dyDescent="0.25">
      <c r="A6" s="52">
        <v>4</v>
      </c>
      <c r="B6" s="52" t="s">
        <v>532</v>
      </c>
      <c r="C6" s="52" t="s">
        <v>533</v>
      </c>
      <c r="D6" s="52" t="s">
        <v>534</v>
      </c>
      <c r="E6" s="52" t="s">
        <v>535</v>
      </c>
      <c r="F6" s="52" t="s">
        <v>536</v>
      </c>
      <c r="G6" s="52" t="s">
        <v>537</v>
      </c>
      <c r="H6" s="52" t="s">
        <v>538</v>
      </c>
      <c r="I6" s="52" t="s">
        <v>539</v>
      </c>
      <c r="J6" s="52" t="s">
        <v>540</v>
      </c>
      <c r="K6" s="52" t="s">
        <v>541</v>
      </c>
      <c r="L6" s="52" t="s">
        <v>592</v>
      </c>
      <c r="M6" s="58" t="s">
        <v>542</v>
      </c>
      <c r="N6" s="52" t="s">
        <v>543</v>
      </c>
      <c r="O6" s="52" t="s">
        <v>544</v>
      </c>
      <c r="P6" s="52" t="s">
        <v>545</v>
      </c>
      <c r="Q6" s="52" t="s">
        <v>546</v>
      </c>
    </row>
    <row r="7" spans="1:17" s="44" customFormat="1" x14ac:dyDescent="0.25">
      <c r="M7" s="45"/>
    </row>
    <row r="8" spans="1:17" s="44" customFormat="1" x14ac:dyDescent="0.25">
      <c r="A8" s="158" t="s">
        <v>547</v>
      </c>
      <c r="B8" s="159"/>
      <c r="C8" s="159"/>
      <c r="D8" s="159"/>
      <c r="E8" s="159"/>
      <c r="F8" s="159"/>
      <c r="G8" s="159"/>
      <c r="H8" s="159"/>
      <c r="I8" s="159"/>
      <c r="J8" s="159"/>
      <c r="K8" s="159"/>
      <c r="L8" s="159"/>
      <c r="M8" s="159"/>
      <c r="N8" s="159"/>
      <c r="O8" s="159"/>
      <c r="P8" s="159"/>
      <c r="Q8" s="159"/>
    </row>
    <row r="9" spans="1:17" x14ac:dyDescent="0.25">
      <c r="H9" s="43"/>
      <c r="N9" s="43"/>
    </row>
    <row r="10" spans="1:17" x14ac:dyDescent="0.25">
      <c r="H10" s="43"/>
      <c r="N10" s="43"/>
    </row>
    <row r="11" spans="1:17" x14ac:dyDescent="0.25">
      <c r="H11" s="43"/>
      <c r="N11" s="43"/>
    </row>
    <row r="12" spans="1:17" x14ac:dyDescent="0.25">
      <c r="H12" s="43"/>
      <c r="N12" s="43"/>
    </row>
    <row r="13" spans="1:17" x14ac:dyDescent="0.25">
      <c r="H13" s="43"/>
      <c r="N13" s="43"/>
    </row>
    <row r="14" spans="1:17" x14ac:dyDescent="0.25">
      <c r="H14" s="43"/>
      <c r="N14" s="43"/>
    </row>
    <row r="15" spans="1:17" x14ac:dyDescent="0.25">
      <c r="H15" s="43"/>
      <c r="N15" s="43"/>
    </row>
    <row r="16" spans="1:17" x14ac:dyDescent="0.25">
      <c r="H16" s="43"/>
      <c r="N16" s="43"/>
    </row>
    <row r="17" spans="8:14" x14ac:dyDescent="0.25">
      <c r="H17" s="43"/>
      <c r="N17" s="43"/>
    </row>
    <row r="18" spans="8:14" x14ac:dyDescent="0.25">
      <c r="H18" s="43"/>
      <c r="N18" s="43"/>
    </row>
    <row r="19" spans="8:14" x14ac:dyDescent="0.25">
      <c r="H19" s="43"/>
      <c r="N19" s="43"/>
    </row>
    <row r="20" spans="8:14" x14ac:dyDescent="0.25">
      <c r="H20" s="43"/>
      <c r="N20" s="43"/>
    </row>
    <row r="21" spans="8:14" x14ac:dyDescent="0.25">
      <c r="H21" s="43"/>
      <c r="N21" s="43"/>
    </row>
    <row r="22" spans="8:14" x14ac:dyDescent="0.25">
      <c r="H22" s="43"/>
      <c r="N22" s="43"/>
    </row>
    <row r="23" spans="8:14" x14ac:dyDescent="0.25">
      <c r="H23" s="43"/>
      <c r="N23" s="43"/>
    </row>
    <row r="24" spans="8:14" x14ac:dyDescent="0.25">
      <c r="H24" s="43"/>
      <c r="N24" s="43"/>
    </row>
    <row r="25" spans="8:14" x14ac:dyDescent="0.25">
      <c r="H25" s="43"/>
      <c r="N25" s="43"/>
    </row>
    <row r="26" spans="8:14" x14ac:dyDescent="0.25">
      <c r="H26" s="43"/>
      <c r="N26" s="43"/>
    </row>
    <row r="27" spans="8:14" x14ac:dyDescent="0.25">
      <c r="H27" s="43"/>
      <c r="N27" s="43"/>
    </row>
    <row r="28" spans="8:14" x14ac:dyDescent="0.25">
      <c r="H28" s="43"/>
      <c r="N28" s="43"/>
    </row>
    <row r="29" spans="8:14" x14ac:dyDescent="0.25">
      <c r="H29" s="43"/>
      <c r="N29" s="43"/>
    </row>
    <row r="30" spans="8:14" x14ac:dyDescent="0.25">
      <c r="H30" s="43"/>
      <c r="N30" s="43"/>
    </row>
    <row r="31" spans="8:14" x14ac:dyDescent="0.25">
      <c r="H31" s="43"/>
      <c r="N31" s="43"/>
    </row>
    <row r="32" spans="8:14" x14ac:dyDescent="0.25">
      <c r="H32" s="43"/>
      <c r="N32" s="43"/>
    </row>
    <row r="33" spans="8:14" x14ac:dyDescent="0.25">
      <c r="H33" s="43"/>
      <c r="N33" s="43"/>
    </row>
    <row r="34" spans="8:14" x14ac:dyDescent="0.25">
      <c r="H34" s="43"/>
      <c r="N34" s="43"/>
    </row>
    <row r="35" spans="8:14" x14ac:dyDescent="0.25">
      <c r="H35" s="43"/>
      <c r="N35" s="43"/>
    </row>
    <row r="36" spans="8:14" x14ac:dyDescent="0.25">
      <c r="H36" s="43"/>
      <c r="N36" s="43"/>
    </row>
    <row r="37" spans="8:14" x14ac:dyDescent="0.25">
      <c r="H37" s="43"/>
      <c r="N37" s="43"/>
    </row>
    <row r="38" spans="8:14" x14ac:dyDescent="0.25">
      <c r="H38" s="43"/>
      <c r="N38" s="43"/>
    </row>
    <row r="39" spans="8:14" x14ac:dyDescent="0.25">
      <c r="H39" s="43"/>
      <c r="N39" s="43"/>
    </row>
    <row r="40" spans="8:14" x14ac:dyDescent="0.25">
      <c r="H40" s="43"/>
      <c r="N40" s="43"/>
    </row>
    <row r="41" spans="8:14" x14ac:dyDescent="0.25">
      <c r="H41" s="43"/>
      <c r="N41" s="43"/>
    </row>
    <row r="42" spans="8:14" x14ac:dyDescent="0.25">
      <c r="H42" s="43"/>
      <c r="N42" s="43"/>
    </row>
    <row r="43" spans="8:14" x14ac:dyDescent="0.25">
      <c r="H43" s="43"/>
      <c r="N43" s="43"/>
    </row>
    <row r="44" spans="8:14" x14ac:dyDescent="0.25">
      <c r="H44" s="43"/>
      <c r="N44" s="43"/>
    </row>
    <row r="45" spans="8:14" x14ac:dyDescent="0.25">
      <c r="H45" s="43"/>
      <c r="N45" s="43"/>
    </row>
    <row r="46" spans="8:14" x14ac:dyDescent="0.25">
      <c r="H46" s="43"/>
      <c r="N46" s="43"/>
    </row>
    <row r="47" spans="8:14" x14ac:dyDescent="0.25">
      <c r="H47" s="43"/>
      <c r="N47" s="43"/>
    </row>
    <row r="48" spans="8:14" x14ac:dyDescent="0.25">
      <c r="H48" s="43"/>
      <c r="N48" s="43"/>
    </row>
    <row r="49" spans="8:14" x14ac:dyDescent="0.25">
      <c r="H49" s="43"/>
      <c r="N49" s="43"/>
    </row>
    <row r="50" spans="8:14" x14ac:dyDescent="0.25">
      <c r="H50" s="43"/>
      <c r="N50" s="43"/>
    </row>
    <row r="51" spans="8:14" x14ac:dyDescent="0.25">
      <c r="H51" s="43"/>
      <c r="N51" s="43"/>
    </row>
    <row r="52" spans="8:14" x14ac:dyDescent="0.25">
      <c r="H52" s="43"/>
      <c r="N52" s="43"/>
    </row>
    <row r="53" spans="8:14" x14ac:dyDescent="0.25">
      <c r="H53" s="43"/>
      <c r="N53" s="43"/>
    </row>
    <row r="54" spans="8:14" x14ac:dyDescent="0.25">
      <c r="H54" s="43"/>
      <c r="N54" s="43"/>
    </row>
    <row r="55" spans="8:14" x14ac:dyDescent="0.25">
      <c r="H55" s="43"/>
      <c r="N55" s="43"/>
    </row>
    <row r="56" spans="8:14" x14ac:dyDescent="0.25">
      <c r="H56" s="43"/>
      <c r="N56" s="43"/>
    </row>
    <row r="57" spans="8:14" x14ac:dyDescent="0.25">
      <c r="H57" s="43"/>
      <c r="N57" s="43"/>
    </row>
    <row r="58" spans="8:14" x14ac:dyDescent="0.25">
      <c r="H58" s="43"/>
      <c r="N58" s="43"/>
    </row>
    <row r="59" spans="8:14" x14ac:dyDescent="0.25">
      <c r="H59" s="43"/>
      <c r="N59" s="43"/>
    </row>
    <row r="60" spans="8:14" x14ac:dyDescent="0.25">
      <c r="H60" s="43"/>
      <c r="N60" s="43"/>
    </row>
    <row r="61" spans="8:14" x14ac:dyDescent="0.25">
      <c r="H61" s="43"/>
      <c r="N61" s="43"/>
    </row>
    <row r="62" spans="8:14" x14ac:dyDescent="0.25">
      <c r="H62" s="43"/>
      <c r="N62" s="43"/>
    </row>
    <row r="63" spans="8:14" x14ac:dyDescent="0.25">
      <c r="H63" s="43"/>
      <c r="N63" s="43"/>
    </row>
    <row r="64" spans="8:14" x14ac:dyDescent="0.25">
      <c r="H64" s="43"/>
      <c r="N64" s="43"/>
    </row>
    <row r="65" spans="8:14" x14ac:dyDescent="0.25">
      <c r="H65" s="43"/>
      <c r="N65" s="43"/>
    </row>
    <row r="66" spans="8:14" x14ac:dyDescent="0.25">
      <c r="H66" s="43"/>
      <c r="N66" s="43"/>
    </row>
    <row r="67" spans="8:14" x14ac:dyDescent="0.25">
      <c r="H67" s="43"/>
      <c r="N67" s="43"/>
    </row>
    <row r="68" spans="8:14" x14ac:dyDescent="0.25">
      <c r="H68" s="43"/>
      <c r="N68" s="43"/>
    </row>
    <row r="69" spans="8:14" x14ac:dyDescent="0.25">
      <c r="H69" s="43"/>
      <c r="N69" s="43"/>
    </row>
    <row r="70" spans="8:14" x14ac:dyDescent="0.25">
      <c r="H70" s="43"/>
      <c r="N70" s="43"/>
    </row>
    <row r="71" spans="8:14" x14ac:dyDescent="0.25">
      <c r="H71" s="43"/>
      <c r="N71" s="43"/>
    </row>
    <row r="72" spans="8:14" x14ac:dyDescent="0.25">
      <c r="H72" s="43"/>
      <c r="N72" s="43"/>
    </row>
    <row r="73" spans="8:14" x14ac:dyDescent="0.25">
      <c r="H73" s="43"/>
      <c r="N73" s="43"/>
    </row>
    <row r="74" spans="8:14" x14ac:dyDescent="0.25">
      <c r="H74" s="43"/>
      <c r="N74" s="43"/>
    </row>
    <row r="75" spans="8:14" x14ac:dyDescent="0.25">
      <c r="H75" s="43"/>
      <c r="N75" s="43"/>
    </row>
    <row r="76" spans="8:14" x14ac:dyDescent="0.25">
      <c r="H76" s="43"/>
      <c r="N76" s="43"/>
    </row>
    <row r="77" spans="8:14" x14ac:dyDescent="0.25">
      <c r="H77" s="43"/>
      <c r="N77" s="43"/>
    </row>
    <row r="78" spans="8:14" x14ac:dyDescent="0.25">
      <c r="H78" s="43"/>
      <c r="N78" s="43"/>
    </row>
    <row r="79" spans="8:14" x14ac:dyDescent="0.25">
      <c r="H79" s="43"/>
      <c r="N79" s="43"/>
    </row>
    <row r="80" spans="8:14" x14ac:dyDescent="0.25">
      <c r="H80" s="43"/>
      <c r="N80" s="43"/>
    </row>
    <row r="81" spans="8:14" x14ac:dyDescent="0.25">
      <c r="H81" s="43"/>
      <c r="N81" s="43"/>
    </row>
    <row r="82" spans="8:14" x14ac:dyDescent="0.25">
      <c r="H82" s="43"/>
      <c r="N82" s="43"/>
    </row>
    <row r="83" spans="8:14" x14ac:dyDescent="0.25">
      <c r="H83" s="43"/>
      <c r="N83" s="43"/>
    </row>
    <row r="84" spans="8:14" x14ac:dyDescent="0.25">
      <c r="H84" s="43"/>
      <c r="N84" s="43"/>
    </row>
    <row r="85" spans="8:14" x14ac:dyDescent="0.25">
      <c r="H85" s="43"/>
      <c r="N85" s="43"/>
    </row>
    <row r="86" spans="8:14" x14ac:dyDescent="0.25">
      <c r="H86" s="43"/>
      <c r="N86" s="43"/>
    </row>
    <row r="87" spans="8:14" x14ac:dyDescent="0.25">
      <c r="H87" s="43"/>
      <c r="N87" s="43"/>
    </row>
    <row r="88" spans="8:14" x14ac:dyDescent="0.25">
      <c r="H88" s="43"/>
      <c r="N88" s="43"/>
    </row>
    <row r="89" spans="8:14" x14ac:dyDescent="0.25">
      <c r="H89" s="43"/>
      <c r="N89" s="43"/>
    </row>
    <row r="90" spans="8:14" x14ac:dyDescent="0.25">
      <c r="H90" s="43"/>
      <c r="N90" s="43"/>
    </row>
    <row r="91" spans="8:14" x14ac:dyDescent="0.25">
      <c r="H91" s="43"/>
      <c r="N91" s="43"/>
    </row>
    <row r="92" spans="8:14" x14ac:dyDescent="0.25">
      <c r="H92" s="43"/>
      <c r="N92" s="43"/>
    </row>
    <row r="93" spans="8:14" x14ac:dyDescent="0.25">
      <c r="H93" s="43"/>
      <c r="N93" s="43"/>
    </row>
    <row r="94" spans="8:14" x14ac:dyDescent="0.25">
      <c r="H94" s="43"/>
      <c r="N94" s="43"/>
    </row>
    <row r="95" spans="8:14" x14ac:dyDescent="0.25">
      <c r="H95" s="43"/>
      <c r="N95" s="43"/>
    </row>
    <row r="96" spans="8:14" x14ac:dyDescent="0.25">
      <c r="H96" s="43"/>
      <c r="N96" s="43"/>
    </row>
    <row r="97" spans="8:14" x14ac:dyDescent="0.25">
      <c r="H97" s="43"/>
      <c r="N97" s="43"/>
    </row>
    <row r="98" spans="8:14" x14ac:dyDescent="0.25">
      <c r="H98" s="43"/>
      <c r="N98" s="43"/>
    </row>
    <row r="99" spans="8:14" x14ac:dyDescent="0.25">
      <c r="H99" s="43"/>
      <c r="N99" s="43"/>
    </row>
    <row r="100" spans="8:14" x14ac:dyDescent="0.25">
      <c r="H100" s="43"/>
      <c r="N100" s="43"/>
    </row>
    <row r="101" spans="8:14" x14ac:dyDescent="0.25">
      <c r="H101" s="43"/>
      <c r="N101" s="43"/>
    </row>
    <row r="102" spans="8:14" x14ac:dyDescent="0.25">
      <c r="H102" s="43"/>
      <c r="N102" s="43"/>
    </row>
    <row r="103" spans="8:14" x14ac:dyDescent="0.25">
      <c r="H103" s="43"/>
      <c r="N103" s="43"/>
    </row>
    <row r="104" spans="8:14" x14ac:dyDescent="0.25">
      <c r="H104" s="43"/>
      <c r="N104" s="43"/>
    </row>
    <row r="105" spans="8:14" x14ac:dyDescent="0.25">
      <c r="H105" s="43"/>
      <c r="N105" s="43"/>
    </row>
    <row r="106" spans="8:14" x14ac:dyDescent="0.25">
      <c r="H106" s="43"/>
      <c r="N106" s="43"/>
    </row>
    <row r="107" spans="8:14" x14ac:dyDescent="0.25">
      <c r="H107" s="43"/>
      <c r="N107" s="43"/>
    </row>
    <row r="108" spans="8:14" x14ac:dyDescent="0.25">
      <c r="H108" s="43"/>
      <c r="N108" s="43"/>
    </row>
    <row r="109" spans="8:14" x14ac:dyDescent="0.25">
      <c r="H109" s="43"/>
      <c r="N109" s="43"/>
    </row>
    <row r="110" spans="8:14" x14ac:dyDescent="0.25">
      <c r="H110" s="43"/>
      <c r="N110" s="43"/>
    </row>
    <row r="111" spans="8:14" x14ac:dyDescent="0.25">
      <c r="H111" s="43"/>
      <c r="N111" s="43"/>
    </row>
    <row r="112" spans="8:14" x14ac:dyDescent="0.25">
      <c r="H112" s="43"/>
      <c r="N112" s="43"/>
    </row>
    <row r="113" spans="8:14" x14ac:dyDescent="0.25">
      <c r="H113" s="43"/>
      <c r="N113" s="43"/>
    </row>
    <row r="114" spans="8:14" x14ac:dyDescent="0.25">
      <c r="H114" s="43"/>
      <c r="N114" s="43"/>
    </row>
    <row r="115" spans="8:14" x14ac:dyDescent="0.25">
      <c r="H115" s="43"/>
      <c r="N115" s="43"/>
    </row>
    <row r="116" spans="8:14" x14ac:dyDescent="0.25">
      <c r="H116" s="43"/>
      <c r="N116" s="43"/>
    </row>
    <row r="117" spans="8:14" x14ac:dyDescent="0.25">
      <c r="H117" s="43"/>
      <c r="N117" s="43"/>
    </row>
    <row r="118" spans="8:14" x14ac:dyDescent="0.25">
      <c r="H118" s="43"/>
      <c r="N118" s="43"/>
    </row>
    <row r="119" spans="8:14" x14ac:dyDescent="0.25">
      <c r="H119" s="43"/>
      <c r="N119" s="43"/>
    </row>
    <row r="120" spans="8:14" x14ac:dyDescent="0.25">
      <c r="H120" s="43"/>
      <c r="N120" s="43"/>
    </row>
    <row r="121" spans="8:14" x14ac:dyDescent="0.25">
      <c r="H121" s="43"/>
      <c r="N121" s="43"/>
    </row>
    <row r="122" spans="8:14" x14ac:dyDescent="0.25">
      <c r="H122" s="43"/>
      <c r="N122" s="43"/>
    </row>
    <row r="123" spans="8:14" x14ac:dyDescent="0.25">
      <c r="H123" s="43"/>
      <c r="N123" s="43"/>
    </row>
    <row r="124" spans="8:14" x14ac:dyDescent="0.25">
      <c r="H124" s="43"/>
      <c r="N124" s="43"/>
    </row>
    <row r="125" spans="8:14" x14ac:dyDescent="0.25">
      <c r="H125" s="43"/>
      <c r="N125" s="43"/>
    </row>
    <row r="126" spans="8:14" x14ac:dyDescent="0.25">
      <c r="H126" s="43"/>
      <c r="N126" s="43"/>
    </row>
    <row r="127" spans="8:14" x14ac:dyDescent="0.25">
      <c r="H127" s="43"/>
      <c r="N127" s="43"/>
    </row>
    <row r="128" spans="8:14" x14ac:dyDescent="0.25">
      <c r="H128" s="43"/>
      <c r="N128" s="43"/>
    </row>
    <row r="129" spans="8:14" x14ac:dyDescent="0.25">
      <c r="H129" s="43"/>
      <c r="N129" s="43"/>
    </row>
    <row r="130" spans="8:14" x14ac:dyDescent="0.25">
      <c r="H130" s="43"/>
      <c r="N130" s="43"/>
    </row>
    <row r="131" spans="8:14" x14ac:dyDescent="0.25">
      <c r="H131" s="43"/>
      <c r="N131" s="43"/>
    </row>
    <row r="132" spans="8:14" x14ac:dyDescent="0.25">
      <c r="H132" s="43"/>
      <c r="N132" s="43"/>
    </row>
    <row r="133" spans="8:14" x14ac:dyDescent="0.25">
      <c r="H133" s="43"/>
      <c r="N133" s="43"/>
    </row>
    <row r="134" spans="8:14" x14ac:dyDescent="0.25">
      <c r="H134" s="43"/>
      <c r="N134" s="43"/>
    </row>
    <row r="135" spans="8:14" x14ac:dyDescent="0.25">
      <c r="H135" s="43"/>
      <c r="N135" s="43"/>
    </row>
    <row r="136" spans="8:14" x14ac:dyDescent="0.25">
      <c r="H136" s="43"/>
      <c r="N136" s="43"/>
    </row>
    <row r="137" spans="8:14" x14ac:dyDescent="0.25">
      <c r="H137" s="43"/>
      <c r="N137" s="43"/>
    </row>
    <row r="138" spans="8:14" x14ac:dyDescent="0.25">
      <c r="H138" s="43"/>
      <c r="N138" s="43"/>
    </row>
    <row r="139" spans="8:14" x14ac:dyDescent="0.25">
      <c r="H139" s="43"/>
      <c r="N139" s="43"/>
    </row>
    <row r="140" spans="8:14" x14ac:dyDescent="0.25">
      <c r="H140" s="43"/>
      <c r="N140" s="43"/>
    </row>
    <row r="141" spans="8:14" x14ac:dyDescent="0.25">
      <c r="H141" s="43"/>
      <c r="N141" s="43"/>
    </row>
    <row r="142" spans="8:14" x14ac:dyDescent="0.25">
      <c r="H142" s="43"/>
      <c r="N142" s="43"/>
    </row>
    <row r="143" spans="8:14" x14ac:dyDescent="0.25">
      <c r="H143" s="43"/>
      <c r="N143" s="43"/>
    </row>
    <row r="144" spans="8:14" x14ac:dyDescent="0.25">
      <c r="H144" s="43"/>
      <c r="N144" s="43"/>
    </row>
    <row r="145" spans="8:14" x14ac:dyDescent="0.25">
      <c r="H145" s="43"/>
      <c r="N145" s="43"/>
    </row>
    <row r="146" spans="8:14" x14ac:dyDescent="0.25">
      <c r="H146" s="43"/>
      <c r="N146" s="43"/>
    </row>
    <row r="147" spans="8:14" x14ac:dyDescent="0.25">
      <c r="H147" s="43"/>
      <c r="N147" s="43"/>
    </row>
    <row r="148" spans="8:14" x14ac:dyDescent="0.25">
      <c r="H148" s="43"/>
      <c r="N148" s="43"/>
    </row>
    <row r="149" spans="8:14" x14ac:dyDescent="0.25">
      <c r="H149" s="43"/>
      <c r="N149" s="43"/>
    </row>
    <row r="150" spans="8:14" x14ac:dyDescent="0.25">
      <c r="H150" s="43"/>
      <c r="N150" s="43"/>
    </row>
    <row r="151" spans="8:14" x14ac:dyDescent="0.25">
      <c r="H151" s="43"/>
      <c r="N151" s="43"/>
    </row>
    <row r="152" spans="8:14" x14ac:dyDescent="0.25">
      <c r="H152" s="43"/>
      <c r="N152" s="43"/>
    </row>
    <row r="153" spans="8:14" x14ac:dyDescent="0.25">
      <c r="H153" s="43"/>
      <c r="N153" s="43"/>
    </row>
    <row r="154" spans="8:14" x14ac:dyDescent="0.25">
      <c r="H154" s="43"/>
      <c r="N154" s="43"/>
    </row>
    <row r="155" spans="8:14" x14ac:dyDescent="0.25">
      <c r="H155" s="43"/>
      <c r="N155" s="43"/>
    </row>
    <row r="156" spans="8:14" x14ac:dyDescent="0.25">
      <c r="H156" s="43"/>
      <c r="N156" s="43"/>
    </row>
    <row r="157" spans="8:14" x14ac:dyDescent="0.25">
      <c r="H157" s="43"/>
      <c r="N157" s="43"/>
    </row>
    <row r="158" spans="8:14" x14ac:dyDescent="0.25">
      <c r="H158" s="43"/>
      <c r="N158" s="43"/>
    </row>
    <row r="159" spans="8:14" x14ac:dyDescent="0.25">
      <c r="H159" s="43"/>
      <c r="N159" s="43"/>
    </row>
    <row r="160" spans="8:14" x14ac:dyDescent="0.25">
      <c r="H160" s="43"/>
      <c r="N160" s="43"/>
    </row>
    <row r="161" spans="8:14" x14ac:dyDescent="0.25">
      <c r="H161" s="43"/>
      <c r="N161" s="43"/>
    </row>
    <row r="162" spans="8:14" x14ac:dyDescent="0.25">
      <c r="H162" s="43"/>
      <c r="N162" s="43"/>
    </row>
    <row r="163" spans="8:14" x14ac:dyDescent="0.25">
      <c r="H163" s="43"/>
      <c r="N163" s="43"/>
    </row>
    <row r="164" spans="8:14" x14ac:dyDescent="0.25">
      <c r="H164" s="43"/>
      <c r="N164" s="43"/>
    </row>
    <row r="165" spans="8:14" x14ac:dyDescent="0.25">
      <c r="H165" s="43"/>
      <c r="N165" s="43"/>
    </row>
    <row r="166" spans="8:14" x14ac:dyDescent="0.25">
      <c r="H166" s="43"/>
      <c r="N166" s="43"/>
    </row>
    <row r="167" spans="8:14" x14ac:dyDescent="0.25">
      <c r="H167" s="43"/>
      <c r="N167" s="43"/>
    </row>
    <row r="168" spans="8:14" x14ac:dyDescent="0.25">
      <c r="H168" s="43"/>
      <c r="N168" s="43"/>
    </row>
    <row r="169" spans="8:14" x14ac:dyDescent="0.25">
      <c r="H169" s="43"/>
      <c r="N169" s="43"/>
    </row>
    <row r="170" spans="8:14" x14ac:dyDescent="0.25">
      <c r="H170" s="43"/>
      <c r="N170" s="43"/>
    </row>
    <row r="171" spans="8:14" x14ac:dyDescent="0.25">
      <c r="H171" s="43"/>
      <c r="N171" s="43"/>
    </row>
    <row r="172" spans="8:14" x14ac:dyDescent="0.25">
      <c r="H172" s="43"/>
      <c r="N172" s="43"/>
    </row>
    <row r="173" spans="8:14" x14ac:dyDescent="0.25">
      <c r="H173" s="43"/>
      <c r="N173" s="43"/>
    </row>
    <row r="174" spans="8:14" x14ac:dyDescent="0.25">
      <c r="H174" s="43"/>
      <c r="N174" s="43"/>
    </row>
    <row r="175" spans="8:14" x14ac:dyDescent="0.25">
      <c r="H175" s="43"/>
      <c r="N175" s="43"/>
    </row>
    <row r="176" spans="8:14" x14ac:dyDescent="0.25">
      <c r="H176" s="43"/>
      <c r="N176" s="43"/>
    </row>
    <row r="177" spans="8:14" x14ac:dyDescent="0.25">
      <c r="H177" s="43"/>
      <c r="N177" s="43"/>
    </row>
    <row r="178" spans="8:14" x14ac:dyDescent="0.25">
      <c r="H178" s="43"/>
      <c r="N178" s="43"/>
    </row>
    <row r="179" spans="8:14" x14ac:dyDescent="0.25">
      <c r="H179" s="43"/>
      <c r="N179" s="43"/>
    </row>
    <row r="180" spans="8:14" x14ac:dyDescent="0.25">
      <c r="H180" s="43"/>
      <c r="N180" s="43"/>
    </row>
    <row r="181" spans="8:14" x14ac:dyDescent="0.25">
      <c r="H181" s="43"/>
      <c r="N181" s="43"/>
    </row>
    <row r="182" spans="8:14" x14ac:dyDescent="0.25">
      <c r="H182" s="43"/>
      <c r="N182" s="43"/>
    </row>
    <row r="183" spans="8:14" x14ac:dyDescent="0.25">
      <c r="H183" s="43"/>
      <c r="N183" s="43"/>
    </row>
    <row r="184" spans="8:14" x14ac:dyDescent="0.25">
      <c r="H184" s="43"/>
      <c r="N184" s="43"/>
    </row>
    <row r="185" spans="8:14" x14ac:dyDescent="0.25">
      <c r="H185" s="43"/>
      <c r="N185" s="43"/>
    </row>
    <row r="186" spans="8:14" x14ac:dyDescent="0.25">
      <c r="H186" s="43"/>
      <c r="N186" s="43"/>
    </row>
    <row r="187" spans="8:14" x14ac:dyDescent="0.25">
      <c r="H187" s="43"/>
      <c r="N187" s="43"/>
    </row>
    <row r="188" spans="8:14" x14ac:dyDescent="0.25">
      <c r="H188" s="43"/>
      <c r="N188" s="43"/>
    </row>
    <row r="189" spans="8:14" x14ac:dyDescent="0.25">
      <c r="H189" s="43"/>
      <c r="N189" s="43"/>
    </row>
    <row r="190" spans="8:14" x14ac:dyDescent="0.25">
      <c r="H190" s="43"/>
      <c r="N190" s="43"/>
    </row>
    <row r="191" spans="8:14" x14ac:dyDescent="0.25">
      <c r="H191" s="43"/>
      <c r="N191" s="43"/>
    </row>
    <row r="192" spans="8:14" x14ac:dyDescent="0.25">
      <c r="H192" s="43"/>
      <c r="N192" s="43"/>
    </row>
    <row r="193" spans="8:14" x14ac:dyDescent="0.25">
      <c r="H193" s="43"/>
      <c r="N193" s="43"/>
    </row>
    <row r="194" spans="8:14" x14ac:dyDescent="0.25">
      <c r="H194" s="43"/>
      <c r="N194" s="43"/>
    </row>
    <row r="195" spans="8:14" x14ac:dyDescent="0.25">
      <c r="H195" s="43"/>
      <c r="N195" s="43"/>
    </row>
    <row r="196" spans="8:14" x14ac:dyDescent="0.25">
      <c r="H196" s="43"/>
      <c r="N196" s="43"/>
    </row>
    <row r="197" spans="8:14" x14ac:dyDescent="0.25">
      <c r="H197" s="43"/>
      <c r="N197" s="43"/>
    </row>
    <row r="198" spans="8:14" x14ac:dyDescent="0.25">
      <c r="H198" s="43"/>
      <c r="N198" s="43"/>
    </row>
    <row r="199" spans="8:14" x14ac:dyDescent="0.25">
      <c r="H199" s="43"/>
      <c r="N199" s="43"/>
    </row>
    <row r="200" spans="8:14" x14ac:dyDescent="0.25">
      <c r="H200" s="43"/>
      <c r="N200" s="43"/>
    </row>
  </sheetData>
  <mergeCells count="1">
    <mergeCell ref="A8:Q8"/>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Overview</vt:lpstr>
      <vt:lpstr>Title </vt:lpstr>
      <vt:lpstr>Runsheet</vt:lpstr>
      <vt:lpstr>OGLs</vt:lpstr>
      <vt:lpstr>WI</vt:lpstr>
      <vt:lpstr>Wells</vt:lpstr>
      <vt:lpstr>Overview!Print_Area</vt:lpstr>
      <vt:lpstr>Runsheet!Print_Area</vt:lpstr>
      <vt:lpstr>'Title '!Print_Area</vt:lpstr>
      <vt:lpstr>Wells!Print_Area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Fields</dc:creator>
  <cp:lastModifiedBy>Ryan Gille</cp:lastModifiedBy>
  <cp:revision>0</cp:revision>
  <cp:lastPrinted>2025-01-15T21:46:25Z</cp:lastPrinted>
  <dcterms:created xsi:type="dcterms:W3CDTF">2019-01-25T22:10:52Z</dcterms:created>
  <dcterms:modified xsi:type="dcterms:W3CDTF">2026-06-08T20:41:39Z</dcterms:modified>
  <dc:language>en-US</dc:language>
</cp:coreProperties>
</file>