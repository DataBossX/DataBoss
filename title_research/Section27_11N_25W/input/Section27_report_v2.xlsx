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Title " sheetId="2" state="visible" r:id="rId4"/>
    <sheet name="PLAT" sheetId="3" state="visible" r:id="rId5"/>
    <sheet name="Tract 1 (NE4)" sheetId="4" state="visible" r:id="rId6"/>
    <sheet name="Tract 2 (NW4)" sheetId="5" state="visible" r:id="rId7"/>
    <sheet name="Tract 3 (SE4)" sheetId="6" state="visible" r:id="rId8"/>
    <sheet name="Tract 4 (SW4)" sheetId="7" state="visible" r:id="rId9"/>
    <sheet name="Tract 5 (Church)" sheetId="8" state="visible" r:id="rId10"/>
    <sheet name="WI" sheetId="9" state="visible" r:id="rId11"/>
    <sheet name="Runsheet" sheetId="10" state="visible" r:id="rId12"/>
    <sheet name="OGLs" sheetId="11" state="visible" r:id="rId13"/>
    <sheet name="Wells" sheetId="12" state="visible" r:id="rId14"/>
    <sheet name="Source Index" sheetId="13" state="visible" r:id="rId15"/>
    <sheet name="Conflicts &amp; Open Items" sheetId="14" state="visible" r:id="rId16"/>
    <sheet name="Change Log"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<sst xmlns="http://schemas.openxmlformats.org/spreadsheetml/2006/main" count="3813" uniqueCount="1124">
  <si>
    <t xml:space="preserve">Prospect Name/Number:</t>
  </si>
  <si>
    <t xml:space="preserve">26-005</t>
  </si>
  <si>
    <t xml:space="preserve">Section</t>
  </si>
  <si>
    <t xml:space="preserve">27</t>
  </si>
  <si>
    <t xml:space="preserve">Township</t>
  </si>
  <si>
    <t xml:space="preserve">11 North</t>
  </si>
  <si>
    <t xml:space="preserve">Range</t>
  </si>
  <si>
    <t xml:space="preserve">25 West</t>
  </si>
  <si>
    <t xml:space="preserve">County</t>
  </si>
  <si>
    <t xml:space="preserve">Beckham</t>
  </si>
  <si>
    <t xml:space="preserve">State</t>
  </si>
  <si>
    <t xml:space="preserve">Oklahoma</t>
  </si>
  <si>
    <t xml:space="preserve">Containing 640.00 acres, more or less</t>
  </si>
  <si>
    <t xml:space="preserve">Tract 2 - NW/4</t>
  </si>
  <si>
    <t xml:space="preserve">Tract 1 - NE/4</t>
  </si>
  <si>
    <t xml:space="preserve">Tract 4 - SW/4 (less 1.00-ac Tract 5)</t>
  </si>
  <si>
    <t xml:space="preserve">Tract 3 - SE/4</t>
  </si>
  <si>
    <t xml:space="preserve">Tract 5 - 1.00-acre Buffalo Missionary Baptist Church tract (in SW/4)</t>
  </si>
  <si>
    <t xml:space="preserve">ATTACHMENTS:</t>
  </si>
  <si>
    <t xml:space="preserve">OWNERSHIP REPORT DATED:</t>
  </si>
  <si>
    <t xml:space="preserve">LAST ENTRY:</t>
  </si>
  <si>
    <t xml:space="preserve">TITLE OPINION UPDATE DATED:</t>
  </si>
  <si>
    <t xml:space="preserve">X</t>
  </si>
  <si>
    <t xml:space="preserve">CURSORY REPORT DATED:</t>
  </si>
  <si>
    <t xml:space="preserve">6/8/2026</t>
  </si>
  <si>
    <t xml:space="preserve">2486/716</t>
  </si>
  <si>
    <t xml:space="preserve">COUNTY CERTIFICATION DATE:</t>
  </si>
  <si>
    <t xml:space="preserve">REMARKS:</t>
  </si>
  <si>
    <t xml:space="preserve">Cursory review only insofar as Diversified's apparent leasehold (working) interest in the Sec-27 pooled unit. Depth-limited; see Title and WI.</t>
  </si>
  <si>
    <t xml:space="preserve">EXAMINER:</t>
  </si>
  <si>
    <t xml:space="preserve">RG</t>
  </si>
  <si>
    <t xml:space="preserve">CURSORY REVIEW ONLY INSOFAR AS DIVERSIFIED'S APPARENT LEASEHOLD INTEREST</t>
  </si>
  <si>
    <t xml:space="preserve">Section 27, Township 11 North, Range 25 West, I.M., Beckham County, Oklahoma  -  640-ac pooled unit (OCC Order 429172 / CD 980004527)</t>
  </si>
  <si>
    <t xml:space="preserve">TRACT 1:</t>
  </si>
  <si>
    <t xml:space="preserve">NE/4 Section 27-11N-25W</t>
  </si>
  <si>
    <t xml:space="preserve">Containing:</t>
  </si>
  <si>
    <t xml:space="preserve">160.00 acres, more or less</t>
  </si>
  <si>
    <t xml:space="preserve">Lessor / Mineral Owner</t>
  </si>
  <si>
    <t xml:space="preserve">Net Acres</t>
  </si>
  <si>
    <t xml:space="preserve">OGL / Book-Page</t>
  </si>
  <si>
    <t xml:space="preserve">Royalty</t>
  </si>
  <si>
    <t xml:space="preserve">Expiration</t>
  </si>
  <si>
    <t xml:space="preserve">Comments (Lessee / depth / status)</t>
  </si>
  <si>
    <t xml:space="preserve">Chloe E. Davis Revocable Living Trust</t>
  </si>
  <si>
    <t xml:space="preserve">Unknown</t>
  </si>
  <si>
    <t xml:space="preserve">1717/509</t>
  </si>
  <si>
    <t xml:space="preserve">Verified - Beckham County index + OCR extract</t>
  </si>
  <si>
    <t xml:space="preserve">HBP</t>
  </si>
  <si>
    <t xml:space="preserve">Lessee: Sanguine, Ltd.. Term: 160. Depth: Lease covers only rights below the stratigraphic equivalent of 17,960 feet, being total depth drilled plus 100 feet in the Sanguine, Ltd. Mandrell #2-27 well located in the W/2 SE/4 of Section 27-11N-25W, Beckham County, Oklahoma.</t>
  </si>
  <si>
    <t xml:space="preserve">Donald E. Gordon</t>
  </si>
  <si>
    <t xml:space="preserve">1717/497</t>
  </si>
  <si>
    <t xml:space="preserve">1672/130</t>
  </si>
  <si>
    <t xml:space="preserve">Lessee: Sanguine, Ltd.. Term: 160. Depth: Lease covers only rights beneath 100 feet below the total depth drilled (17,860 feet) in the Sanguine, Ltd. Mandrell #2-27 well located in the W/2 SE/4 of Section 27-11N-25W.</t>
  </si>
  <si>
    <t xml:space="preserve">1580/111</t>
  </si>
  <si>
    <t xml:space="preserve">PDF image reviewed / related form pattern checked - key terms normalized</t>
  </si>
  <si>
    <t xml:space="preserve">Lessee: French Energy, Inc.. Term: 160. Depth: none stated on reviewed page.</t>
  </si>
  <si>
    <t xml:space="preserve">1574/272</t>
  </si>
  <si>
    <t xml:space="preserve">Lessee: Arrowhead Resources, Inc.. Term: 160. Depth: none stated on reviewed page.</t>
  </si>
  <si>
    <t xml:space="preserve">1432/24</t>
  </si>
  <si>
    <t xml:space="preserve">PDF image reviewed / related top-lease form checked - key terms normalized</t>
  </si>
  <si>
    <t xml:space="preserve">Lessee: French Energy, Inc.. Term: 160. Depth: Top/reversionary form, depth clause not fully abstracted from reviewed page.</t>
  </si>
  <si>
    <t xml:space="preserve">1432/20</t>
  </si>
  <si>
    <t xml:space="preserve">TOTAL</t>
  </si>
  <si>
    <t xml:space="preserve">160.00 gross</t>
  </si>
  <si>
    <t xml:space="preserve">Per-lessor net mineral acres NOT derivable from index (cursory) - run-of-title / division orders required.</t>
  </si>
  <si>
    <t xml:space="preserve">TRACT 2:</t>
  </si>
  <si>
    <t xml:space="preserve">NW/4 Section 27-11N-25W</t>
  </si>
  <si>
    <t xml:space="preserve">Michael Ray Sites</t>
  </si>
  <si>
    <t xml:space="preserve">1717/501</t>
  </si>
  <si>
    <t xml:space="preserve">Gary Kent Benton</t>
  </si>
  <si>
    <t xml:space="preserve">1717/485</t>
  </si>
  <si>
    <t xml:space="preserve">Steven Ernest Benton</t>
  </si>
  <si>
    <t xml:space="preserve">1717/481</t>
  </si>
  <si>
    <t xml:space="preserve">Betty Sites</t>
  </si>
  <si>
    <t xml:space="preserve">1717/477</t>
  </si>
  <si>
    <t xml:space="preserve">Marshall E. Benton,
Nell G. Benton</t>
  </si>
  <si>
    <t xml:space="preserve">1717/473</t>
  </si>
  <si>
    <t xml:space="preserve">Melody Denise Harbor</t>
  </si>
  <si>
    <t xml:space="preserve">1717/469</t>
  </si>
  <si>
    <t xml:space="preserve">Robert A. Edwards</t>
  </si>
  <si>
    <t xml:space="preserve">1717/464</t>
  </si>
  <si>
    <t xml:space="preserve">Larry D. Edwards Living Trust</t>
  </si>
  <si>
    <t xml:space="preserve">1717/460</t>
  </si>
  <si>
    <t xml:space="preserve">Radonna Kay Christopher</t>
  </si>
  <si>
    <t xml:space="preserve">1717/456</t>
  </si>
  <si>
    <t xml:space="preserve">Clyde &amp; Sharon Pine 1990 Irrevocable Trust</t>
  </si>
  <si>
    <t xml:space="preserve">1608/63</t>
  </si>
  <si>
    <t xml:space="preserve">Lessee: Clyde &amp; Sharon Pine 1990 Irrevocable Trust. Term: 160. Depth: none stated on reviewed page.</t>
  </si>
  <si>
    <t xml:space="preserve">Colt Development, LLC</t>
  </si>
  <si>
    <t xml:space="preserve">1605/598</t>
  </si>
  <si>
    <t xml:space="preserve">Lessee: Colt Development, LLC. Term: 160. Depth: none stated on reviewed page.</t>
  </si>
  <si>
    <t xml:space="preserve">Angela K. Allen</t>
  </si>
  <si>
    <t xml:space="preserve">1592/350</t>
  </si>
  <si>
    <t xml:space="preserve">Lessee: Sanguine, Ltd.. Term: 160. Depth: Limited to rights from the surface to the base of the Morrow Formation only.</t>
  </si>
  <si>
    <t xml:space="preserve">1580/115</t>
  </si>
  <si>
    <t xml:space="preserve">1580/107</t>
  </si>
  <si>
    <t xml:space="preserve">Marshall E. Benton</t>
  </si>
  <si>
    <t xml:space="preserve">1580/103</t>
  </si>
  <si>
    <t xml:space="preserve">1580/99</t>
  </si>
  <si>
    <t xml:space="preserve">1580/95</t>
  </si>
  <si>
    <t xml:space="preserve">1580/91</t>
  </si>
  <si>
    <t xml:space="preserve">1580/87</t>
  </si>
  <si>
    <t xml:space="preserve">1580/83</t>
  </si>
  <si>
    <t xml:space="preserve">Larry D. Edwards</t>
  </si>
  <si>
    <t xml:space="preserve">1580/79</t>
  </si>
  <si>
    <t xml:space="preserve">1435/159</t>
  </si>
  <si>
    <t xml:space="preserve">1432/68</t>
  </si>
  <si>
    <t xml:space="preserve">1432/64</t>
  </si>
  <si>
    <t xml:space="preserve">Melody Denise Harbour</t>
  </si>
  <si>
    <t xml:space="preserve">1432/60</t>
  </si>
  <si>
    <t xml:space="preserve">1432/56</t>
  </si>
  <si>
    <t xml:space="preserve">1432/52</t>
  </si>
  <si>
    <t xml:space="preserve">1432/48</t>
  </si>
  <si>
    <t xml:space="preserve">1432/44</t>
  </si>
  <si>
    <t xml:space="preserve">1432/40</t>
  </si>
  <si>
    <t xml:space="preserve">TRACT 3:</t>
  </si>
  <si>
    <t xml:space="preserve">SE/4 Section 27-11N-25W</t>
  </si>
  <si>
    <t xml:space="preserve">Fuchs Properties, LLC</t>
  </si>
  <si>
    <t xml:space="preserve">1717/505</t>
  </si>
  <si>
    <t xml:space="preserve">Calvin W. Fuchs Trust</t>
  </si>
  <si>
    <t xml:space="preserve">1717/493</t>
  </si>
  <si>
    <t xml:space="preserve">Fuchs Family Revocable Trust</t>
  </si>
  <si>
    <t xml:space="preserve">1717/489</t>
  </si>
  <si>
    <t xml:space="preserve">Laura Owens Bennett Trust</t>
  </si>
  <si>
    <t xml:space="preserve">1687/170</t>
  </si>
  <si>
    <t xml:space="preserve">Lessee: Todco Properties, Inc.. Term: 160. Depth: SE/4 limited to all depths below 17,860 feet.</t>
  </si>
  <si>
    <t xml:space="preserve">Darcy Ann Coale</t>
  </si>
  <si>
    <t xml:space="preserve">1687/165</t>
  </si>
  <si>
    <t xml:space="preserve">Bennett Family Trust</t>
  </si>
  <si>
    <t xml:space="preserve">1687/160</t>
  </si>
  <si>
    <t xml:space="preserve">Alfred R. Fuchs,
F. Jeanice Fuchs Aka Jeanice Fuchs</t>
  </si>
  <si>
    <t xml:space="preserve">1672/141</t>
  </si>
  <si>
    <t xml:space="preserve">Howard G. Fuchs Trust</t>
  </si>
  <si>
    <t xml:space="preserve">1672/137</t>
  </si>
  <si>
    <t xml:space="preserve">Calvin W. Fuchs Revocable Trust</t>
  </si>
  <si>
    <t xml:space="preserve">1672/134</t>
  </si>
  <si>
    <t xml:space="preserve">1592/52</t>
  </si>
  <si>
    <t xml:space="preserve">PDF image reviewed - key lease terms verified</t>
  </si>
  <si>
    <t xml:space="preserve">Lessee: Todco Properties, Inc.. Term: 160. Depth: none stated on reviewed page.</t>
  </si>
  <si>
    <t xml:space="preserve">1592/47</t>
  </si>
  <si>
    <t xml:space="preserve">1592/42</t>
  </si>
  <si>
    <t xml:space="preserve">Boyd Mead</t>
  </si>
  <si>
    <t xml:space="preserve">1587/129</t>
  </si>
  <si>
    <t xml:space="preserve">Lessee: Sanguine, Ltd.. Term: 160. Depth: none stated on reviewed page.</t>
  </si>
  <si>
    <t xml:space="preserve">1574/284</t>
  </si>
  <si>
    <t xml:space="preserve">1574/280</t>
  </si>
  <si>
    <t xml:space="preserve">1574/276</t>
  </si>
  <si>
    <t xml:space="preserve">1433/213</t>
  </si>
  <si>
    <t xml:space="preserve">Boyd M. Mead</t>
  </si>
  <si>
    <t xml:space="preserve">1432/36</t>
  </si>
  <si>
    <t xml:space="preserve">1432/32</t>
  </si>
  <si>
    <t xml:space="preserve">1432/28</t>
  </si>
  <si>
    <t xml:space="preserve">Laura O. Bennett Trust</t>
  </si>
  <si>
    <t xml:space="preserve">1419/244</t>
  </si>
  <si>
    <t xml:space="preserve">Darcy Coale</t>
  </si>
  <si>
    <t xml:space="preserve">1419/241</t>
  </si>
  <si>
    <t xml:space="preserve">1419/238</t>
  </si>
  <si>
    <t xml:space="preserve">TRACT 4:</t>
  </si>
  <si>
    <t xml:space="preserve">SW/4 Section 27-11N-25W, less 1.00-acre Buffalo Church tract</t>
  </si>
  <si>
    <t xml:space="preserve">159.00 acres, more or less</t>
  </si>
  <si>
    <t xml:space="preserve">Mandrell Farms, Inc.</t>
  </si>
  <si>
    <t xml:space="preserve">1592/347</t>
  </si>
  <si>
    <t xml:space="preserve">Lessee: Sanguine, Ltd.. Term: 159. Depth: No special depth limitation located on reviewed first page</t>
  </si>
  <si>
    <t xml:space="preserve">1387/232</t>
  </si>
  <si>
    <t xml:space="preserve">Lessee: T. S. Dudley Land Company, Inc.. Term: 159. Depth: none stated on reviewed page.</t>
  </si>
  <si>
    <t xml:space="preserve">159.00 gross</t>
  </si>
  <si>
    <t xml:space="preserve">TRACT 5:</t>
  </si>
  <si>
    <t xml:space="preserve">1.00-acre tract in SW/4 Section 27-11N-25W (Buffalo Missionary Baptist Church)</t>
  </si>
  <si>
    <t xml:space="preserve">1.00 acres, more or less</t>
  </si>
  <si>
    <t xml:space="preserve">Buffalo Missionary Baptist Church</t>
  </si>
  <si>
    <t xml:space="preserve">1588/245</t>
  </si>
  <si>
    <t xml:space="preserve">Lessee: Todco Properties, Inc.. Term: 1. Depth: none stated on reviewed page.</t>
  </si>
  <si>
    <t xml:space="preserve">1.00 gross</t>
  </si>
  <si>
    <t xml:space="preserve">NOTE: This is a cursory leasehold reconstruction limited to Diversified's apparent interest - not a division-order, drilling, or acquisition-close title opinion. Net mineral acres per lessor are shown 'Unknown' because lessor mineral fractions are not derivable from the county index alone.</t>
  </si>
  <si>
    <t xml:space="preserve">Section 27-11N-25W  -  Beckham County, Oklahoma  (640 acres)</t>
  </si>
  <si>
    <t xml:space="preserve">Tract 2  -  NW/4  (160 ac)</t>
  </si>
  <si>
    <t xml:space="preserve">Tract 1  -  NE/4  (160 ac)</t>
  </si>
  <si>
    <t xml:space="preserve">Tract 4  -  SW/4 less 1 ac (159 ac)</t>
  </si>
  <si>
    <t xml:space="preserve">Tract 3  -  SE/4  (160 ac)</t>
  </si>
  <si>
    <t xml:space="preserve">Tract 5  -  1.00-acre Buffalo Missionary Baptist Church tract (carved out of SW/4)</t>
  </si>
  <si>
    <t xml:space="preserve">Wells (see Wells sheet): Mandrell #2-27, Betty Sites #1-27, Sites #1H-2215 (active); Mandrell #1-27 (P&amp;A).</t>
  </si>
  <si>
    <t xml:space="preserve">Instrument</t>
  </si>
  <si>
    <t xml:space="preserve">BASE / SOURCE</t>
  </si>
  <si>
    <t xml:space="preserve">ASSN</t>
  </si>
  <si>
    <t xml:space="preserve">NAME CHANGE</t>
  </si>
  <si>
    <t xml:space="preserve">MERGER / SUPPORT</t>
  </si>
  <si>
    <t xml:space="preserve">WB ASSN</t>
  </si>
  <si>
    <t xml:space="preserve">EXCLUDED</t>
  </si>
  <si>
    <t xml:space="preserve">AFF</t>
  </si>
  <si>
    <t xml:space="preserve">WI</t>
  </si>
  <si>
    <t xml:space="preserve">TRACT</t>
  </si>
  <si>
    <t xml:space="preserve">Image Number</t>
  </si>
  <si>
    <t xml:space="preserve">SOURCE</t>
  </si>
  <si>
    <t xml:space="preserve">2017-004597
2019-002937
2019-002988</t>
  </si>
  <si>
    <t xml:space="preserve">2020-004390</t>
  </si>
  <si>
    <t xml:space="preserve">2025-001808
2026-001031</t>
  </si>
  <si>
    <t xml:space="preserve">2023-000993</t>
  </si>
  <si>
    <t xml:space="preserve">2020-004435
2020-004462
2022-003507
2022-004277
2022-004838
2023-000796</t>
  </si>
  <si>
    <t xml:space="preserve">2026-001031</t>
  </si>
  <si>
    <t xml:space="preserve">DESCRIPTION</t>
  </si>
  <si>
    <t xml:space="preserve">Book / Page</t>
  </si>
  <si>
    <t xml:space="preserve">Report / Title</t>
  </si>
  <si>
    <t xml:space="preserve">Report / Title / OGL index</t>
  </si>
  <si>
    <t xml:space="preserve">2266/194
2307/894
2308/123</t>
  </si>
  <si>
    <t xml:space="preserve">2340/218</t>
  </si>
  <si>
    <t xml:space="preserve">2451/4
2480/824</t>
  </si>
  <si>
    <t xml:space="preserve">2401/214</t>
  </si>
  <si>
    <t xml:space="preserve">2340/403
2340/490
2389/581
2393/1
2395/415
2400/551</t>
  </si>
  <si>
    <t xml:space="preserve">2480/824</t>
  </si>
  <si>
    <t xml:space="preserve">Date</t>
  </si>
  <si>
    <t xml:space="preserve">6/8/2026 report</t>
  </si>
  <si>
    <t xml:space="preserve">10/24/17
7/24/19
7/26/19</t>
  </si>
  <si>
    <t xml:space="preserve">11/18/20</t>
  </si>
  <si>
    <t xml:space="preserve">3/14/25
3/10/26</t>
  </si>
  <si>
    <t xml:space="preserve">8/9/23</t>
  </si>
  <si>
    <t xml:space="preserve">2020-2023</t>
  </si>
  <si>
    <t xml:space="preserve">3/10/26</t>
  </si>
  <si>
    <t xml:space="preserve">TRACT ACRES</t>
  </si>
  <si>
    <t xml:space="preserve">Conveyance</t>
  </si>
  <si>
    <t xml:space="preserve">Apparent Diversified leasehold WI (Track A path; Sec-27 640-ac unit). Per-tract NMA not derivable from index.</t>
  </si>
  <si>
    <t xml:space="preserve">Residual + apparent Track A source</t>
  </si>
  <si>
    <t xml:space="preserve">Track A into FourPoint</t>
  </si>
  <si>
    <t xml:space="preserve">FourPoint → Unbridled</t>
  </si>
  <si>
    <t xml:space="preserve">Maverick / Diversified support</t>
  </si>
  <si>
    <t xml:space="preserve">Wellbore carveout only</t>
  </si>
  <si>
    <t xml:space="preserve">Track B / DP Legacy path not carried</t>
  </si>
  <si>
    <t xml:space="preserve">Support only</t>
  </si>
  <si>
    <t xml:space="preserve">BASE OGL</t>
  </si>
  <si>
    <t xml:space="preserve">Working Interest</t>
  </si>
  <si>
    <t xml:space="preserve">SURFACE</t>
  </si>
  <si>
    <t xml:space="preserve">NOTES</t>
  </si>
  <si>
    <t xml:space="preserve">NET ACRES</t>
  </si>
  <si>
    <t xml:space="preserve">OWNERS</t>
  </si>
  <si>
    <t xml:space="preserve">Residual 8/8 not chained to Diversified in this cursory report. Kept open so Section 27 ties to 640 acres.</t>
  </si>
  <si>
    <t xml:space="preserve">Residual after 448.333333 NMA apparent Diversified chain</t>
  </si>
  <si>
    <t xml:space="preserve">Open / non-Diversified / unverified Section 27 leasehold</t>
  </si>
  <si>
    <t xml:space="preserve">Apparent Track A predecessor block. Source report carries 448.333333 NMA / 640 = 0.700520833 WI to Diversified path; internal split between N&amp;G/NG Family/EnerVest not decimalized in this cursory file.</t>
  </si>
  <si>
    <t xml:space="preserve">Track A OGLs / 2266/194 + 2307/894 + 2308/123</t>
  </si>
  <si>
    <t xml:space="preserve">Nadel &amp; Gussman / NG Family / EnerVest predecessor block</t>
  </si>
  <si>
    <t xml:space="preserve">Track A assignments into FourPoint. 100% of assignors' Sec-27 interest carried forward.</t>
  </si>
  <si>
    <t xml:space="preserve">2017-004597; 2019-002937; 2019-002988</t>
  </si>
  <si>
    <t xml:space="preserve">FourPoint Energy, LLC</t>
  </si>
  <si>
    <t xml:space="preserve">FourPoint public notice/name-change path to Unbridled; corporate succession support only.</t>
  </si>
  <si>
    <t xml:space="preserve">2020-004390 / Unbridled Resources</t>
  </si>
  <si>
    <t xml:space="preserve">Unbridled Resources, LLC / MNR / Maverick Natural Resources, LLC</t>
  </si>
  <si>
    <t xml:space="preserve">Current apparent Section 27 owner. Booked decimal = 448.333333 / 640. NRI estimate at 3/16 burden ≈ 0.569173177, but NRI not booked here.</t>
  </si>
  <si>
    <t xml:space="preserve">Diversified successor path; support affidavit carried</t>
  </si>
  <si>
    <t xml:space="preserve">Diversified Production, LLC / Diversified Energy successor path</t>
  </si>
  <si>
    <t xml:space="preserve">Wellbore assignment only. No tract WI decimal booked until Exhibit A / wellbore carveout is fully abstracted.</t>
  </si>
  <si>
    <t xml:space="preserve">2023-000993 (2401/214)</t>
  </si>
  <si>
    <t xml:space="preserve">Teocalli Exploration, LLC</t>
  </si>
  <si>
    <t xml:space="preserve">Track B / DP Legacy / Tapstone documents shown for audit trail only. No Section 27 Diversified tract WI decimal carried from this path in this tab.</t>
  </si>
  <si>
    <t xml:space="preserve">Track B excluded docs</t>
  </si>
  <si>
    <t xml:space="preserve">Chesapeake / Tapstone / DP Legacy / DP Sooner / Diversified Track B path</t>
  </si>
  <si>
    <t xml:space="preserve">Support affidavit only; no independent conveyance decimal booked.</t>
  </si>
  <si>
    <t xml:space="preserve">2026-001031 support affidavit</t>
  </si>
  <si>
    <t xml:space="preserve">DP / Diversified support affidavit</t>
  </si>
  <si>
    <t xml:space="preserve">Legacy Sanguine / investor / Kaiser-Francis / Enogex / Chesapeake predecessor history remains behind Track A, but precise individual WI splits are not reliable from this cursory report alone.</t>
  </si>
  <si>
    <t xml:space="preserve">See Runsheet rows 20-107 and OGLs tab</t>
  </si>
  <si>
    <t xml:space="preserve">Sanguine / investor group / Kaiser-Francis / Enogex / Chesapeake predecessors</t>
  </si>
  <si>
    <t xml:space="preserve">Per-tract figures are the apparent SECTION-WIDE leased fraction applied for reference; per-tract net mineral acres are NOT derivable from the county index (cursory). See consolidated WI sheet and Title.</t>
  </si>
  <si>
    <t xml:space="preserve">SW/4 Sec 27-11N-25W, less 1 ac</t>
  </si>
  <si>
    <t xml:space="preserve">1.00-ac Buffalo Church tract in SW/4</t>
  </si>
  <si>
    <t xml:space="preserve">Section 27-11N-25W (640-ac unit)</t>
  </si>
  <si>
    <t xml:space="preserve">Instrument #</t>
  </si>
  <si>
    <t xml:space="preserve">Doc Type</t>
  </si>
  <si>
    <t xml:space="preserve">Book/Page</t>
  </si>
  <si>
    <t xml:space="preserve">Document Date</t>
  </si>
  <si>
    <t xml:space="preserve">Recorded Date</t>
  </si>
  <si>
    <t xml:space="preserve">Grantor(s)</t>
  </si>
  <si>
    <t xml:space="preserve">Grantee(s)</t>
  </si>
  <si>
    <t xml:space="preserve">Legal Description</t>
  </si>
  <si>
    <t xml:space="preserve">Notes</t>
  </si>
  <si>
    <t xml:space="preserve">Image Link</t>
  </si>
  <si>
    <t xml:space="preserve">1990-005458</t>
  </si>
  <si>
    <t xml:space="preserve">Sheriff Deed</t>
  </si>
  <si>
    <t xml:space="preserve">1168/324</t>
  </si>
  <si>
    <t xml:space="preserve">1990-09-26</t>
  </si>
  <si>
    <t xml:space="preserve">1990-10-01</t>
  </si>
  <si>
    <t xml:space="preserve">Beckham County Sheriff</t>
  </si>
  <si>
    <t xml:space="preserve">Diversified Financial Group, Inc.</t>
  </si>
  <si>
    <t xml:space="preserve">The Lots 25, 26, 27 and 28 in Block 9, Choctaw Townsite and
Improvement company's Subdivision of Blocks 9 to 14 both inclusive, of the Brooks Addition to the Brooks Addition to the Erick, Oklahoma, according to the recorded plat thereof</t>
  </si>
  <si>
    <t xml:space="preserve">Sheriff's deed - town lots. Surface only, minerals reserved.</t>
  </si>
  <si>
    <t xml:space="preserve">View Image</t>
  </si>
  <si>
    <t xml:space="preserve">1991-000566</t>
  </si>
  <si>
    <t xml:space="preserve">QCD</t>
  </si>
  <si>
    <t xml:space="preserve">1189/20</t>
  </si>
  <si>
    <t xml:space="preserve">1991-01-28</t>
  </si>
  <si>
    <t xml:space="preserve">1991-01-31</t>
  </si>
  <si>
    <t xml:space="preserve">Marshall W. Nix,
Bobbi R. Nix</t>
  </si>
  <si>
    <t xml:space="preserve">Brooks Add Erick</t>
  </si>
  <si>
    <t xml:space="preserve">Quit claim deed. Check granting language for any mineral conveyance.</t>
  </si>
  <si>
    <t xml:space="preserve">1995-003582</t>
  </si>
  <si>
    <t xml:space="preserve">Warranty Deed</t>
  </si>
  <si>
    <t xml:space="preserve">1428/128</t>
  </si>
  <si>
    <t xml:space="preserve">1994-03-04</t>
  </si>
  <si>
    <t xml:space="preserve">1995-07-19</t>
  </si>
  <si>
    <t xml:space="preserve">Fred Donnell</t>
  </si>
  <si>
    <t xml:space="preserve">The West 62 feet of l.ots 11, 12, and 13 and the West 62 feet of the North 174 feet of Lot 14, all in Block 42 of the Original Town of Erick, Beckham County, Oklahoma 27-11N-25W</t>
  </si>
  <si>
    <t xml:space="preserve">Warranty Deed from Fred Donnell to Diversified Financial Group, Inc.</t>
  </si>
  <si>
    <t xml:space="preserve">1995-004023</t>
  </si>
  <si>
    <t xml:space="preserve">Oil and Gas Lease</t>
  </si>
  <si>
    <t xml:space="preserve">1994-08-09</t>
  </si>
  <si>
    <t xml:space="preserve">1995-08-14</t>
  </si>
  <si>
    <t xml:space="preserve">French Energy, Inc.</t>
  </si>
  <si>
    <t xml:space="preserve">Base OGL #59: French Energy, Inc.; NE/4 Section 27-11N-25W; term 3 years from 08/01/1995 (paid-up); royalty 3/16; Top/reversionary lease form.</t>
  </si>
  <si>
    <t xml:space="preserve">1995-004024</t>
  </si>
  <si>
    <t xml:space="preserve">1994-08-08</t>
  </si>
  <si>
    <t xml:space="preserve">Base OGL #58: French Energy, Inc.; NE/4 Section 27-11N-25W; term 3 years from 08/01/1995 (paid-up); royalty 3/16; Top/reversionary lease form.</t>
  </si>
  <si>
    <t xml:space="preserve">1995-004025</t>
  </si>
  <si>
    <t xml:space="preserve">SE/4 of Section 27-11N-25W</t>
  </si>
  <si>
    <t xml:space="preserve">Base OGL #57: French Energy, Inc.; SE/4 of Section 27-11N-25W; term 3 years from 08/01/1995 (paid-up); royalty 3/16; Top/reversionary lease form.</t>
  </si>
  <si>
    <t xml:space="preserve">1995-004026</t>
  </si>
  <si>
    <t xml:space="preserve">F. Jeanice Fuchs,
Jeanice - a/k/a Fuchs,
Alfred R. Fuchs</t>
  </si>
  <si>
    <t xml:space="preserve">Base OGL #56: French Energy, Inc.; SE/4 of Section 27-11N-25W; term 3 years from 08/01/1995 (paid-up); royalty 3/16; Top/reversionary lease form.</t>
  </si>
  <si>
    <t xml:space="preserve">1995-004027</t>
  </si>
  <si>
    <t xml:space="preserve">1994-08-24</t>
  </si>
  <si>
    <t xml:space="preserve">Base OGL #55: French Energy, Inc.; SE/4 of Section 27-11N-25W; term 3 years from 08/01/1995 (paid-up); royalty 3/16; Top/reversionary lease form.</t>
  </si>
  <si>
    <t xml:space="preserve">1995-004028</t>
  </si>
  <si>
    <t xml:space="preserve">1994-08-23</t>
  </si>
  <si>
    <t xml:space="preserve">NW/4 of Section 27-11N-25W</t>
  </si>
  <si>
    <t xml:space="preserve">Base OGL #54: French Energy, Inc.; NW/4 of Section 27-11N-25W; term 3 years from 08/01/1995 (paid-up); royalty 3/16; Top/reversionary lease form.</t>
  </si>
  <si>
    <t xml:space="preserve">1995-004029</t>
  </si>
  <si>
    <t xml:space="preserve">Base OGL #53: French Energy, Inc.; NW/4 of Section 27-11N-25W; term 3 years from 08/01/1995 (paid-up); royalty 3/16; Top/reversionary lease form.</t>
  </si>
  <si>
    <t xml:space="preserve">1995-004030</t>
  </si>
  <si>
    <t xml:space="preserve">Base OGL #52: French Energy, Inc.; NW/4 of Section 27-11N-25W; term 3 years from 08/01/1995 (paid-up); royalty 3/16; Top/reversionary lease form.</t>
  </si>
  <si>
    <t xml:space="preserve">1995-004031</t>
  </si>
  <si>
    <t xml:space="preserve">Base OGL #51: French Energy, Inc.; NW/4 of Section 27-11N-25W; term 3 years from 08/01/1995 (paid-up); royalty 3/16; Top/reversionary lease form.</t>
  </si>
  <si>
    <t xml:space="preserve">1995-004032</t>
  </si>
  <si>
    <t xml:space="preserve">Base OGL #50: French Energy, Inc.; NW/4 of Section 27-11N-25W; term 3 years from 08/01/1995 (paid-up); royalty 3/16; Top/reversionary lease form.</t>
  </si>
  <si>
    <t xml:space="preserve">1995-004033</t>
  </si>
  <si>
    <t xml:space="preserve">Base OGL #49: French Energy, Inc.; NW/4 of Section 27-11N-25W; term 3 years from 08/01/1995 (paid-up); royalty 3/16; Top/reversionary lease form.</t>
  </si>
  <si>
    <t xml:space="preserve">1995-004034</t>
  </si>
  <si>
    <t xml:space="preserve">Base OGL #48: French Energy, Inc.; NW/4 of Section 27-11N-25W; term 3 years from 08/01/1995 (paid-up); royalty 3/16; Top/reversionary lease form.</t>
  </si>
  <si>
    <t xml:space="preserve">1995-004035</t>
  </si>
  <si>
    <t xml:space="preserve">Base OGL #47: French Energy, Inc.; NW/4 of Section 27-11N-25W; term 3 years from 08/01/1995 (paid-up); royalty 3/16; Top/reversionary lease form.</t>
  </si>
  <si>
    <t xml:space="preserve">1995-004178</t>
  </si>
  <si>
    <t xml:space="preserve">1995-08-22</t>
  </si>
  <si>
    <t xml:space="preserve">Base OGL #46: French Energy, Inc.; SE/4 of Section 27-11N-25W; term 3 years from 08/01/1995 (paid-up); royalty 3/16; Top/reversionary lease form.</t>
  </si>
  <si>
    <t xml:space="preserve">1995-004394</t>
  </si>
  <si>
    <t xml:space="preserve">1994-08-30</t>
  </si>
  <si>
    <t xml:space="preserve">1995-09-05</t>
  </si>
  <si>
    <t xml:space="preserve">Base OGL #45: French Energy, Inc.; NW/4 of Section 27-11N-25W; term 3 years from 08/01/1995 (paid-up); royalty 3/16; Top/reversionary lease form.</t>
  </si>
  <si>
    <t xml:space="preserve">1997-001065</t>
  </si>
  <si>
    <t xml:space="preserve">Assignment of Oil and Gas Lease</t>
  </si>
  <si>
    <t xml:space="preserve">1504/11</t>
  </si>
  <si>
    <t xml:space="preserve">1997-02-05</t>
  </si>
  <si>
    <t xml:space="preserve">1997-02-10</t>
  </si>
  <si>
    <t xml:space="preserve">Sanguine, Ltd.</t>
  </si>
  <si>
    <t xml:space="preserve">Section 27-11N-25W</t>
  </si>
  <si>
    <t xml:space="preserve">ARTI in OGLS at 1432/20, 1432/24, 1432/28, 1432/32, 1432/40, 1432/48, 1432/52, 1432/56, 1432/60, 1432/64, 1432/68, 1433/213, 1435/159</t>
  </si>
  <si>
    <t xml:space="preserve">1997-001267</t>
  </si>
  <si>
    <t xml:space="preserve">1505/31</t>
  </si>
  <si>
    <t xml:space="preserve">1997-02-12</t>
  </si>
  <si>
    <t xml:space="preserve">1997-02-14</t>
  </si>
  <si>
    <t xml:space="preserve">Karen Nelson, Co-Trustee of the Karen Nelson Revocable Inter Vivos Trust dated 5/4/89</t>
  </si>
  <si>
    <t xml:space="preserve">All of Section 27-11N-25W, less and except 1 acre</t>
  </si>
  <si>
    <t xml:space="preserve">An undividad 5.60425% of Assignor's right, title and interest in and to the oil, gas and mineral leases described in Exhibit "A", LESS AND EXCEPT
any and all overriding royalty interests owned by Assignor.
OGLS at  220/83, 1432/20, 1432/24, 1432/28, 1432/32, 1432/40, 1432/48, 1432/52, 1432/56, 1432/60, 1432/64, 1432/68, 1433/213, 1435/159</t>
  </si>
  <si>
    <t xml:space="preserve">1998-005858</t>
  </si>
  <si>
    <t xml:space="preserve">1998-08-14</t>
  </si>
  <si>
    <t xml:space="preserve">1998-09-02</t>
  </si>
  <si>
    <t xml:space="preserve">Arrowhead Resources, Inc.</t>
  </si>
  <si>
    <t xml:space="preserve">Base OGL #44: Arrowhead Resources, Inc.; NE/4 Section 27-11N-25W; term 2 years (paid-up); royalty 3/16; top-lease offer notice/ROFR.</t>
  </si>
  <si>
    <t xml:space="preserve">1998-005859</t>
  </si>
  <si>
    <t xml:space="preserve">1998-08-17</t>
  </si>
  <si>
    <t xml:space="preserve">Howard G.-Trust Fuchs</t>
  </si>
  <si>
    <t xml:space="preserve">Base OGL #43: Arrowhead Resources, Inc.; SE/4 of Section 27-11N-25W; term 2 years (paid-up); royalty 3/16; top-lease offer notice/ROFR.</t>
  </si>
  <si>
    <t xml:space="preserve">1998-005860</t>
  </si>
  <si>
    <t xml:space="preserve">Base OGL #42: Arrowhead Resources, Inc.; SE/4 of Section 27-11N-25W; term 2 years (paid-up); royalty 3/16; top-lease offer notice/ROFR.</t>
  </si>
  <si>
    <t xml:space="preserve">1998-005861</t>
  </si>
  <si>
    <t xml:space="preserve">Alfred R. Fuchs,
Jeanice F. Fuchs</t>
  </si>
  <si>
    <t xml:space="preserve">Base OGL #41: Arrowhead Resources, Inc.; SE/4 of Section 27-11N-25W; term 2 years (paid-up); royalty 3/16; top-lease offer notice/ROFR.</t>
  </si>
  <si>
    <t xml:space="preserve">1998-006273</t>
  </si>
  <si>
    <t xml:space="preserve">1576/302</t>
  </si>
  <si>
    <t xml:space="preserve">1998-08-21</t>
  </si>
  <si>
    <t xml:space="preserve">1998-09-21</t>
  </si>
  <si>
    <t xml:space="preserve">R. Michael Lortz</t>
  </si>
  <si>
    <t xml:space="preserve">E/2 of Section 27-11N-25W</t>
  </si>
  <si>
    <t xml:space="preserve">All right, title and interest in OGLs at 1574/272, 1574/276, 1574/280, 1574/284</t>
  </si>
  <si>
    <t xml:space="preserve">1998-006416</t>
  </si>
  <si>
    <t xml:space="preserve">1577/102</t>
  </si>
  <si>
    <t xml:space="preserve">1998-08-28</t>
  </si>
  <si>
    <t xml:space="preserve">1998-09-28</t>
  </si>
  <si>
    <t xml:space="preserve">St. Mary Land &amp; Exploration Co.</t>
  </si>
  <si>
    <t xml:space="preserve">1998-007084</t>
  </si>
  <si>
    <t xml:space="preserve">1998-08-20</t>
  </si>
  <si>
    <t xml:space="preserve">1998-10-26</t>
  </si>
  <si>
    <t xml:space="preserve">Base OGL #34: French Energy, Inc.; NW/4 of Section 27-11N-25W; term 3 years (paid-up); royalty 3/16; top-lease offer notice/ROFR.</t>
  </si>
  <si>
    <t xml:space="preserve">1998-007085</t>
  </si>
  <si>
    <t xml:space="preserve">Base OGL #33: French Energy, Inc.; NW/4 of Section 27-11N-25W; term 3 years (paid-up); royalty 3/16; top-lease offer notice/ROFR.</t>
  </si>
  <si>
    <t xml:space="preserve">1998-007086</t>
  </si>
  <si>
    <t xml:space="preserve">Base OGL #32: French Energy, Inc.; NE/4 Section 27-11N-25W; term 3 years (paid-up); royalty 3/16; top-lease offer notice/ROFR.</t>
  </si>
  <si>
    <t xml:space="preserve">1998-007087</t>
  </si>
  <si>
    <t xml:space="preserve">Base OGL #31: French Energy, Inc.; NW/4 of Section 27-11N-25W; term 3 years (paid-up); royalty 3/16; top-lease offer notice/ROFR.</t>
  </si>
  <si>
    <t xml:space="preserve">1998-007078</t>
  </si>
  <si>
    <t xml:space="preserve">Base OGL #40: French Energy, Inc.; NW/4 of Section 27-11N-25W; term 3 years (paid-up); royalty 3/16; top-lease offer notice/ROFR.</t>
  </si>
  <si>
    <t xml:space="preserve">1998-007079</t>
  </si>
  <si>
    <t xml:space="preserve">Base OGL #39: French Energy, Inc.; NW/4 of Section 27-11N-25W; term 3 years (paid-up); royalty 3/16; top-lease offer notice/ROFR.</t>
  </si>
  <si>
    <t xml:space="preserve">1998-007080</t>
  </si>
  <si>
    <t xml:space="preserve">Base OGL #38: French Energy, Inc.; NW/4 of Section 27-11N-25W; term 3 years (paid-up); royalty 3/16; top-lease offer notice/ROFR.</t>
  </si>
  <si>
    <t xml:space="preserve">1998-007081</t>
  </si>
  <si>
    <t xml:space="preserve">Base OGL #37: French Energy, Inc.; NW/4 of Section 27-11N-25W; term 3 years (paid-up); royalty 3/16; top-lease offer notice/ROFR.</t>
  </si>
  <si>
    <t xml:space="preserve">1998-007082</t>
  </si>
  <si>
    <t xml:space="preserve">Base OGL #36: French Energy, Inc.; NW/4 of Section 27-11N-25W; term 3 years (paid-up); royalty 3/16; top-lease offer notice/ROFR.</t>
  </si>
  <si>
    <t xml:space="preserve">1998-007083</t>
  </si>
  <si>
    <t xml:space="preserve">Base OGL #35: French Energy, Inc.; NW/4 of Section 27-11N-25W; term 3 years (paid-up); royalty 3/16; top-lease offer notice/ROFR.</t>
  </si>
  <si>
    <t xml:space="preserve">1998-008577</t>
  </si>
  <si>
    <t xml:space="preserve">1998-11-05</t>
  </si>
  <si>
    <t xml:space="preserve">1998-12-29</t>
  </si>
  <si>
    <t xml:space="preserve">Base OGL #30: Sanguine, Ltd.; SE/4 of Section 27-11N-25W; term 2 years (paid-up); royalty 3/16; top-lease offer notice/ROFR.</t>
  </si>
  <si>
    <t xml:space="preserve">1999-000193</t>
  </si>
  <si>
    <t xml:space="preserve">1998-11-20</t>
  </si>
  <si>
    <t xml:space="preserve">1999-01-13</t>
  </si>
  <si>
    <t xml:space="preserve">Missionary Baptist Church-Buffalo</t>
  </si>
  <si>
    <t xml:space="preserve">Todco Properties, Inc.</t>
  </si>
  <si>
    <t xml:space="preserve">1.00-acre tract in SW/4 Section 27-11N-25W (Buffalo Missionary Baptist Church tract)</t>
  </si>
  <si>
    <t xml:space="preserve">Base OGL #29: Todco Properties, Inc.; 1.00-acre tract in SW/4 Section 27-11N-25W (Buffalo Missionary Baptist Church tract); term 2 years (paid-up); royalty 26.00%; no top clause</t>
  </si>
  <si>
    <t xml:space="preserve">1999-000692</t>
  </si>
  <si>
    <t xml:space="preserve">1590/497</t>
  </si>
  <si>
    <t xml:space="preserve">1999-02-02</t>
  </si>
  <si>
    <t xml:space="preserve">1999-02-05</t>
  </si>
  <si>
    <t xml:space="preserve">Tierra Trust Co.-Trustee</t>
  </si>
  <si>
    <t xml:space="preserve">Colt Development LLC</t>
  </si>
  <si>
    <t xml:space="preserve">SW/4 of Section 27-11N-25W, less 1 acre tract</t>
  </si>
  <si>
    <t xml:space="preserve">All right, title and interest in OGL at 220/83</t>
  </si>
  <si>
    <t xml:space="preserve">1999-000945</t>
  </si>
  <si>
    <t xml:space="preserve">1999-01-22</t>
  </si>
  <si>
    <t xml:space="preserve">1999-02-18</t>
  </si>
  <si>
    <t xml:space="preserve">SW/4 Section 27-11N-25W, less 1.00-acre Buffalo Church tract; approx. 6.201 net acres presently unleased</t>
  </si>
  <si>
    <t xml:space="preserve">Base OGL #25: Sanguine, Ltd.; SW/4 Section 27-11N-25W, less 1.00-acre Buffalo Church tract; approx. 6.201 net acres presently unleased; term 6 months (paid-up); royalty 1/4; no top clause</t>
  </si>
  <si>
    <t xml:space="preserve">1999-000946</t>
  </si>
  <si>
    <t xml:space="preserve">1999-01-06</t>
  </si>
  <si>
    <t xml:space="preserve">Base OGL #24: Sanguine, Ltd.; NW/4 of Section 27-11N-25W; term 6 months (paid-up); royalty 1/4; no top clause</t>
  </si>
  <si>
    <t xml:space="preserve">1999-000823</t>
  </si>
  <si>
    <t xml:space="preserve">1998-11-30</t>
  </si>
  <si>
    <t xml:space="preserve">1999-02-12</t>
  </si>
  <si>
    <t xml:space="preserve">Base OGL #28: Todco Properties, Inc.; SE/4 of Section 27-11N-25W; term 1 year (paid-up); royalty 3/16; no top clause</t>
  </si>
  <si>
    <t xml:space="preserve">1999-000824</t>
  </si>
  <si>
    <t xml:space="preserve">Base OGL #27: Todco Properties, Inc.; SE/4 of Section 27-11N-25W; term 1 year (paid-up); royalty 3/16; no top clause</t>
  </si>
  <si>
    <t xml:space="preserve">1999-000825</t>
  </si>
  <si>
    <t xml:space="preserve">Laura Owens-Trust Bennett</t>
  </si>
  <si>
    <t xml:space="preserve">Base OGL #26: Todco Properties, Inc.; SE/4 of Section 27-11N-25W; term 1 year (paid-up); royalty 3/16; no top clause</t>
  </si>
  <si>
    <t xml:space="preserve">1999-001533</t>
  </si>
  <si>
    <t xml:space="preserve">1595/300</t>
  </si>
  <si>
    <t xml:space="preserve">1999-01-07</t>
  </si>
  <si>
    <t xml:space="preserve">1999-03-15</t>
  </si>
  <si>
    <t xml:space="preserve">Kaiser-Francis Oil Co.</t>
  </si>
  <si>
    <t xml:space="preserve">All right, title and interest in OGLs at 1592/42, 1592/47, 1592/52</t>
  </si>
  <si>
    <t xml:space="preserve">1999-001451</t>
  </si>
  <si>
    <t xml:space="preserve">1595/81</t>
  </si>
  <si>
    <t xml:space="preserve">1999-03-12</t>
  </si>
  <si>
    <t xml:space="preserve">an undivided 25.00% of Assignor's interest, in and to the oil and
gas leases at 1574/272, 1574/276, 1574/280, 1574/284</t>
  </si>
  <si>
    <t xml:space="preserve">1999-001977</t>
  </si>
  <si>
    <t xml:space="preserve">1597/427</t>
  </si>
  <si>
    <t xml:space="preserve">1998-11-02</t>
  </si>
  <si>
    <t xml:space="preserve">1999-04-05</t>
  </si>
  <si>
    <t xml:space="preserve">N/2 of Section 27-11N-25W</t>
  </si>
  <si>
    <t xml:space="preserve">All right, title and interest in OGLs at 1580/79, 1580/83, 1580/87, 1580/91, 1580/99, 1580/103, 1580/107, 1580/111, 1580/115  [QC: duplicate index row removed]</t>
  </si>
  <si>
    <t xml:space="preserve">1999-002259</t>
  </si>
  <si>
    <t xml:space="preserve">1599/227</t>
  </si>
  <si>
    <t xml:space="preserve">1999-02-08</t>
  </si>
  <si>
    <t xml:space="preserve">1999-04-15</t>
  </si>
  <si>
    <t xml:space="preserve">A 1 acre tract in the SW/4 of Section 27-11N-25W</t>
  </si>
  <si>
    <t xml:space="preserve">All right, title and interest in OGL at 1588/245</t>
  </si>
  <si>
    <t xml:space="preserve">1999-003760</t>
  </si>
  <si>
    <t xml:space="preserve">1999-06-16</t>
  </si>
  <si>
    <t xml:space="preserve">1999-06-25</t>
  </si>
  <si>
    <t xml:space="preserve">Base OGL #23: Colt Development, LLC; NW/4 of Section 27-11N-25W; term 1 year; royalty 1/4; no top clause</t>
  </si>
  <si>
    <t xml:space="preserve">1999-004222</t>
  </si>
  <si>
    <t xml:space="preserve">1999-07-16</t>
  </si>
  <si>
    <t xml:space="preserve">Clyde Pine 1990 Irrev Trust,
Sharon Pine1990 Irev Trust</t>
  </si>
  <si>
    <t xml:space="preserve">Base OGL #22: Clyde &amp; Sharon Pine 1990 Irrevocable Trust; NW/4 of Section 27-11N-25W; term 1 year; royalty 1/4; no top clause</t>
  </si>
  <si>
    <t xml:space="preserve">1999-007881</t>
  </si>
  <si>
    <t xml:space="preserve">Lease</t>
  </si>
  <si>
    <t xml:space="preserve">1625/301</t>
  </si>
  <si>
    <t xml:space="preserve">1999-10-31</t>
  </si>
  <si>
    <t xml:space="preserve">1999-12-30</t>
  </si>
  <si>
    <t xml:space="preserve">Chloe E. Davis Rev Liv Trust</t>
  </si>
  <si>
    <t xml:space="preserve">Reliant Energy Gas Transmission Co.</t>
  </si>
  <si>
    <t xml:space="preserve">27-11N-25W</t>
  </si>
  <si>
    <t xml:space="preserve">Surface/pipeline lease.</t>
  </si>
  <si>
    <t xml:space="preserve">2000-000145</t>
  </si>
  <si>
    <t xml:space="preserve">Overriding Royalty Assignment</t>
  </si>
  <si>
    <t xml:space="preserve">1626/104</t>
  </si>
  <si>
    <t xml:space="preserve">2000-01-10</t>
  </si>
  <si>
    <t xml:space="preserve">Richard L. Hauschild,  Jr., 1%,
Hal French, Inc., 1.625%,
Johnson Properties, LLC, 0.375%</t>
  </si>
  <si>
    <t xml:space="preserve">ORRI in OGL at 220/83</t>
  </si>
  <si>
    <t xml:space="preserve">2000-000146</t>
  </si>
  <si>
    <t xml:space="preserve">Affidavit of Pooling</t>
  </si>
  <si>
    <t xml:space="preserve">1626/107</t>
  </si>
  <si>
    <t xml:space="preserve">1999-12-29</t>
  </si>
  <si>
    <t xml:space="preserve">Public</t>
  </si>
  <si>
    <t xml:space="preserve">Pooling affidavit (Sec 27). HBP support.</t>
  </si>
  <si>
    <t xml:space="preserve">2000-001870</t>
  </si>
  <si>
    <t xml:space="preserve">1634/250</t>
  </si>
  <si>
    <t xml:space="preserve">2000-02-14</t>
  </si>
  <si>
    <t xml:space="preserve">2000-03-08</t>
  </si>
  <si>
    <t xml:space="preserve">NW/4, SW/4 of Section 27-11N-25W, less 1 acre tract in the SW/4</t>
  </si>
  <si>
    <t xml:space="preserve">all of ASSIGNOR'S right, title and interest in and to the Oil and Gas Leases
described in Exhibit "A" attached hereto and made a part hereof insofar as said leases cover the lands in Beckham County, Oklahoma and the depth limitations set forth therein and the drilling and spacing unit for the Sanguine Ltd. Mandrell #2-27 Well (the "Well") located in the center of
the W/2 SE/4 of Section 27, Township 11 North, Range 25 West, Beckham County, Oklahoma; INSOFAR AND ONLY INSOFAR AS SAID LEASES COVER AND INCLUDE THE LANDS DESCRIBED ABOVE AND LIMITED TO THOSE DEPTHS FROM THE SURFACE OF THE EARTH DOWN TO THE STRATIGRAPHIC EQUIVALENT OF 17,860 FEET BEING THE DEEPEST DEPTH DRILLED IN THE MANDRELL #2-27 WELL LOCATED 1,320 FEET FROM THE SOUTH LINE AND 1,980 FEET FROM THE EAST LINE OF SECTION 27, TOWNSHIP 11 NORTH, RANGE 25 WEST, BECKHAM COUNTY, OKLAHOMA.
OGLs at 220/83, 1605/598</t>
  </si>
  <si>
    <t xml:space="preserve">2000-001871</t>
  </si>
  <si>
    <t xml:space="preserve">1634/253</t>
  </si>
  <si>
    <t xml:space="preserve">all of ASSIGNOR'S right, title and interest in and to the Oil and Gas Leases
described in Exhibit "A" attached hereto and made a part hereof insofar as said leases cover the lands in Beckham County, Oklahoma and the depth limitations set forth therein and the drilling and spacing unit for the Sanguine Ltd. Mandrell #2-27 Well (the "Well") located in the center of
the W/2 SE/4 of Section 27, Township 11 North, Range 25 West, Beckham County, Oklahoma; INSOFAR AND ONLY INSOFAR AS SAID LEASES COVER AND INCLUDE THE LANDS DESCRIBED ABOVE AND LIMITED TO THOSE DEPTHS FROM THE SURFACE OF THE EARTH DOWN TO THE STRATIGRAPHIC EQUIVALENT OF 17,860 FEET BEING THE DEEPEST DEPTH DRILLED IN THE MANDRELL #2-27 WELL LOCATED 1,320 FEET FROM THE SOUTH LINE AND 1,980 FEET FROM THE EAST LINE OF SECTION 27, TOWNSHIP 11 NORTH, RANGE 25 WEST, BECKHAM COUNTY, OKLAHOMA..
OGL at 1608/63</t>
  </si>
  <si>
    <t xml:space="preserve">2000-001894</t>
  </si>
  <si>
    <t xml:space="preserve">Corrected Assignment of Oil and Gas Lease</t>
  </si>
  <si>
    <t xml:space="preserve">1634/312</t>
  </si>
  <si>
    <t xml:space="preserve">2000-02-18</t>
  </si>
  <si>
    <t xml:space="preserve">2000-03-09</t>
  </si>
  <si>
    <t xml:space="preserve">Corrects Assn at 1599/227
All right, title and interest in OGL at 1588/245</t>
  </si>
  <si>
    <t xml:space="preserve">2000-002332</t>
  </si>
  <si>
    <t xml:space="preserve">Assignment of Overriding Royalty Interest</t>
  </si>
  <si>
    <t xml:space="preserve">1636/188</t>
  </si>
  <si>
    <t xml:space="preserve">1999-10-18</t>
  </si>
  <si>
    <t xml:space="preserve">2000-03-24</t>
  </si>
  <si>
    <t xml:space="preserve">GBK Corporation</t>
  </si>
  <si>
    <t xml:space="preserve">3% ORRI assignment from Kaiser-Francis Oil Co. to GBK Corporation. [API instrument date 10/01/2000]  [QC: duplicate index row removed]</t>
  </si>
  <si>
    <t xml:space="preserve">2000-002333</t>
  </si>
  <si>
    <t xml:space="preserve">1636/190</t>
  </si>
  <si>
    <t xml:space="preserve">2000-03-16</t>
  </si>
  <si>
    <t xml:space="preserve">Erick C. Lowe,
Brenda Lowe,
Craig M. Dolinsky,
Wayne A. Fields,
10 More…</t>
  </si>
  <si>
    <t xml:space="preserve">3% ORRI assignment from Kaiser-Francis Oil Co. to Erick C. Lowe + 4 others.</t>
  </si>
  <si>
    <t xml:space="preserve">2000-002754</t>
  </si>
  <si>
    <t xml:space="preserve">1638/150</t>
  </si>
  <si>
    <t xml:space="preserve">2000-04-03</t>
  </si>
  <si>
    <t xml:space="preserve">2000-04-07</t>
  </si>
  <si>
    <t xml:space="preserve">Vastar Resources, Inc., 50.00000%,
Enogex Exploration Corp., 12.50000%,
Palace Exploration Co., 17.50000%,
Sanguine, Ltd., 20.00000%</t>
  </si>
  <si>
    <t xml:space="preserve">All right, title and interest in OGL at 220/83
The interests being assigned on this lease are to be on that certain interest only conveyed to Assignor in that certaln Assignment of Oll and Gas Leases dated February 14, 2000, from Colt Development, LL.C. and recorded In Book 1634, Page 250, of the records of Beckham County, Oklahoma.
Assignor excepts from this assignment and reserves unto itself, its
successors and assigns, a one percent (1%) overriding royalty interest.</t>
  </si>
  <si>
    <t xml:space="preserve">2000-002755</t>
  </si>
  <si>
    <t xml:space="preserve">1638/153</t>
  </si>
  <si>
    <t xml:space="preserve">All right, title and interest in OGLs at 1605/598, 1608/63
*The Interests being assigned on these leases are from those certain interests only conveyed to Assignor by the following assignments, respectively: 1) Assignment of Oil and Gas Leases dated February 14, 2000, from Colt Development, L.L.C. and recorded in Book 1634, Page 250, and 2) Assignment of Oiland Gas Lease dated February 14, 2000, from Clyde &amp; Sharon Pine 1990 Irrevocable Trust and recorded In Book 1634, Page 253, all of the records of Beckham County, Oklahoma.</t>
  </si>
  <si>
    <t xml:space="preserve">2000-003520</t>
  </si>
  <si>
    <t xml:space="preserve">1641/318</t>
  </si>
  <si>
    <t xml:space="preserve">2000-04-17</t>
  </si>
  <si>
    <t xml:space="preserve">2000-04-27</t>
  </si>
  <si>
    <t xml:space="preserve">Richard L. Jr. Hauschild,
Michael K. Barber,
Johnson Properties, LLC,
Hal French, Inc.</t>
  </si>
  <si>
    <t xml:space="preserve">ORRI assignment from Sanguine, Ltd. to Richard L. Jr. Hauschild + 3 others.</t>
  </si>
  <si>
    <t xml:space="preserve">2000-003521</t>
  </si>
  <si>
    <t xml:space="preserve">1641/324</t>
  </si>
  <si>
    <t xml:space="preserve">2000-04-18</t>
  </si>
  <si>
    <t xml:space="preserve">Don H. Nelson, 68.07430%,
Upland Resources, LLC, 2.52170%,
William J. Mayer, 7.70735,
Carol Adelson, 10.08675%,
Themistocles, Inc., 5.32795%,
Richard L. Hauschild, Jr., 3.99600%,
Barber Exploration Company, 1.33200%,
Tom Garner, 0.66600%,
Sanguine, Ltd. (Retains), 28795%</t>
  </si>
  <si>
    <t xml:space="preserve">SW/4, less a 1 acre tract of Section 27-11N-25W</t>
  </si>
  <si>
    <t xml:space="preserve">All right, title and interest in OGL at 220/83
The interests being assigned on this lease are to be on that certain leasehold Interest only retained by Assignor in that certain Assignment of Oill and Gas Leases dated April 3, 2000, to Vastar Resources, Inc., et al, and recorded in Book 1638, Page 150, of the records of Beckham County, Oklahoma.</t>
  </si>
  <si>
    <t xml:space="preserve">2000-003522</t>
  </si>
  <si>
    <t xml:space="preserve">1641/327</t>
  </si>
  <si>
    <t xml:space="preserve">2000-04-19</t>
  </si>
  <si>
    <t xml:space="preserve">All right, title and interest in OGLs at 1605/598, 1608/63
The interests being assigned on this lease are to be on that certain leasehold Interest only retained by Assignor in that certain Assignment of Oill and Gas Leases dated April 3, 2000, to Vastar Resources, Inc., et al, and recorded in Book 1638, Page 150, of the records of Beckham County, Oklahoma.</t>
  </si>
  <si>
    <t xml:space="preserve">2000-003523</t>
  </si>
  <si>
    <t xml:space="preserve">Assignment</t>
  </si>
  <si>
    <t xml:space="preserve">1641/330</t>
  </si>
  <si>
    <t xml:space="preserve">2000-04-20</t>
  </si>
  <si>
    <t xml:space="preserve">Don H. Nelson, 13.61486%,
Vastar Resources, Inc., 50.00000%,
Enogex Exploration Corporation, 12.50000%,
Palace Exploration Company, 17.50000%,
Upland Resources, L.L.C., 0.5043%,
William J. Mayer, 1.54147%,
Carol Adelson, 2.01735%,
Themistocles, Inc., 1.06559%,
Richard L. Hauschild, Jr., 0.79920%,
Barber Exploration Company, 0.26640%,
Tom Garner, 0.13320%,
Sanguine, Ltd. (Retains), 0.05759%</t>
  </si>
  <si>
    <t xml:space="preserve">All of Assignor's right, title and interest in and to those rights acquired ftrom Unlon Oil Company of California, MMB-America, Ltd., Robert J. Moody, Jr., Jay Balentine and The GHK Company under Oklahoma Corporation Commission Cause CD No. 980004527, Order No. 429172, dated December 28, 1998.
Assignor hereby excepts from this assignment and reserves unto itself, its
successors and assigns, a one percent (1%) overriding royalty interest.</t>
  </si>
  <si>
    <t xml:space="preserve">2000-003524</t>
  </si>
  <si>
    <t xml:space="preserve">1641/332</t>
  </si>
  <si>
    <t xml:space="preserve">2000-04-21</t>
  </si>
  <si>
    <t xml:space="preserve">All right, title and interest in OGLs at 1574/272, 1574/276, 1574/280, 1574/284, 1580/79, 1580/83, 1580/87, 1580/91, 1580/99, 1580/103, 1580/107, 1580/111, 1580/115, 1580/129, 1592/350, ACREAGE ACQUIRED FROM UNIVERSAL RESOURCES CORPORATION UNDER OKLAHOMA CORPORATION
COMMISSION CAUSE CD NO. 980004527, ORDER NO. 429172, DATED DECEMBER 28, 1998, COVERING LANDS IN SECTION 27-11N-25W, BECKHAM COUNTY, OKLAHOMA.
**The interests being assigned on these leases are from that certain leasehold interest assigned to Assignor by that certain Assignment of Oll and Gas Leases dated February 5, 1999, from St. Mary Land &amp; Exploration
Company and recorded in Book 1595, Page 81, of the records of Beckham County, Oklahoma.</t>
  </si>
  <si>
    <t xml:space="preserve">2000-003525</t>
  </si>
  <si>
    <t xml:space="preserve">1641/337</t>
  </si>
  <si>
    <t xml:space="preserve">2000-04-24</t>
  </si>
  <si>
    <t xml:space="preserve">Don H. Nelson, 65.28137%,
Palace Exploration Company, 17.50000%,
Upland Resources, L.L.C., 0.50434%,
William J. Mayer, 3.56336%,
Carol Adelson, 2.01735%,
Themistocles, Inc., 5.10938%,
Richard L. Hauschild, Jr., 3.83203%,
Barber Exploration Company, 1.27734%,
Tom Garner, 0.63867%,
Sanguine, Ltd. (Retains), .27616%</t>
  </si>
  <si>
    <t xml:space="preserve">All Assignor's right, title and interest in and to those rights acquired from St. Mary Land &amp; Exploration Company under Oklahoma Corporation Commisslon Cause CD No. 980004527, Order No. 429172, dated December 28, 1998, covering lands in Section 27-11N-25W, Beckham County, Oklahoma</t>
  </si>
  <si>
    <t xml:space="preserve">2000-003526</t>
  </si>
  <si>
    <t xml:space="preserve">1641/339</t>
  </si>
  <si>
    <t xml:space="preserve">2000-04-25</t>
  </si>
  <si>
    <t xml:space="preserve">Don H. Nelson, 23.94817%,
Vastar Resources, Inc., 50.00000%,
Palace Exploration Company, 17.50000%,
Upland Resources, L.L.C., .50434%,
William J. Mayer, 1.94585%,
Carol Adelson, 2.01735%,
Themistocies, Inc., 1.87435%,
Richard L. Hauschild, Jr., 1.40576%,
Barber Exploration Company, 0.46858%,
Tom Garner, 0.23429%,
Sanguine, Ltd. (Retalns), 0.10131%,</t>
  </si>
  <si>
    <t xml:space="preserve">All right, title and interest in OGL at 1592/347
Assignor excepts from this assignment and reserves unto itself, its
successors and assigns, a one percent (1%) overriding royalty interest,</t>
  </si>
  <si>
    <t xml:space="preserve">2000-010162</t>
  </si>
  <si>
    <t xml:space="preserve">2000-10-31</t>
  </si>
  <si>
    <t xml:space="preserve">2000-11-27</t>
  </si>
  <si>
    <t xml:space="preserve">Base OGL #21: Sanguine, Ltd.; NE/4 Section 27-11N-25W; term 9 months (paid-up); royalty 3/16; no top clause</t>
  </si>
  <si>
    <t xml:space="preserve">2000-010163</t>
  </si>
  <si>
    <t xml:space="preserve">Base OGL #20: Sanguine, Ltd.; SE/4 of Section 27-11N-25W; term 9 months (paid-up); royalty 3/16; no top clause</t>
  </si>
  <si>
    <t xml:space="preserve">2000-010164</t>
  </si>
  <si>
    <t xml:space="preserve">Howard G. Trust Fuchs</t>
  </si>
  <si>
    <t xml:space="preserve">Base OGL #19: Sanguine, Ltd.; SE/4 of Section 27-11N-25W; term 9 months (paid-up); royalty 3/16; no top clause</t>
  </si>
  <si>
    <t xml:space="preserve">2000-010165</t>
  </si>
  <si>
    <t xml:space="preserve">Base OGL #18: Sanguine, Ltd.; SE/4 of Section 27-11N-25W; term 9 months (paid-up); royalty 3/16; no top clause</t>
  </si>
  <si>
    <t xml:space="preserve">2001-001210</t>
  </si>
  <si>
    <t xml:space="preserve">1682/429</t>
  </si>
  <si>
    <t xml:space="preserve">2001-02-14</t>
  </si>
  <si>
    <t xml:space="preserve">2001-02-20</t>
  </si>
  <si>
    <t xml:space="preserve">2001-001211</t>
  </si>
  <si>
    <t xml:space="preserve">1682/432</t>
  </si>
  <si>
    <t xml:space="preserve">2001-02-15</t>
  </si>
  <si>
    <t xml:space="preserve">Don H. Nelson, 52.36474%,
Upland Resources, L.L.C., 0.50434%,
William J. Mayer, 3.05789%,
Carol Adelson, 2.01735%, Themistocles, Inc., 4.09843%,
Richard L. Hauschild, Jr., 3.07383%,
Barber Exploration Company, 1.02460% 
Tom Garner, .51230%,
Enogex Exploration Corporation, 3.12500%,
Palace Exploration Company, 17.50000%,
Sanguine, Ltd. (Retains), 12.72152%</t>
  </si>
  <si>
    <t xml:space="preserve">E/2 of Section 27-11N-25W covering only those rights beneath 100 feet below the total depth drilled (17,860 feet) In the Sanguine, Ltd. Mandrell #2-27 well located in the W/2 SE/4 of Section 27-11N-25W</t>
  </si>
  <si>
    <t xml:space="preserve">All right, title and interest in OGLs at  1672/130, 1672/134, 1672/137,  1672/141</t>
  </si>
  <si>
    <t xml:space="preserve">2001-002245</t>
  </si>
  <si>
    <t xml:space="preserve">2000-11-01</t>
  </si>
  <si>
    <t xml:space="preserve">2001-03-29</t>
  </si>
  <si>
    <t xml:space="preserve">Base OGL #17: Todco Properties, Inc.; SE/4 of Section 27-11N-25W; term 1 year (paid-up); royalty 3/16; no top clause</t>
  </si>
  <si>
    <t xml:space="preserve">2001-002246</t>
  </si>
  <si>
    <t xml:space="preserve">Base OGL #16: Todco Properties, Inc.; SE/4 of Section 27-11N-25W; term 1 year (paid-up); royalty 3/16; no top clause</t>
  </si>
  <si>
    <t xml:space="preserve">2001-002247</t>
  </si>
  <si>
    <t xml:space="preserve">Laura Owens Trust Bennett</t>
  </si>
  <si>
    <t xml:space="preserve">Base OGL #15: Todco Properties, Inc.; SE/4 of Section 27-11N-25W; term 1 year (paid-up); royalty 3/16; no top clause</t>
  </si>
  <si>
    <t xml:space="preserve">2001-002330</t>
  </si>
  <si>
    <t xml:space="preserve">Partial Assignment of Oil and Gas Lease</t>
  </si>
  <si>
    <t xml:space="preserve">1687/385</t>
  </si>
  <si>
    <t xml:space="preserve">2001-04-02</t>
  </si>
  <si>
    <t xml:space="preserve">Carol Adelson,
Upland Resources, LLC,
Sanguine, Ltd.,
Enogex Exploration
Corporation, 
Palace Exploration Company, Don H. Nelson,
Themistocles, Inc., 
Richard L. Hauschild, Jr., 
Tom Garner, 
William J. Mayer, 
Barber Exploration Company</t>
  </si>
  <si>
    <t xml:space="preserve">An undivided twenty-five percent (25%) of each of the Assignors' interest in and to the interest which was assigned to Sanguine, Ltd. by the Clyde &amp; Sharon Pine 1990 Irrevocable Trust by that certain Assignment of Oll and Gas Leases dated February 14, 2000, and recorded in Book 1634, Page 253, of the records of Beckham County, Oklahoma, in and to the oil and gas lease at 1608/63</t>
  </si>
  <si>
    <t xml:space="preserve">2001-002562</t>
  </si>
  <si>
    <t xml:space="preserve">1688/389</t>
  </si>
  <si>
    <t xml:space="preserve">2001-02-27</t>
  </si>
  <si>
    <t xml:space="preserve">2001-04-12</t>
  </si>
  <si>
    <t xml:space="preserve">All right, title and interest in Ogls at 1687/160, 1687/165, 1687/170</t>
  </si>
  <si>
    <t xml:space="preserve">2001-002790</t>
  </si>
  <si>
    <t xml:space="preserve">1689/339</t>
  </si>
  <si>
    <t xml:space="preserve">2001-04-20</t>
  </si>
  <si>
    <t xml:space="preserve">Palace Exploration Company</t>
  </si>
  <si>
    <t xml:space="preserve">Not Stated In Index</t>
  </si>
  <si>
    <t xml:space="preserve">ORRI assignment from Palace Exploration Company to Not Stated In Index.</t>
  </si>
  <si>
    <t xml:space="preserve">2001-003547</t>
  </si>
  <si>
    <t xml:space="preserve">1692/565</t>
  </si>
  <si>
    <t xml:space="preserve">2001-05-14</t>
  </si>
  <si>
    <t xml:space="preserve">An undivided twenty-five percent (25%) of each of the Assignors' interest in and to the interest which was assigned to Sanguine, Ltd. by the Clyde &amp; Sharon Pine 1990 Irrevocable Trust by that certain Assignment of Oll and Gas Leases dated February 14, 2000, and recorded in Book 1634, Page 253, of the records of Beckham County, Oklahoma, in and to the oil and gas leases at 220/83, 1605/598</t>
  </si>
  <si>
    <t xml:space="preserve">2001-004119</t>
  </si>
  <si>
    <t xml:space="preserve">1696/166</t>
  </si>
  <si>
    <t xml:space="preserve">2001-05-31</t>
  </si>
  <si>
    <t xml:space="preserve">2001-06-04</t>
  </si>
  <si>
    <t xml:space="preserve">R. Z., Inc.</t>
  </si>
  <si>
    <t xml:space="preserve">ORRI assignment from Palace Exploration Company to R. Z., Inc.</t>
  </si>
  <si>
    <t xml:space="preserve">2001-005848</t>
  </si>
  <si>
    <t xml:space="preserve">1704/525</t>
  </si>
  <si>
    <t xml:space="preserve">2001-07-27</t>
  </si>
  <si>
    <t xml:space="preserve">2001-08-08</t>
  </si>
  <si>
    <t xml:space="preserve">Marathon Oil Co.</t>
  </si>
  <si>
    <t xml:space="preserve">Raven Resources, LLC</t>
  </si>
  <si>
    <t xml:space="preserve">2001-008513</t>
  </si>
  <si>
    <t xml:space="preserve">2001-10-31</t>
  </si>
  <si>
    <t xml:space="preserve">2001-11-29</t>
  </si>
  <si>
    <t xml:space="preserve">Base OGL #14: Sanguine, Ltd.; NW/4 of Section 27-11N-25W; term 1 year (paid-up); royalty 3/16; no top clause</t>
  </si>
  <si>
    <t xml:space="preserve">2001-008514</t>
  </si>
  <si>
    <t xml:space="preserve">Base OGL #13: Sanguine, Ltd.; NW/4 of Section 27-11N-25W; term 1 year (paid-up); royalty 3/16; no top clause</t>
  </si>
  <si>
    <t xml:space="preserve">2001-008515</t>
  </si>
  <si>
    <t xml:space="preserve">Base OGL #12: Sanguine, Ltd.; NW/4 of Section 27-11N-25W; term 1 year (paid-up); royalty 3/16; no top clause</t>
  </si>
  <si>
    <t xml:space="preserve">2001-008516</t>
  </si>
  <si>
    <t xml:space="preserve">Base OGL #11: Sanguine, Ltd.; NW/4 of Section 27-11N-25W; term 1 year (paid-up); royalty 3/16; no top clause</t>
  </si>
  <si>
    <t xml:space="preserve">2001-008517</t>
  </si>
  <si>
    <t xml:space="preserve">Base OGL #10: Sanguine, Ltd.; NW/4 of Section 27-11N-25W; term 1 year (paid-up); royalty 3/16; no top clause</t>
  </si>
  <si>
    <t xml:space="preserve">2001-008518</t>
  </si>
  <si>
    <t xml:space="preserve">Base OGL #9: Sanguine, Ltd.; NW/4 of Section 27-11N-25W; term 1 year (paid-up); royalty 3/16; no top clause</t>
  </si>
  <si>
    <t xml:space="preserve">2001-008519</t>
  </si>
  <si>
    <t xml:space="preserve">Base OGL #8: Sanguine, Ltd.; NW/4 of Section 27-11N-25W; term 1 year (paid-up); royalty 3/16; no top clause</t>
  </si>
  <si>
    <t xml:space="preserve">2001-008520</t>
  </si>
  <si>
    <t xml:space="preserve">Base OGL #7: Sanguine, Ltd.; NW/4 of Section 27-11N-25W; term 1 year (paid-up); royalty 3/16; no top clause</t>
  </si>
  <si>
    <t xml:space="preserve">2001-008521</t>
  </si>
  <si>
    <t xml:space="preserve">Base OGL #6: Sanguine, Ltd.; SE/4 of Section 27-11N-25W; term 1 year (paid-up); royalty 3/16; no top clause</t>
  </si>
  <si>
    <t xml:space="preserve">2001-008522</t>
  </si>
  <si>
    <t xml:space="preserve">Calvin W. Trust Fuchs</t>
  </si>
  <si>
    <t xml:space="preserve">Base OGL #5: Sanguine, Ltd.; SE/4 of Section 27-11N-25W; term 1 year (paid-up); royalty 3/16; no top clause</t>
  </si>
  <si>
    <t xml:space="preserve">2001-008523</t>
  </si>
  <si>
    <t xml:space="preserve">Base OGL #4: Sanguine, Ltd.; NE/4 Section 27-11N-25W; term 1 year (paid-up); royalty 3/16; no top clause</t>
  </si>
  <si>
    <t xml:space="preserve">2001-008524</t>
  </si>
  <si>
    <t xml:space="preserve">Base OGL #3: Sanguine, Ltd.; NW/4 of Section 27-11N-25W; term 1 year (paid-up); royalty 3/16; no top clause</t>
  </si>
  <si>
    <t xml:space="preserve">2001-008525</t>
  </si>
  <si>
    <t xml:space="preserve">Base OGL #2: Sanguine, Ltd.; SE/4 of Section 27-11N-25W; term 1 year (paid-up); royalty 3/16; no top clause</t>
  </si>
  <si>
    <t xml:space="preserve">2001-008526</t>
  </si>
  <si>
    <t xml:space="preserve">Base OGL #1: Sanguine, Ltd.; NE/4 Section 27-11N-25W; term 1 year (paid-up); royalty 3/16; no top clause</t>
  </si>
  <si>
    <t xml:space="preserve">2001-008828</t>
  </si>
  <si>
    <t xml:space="preserve">Partial Release of Oil and Gas Lease</t>
  </si>
  <si>
    <t xml:space="preserve">1719/304</t>
  </si>
  <si>
    <t xml:space="preserve">2001-12-13</t>
  </si>
  <si>
    <t xml:space="preserve">release all right, title and interest in the leases attached hereto as Exhibit "A" and In the 640 acre drilling and spacing unit of which said leases are Included BELOW THE STRATIGRAPHIC EQUIVALENT OF 17,960 FEET AND ONLY BELOW THE STRATIGRAPHIC EQUIVALENT OF 17,960 FEET, boing the
total depth drilled plus 100 feet in the Sanguine, Ltd. Mandrell #2-27 well located in the W/2 SE/4 of Section 27-11N-25W, Beckham County, Oklahoma. SANGUINE, LTD. DON H. NELSON, VASTAR RESOURCES, INC., ENOGEX EXPLORATION CORPORATION, PALACE EXPLORATION COMPANY, UPLAND RESOURCES. L.L.C.. WILLIAM J. MAYER, CAROL ADELSON, THEMISTOCLES, INC., RICHARD HAUSCHILD, JR., BARBER EXPLORATION COMPANY and TOM GARNER specifically except and reserve all their right, title and interest from the surface to the stratigraphic equivalent of 17,960 feet in the leases at 1574/272, 1574/276, 1574/280, 1574/284, 1580/79, 1580/83, 1580/87, 1580/91, 1580/99, 1580/103, 1580/107, 1580/111, 1580/115, 1580/129, 1592/350</t>
  </si>
  <si>
    <t xml:space="preserve">2002-005193</t>
  </si>
  <si>
    <t xml:space="preserve">1746/498</t>
  </si>
  <si>
    <t xml:space="preserve">2002-06-27</t>
  </si>
  <si>
    <t xml:space="preserve">2002-07-22</t>
  </si>
  <si>
    <t xml:space="preserve">Richard Lee Jr. Hauschild Revocable Living Trust,
Michael K. Barber,
Johnson Properties LLC,
Hal French, Inc.</t>
  </si>
  <si>
    <t xml:space="preserve">ORRI assignment from Sanguine, Ltd. to Richard Lee Jr. Hauschild Revocable Living Trust + 3 others.</t>
  </si>
  <si>
    <t xml:space="preserve">2002-005194</t>
  </si>
  <si>
    <t xml:space="preserve">1746/504</t>
  </si>
  <si>
    <t xml:space="preserve">2002-06-28</t>
  </si>
  <si>
    <t xml:space="preserve">N/2 of Section 27-11N-25W covering only those rights below the stratigraphic equivalent of 17,960' being the total depth drilled plus 100 feet in the Sanguine, Ltd. Mandrell #2-27 well located in the W/2 SE/4 of Section 27-11N-25W</t>
  </si>
  <si>
    <t xml:space="preserve">All right, title and interest in OGLs at 1717/456, 1717/460, 1717/464, 1717/469, 1717/473, 1717/477, 1717/481, 1717/485, 1717/497, 1717/501</t>
  </si>
  <si>
    <t xml:space="preserve">2002-005195</t>
  </si>
  <si>
    <t xml:space="preserve">1746/509</t>
  </si>
  <si>
    <t xml:space="preserve">Don H. Nelson, 52.36475%,
BP American Production
Company, Inc.,  12.50000%,
Enogex Exploration Corporation, 3.12500%,
Palace Exploration Company, 17.50000%,
Upland Resources, L.L.C., 0.50434%,
William J. Mayer, 3.05788%,
 Carol Adeison, 2.01736%, Themistocles, Inc., 4.09842%,
Richard Lee Hauschild, Jr. Revocable Living Trust dated April 27, 2000. 3.07382%
Barber Exploration Company, 1.02461%,
Thomas J. Garner, 0.51230%,
Sanguine, Ltd. (Retains) 0.22152%</t>
  </si>
  <si>
    <t xml:space="preserve">E/2 of Section 27-11N-25W covering only those rights below the stratigraphic equivalent of 17,960' being the total depth drilled plus 100 feet in the Sanguine, Ltd. Mandrell #2-27 well located in the W/2 SE/4 of Section 27-11N-25W</t>
  </si>
  <si>
    <t xml:space="preserve">All right, title and interest in OGLs at 1717/489, 1717/493, 1717/505, 1717/509</t>
  </si>
  <si>
    <t xml:space="preserve">2002-007317</t>
  </si>
  <si>
    <t xml:space="preserve">1752/215</t>
  </si>
  <si>
    <t xml:space="preserve">2002-09-19</t>
  </si>
  <si>
    <t xml:space="preserve">2002-09-30</t>
  </si>
  <si>
    <t xml:space="preserve">Enogex Exploration Corporation</t>
  </si>
  <si>
    <t xml:space="preserve">Chesapeake Eno Acquisition Corp.</t>
  </si>
  <si>
    <t xml:space="preserve">All right, title and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t>
  </si>
  <si>
    <t xml:space="preserve">2010-006563</t>
  </si>
  <si>
    <t xml:space="preserve">2020/175</t>
  </si>
  <si>
    <t xml:space="preserve">2010-08-20</t>
  </si>
  <si>
    <t xml:space="preserve">2010-08-30</t>
  </si>
  <si>
    <t xml:space="preserve">Nadel and Gussman, LLC, as successor in interest to Nadel and Gussman, a Partnership and Nadel and Gussman Energy, LLC</t>
  </si>
  <si>
    <t xml:space="preserve">Nadel and Gussman Anadarko, LLC</t>
  </si>
  <si>
    <t xml:space="preserve">All right, title and interest</t>
  </si>
  <si>
    <t xml:space="preserve">2013-007037</t>
  </si>
  <si>
    <t xml:space="preserve">2140/624</t>
  </si>
  <si>
    <t xml:space="preserve">2013-09-12</t>
  </si>
  <si>
    <t xml:space="preserve">2013-10-28</t>
  </si>
  <si>
    <t xml:space="preserve">Carol Adelson</t>
  </si>
  <si>
    <t xml:space="preserve">2017-004597</t>
  </si>
  <si>
    <t xml:space="preserve">2266/194</t>
  </si>
  <si>
    <t xml:space="preserve">2017-06-28</t>
  </si>
  <si>
    <t xml:space="preserve">2017-10-24</t>
  </si>
  <si>
    <t xml:space="preserve">Nadel and Gussman Operating Company, LLC,
NG Family 2005, LLP,
Nadel and Gussman, LLC,
Nadel and Gussman Anadarko, LLC</t>
  </si>
  <si>
    <t xml:space="preserve">All right, title and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(limited from the surface to 17,960 feet) and overing only those rights below the stratigraphic equivalent 17,960 feet being the total depth drilled plus 100 feet in the Sanguine, Ltd. Mandrell 2-27 well located in the W/2 SE/4 of Section 27-11N-25W, Beckham County, OK</t>
  </si>
  <si>
    <t xml:space="preserve">2019-002937</t>
  </si>
  <si>
    <t xml:space="preserve">2307/894</t>
  </si>
  <si>
    <t xml:space="preserve">2019-07-11</t>
  </si>
  <si>
    <t xml:space="preserve">2019-07-24</t>
  </si>
  <si>
    <t xml:space="preserve">Enervest Energy Institutional Fund XIII WIB LP,
Enervest Energy Institutional Fund XIII WIC LP,
Enervest Energy Institutional Fund XIII A. LP</t>
  </si>
  <si>
    <t xml:space="preserve">All right, title and interest in the Mandrell 2-27 and Betty Sites 1-27 wells</t>
  </si>
  <si>
    <t xml:space="preserve">2019-002988</t>
  </si>
  <si>
    <t xml:space="preserve">2308/123</t>
  </si>
  <si>
    <t xml:space="preserve">2019-07-26</t>
  </si>
  <si>
    <t xml:space="preserve">All right, title and interest in OGLs at 1574/272, 1574/276, 1574/280, 1574/284, 1580/79, 1580/83, 1580/87, 1580/91, 1580/99, 1580/103, 1580/107, 1580/111, 1580/115, 1580/129, 1592/350, 1605/598, 1608/63,  1717/479 [QC: verify 1717/479 - page not in known Sec-27 OGL set],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Mandrell 2-27 and Betty Sites 1-27 wells [API-VERIFIED: indexes to Sec 27-11N-25W; Diversified Track A leasehold path.]</t>
  </si>
  <si>
    <t xml:space="preserve">Memorandum of Name Change / Public Notice</t>
  </si>
  <si>
    <t xml:space="preserve">2020-12-09</t>
  </si>
  <si>
    <t xml:space="preserve">2020-12-10</t>
  </si>
  <si>
    <t xml:space="preserve">Unbridled Resources</t>
  </si>
  <si>
    <t xml:space="preserve">The Public</t>
  </si>
  <si>
    <t xml:space="preserve">Effective as of November 18, 2020 FOURPOINT ENERGY, LLC, having an address of 1111 Bagby Street, Suite 1600, Houston, TX 77002, (previously 100 St. Paul Street, Suite 400, Denver, CO
80206) changed its name to the following:
UNBRIDLED RESOURCES, LLC</t>
  </si>
  <si>
    <t xml:space="preserve">2020-004435</t>
  </si>
  <si>
    <t xml:space="preserve">2340/403</t>
  </si>
  <si>
    <t xml:space="preserve">2020-12-11</t>
  </si>
  <si>
    <t xml:space="preserve">Chesapeake Exploration, LLC,
Chesapeake Operating, LLC,
MC Mineral Company, LLC,
Chesapeake Royalty, LLC,
Chesapeake Vrt, LLC,
Ventura, LLC,
Coronado Pipeline Company, LLC,
Empress Properties, LLC,
Chesapeake Land Development Company, LLC</t>
  </si>
  <si>
    <t xml:space="preserve">Tapstone Energy, LLC</t>
  </si>
  <si>
    <t xml:space="preserve">All of 27-11N-25W</t>
  </si>
  <si>
    <t xml:space="preserve">An undivided seventy and 73/100ths percent (70.73%) of Assignors' right, title,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from 1752/215</t>
  </si>
  <si>
    <t xml:space="preserve">2020-004462</t>
  </si>
  <si>
    <t xml:space="preserve">2340/490</t>
  </si>
  <si>
    <t xml:space="preserve">2020-12-14</t>
  </si>
  <si>
    <t xml:space="preserve">Chesapeake Exploration, LLC,
Chesapeake Operating, LLC,
MC Mineral Company, LLC,
Chesapeake Royalty, LLC,
Chesapeake VRT, LLC,
Ventura, LLC,
Coronado Pipeline Company, LLC,
Empress Properties, LLC,
Chesapeake Land Development Company, LLC</t>
  </si>
  <si>
    <t xml:space="preserve">KL CHK SPV, LLC</t>
  </si>
  <si>
    <t xml:space="preserve">An undivided twenty-nine and 27/100ths percent (29.27%) of such Assignor's right, title,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from 1752/215</t>
  </si>
  <si>
    <t xml:space="preserve">2022-003507</t>
  </si>
  <si>
    <t xml:space="preserve">Affidavit</t>
  </si>
  <si>
    <t xml:space="preserve">2389/581</t>
  </si>
  <si>
    <t xml:space="preserve">2005-12-01</t>
  </si>
  <si>
    <t xml:space="preserve">2022-08-24</t>
  </si>
  <si>
    <t xml:space="preserve">Diversified Gas and Oil Corporation</t>
  </si>
  <si>
    <t xml:space="preserve">On or about July 27, 2022, Tapstone Energy, LLC, a Delaware limited liability company, changed its name to DP Legacy Tapstone LLC, a Delaware limited liability company, pursuant to a Certificate of Amendment to Certificate of Formation of Tapstone Energy, LLC, From and after the above name change, DP Legacy Tapstone LLC, a Delaware limited liability company (formerly Tapstone Energy, LLC, a Delaware limited liability company), did own and will continue to own in the lands described on Exhibit B, and will continue as the operator of record in the State of Oklahoma pursuant to the rules of the Oklahoma Corporation Commission. For the purposes of this Affidavit, Exhibit B is limited to the lands pertaining to the County in which this Affidavit is recorded.</t>
  </si>
  <si>
    <t xml:space="preserve">2022-004277</t>
  </si>
  <si>
    <t xml:space="preserve">2393/1</t>
  </si>
  <si>
    <t xml:space="preserve">2022-09-27</t>
  </si>
  <si>
    <t xml:space="preserve">2022-10-17</t>
  </si>
  <si>
    <t xml:space="preserve">Louisiana Land and Exploration Company, LLC,
Burlington Resources Oil and Gas Company, L.P,
Conocophillips Company</t>
  </si>
  <si>
    <t xml:space="preserve">DP Legacy Central, LLC</t>
  </si>
  <si>
    <t xml:space="preserve">SE/4 of 27-11N-25W</t>
  </si>
  <si>
    <t xml:space="preserve">2022-004838</t>
  </si>
  <si>
    <t xml:space="preserve">2395/415</t>
  </si>
  <si>
    <t xml:space="preserve">2022-10-27</t>
  </si>
  <si>
    <t xml:space="preserve">2022-11-18</t>
  </si>
  <si>
    <t xml:space="preserve">DP Legacy Tapstone, LLC</t>
  </si>
  <si>
    <t xml:space="preserve">DP Sooner Holdco, LLC,
Diversified ABS VI Upstream,
Diversified ABS VI Upstream, LLC</t>
  </si>
  <si>
    <t xml:space="preserve">Division, DPT confirms, pursuant to the PA Code, that title rests with and is vested in DABS with respect to Wellbore Interests (as hereinafter defined) pursuant to the Division, and DPT further confirms, grants, bargains, sells and conveys to DABS the Wellbore Interests pursuant to the Division, and pursuant to the Division and the laws of State of Oklahoma DABS accepts and assumes the Wellbore Interests.
Division, DPT confirms, pursuant to the PA Code, that title rests with and is vested in DP SubCo with respect to DP SubCo Assets pursuant to the Division, and DPT further confirms, grants, bargains, sells and conveys to DP SubCo the DP SubCo Assets pursuant to the Division, and pursuant to the Division and the laws of State of Oklahoma, and DP SubCo accepts and assumes the DP SubCo Assets.</t>
  </si>
  <si>
    <t xml:space="preserve">2023-000796</t>
  </si>
  <si>
    <t xml:space="preserve">2400/551</t>
  </si>
  <si>
    <t xml:space="preserve">2008-04-30</t>
  </si>
  <si>
    <t xml:space="preserve">2023-03-02</t>
  </si>
  <si>
    <t xml:space="preserve">Diversified Production, LLC,
DP Sooner Holdco, LLC</t>
  </si>
  <si>
    <t xml:space="preserve">DP Sooner Holdco, LLC,
Diversified Production, LLC</t>
  </si>
  <si>
    <t xml:space="preserve">DP and DP Sooner confirm, pursuant to the Pennsylvania Code, that title rests with and is vested in DP with respect to DP Sooner Assets and DP Sooner Liabilities pursuant to the Merger. DP Sooner further confirms, grants and conveys to DP, the DP Sooner Assets and DP Sooner
Liabilities pursuant to the Merger and the laws of State of Oklahoma, and DP accepts and assumes the DP Sooner Assets and DP Sooner Liabilities pursuant to the Merger and the laws of State of Oklahoma.</t>
  </si>
  <si>
    <t xml:space="preserve">2023-03-14</t>
  </si>
  <si>
    <t xml:space="preserve">2023-03-22</t>
  </si>
  <si>
    <t xml:space="preserve">Teocalli Exploration</t>
  </si>
  <si>
    <t xml:space="preserve">All of Assignor's right, title, interest in the oil and gas leases and subleases described in Exhibit "A", INSOFAR AND ONLY INSOFAR as to the wellbores of the Wells</t>
  </si>
  <si>
    <t xml:space="preserve">2025-001808</t>
  </si>
  <si>
    <t xml:space="preserve">Merger</t>
  </si>
  <si>
    <t xml:space="preserve">2451/4</t>
  </si>
  <si>
    <t xml:space="preserve">2025-05-07</t>
  </si>
  <si>
    <t xml:space="preserve">2025-05-13</t>
  </si>
  <si>
    <t xml:space="preserve">Diversified Energy Company PLC</t>
  </si>
  <si>
    <t xml:space="preserve">All of 27-11N-25W, aol</t>
  </si>
  <si>
    <t xml:space="preserve">Remington Merger Sub, LLC, a Delaware limited liability company, and wholly owned indirect subsidiary of Diversified, with and into Maverick
Natural Resources, LLC a Delaware limited liability company ("MNR") as the surviving entity of the merger, effective March 14th, 2025. Unbridled Resources, LLC, a Delaware limited liability company ("Unbridled") is an
indirect, wholly owned subsidiary of MNR.  MNR and Unbridled are wholly owned, indirect subsidiaries of Diversified and shall have a mailing address for notice purposes of 211 North Robinson Avenue, Suite N-1000,
Oklahoma City, Oklahoma 73102.</t>
  </si>
  <si>
    <t xml:space="preserve">2026-000490</t>
  </si>
  <si>
    <t xml:space="preserve">2477/830</t>
  </si>
  <si>
    <t xml:space="preserve">2022-04-08</t>
  </si>
  <si>
    <t xml:space="preserve">2026-02-02</t>
  </si>
  <si>
    <t xml:space="preserve">Vendere Resources II,
Vendera Resources III-B, L.P,
Vendera Management III, LLC,
Venpan Nonop, LLC,
VR4-Midpan, LP,</t>
  </si>
  <si>
    <t xml:space="preserve">MEP Pan Minerals, L.P</t>
  </si>
  <si>
    <t xml:space="preserve">OGL #</t>
  </si>
  <si>
    <t xml:space="preserve">Execution
Date</t>
  </si>
  <si>
    <t xml:space="preserve">Filing
Date</t>
  </si>
  <si>
    <t xml:space="preserve">Grantor</t>
  </si>
  <si>
    <t xml:space="preserve">Grantee</t>
  </si>
  <si>
    <t xml:space="preserve">Legal
Description</t>
  </si>
  <si>
    <t xml:space="preserve">Term</t>
  </si>
  <si>
    <t xml:space="preserve">Gross Acres</t>
  </si>
  <si>
    <t xml:space="preserve">Tracts</t>
  </si>
  <si>
    <t xml:space="preserve">Exp Date</t>
  </si>
  <si>
    <t xml:space="preserve">Net Mineral
Acres</t>
  </si>
  <si>
    <t xml:space="preserve">Source Status</t>
  </si>
  <si>
    <t xml:space="preserve">Data Status</t>
  </si>
  <si>
    <t xml:space="preserve">Source File</t>
  </si>
  <si>
    <t xml:space="preserve">Reliance Level</t>
  </si>
  <si>
    <t xml:space="preserve">Depth Clause</t>
  </si>
  <si>
    <t xml:space="preserve">Option to Extend</t>
  </si>
  <si>
    <t xml:space="preserve">No Warranty Clause</t>
  </si>
  <si>
    <t xml:space="preserve">Top Lease Clause</t>
  </si>
  <si>
    <t xml:space="preserve">Image / Source</t>
  </si>
  <si>
    <t xml:space="preserve">1</t>
  </si>
  <si>
    <t xml:space="preserve">1 year (paid-up)</t>
  </si>
  <si>
    <t xml:space="preserve">160</t>
  </si>
  <si>
    <t xml:space="preserve">3/16</t>
  </si>
  <si>
    <t xml:space="preserve">PDF image checked - key terms/royalty/legal captured where legible, full clauses, exhibits, NMA, assignments, HBP/production still require verification.</t>
  </si>
  <si>
    <t xml:space="preserve">2001-008526.pdf</t>
  </si>
  <si>
    <t xml:space="preserve">Cursory PDF-verified key terms only - not a stand-alone title opinion.</t>
  </si>
  <si>
    <t xml:space="preserve">Lease covers only rights below the stratigraphic equivalent of 17,960 feet, being total depth drilled plus 100 feet in the Sanguine, Ltd. Mandrell #2-27 well located in the W/2 SE/4 of Section 27-11N-25W, Beckham County, Oklahoma.</t>
  </si>
  <si>
    <t xml:space="preserve">No</t>
  </si>
  <si>
    <t xml:space="preserve">N/A</t>
  </si>
  <si>
    <t xml:space="preserve">2</t>
  </si>
  <si>
    <t xml:space="preserve">3</t>
  </si>
  <si>
    <t xml:space="preserve">2001-008525.pdf</t>
  </si>
  <si>
    <t xml:space="preserve">2001-008524.pdf</t>
  </si>
  <si>
    <t xml:space="preserve">4</t>
  </si>
  <si>
    <t xml:space="preserve">2001-008523.pdf</t>
  </si>
  <si>
    <t xml:space="preserve">5</t>
  </si>
  <si>
    <t xml:space="preserve">2001-008522.pdf</t>
  </si>
  <si>
    <t xml:space="preserve">Special warranty - warrants and agrees to defend the title, and agrees that the Lessee</t>
  </si>
  <si>
    <t xml:space="preserve">6</t>
  </si>
  <si>
    <t xml:space="preserve">2001-008521.pdf</t>
  </si>
  <si>
    <t xml:space="preserve">7</t>
  </si>
  <si>
    <t xml:space="preserve">2001-008520.pdf</t>
  </si>
  <si>
    <t xml:space="preserve">8</t>
  </si>
  <si>
    <t xml:space="preserve">2001-008519.pdf</t>
  </si>
  <si>
    <t xml:space="preserve">9</t>
  </si>
  <si>
    <t xml:space="preserve">2001-008518.pdf</t>
  </si>
  <si>
    <t xml:space="preserve">10</t>
  </si>
  <si>
    <t xml:space="preserve">2001-008517.pdf</t>
  </si>
  <si>
    <t xml:space="preserve">11</t>
  </si>
  <si>
    <t xml:space="preserve">2001-008516.pdf</t>
  </si>
  <si>
    <t xml:space="preserve">12</t>
  </si>
  <si>
    <t xml:space="preserve">2001-008515.pdf</t>
  </si>
  <si>
    <t xml:space="preserve">13</t>
  </si>
  <si>
    <t xml:space="preserve">2001-008514.pdf</t>
  </si>
  <si>
    <t xml:space="preserve">14</t>
  </si>
  <si>
    <t xml:space="preserve">2001-008513.pdf</t>
  </si>
  <si>
    <t xml:space="preserve">15</t>
  </si>
  <si>
    <t xml:space="preserve">2001-002247.pdf</t>
  </si>
  <si>
    <t xml:space="preserve">SE/4 limited to all depths below 17,860 feet.</t>
  </si>
  <si>
    <t xml:space="preserve">Special warranty - warranty, express or implied, in law or</t>
  </si>
  <si>
    <t xml:space="preserve">Not verified from reviewed first page</t>
  </si>
  <si>
    <t xml:space="preserve">16</t>
  </si>
  <si>
    <t xml:space="preserve">2001-002246.pdf</t>
  </si>
  <si>
    <t xml:space="preserve">17</t>
  </si>
  <si>
    <t xml:space="preserve">2001-002245.pdf</t>
  </si>
  <si>
    <t xml:space="preserve">18</t>
  </si>
  <si>
    <t xml:space="preserve">9 months (paid-up)</t>
  </si>
  <si>
    <t xml:space="preserve">2000-010165.pdf</t>
  </si>
  <si>
    <t xml:space="preserve">Lease covers only rights beneath 100 feet below the total depth drilled (17,860 feet) in the Sanguine, Ltd. Mandrell #2-27 well located in the W/2 SE/4 of Section 27-11N-25W.</t>
  </si>
  <si>
    <t xml:space="preserve">Special warranty - warrants and agrees to defend title [QC: OCR substantially illegible - verify full warranty language against instrument]</t>
  </si>
  <si>
    <t xml:space="preserve">19</t>
  </si>
  <si>
    <t xml:space="preserve">2000-010164.pdf</t>
  </si>
  <si>
    <t xml:space="preserve">Warranty/no-warranty language appears modified on first page, verify full form before reliance</t>
  </si>
  <si>
    <t xml:space="preserve">20</t>
  </si>
  <si>
    <t xml:space="preserve">2000-010163.pdf</t>
  </si>
  <si>
    <t xml:space="preserve">21</t>
  </si>
  <si>
    <t xml:space="preserve">2000-010162.pdf</t>
  </si>
  <si>
    <t xml:space="preserve">22</t>
  </si>
  <si>
    <t xml:space="preserve">1 year</t>
  </si>
  <si>
    <t xml:space="preserve">1/4</t>
  </si>
  <si>
    <t xml:space="preserve">1999-004222.pdf</t>
  </si>
  <si>
    <t xml:space="preserve">23</t>
  </si>
  <si>
    <t xml:space="preserve">1999-003760.pdf</t>
  </si>
  <si>
    <t xml:space="preserve">24</t>
  </si>
  <si>
    <t xml:space="preserve">6 months (paid-up)</t>
  </si>
  <si>
    <t xml:space="preserve">1999-000946.pdf</t>
  </si>
  <si>
    <t xml:space="preserve">Limited to rights from the surface to the base of the Morrow Formation only.</t>
  </si>
  <si>
    <t xml:space="preserve">25</t>
  </si>
  <si>
    <t xml:space="preserve">SW/4 Section 27-11N-25W, less 1.00-acre Buffalo Church tract, approx. 6.201 net acres presently unleased</t>
  </si>
  <si>
    <t xml:space="preserve">159</t>
  </si>
  <si>
    <t xml:space="preserve">1999-000945.pdf</t>
  </si>
  <si>
    <t xml:space="preserve">No special depth limitation located on reviewed first page</t>
  </si>
  <si>
    <t xml:space="preserve">26</t>
  </si>
  <si>
    <t xml:space="preserve">1999-000825.pdf</t>
  </si>
  <si>
    <t xml:space="preserve">1999-000824.pdf</t>
  </si>
  <si>
    <t xml:space="preserve">28</t>
  </si>
  <si>
    <t xml:space="preserve">1999-000823.pdf</t>
  </si>
  <si>
    <t xml:space="preserve">29</t>
  </si>
  <si>
    <t xml:space="preserve">2 years (paid-up)</t>
  </si>
  <si>
    <t xml:space="preserve">0.26</t>
  </si>
  <si>
    <t xml:space="preserve">1999-000193.pdf</t>
  </si>
  <si>
    <t xml:space="preserve">30</t>
  </si>
  <si>
    <t xml:space="preserve">1998-008577.pdf</t>
  </si>
  <si>
    <t xml:space="preserve">Top-lease offer notice/ROFR present, not an extension option.</t>
  </si>
  <si>
    <t xml:space="preserve">Bona fide top-lease offer notice/ROFR clause - lessor notice required, lessee has 15 days to meet offer.</t>
  </si>
  <si>
    <t xml:space="preserve">31</t>
  </si>
  <si>
    <t xml:space="preserve">3 years (paid-up)</t>
  </si>
  <si>
    <t xml:space="preserve">1998-007087.pdf</t>
  </si>
  <si>
    <t xml:space="preserve">32</t>
  </si>
  <si>
    <t xml:space="preserve">1998-007086.pdf</t>
  </si>
  <si>
    <t xml:space="preserve">33</t>
  </si>
  <si>
    <t xml:space="preserve">1998-007085.pdf</t>
  </si>
  <si>
    <t xml:space="preserve">34</t>
  </si>
  <si>
    <t xml:space="preserve">1998-007084.pdf</t>
  </si>
  <si>
    <t xml:space="preserve">35</t>
  </si>
  <si>
    <t xml:space="preserve">1998-007083.pdf</t>
  </si>
  <si>
    <t xml:space="preserve">36</t>
  </si>
  <si>
    <t xml:space="preserve">1998-007082.pdf</t>
  </si>
  <si>
    <t xml:space="preserve">37</t>
  </si>
  <si>
    <t xml:space="preserve">1998-007081.pdf</t>
  </si>
  <si>
    <t xml:space="preserve">38</t>
  </si>
  <si>
    <t xml:space="preserve">1998-007080.pdf</t>
  </si>
  <si>
    <t xml:space="preserve">39</t>
  </si>
  <si>
    <t xml:space="preserve">1998-007079.pdf</t>
  </si>
  <si>
    <t xml:space="preserve">40</t>
  </si>
  <si>
    <t xml:space="preserve">1998-007078.pdf</t>
  </si>
  <si>
    <t xml:space="preserve">41</t>
  </si>
  <si>
    <t xml:space="preserve">1998-005861.pdf</t>
  </si>
  <si>
    <t xml:space="preserve">42</t>
  </si>
  <si>
    <t xml:space="preserve">1998-005860.pdf</t>
  </si>
  <si>
    <t xml:space="preserve">43</t>
  </si>
  <si>
    <t xml:space="preserve">1998-005859.pdf</t>
  </si>
  <si>
    <t xml:space="preserve">44</t>
  </si>
  <si>
    <t xml:space="preserve">1998-005858.pdf</t>
  </si>
  <si>
    <t xml:space="preserve">45</t>
  </si>
  <si>
    <t xml:space="preserve">3 years from 08/01/1995 (paid-up)</t>
  </si>
  <si>
    <t xml:space="preserve">1995-004394.pdf</t>
  </si>
  <si>
    <t xml:space="preserve">Top/reversionary form, depth clause not fully abstracted from reviewed page.</t>
  </si>
  <si>
    <t xml:space="preserve">No, lessor covenant not to extend/renew existing lease appears in reviewed form.</t>
  </si>
  <si>
    <t xml:space="preserve">YES - reversionary/top lease form, covers lessor's reversionary interest, subject to existing lease, vesting upon termination.</t>
  </si>
  <si>
    <t xml:space="preserve">46</t>
  </si>
  <si>
    <t xml:space="preserve">1995-004178.pdf</t>
  </si>
  <si>
    <t xml:space="preserve">47</t>
  </si>
  <si>
    <t xml:space="preserve">1995-004035.pdf</t>
  </si>
  <si>
    <t xml:space="preserve">48</t>
  </si>
  <si>
    <t xml:space="preserve">1995-004034.pdf</t>
  </si>
  <si>
    <t xml:space="preserve">49</t>
  </si>
  <si>
    <t xml:space="preserve">1995-004033.pdf</t>
  </si>
  <si>
    <t xml:space="preserve">50</t>
  </si>
  <si>
    <t xml:space="preserve">1995-004032.pdf</t>
  </si>
  <si>
    <t xml:space="preserve">51</t>
  </si>
  <si>
    <t xml:space="preserve">1995-004031.pdf</t>
  </si>
  <si>
    <t xml:space="preserve">52</t>
  </si>
  <si>
    <t xml:space="preserve">1995-004030.pdf</t>
  </si>
  <si>
    <t xml:space="preserve">53</t>
  </si>
  <si>
    <t xml:space="preserve">1995-004029.pdf</t>
  </si>
  <si>
    <t xml:space="preserve">54</t>
  </si>
  <si>
    <t xml:space="preserve">1995-004028.pdf</t>
  </si>
  <si>
    <t xml:space="preserve">55</t>
  </si>
  <si>
    <t xml:space="preserve">1995-004027.pdf</t>
  </si>
  <si>
    <t xml:space="preserve">56</t>
  </si>
  <si>
    <t xml:space="preserve">1995-004026.pdf</t>
  </si>
  <si>
    <t xml:space="preserve">57</t>
  </si>
  <si>
    <t xml:space="preserve">1995-004025.pdf</t>
  </si>
  <si>
    <t xml:space="preserve">58</t>
  </si>
  <si>
    <t xml:space="preserve">1995-004024.pdf</t>
  </si>
  <si>
    <t xml:space="preserve">59</t>
  </si>
  <si>
    <t xml:space="preserve">1995-004023.pdf</t>
  </si>
  <si>
    <t xml:space="preserve">60</t>
  </si>
  <si>
    <t xml:space="preserve">1995-002703</t>
  </si>
  <si>
    <t xml:space="preserve">1995-04-17</t>
  </si>
  <si>
    <t xml:space="preserve">1995-05-23</t>
  </si>
  <si>
    <t xml:space="preserve">1/8</t>
  </si>
  <si>
    <t xml:space="preserve">1995-002703.pdf</t>
  </si>
  <si>
    <t xml:space="preserve">61</t>
  </si>
  <si>
    <t xml:space="preserve">1995-002702</t>
  </si>
  <si>
    <t xml:space="preserve">1995-002702.pdf</t>
  </si>
  <si>
    <t xml:space="preserve">62</t>
  </si>
  <si>
    <t xml:space="preserve">1995-002701</t>
  </si>
  <si>
    <t xml:space="preserve">1995-002701.pdf</t>
  </si>
  <si>
    <t xml:space="preserve">63</t>
  </si>
  <si>
    <t xml:space="preserve">1994-006197</t>
  </si>
  <si>
    <t xml:space="preserve">1994-09-06</t>
  </si>
  <si>
    <t xml:space="preserve">1994-10-17</t>
  </si>
  <si>
    <t xml:space="preserve">T. S. Dudley Land Company, Inc.</t>
  </si>
  <si>
    <t xml:space="preserve">SW/4 Section 27-11N-25W, less 1.00-acre tract (159 acres)</t>
  </si>
  <si>
    <t xml:space="preserve">5 years (paid-up)</t>
  </si>
  <si>
    <t xml:space="preserve">1994-006197.pdf</t>
  </si>
  <si>
    <t xml:space="preserve">Wells</t>
  </si>
  <si>
    <t xml:space="preserve">Well #</t>
  </si>
  <si>
    <t xml:space="preserve">API #</t>
  </si>
  <si>
    <t xml:space="preserve">Current Operator</t>
  </si>
  <si>
    <t xml:space="preserve">Well Name</t>
  </si>
  <si>
    <t xml:space="preserve">Formation</t>
  </si>
  <si>
    <t xml:space="preserve">Surface Location</t>
  </si>
  <si>
    <t xml:space="preserve">Bottom Hole Location</t>
  </si>
  <si>
    <t xml:space="preserve">Spud Date</t>
  </si>
  <si>
    <t xml:space="preserve">Perforated Interval(s)</t>
  </si>
  <si>
    <t xml:space="preserve">TD &amp; TVD</t>
  </si>
  <si>
    <t xml:space="preserve">Spacing</t>
  </si>
  <si>
    <t xml:space="preserve">MU Order</t>
  </si>
  <si>
    <t xml:space="preserve">Type</t>
  </si>
  <si>
    <t xml:space="preserve">Completion Date</t>
  </si>
  <si>
    <t xml:space="preserve">Last Production</t>
  </si>
  <si>
    <t xml:space="preserve">Plugging</t>
  </si>
  <si>
    <t xml:space="preserve">Allocation</t>
  </si>
  <si>
    <t xml:space="preserve">35-009-21146 / 3500921146</t>
  </si>
  <si>
    <t xml:space="preserve">BCE-MACH II LLC (OCC RBDMS current operator; operator list status OPEN)</t>
  </si>
  <si>
    <t xml:space="preserve">MANDRELL #2-27</t>
  </si>
  <si>
    <t xml:space="preserve">Gas well. Producing formation name not explicitly populated in OCC legacy completion extract; pull imaged Form 1002A for named reservoir/perf detail.</t>
  </si>
  <si>
    <t xml:space="preserve">W/2 SE/4, Sec. 27-11N-25W, Beckham Co., OK; 660' FWL &amp; 1320' FSL; OCC RBDMS SH lat/long 35.39678, -99.82972.</t>
  </si>
  <si>
    <t xml:space="preserve">N/A for vertical/SH well in OCC legacy completion dataset; no BHL fields reported.</t>
  </si>
  <si>
    <t xml:space="preserve">07/18/1999 (OCC legacy completion)</t>
  </si>
  <si>
    <t xml:space="preserve">Not present in OCC legacy completion extract; pull imaged Form 1002A/well file.</t>
  </si>
  <si>
    <t xml:space="preserve">Measured TD 17,860'; TVD not reported in legacy completion extract.</t>
  </si>
  <si>
    <t xml:space="preserve">OCC Order 212526 listed in legacy completion extract.</t>
  </si>
  <si>
    <t xml:space="preserve">N/A - vertical/SH well; no multi-unit order identified in public completion datasets.</t>
  </si>
  <si>
    <t xml:space="preserve">OCC RBDMS/legacy: AC / GAS / GAS; SH well.</t>
  </si>
  <si>
    <t xml:space="preserve">01/14/2000; drilling finished 09/25/1999; first production 11/07/1999.</t>
  </si>
  <si>
    <t xml:space="preserve">OTC production still required for monthly volumes/HBP. OCC legacy lease/PUN 104803-009-0-0000 and AC status support possible HBP but do not prove lease-specific paying production.</t>
  </si>
  <si>
    <t xml:space="preserve">Active (OCC status AC); no plugging record in RBDMS master.</t>
  </si>
  <si>
    <t xml:space="preserve">Lease-specific allocation still requires OTC production and lease/unit/order review; OCC data verifies PUN 104803 and Order 212526.</t>
  </si>
  <si>
    <t xml:space="preserve">35-009-21241 / 3500921241</t>
  </si>
  <si>
    <t xml:space="preserve">BETTY SITES #1-27</t>
  </si>
  <si>
    <t xml:space="preserve">S2 S2 S2 NW/4, Sec. 27-11N-25W, Beckham Co., OK; 1320' FWL &amp; 200' FSL; OCC RBDMS SH lat/long 35.40097, -99.83667.</t>
  </si>
  <si>
    <t xml:space="preserve">12/11/2001 (OCC legacy completion)</t>
  </si>
  <si>
    <t xml:space="preserve">Measured TD 19,423'; TVD not reported in legacy completion extract.</t>
  </si>
  <si>
    <t xml:space="preserve">OCC Order 212526 listed in legacy completion extract; alternate legacy entry also lists 147147.</t>
  </si>
  <si>
    <t xml:space="preserve">06/01/2003 legacy completion; alternate/recompletion record 03/13/2005; first production 05/21/2002; drilling finished 03/28/2002.</t>
  </si>
  <si>
    <t xml:space="preserve">OTC production still required for monthly volumes/HBP. OCC legacy lease/PUN 109427-009-0-0000 and AC status support possible HBP but do not prove lease-specific paying production.</t>
  </si>
  <si>
    <t xml:space="preserve">Active (OCC status AC).</t>
  </si>
  <si>
    <t xml:space="preserve">Lease-specific allocation still requires OTC production and lease/unit/order review; OCC data verifies PUN 109427 and Order 212526.</t>
  </si>
  <si>
    <t xml:space="preserve">35-009-21990 / 3500921990</t>
  </si>
  <si>
    <t xml:space="preserve">PRESIDIO PETROLEUM LLC (OCC RBDMS current operator; operator list status OPEN)</t>
  </si>
  <si>
    <t xml:space="preserve">SITES #1H-2215</t>
  </si>
  <si>
    <t xml:space="preserve">HOGSHOOTER (formation code 405HGSR). OCC remarks: Order 677424 / CD 201800813 authorizes Cottage Grove, Hogshooter, and Checkerboard nomenclature.</t>
  </si>
  <si>
    <t xml:space="preserve">NW NW NE NW, Sec. 27-11N-25W, Beckham Co., OK; 1400' FWL &amp; 300' FNL; OCC RBDMS SH lat/long 35.40682, -99.83643.</t>
  </si>
  <si>
    <t xml:space="preserve">Horizontal well; BHL not populated in OCC completion base file (0/blank). Pull imaged plat/Form 1002A and OCC order 688488 for BHL/allocation.</t>
  </si>
  <si>
    <t xml:space="preserve">03/14/2018 (OCC current completion master)</t>
  </si>
  <si>
    <t xml:space="preserve">12,448'-20,873' (Hogshooter). Acid: 336 bbl 15% HCl. Frac: 213,054 bbl fluid + 8,079,540 lb 40/70 sand.</t>
  </si>
  <si>
    <t xml:space="preserve">MD 20,980'; TVD not populated in OCC completion base file; DF 2,130' / GF 2,114'.</t>
  </si>
  <si>
    <t xml:space="preserve">OCC Order 677424 / CD 201800813 noted for nomenclature; Location Exception Order 688488; spacing-order field blank in completion dataset.</t>
  </si>
  <si>
    <t xml:space="preserve">Not confirmed from public dataset; horizontal #1H-2215 likely requires OCC imaged order/plat review for final allocation.</t>
  </si>
  <si>
    <t xml:space="preserve">OCC RBDMS/current completion: AC / OIL / OIL; horizontal oil well; completion review status Accepted.</t>
  </si>
  <si>
    <t xml:space="preserve">05/16/2018; drilling finished 04/26/2018; first production/first sales 05/16/2018.</t>
  </si>
  <si>
    <t xml:space="preserve">OTC production still required for monthly volumes/HBP. OCC PUN 129-223460-0-0000. Completion test 07/16/2018: 125 BOPD, 1,783 MCFD, 378 BWPD; flowing; FTP 356; choke 64/64.</t>
  </si>
  <si>
    <t xml:space="preserve">Horizontal allocation not verified; use OCC imaged order/plat and OTC PUN 129-223460-0-0000 before carrying allocation factor.</t>
  </si>
  <si>
    <t xml:space="preserve">35-009-20319 / 3500920319</t>
  </si>
  <si>
    <t xml:space="preserve">BLACKJACK OIL &amp; GAS INC (last RBDMS operator; OCC operator list status CLOSED)</t>
  </si>
  <si>
    <t xml:space="preserve">MANDRELL #1-27</t>
  </si>
  <si>
    <t xml:space="preserve">Historical gas well; producing formation name not explicitly populated in OCC legacy completion extract.</t>
  </si>
  <si>
    <t xml:space="preserve">C SW/4, Sec. 27-11N-25W, Beckham Co., OK; 1320' FWL &amp; 1320' FSL; OCC RBDMS SH lat/long 35.3963374, -99.8368314.</t>
  </si>
  <si>
    <t xml:space="preserve">N/A for plugged vertical/SH well; no BHL fields reported.</t>
  </si>
  <si>
    <t xml:space="preserve">02/14/1980 (OCC legacy completion)</t>
  </si>
  <si>
    <t xml:space="preserve">Not present in OCC legacy completion extract; pull imaged completion/well docs if needed.</t>
  </si>
  <si>
    <t xml:space="preserve">Measured TD 16,015'; TVD not reported in legacy completion extract.</t>
  </si>
  <si>
    <t xml:space="preserve">OCC Order 147147 listed in legacy completion extract.</t>
  </si>
  <si>
    <t xml:space="preserve">N/A - vertical/SH well; no multi-unit order identified.</t>
  </si>
  <si>
    <t xml:space="preserve">OCC RBDMS/legacy: PA / GAS / PLUGGED; SH well.</t>
  </si>
  <si>
    <t xml:space="preserve">07/06/1980; drilling finished 05/27/1980.</t>
  </si>
  <si>
    <t xml:space="preserve">Plugged; no current HBP support from this well. Historical legacy lease/PUN 67875-009-0-0000.</t>
  </si>
  <si>
    <t xml:space="preserve">Plugged &amp; abandoned (OCC status PA); plugging date not populated in public completion extracts.</t>
  </si>
  <si>
    <t xml:space="preserve">Historical plugged well only; no current production allocation carried.</t>
  </si>
  <si>
    <t xml:space="preserve">SOURCE: OCC RBDMS well master (oklahoma.gov OCC oil-gas data files), accessed 6/7/2026. Core fields (API, operator, status, type, surface location, lat/long) are VERIFIED from RBDMS. Completion details (spud, TD/TVD, perforations, completion date, spacing/MU order, production) are NOT in the master and are flagged Needs Verification - retrieve per-API at OCC Well Records: public.occ.ok.gov/OGCDWellRecords (search by API) and OTC gross production for HBP/PUN. KEY FINDING: Sec 27 has 3 ACTIVE wells (HBP supported) but operators of record are BCE-MACH II LLC and Presidio Petroleum LLC - reconcile against the Diversified leasehold chain.</t>
  </si>
  <si>
    <t xml:space="preserve">Document / Instrument</t>
  </si>
  <si>
    <t xml:space="preserve">Parties</t>
  </si>
  <si>
    <t xml:space="preserve">Interest / Why It Matters</t>
  </si>
  <si>
    <t xml:space="preserve">Nadel &amp; Gussman et al. -&gt; FourPoint Energy, LLC</t>
  </si>
  <si>
    <t xml:space="preserve">Track A: first recorded step of Diversified leasehold path into Sec 27 (depth-limited)</t>
  </si>
  <si>
    <t xml:space="preserve">2019-002937 / 2019-002988</t>
  </si>
  <si>
    <t xml:space="preserve">Partial Assignments</t>
  </si>
  <si>
    <t xml:space="preserve">2307/894; 2308/123</t>
  </si>
  <si>
    <t xml:space="preserve">2019-07</t>
  </si>
  <si>
    <t xml:space="preserve">EnerVest Energy Inst. Fund XIII -&gt; FourPoint</t>
  </si>
  <si>
    <t xml:space="preserve">Track A: adds EnerVest leasehold (Mandrell 2-27 / Betty Sites 1-27)</t>
  </si>
  <si>
    <t xml:space="preserve">Name Change</t>
  </si>
  <si>
    <t xml:space="preserve">2020-11-18</t>
  </si>
  <si>
    <t xml:space="preserve">FourPoint Energy, LLC -&gt; Unbridled Resources, LLC</t>
  </si>
  <si>
    <t xml:space="preserve">Recorded link in Track A chain</t>
  </si>
  <si>
    <t xml:space="preserve">2025-03-14</t>
  </si>
  <si>
    <t xml:space="preserve">Diversified Energy Co. PLC / Maverick / Unbridled</t>
  </si>
  <si>
    <t xml:space="preserve">Ties succession to Diversified (corporate; MNR/Unbridled subsidiaries)</t>
  </si>
  <si>
    <t xml:space="preserve">Assignment (wellbore)</t>
  </si>
  <si>
    <t xml:space="preserve">2023</t>
  </si>
  <si>
    <t xml:space="preserve">Unbridled Resources -&gt; Teocalli Exploration</t>
  </si>
  <si>
    <t xml:space="preserve">Potential wellbore carve-out (unquantified)</t>
  </si>
  <si>
    <t xml:space="preserve">2020-004435 / 2020-004462</t>
  </si>
  <si>
    <t xml:space="preserve">Assignments</t>
  </si>
  <si>
    <t xml:space="preserve">2340/403 (70.73%); 2340/490 (29.27%)</t>
  </si>
  <si>
    <t xml:space="preserve">2020</t>
  </si>
  <si>
    <t xml:space="preserve">Chesapeake entities -&gt; Tapstone / KL CHK SPV</t>
  </si>
  <si>
    <t xml:space="preserve">Track B (documented; not carried to Sec-27 WI per analysis)</t>
  </si>
  <si>
    <t xml:space="preserve">Partial Release</t>
  </si>
  <si>
    <t xml:space="preserve">2001</t>
  </si>
  <si>
    <t xml:space="preserve">Sanguine et al.</t>
  </si>
  <si>
    <t xml:space="preserve">Proves depth limit: releases below 17,960' strat equiv (TD+100, Mandrell 2-27)</t>
  </si>
  <si>
    <t xml:space="preserve">OCC Order 429172 / CD 980004527</t>
  </si>
  <si>
    <t xml:space="preserve">Pooling</t>
  </si>
  <si>
    <t xml:space="preserve">-</t>
  </si>
  <si>
    <t xml:space="preserve">1998-12-28</t>
  </si>
  <si>
    <t xml:space="preserve">OCC</t>
  </si>
  <si>
    <t xml:space="preserve">Establishes 640-ac DSU; pooled common sources of supply (Granite Wash/Morrow/Atoka, etc.)</t>
  </si>
  <si>
    <t xml:space="preserve">#</t>
  </si>
  <si>
    <t xml:space="preserve">Category</t>
  </si>
  <si>
    <t xml:space="preserve">Issue</t>
  </si>
  <si>
    <t xml:space="preserve">Risk</t>
  </si>
  <si>
    <t xml:space="preserve">Document / Data Needed</t>
  </si>
  <si>
    <t xml:space="preserve">Interest</t>
  </si>
  <si>
    <t xml:space="preserve">Exact Diversified WI/NRI decimal not derivable from index; 0.70052083 is an apparent leased-coverage fraction (448.33/640), NOT a proven WI.</t>
  </si>
  <si>
    <t xml:space="preserve">High</t>
  </si>
  <si>
    <t xml:space="preserve">Division orders / run-of-title / lessor mineral fractions</t>
  </si>
  <si>
    <t xml:space="preserve">Conflict</t>
  </si>
  <si>
    <t xml:space="preserve">Track A vs Track B: WI analysis carries Track A only; Title/merger recitals suggest convergence. Not silently resolved.</t>
  </si>
  <si>
    <t xml:space="preserve">Recorded Track B assignments + 2451/4 merger reconciliation</t>
  </si>
  <si>
    <t xml:space="preserve">Succession</t>
  </si>
  <si>
    <t xml:space="preserve">FourPoint-&gt;Unbridled-&gt;Maverick-&gt;Diversified relies partly on corporate/merger recitals + public filings, not a recorded Sec-27 conveyance chain.</t>
  </si>
  <si>
    <t xml:space="preserve">Recorded asset schedules / merger exhibits for Sec 27</t>
  </si>
  <si>
    <t xml:space="preserve">Depth</t>
  </si>
  <si>
    <t xml:space="preserve">Controlling depth = below ~17,960'/17,860' strat equiv; Cherokee NOT supported by any provided record.</t>
  </si>
  <si>
    <t xml:space="preserve">Imaged controlling instruments (2266/194 severance, 1719/304 release)</t>
  </si>
  <si>
    <t xml:space="preserve">Production/HBP</t>
  </si>
  <si>
    <t xml:space="preserve">Operators of record are BCE-MACH II LLC and Presidio Petroleum LLC - NOT Diversified. HBP attribution to Diversified unproven.</t>
  </si>
  <si>
    <t xml:space="preserve">Medium</t>
  </si>
  <si>
    <t xml:space="preserve">OTC gross production; OCC orders/PUNs</t>
  </si>
  <si>
    <t xml:space="preserve">Burdens</t>
  </si>
  <si>
    <t xml:space="preserve">ORRI stack (GBK 3%, Kaiser-Francis, multiple 1% reserved ORRIs) not netted; NRI cannot be stated.</t>
  </si>
  <si>
    <t xml:space="preserve">All ORRI assignments</t>
  </si>
  <si>
    <t xml:space="preserve">Alias</t>
  </si>
  <si>
    <t xml:space="preserve">'Diversified Financial Group, Inc.' (1168/324, 1189/20, 1428/128) = Erick town lots, surface only - probable name collision; excluded.</t>
  </si>
  <si>
    <t xml:space="preserve">Low</t>
  </si>
  <si>
    <t xml:space="preserve">Confirm unrelated to Diversified Energy</t>
  </si>
  <si>
    <t xml:space="preserve">NMA</t>
  </si>
  <si>
    <t xml:space="preserve">Per-lessor / per-tract net mineral acres shown 'Unknown' - not derivable from index.</t>
  </si>
  <si>
    <t xml:space="preserve">Mineral deeds / probate / affidavits of heirship</t>
  </si>
  <si>
    <t xml:space="preserve">CHANGE LOG - Section 27-11N-25W Diversified LH Cursory</t>
  </si>
  <si>
    <t xml:space="preserve">- Rebuilt to Shanwee LH-cursory format: Overview cover, per-tract Title, PLAT.</t>
  </si>
  <si>
    <t xml:space="preserve">- Added Section-20-style per-tract WI ledgers (Tract 1-5) plus consolidated WI chain.</t>
  </si>
  <si>
    <t xml:space="preserve">- Carried the chained WI from WI_Redone: Diversified terminal apparent WI = 0.7005208328125 (448.33/640) via Track A; predecessors net to 0; Track B documented but not carried.</t>
  </si>
  <si>
    <t xml:space="preserve">- Tract scheme normalized to 5 tracts (NE/NW/SE/SW-less-church + 1-ac church) summing to 640 ac.</t>
  </si>
  <si>
    <t xml:space="preserve">- Owner/party names converted to First Middle Last where they appeared as 'Last, First'.</t>
  </si>
  <si>
    <t xml:space="preserve">- Release instrument (1412/55) excluded from active leasehold in Title.</t>
  </si>
  <si>
    <t xml:space="preserve">- Net mineral acres left 'Unknown' where not derivable from index (cursory); flagged in Title and Conflicts.</t>
  </si>
  <si>
    <t xml:space="preserve">- Cherokee Formation NOT asserted - no provided record supports it; controlling depth is below ~17,960'/17,860' strat equiv.</t>
  </si>
</sst>
</file>

<file path=xl/styles.xml><?xml version="1.0" encoding="utf-8"?>
<styleSheet xmlns="http://schemas.openxmlformats.org/spreadsheetml/2006/main">
  <numFmts count="5">
    <numFmt numFmtId="164" formatCode="General"/>
    <numFmt numFmtId="165" formatCode="0.00"/>
    <numFmt numFmtId="166" formatCode="0.00000000"/>
    <numFmt numFmtId="167" formatCode="0.000000"/>
    <numFmt numFmtId="168" formatCode="# ???/???"/>
  </numFmts>
  <fonts count="22">
    <font>
      <sz val="11"/>
      <color theme="1"/>
      <name val="Calibri"/>
      <family val="2"/>
      <charset val="1"/>
    </font>
    <font>
      <sz val="10"/>
      <name val="Arial"/>
      <family val="0"/>
    </font>
    <font>
      <sz val="10"/>
      <name val="Arial"/>
      <family val="0"/>
    </font>
    <font>
      <sz val="10"/>
      <name val="Arial"/>
      <family val="0"/>
    </font>
    <font>
      <b val="true"/>
      <sz val="10"/>
      <color rgb="FF000000"/>
      <name val="Arial"/>
      <family val="0"/>
      <charset val="1"/>
    </font>
    <font>
      <i val="true"/>
      <sz val="9"/>
      <color rgb="FF000000"/>
      <name val="Arial"/>
      <family val="0"/>
      <charset val="1"/>
    </font>
    <font>
      <sz val="9"/>
      <color rgb="FF000000"/>
      <name val="Arial"/>
      <family val="0"/>
      <charset val="1"/>
    </font>
    <font>
      <b val="true"/>
      <sz val="11"/>
      <color rgb="FF1F3864"/>
      <name val="Arial"/>
      <family val="0"/>
      <charset val="1"/>
    </font>
    <font>
      <i val="true"/>
      <sz val="9"/>
      <color rgb="FF595959"/>
      <name val="Arial"/>
      <family val="0"/>
      <charset val="1"/>
    </font>
    <font>
      <sz val="10"/>
      <color rgb="FF000000"/>
      <name val="Arial"/>
      <family val="0"/>
      <charset val="1"/>
    </font>
    <font>
      <b val="true"/>
      <sz val="10"/>
      <color rgb="FFFFFFFF"/>
      <name val="Arial"/>
      <family val="0"/>
      <charset val="1"/>
    </font>
    <font>
      <i val="true"/>
      <sz val="8"/>
      <color rgb="FF595959"/>
      <name val="Arial"/>
      <family val="0"/>
      <charset val="1"/>
    </font>
    <font>
      <b val="true"/>
      <sz val="12"/>
      <color rgb="FF1F3864"/>
      <name val="Arial"/>
      <family val="0"/>
      <charset val="1"/>
    </font>
    <font>
      <i val="true"/>
      <sz val="10"/>
      <color rgb="FF000000"/>
      <name val="Arial"/>
      <family val="0"/>
      <charset val="1"/>
    </font>
    <font>
      <sz val="9"/>
      <color rgb="FF595959"/>
      <name val="Arial"/>
      <family val="0"/>
      <charset val="1"/>
    </font>
    <font>
      <b val="true"/>
      <sz val="9"/>
      <color rgb="FF000000"/>
      <name val="Arial"/>
      <family val="0"/>
      <charset val="1"/>
    </font>
    <font>
      <b val="true"/>
      <sz val="36"/>
      <color rgb="FF000000"/>
      <name val="Arial"/>
      <family val="0"/>
      <charset val="1"/>
    </font>
    <font>
      <sz val="8"/>
      <color rgb="FF000000"/>
      <name val="Arial"/>
      <family val="0"/>
      <charset val="1"/>
    </font>
    <font>
      <b val="true"/>
      <sz val="8"/>
      <color rgb="FF000000"/>
      <name val="Arial"/>
      <family val="0"/>
      <charset val="1"/>
    </font>
    <font>
      <b val="true"/>
      <sz val="8"/>
      <color rgb="FFC00000"/>
      <name val="Arial"/>
      <family val="0"/>
      <charset val="1"/>
    </font>
    <font>
      <i val="true"/>
      <sz val="8"/>
      <color rgb="FF808080"/>
      <name val="Arial"/>
      <family val="0"/>
      <charset val="1"/>
    </font>
    <font>
      <b val="true"/>
      <sz val="9"/>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DEBF7"/>
        <bgColor rgb="FFD9D9D9"/>
      </patternFill>
    </fill>
    <fill>
      <patternFill patternType="solid">
        <fgColor rgb="FFD9D9D9"/>
        <bgColor rgb="FFDDEBF7"/>
      </patternFill>
    </fill>
    <fill>
      <patternFill patternType="solid">
        <fgColor rgb="FFCCFFFF"/>
        <bgColor rgb="FFCC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5" fontId="4" fillId="4" borderId="0" xfId="0" applyFont="true" applyBorder="false" applyAlignment="true" applyProtection="false">
      <alignment horizontal="center" vertical="bottom" textRotation="0" wrapText="false" indent="0" shrinkToFit="false"/>
      <protection locked="true" hidden="false"/>
    </xf>
    <xf numFmtId="166" fontId="4" fillId="4" borderId="0" xfId="0" applyFont="true" applyBorder="false" applyAlignment="true" applyProtection="false">
      <alignment horizontal="center" vertical="bottom" textRotation="0" wrapText="false" indent="0" shrinkToFit="false"/>
      <protection locked="true" hidden="false"/>
    </xf>
    <xf numFmtId="164" fontId="18" fillId="5"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7" fontId="20" fillId="0"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left" vertical="bottom" textRotation="0" wrapText="true" indent="0" shrinkToFit="false"/>
      <protection locked="true" hidden="false"/>
    </xf>
    <xf numFmtId="164" fontId="4" fillId="5" borderId="0" xfId="0" applyFont="true" applyBorder="false" applyAlignment="true" applyProtection="false">
      <alignment horizontal="right" vertical="bottom" textRotation="0" wrapText="true" indent="0" shrinkToFit="false"/>
      <protection locked="true" hidden="false"/>
    </xf>
    <xf numFmtId="164" fontId="4" fillId="5" borderId="0" xfId="0" applyFont="true" applyBorder="false" applyAlignment="true" applyProtection="false">
      <alignment horizontal="center" vertical="bottom" textRotation="0" wrapText="true" indent="0" shrinkToFit="false"/>
      <protection locked="true" hidden="false"/>
    </xf>
    <xf numFmtId="165" fontId="0" fillId="5" borderId="0" xfId="0" applyFont="false" applyBorder="false" applyAlignment="true" applyProtection="false">
      <alignment horizontal="right" vertical="bottom" textRotation="0" wrapText="false" indent="0" shrinkToFit="false"/>
      <protection locked="true" hidden="false"/>
    </xf>
    <xf numFmtId="166" fontId="0" fillId="5" borderId="0" xfId="0" applyFont="false" applyBorder="false" applyAlignment="true" applyProtection="false">
      <alignment horizontal="right"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4" fontId="21" fillId="2"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T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19" min="3" style="0" width="9"/>
  </cols>
  <sheetData>
    <row r="2" customFormat="false" ht="15" hidden="false" customHeight="false" outlineLevel="0" collapsed="false">
      <c r="D2" s="1" t="s">
        <v>0</v>
      </c>
      <c r="N2" s="1" t="s">
        <v>1</v>
      </c>
    </row>
    <row r="4" customFormat="false" ht="15" hidden="false" customHeight="false" outlineLevel="0" collapsed="false">
      <c r="B4" s="1" t="s">
        <v>2</v>
      </c>
      <c r="E4" s="2" t="s">
        <v>3</v>
      </c>
      <c r="H4" s="1" t="s">
        <v>4</v>
      </c>
      <c r="L4" s="2" t="s">
        <v>5</v>
      </c>
      <c r="O4" s="1" t="s">
        <v>6</v>
      </c>
      <c r="R4" s="2" t="s">
        <v>7</v>
      </c>
    </row>
    <row r="6" customFormat="false" ht="15" hidden="false" customHeight="false" outlineLevel="0" collapsed="false">
      <c r="B6" s="1" t="s">
        <v>8</v>
      </c>
      <c r="E6" s="1" t="s">
        <v>9</v>
      </c>
      <c r="M6" s="1" t="s">
        <v>10</v>
      </c>
      <c r="P6" s="1" t="s">
        <v>11</v>
      </c>
    </row>
    <row r="8" customFormat="false" ht="15" hidden="false" customHeight="false" outlineLevel="0" collapsed="false">
      <c r="B8" s="1" t="s">
        <v>12</v>
      </c>
    </row>
    <row r="11" customFormat="false" ht="15" hidden="false" customHeight="false" outlineLevel="0" collapsed="false">
      <c r="B11" s="1" t="s">
        <v>13</v>
      </c>
      <c r="L11" s="1" t="s">
        <v>14</v>
      </c>
    </row>
    <row r="17" customFormat="false" ht="15" hidden="false" customHeight="false" outlineLevel="0" collapsed="false">
      <c r="B17" s="1" t="s">
        <v>15</v>
      </c>
      <c r="L17" s="1" t="s">
        <v>16</v>
      </c>
    </row>
    <row r="20" customFormat="false" ht="15" hidden="false" customHeight="false" outlineLevel="0" collapsed="false">
      <c r="B20" s="3" t="s">
        <v>17</v>
      </c>
    </row>
    <row r="24" customFormat="false" ht="15" hidden="false" customHeight="false" outlineLevel="0" collapsed="false">
      <c r="B24" s="1" t="s">
        <v>18</v>
      </c>
      <c r="G24" s="1" t="s">
        <v>19</v>
      </c>
      <c r="Q24" s="1" t="s">
        <v>20</v>
      </c>
    </row>
    <row r="26" customFormat="false" ht="15" hidden="false" customHeight="false" outlineLevel="0" collapsed="false">
      <c r="G26" s="1" t="s">
        <v>21</v>
      </c>
      <c r="Q26" s="1" t="s">
        <v>20</v>
      </c>
    </row>
    <row r="28" customFormat="false" ht="15" hidden="false" customHeight="false" outlineLevel="0" collapsed="false">
      <c r="F28" s="2" t="s">
        <v>22</v>
      </c>
      <c r="G28" s="1" t="s">
        <v>23</v>
      </c>
      <c r="M28" s="1" t="s">
        <v>24</v>
      </c>
      <c r="Q28" s="1" t="s">
        <v>20</v>
      </c>
      <c r="T28" s="1" t="s">
        <v>25</v>
      </c>
    </row>
    <row r="30" customFormat="false" ht="15" hidden="false" customHeight="false" outlineLevel="0" collapsed="false">
      <c r="G30" s="1" t="s">
        <v>26</v>
      </c>
    </row>
    <row r="32" customFormat="false" ht="15" hidden="false" customHeight="false" outlineLevel="0" collapsed="false">
      <c r="B32" s="1" t="s">
        <v>27</v>
      </c>
    </row>
    <row r="33" customFormat="false" ht="15" hidden="false" customHeight="false" outlineLevel="0" collapsed="false">
      <c r="B33" s="4" t="s">
        <v>28</v>
      </c>
    </row>
    <row r="36" customFormat="false" ht="15" hidden="false" customHeight="false" outlineLevel="0" collapsed="false">
      <c r="B36" s="1" t="s">
        <v>29</v>
      </c>
      <c r="F36" s="1"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2"/>
    <col collapsed="false" customWidth="true" hidden="false" outlineLevel="0" max="4" min="4" style="0" width="11"/>
    <col collapsed="false" customWidth="true" hidden="false" outlineLevel="0" max="5" min="5" style="0" width="9"/>
    <col collapsed="false" customWidth="true" hidden="false" outlineLevel="0" max="6" min="6" style="0" width="11"/>
    <col collapsed="false" customWidth="true" hidden="false" outlineLevel="0" max="7" min="7" style="0" width="64"/>
  </cols>
  <sheetData>
    <row r="2" customFormat="false" ht="15" hidden="false" customHeight="false" outlineLevel="0" collapsed="false">
      <c r="B2" s="5" t="s">
        <v>31</v>
      </c>
    </row>
    <row r="3" customFormat="false" ht="15" hidden="false" customHeight="false" outlineLevel="0" collapsed="false">
      <c r="B3" s="6" t="s">
        <v>32</v>
      </c>
    </row>
    <row r="5" customFormat="false" ht="15" hidden="false" customHeight="false" outlineLevel="0" collapsed="false">
      <c r="B5" s="1" t="s">
        <v>33</v>
      </c>
      <c r="C5" s="1" t="s">
        <v>34</v>
      </c>
    </row>
    <row r="6" customFormat="false" ht="15" hidden="false" customHeight="false" outlineLevel="0" collapsed="false">
      <c r="B6" s="7" t="s">
        <v>35</v>
      </c>
      <c r="C6" s="7" t="s">
        <v>36</v>
      </c>
    </row>
    <row r="8" customFormat="false" ht="23.85" hidden="false" customHeight="false" outlineLevel="0" collapsed="false">
      <c r="B8" s="8" t="s">
        <v>37</v>
      </c>
      <c r="C8" s="8" t="s">
        <v>38</v>
      </c>
      <c r="D8" s="8" t="s">
        <v>39</v>
      </c>
      <c r="E8" s="8" t="s">
        <v>40</v>
      </c>
      <c r="F8" s="8" t="s">
        <v>41</v>
      </c>
      <c r="G8" s="8" t="s">
        <v>42</v>
      </c>
    </row>
    <row r="9" customFormat="false" ht="43.25" hidden="false" customHeight="false" outlineLevel="0" collapsed="false">
      <c r="B9" s="9" t="s">
        <v>43</v>
      </c>
      <c r="C9" s="10" t="s">
        <v>44</v>
      </c>
      <c r="D9" s="11" t="s">
        <v>45</v>
      </c>
      <c r="E9" s="11" t="s">
        <v>46</v>
      </c>
      <c r="F9" s="11" t="s">
        <v>47</v>
      </c>
      <c r="G9" s="9" t="s">
        <v>48</v>
      </c>
    </row>
    <row r="10" customFormat="false" ht="43.25" hidden="false" customHeight="false" outlineLevel="0" collapsed="false">
      <c r="B10" s="9" t="s">
        <v>49</v>
      </c>
      <c r="C10" s="10" t="s">
        <v>44</v>
      </c>
      <c r="D10" s="11" t="s">
        <v>50</v>
      </c>
      <c r="E10" s="11" t="s">
        <v>46</v>
      </c>
      <c r="F10" s="11" t="s">
        <v>47</v>
      </c>
      <c r="G10" s="9" t="s">
        <v>48</v>
      </c>
    </row>
    <row r="11" customFormat="false" ht="32.8" hidden="false" customHeight="false" outlineLevel="0" collapsed="false">
      <c r="B11" s="9" t="s">
        <v>43</v>
      </c>
      <c r="C11" s="10" t="s">
        <v>44</v>
      </c>
      <c r="D11" s="11" t="s">
        <v>51</v>
      </c>
      <c r="E11" s="11" t="s">
        <v>46</v>
      </c>
      <c r="F11" s="11" t="s">
        <v>47</v>
      </c>
      <c r="G11" s="9" t="s">
        <v>52</v>
      </c>
    </row>
    <row r="12" customFormat="false" ht="15" hidden="false" customHeight="false" outlineLevel="0" collapsed="false">
      <c r="B12" s="9" t="s">
        <v>49</v>
      </c>
      <c r="C12" s="10" t="s">
        <v>44</v>
      </c>
      <c r="D12" s="11" t="s">
        <v>53</v>
      </c>
      <c r="E12" s="11" t="s">
        <v>54</v>
      </c>
      <c r="F12" s="11" t="s">
        <v>47</v>
      </c>
      <c r="G12" s="9" t="s">
        <v>55</v>
      </c>
    </row>
    <row r="13" customFormat="false" ht="22.35" hidden="false" customHeight="false" outlineLevel="0" collapsed="false">
      <c r="B13" s="9" t="s">
        <v>43</v>
      </c>
      <c r="C13" s="10" t="s">
        <v>44</v>
      </c>
      <c r="D13" s="11" t="s">
        <v>56</v>
      </c>
      <c r="E13" s="11" t="s">
        <v>54</v>
      </c>
      <c r="F13" s="11" t="s">
        <v>47</v>
      </c>
      <c r="G13" s="9" t="s">
        <v>57</v>
      </c>
    </row>
    <row r="14" customFormat="false" ht="22.35" hidden="false" customHeight="false" outlineLevel="0" collapsed="false">
      <c r="B14" s="9" t="s">
        <v>43</v>
      </c>
      <c r="C14" s="10" t="s">
        <v>44</v>
      </c>
      <c r="D14" s="11" t="s">
        <v>58</v>
      </c>
      <c r="E14" s="11" t="s">
        <v>59</v>
      </c>
      <c r="F14" s="11" t="s">
        <v>47</v>
      </c>
      <c r="G14" s="9" t="s">
        <v>60</v>
      </c>
    </row>
    <row r="15" customFormat="false" ht="22.35" hidden="false" customHeight="false" outlineLevel="0" collapsed="false">
      <c r="B15" s="9" t="s">
        <v>49</v>
      </c>
      <c r="C15" s="10" t="s">
        <v>44</v>
      </c>
      <c r="D15" s="11" t="s">
        <v>61</v>
      </c>
      <c r="E15" s="11" t="s">
        <v>59</v>
      </c>
      <c r="F15" s="11" t="s">
        <v>47</v>
      </c>
      <c r="G15" s="9" t="s">
        <v>60</v>
      </c>
    </row>
    <row r="16" customFormat="false" ht="15" hidden="false" customHeight="false" outlineLevel="0" collapsed="false">
      <c r="B16" s="12" t="s">
        <v>62</v>
      </c>
      <c r="C16" s="13" t="s">
        <v>63</v>
      </c>
      <c r="G16" s="14" t="s">
        <v>64</v>
      </c>
    </row>
    <row r="18" customFormat="false" ht="15" hidden="false" customHeight="false" outlineLevel="0" collapsed="false">
      <c r="B18" s="1" t="s">
        <v>65</v>
      </c>
      <c r="C18" s="1" t="s">
        <v>66</v>
      </c>
    </row>
    <row r="19" customFormat="false" ht="15" hidden="false" customHeight="false" outlineLevel="0" collapsed="false">
      <c r="B19" s="7" t="s">
        <v>35</v>
      </c>
      <c r="C19" s="7" t="s">
        <v>36</v>
      </c>
    </row>
    <row r="21" customFormat="false" ht="23.85" hidden="false" customHeight="false" outlineLevel="0" collapsed="false">
      <c r="B21" s="8" t="s">
        <v>37</v>
      </c>
      <c r="C21" s="8" t="s">
        <v>38</v>
      </c>
      <c r="D21" s="8" t="s">
        <v>39</v>
      </c>
      <c r="E21" s="8" t="s">
        <v>40</v>
      </c>
      <c r="F21" s="8" t="s">
        <v>41</v>
      </c>
      <c r="G21" s="8" t="s">
        <v>42</v>
      </c>
    </row>
    <row r="22" customFormat="false" ht="43.25" hidden="false" customHeight="false" outlineLevel="0" collapsed="false">
      <c r="B22" s="9" t="s">
        <v>67</v>
      </c>
      <c r="C22" s="10" t="s">
        <v>44</v>
      </c>
      <c r="D22" s="11" t="s">
        <v>68</v>
      </c>
      <c r="E22" s="11" t="s">
        <v>46</v>
      </c>
      <c r="F22" s="11" t="s">
        <v>47</v>
      </c>
      <c r="G22" s="9" t="s">
        <v>48</v>
      </c>
    </row>
    <row r="23" customFormat="false" ht="43.25" hidden="false" customHeight="false" outlineLevel="0" collapsed="false">
      <c r="B23" s="9" t="s">
        <v>69</v>
      </c>
      <c r="C23" s="10" t="s">
        <v>44</v>
      </c>
      <c r="D23" s="11" t="s">
        <v>70</v>
      </c>
      <c r="E23" s="11" t="s">
        <v>46</v>
      </c>
      <c r="F23" s="11" t="s">
        <v>47</v>
      </c>
      <c r="G23" s="9" t="s">
        <v>48</v>
      </c>
    </row>
    <row r="24" customFormat="false" ht="43.25" hidden="false" customHeight="false" outlineLevel="0" collapsed="false">
      <c r="B24" s="9" t="s">
        <v>71</v>
      </c>
      <c r="C24" s="10" t="s">
        <v>44</v>
      </c>
      <c r="D24" s="11" t="s">
        <v>72</v>
      </c>
      <c r="E24" s="11" t="s">
        <v>46</v>
      </c>
      <c r="F24" s="11" t="s">
        <v>47</v>
      </c>
      <c r="G24" s="9" t="s">
        <v>48</v>
      </c>
    </row>
    <row r="25" customFormat="false" ht="43.25" hidden="false" customHeight="false" outlineLevel="0" collapsed="false">
      <c r="B25" s="9" t="s">
        <v>73</v>
      </c>
      <c r="C25" s="10" t="s">
        <v>44</v>
      </c>
      <c r="D25" s="11" t="s">
        <v>74</v>
      </c>
      <c r="E25" s="11" t="s">
        <v>46</v>
      </c>
      <c r="F25" s="11" t="s">
        <v>47</v>
      </c>
      <c r="G25" s="9" t="s">
        <v>48</v>
      </c>
    </row>
    <row r="26" customFormat="false" ht="43.25" hidden="false" customHeight="false" outlineLevel="0" collapsed="false">
      <c r="B26" s="9" t="s">
        <v>75</v>
      </c>
      <c r="C26" s="10" t="s">
        <v>44</v>
      </c>
      <c r="D26" s="11" t="s">
        <v>76</v>
      </c>
      <c r="E26" s="11" t="s">
        <v>46</v>
      </c>
      <c r="F26" s="11" t="s">
        <v>47</v>
      </c>
      <c r="G26" s="9" t="s">
        <v>48</v>
      </c>
    </row>
    <row r="27" customFormat="false" ht="43.25" hidden="false" customHeight="false" outlineLevel="0" collapsed="false">
      <c r="B27" s="9" t="s">
        <v>77</v>
      </c>
      <c r="C27" s="10" t="s">
        <v>44</v>
      </c>
      <c r="D27" s="11" t="s">
        <v>78</v>
      </c>
      <c r="E27" s="11" t="s">
        <v>46</v>
      </c>
      <c r="F27" s="11" t="s">
        <v>47</v>
      </c>
      <c r="G27" s="9" t="s">
        <v>48</v>
      </c>
    </row>
    <row r="28" customFormat="false" ht="43.25" hidden="false" customHeight="false" outlineLevel="0" collapsed="false">
      <c r="B28" s="9" t="s">
        <v>79</v>
      </c>
      <c r="C28" s="10" t="s">
        <v>44</v>
      </c>
      <c r="D28" s="11" t="s">
        <v>80</v>
      </c>
      <c r="E28" s="11" t="s">
        <v>46</v>
      </c>
      <c r="F28" s="11" t="s">
        <v>47</v>
      </c>
      <c r="G28" s="9" t="s">
        <v>48</v>
      </c>
    </row>
    <row r="29" customFormat="false" ht="43.25" hidden="false" customHeight="false" outlineLevel="0" collapsed="false">
      <c r="B29" s="9" t="s">
        <v>81</v>
      </c>
      <c r="C29" s="10" t="s">
        <v>44</v>
      </c>
      <c r="D29" s="11" t="s">
        <v>82</v>
      </c>
      <c r="E29" s="11" t="s">
        <v>46</v>
      </c>
      <c r="F29" s="11" t="s">
        <v>47</v>
      </c>
      <c r="G29" s="9" t="s">
        <v>48</v>
      </c>
    </row>
    <row r="30" customFormat="false" ht="43.25" hidden="false" customHeight="false" outlineLevel="0" collapsed="false">
      <c r="B30" s="9" t="s">
        <v>83</v>
      </c>
      <c r="C30" s="10" t="s">
        <v>44</v>
      </c>
      <c r="D30" s="11" t="s">
        <v>84</v>
      </c>
      <c r="E30" s="11" t="s">
        <v>46</v>
      </c>
      <c r="F30" s="11" t="s">
        <v>47</v>
      </c>
      <c r="G30" s="9" t="s">
        <v>48</v>
      </c>
    </row>
    <row r="31" customFormat="false" ht="22.35" hidden="false" customHeight="false" outlineLevel="0" collapsed="false">
      <c r="B31" s="9" t="s">
        <v>85</v>
      </c>
      <c r="C31" s="10" t="s">
        <v>44</v>
      </c>
      <c r="D31" s="11" t="s">
        <v>86</v>
      </c>
      <c r="E31" s="11" t="s">
        <v>46</v>
      </c>
      <c r="F31" s="11" t="s">
        <v>47</v>
      </c>
      <c r="G31" s="9" t="s">
        <v>87</v>
      </c>
    </row>
    <row r="32" customFormat="false" ht="15" hidden="false" customHeight="false" outlineLevel="0" collapsed="false">
      <c r="B32" s="9" t="s">
        <v>88</v>
      </c>
      <c r="C32" s="10" t="s">
        <v>44</v>
      </c>
      <c r="D32" s="11" t="s">
        <v>89</v>
      </c>
      <c r="E32" s="11" t="s">
        <v>46</v>
      </c>
      <c r="F32" s="11" t="s">
        <v>47</v>
      </c>
      <c r="G32" s="9" t="s">
        <v>90</v>
      </c>
    </row>
    <row r="33" customFormat="false" ht="22.35" hidden="false" customHeight="false" outlineLevel="0" collapsed="false">
      <c r="B33" s="9" t="s">
        <v>91</v>
      </c>
      <c r="C33" s="10" t="s">
        <v>44</v>
      </c>
      <c r="D33" s="11" t="s">
        <v>92</v>
      </c>
      <c r="E33" s="11" t="s">
        <v>46</v>
      </c>
      <c r="F33" s="11" t="s">
        <v>47</v>
      </c>
      <c r="G33" s="9" t="s">
        <v>93</v>
      </c>
    </row>
    <row r="34" customFormat="false" ht="15" hidden="false" customHeight="false" outlineLevel="0" collapsed="false">
      <c r="B34" s="9" t="s">
        <v>73</v>
      </c>
      <c r="C34" s="10" t="s">
        <v>44</v>
      </c>
      <c r="D34" s="11" t="s">
        <v>94</v>
      </c>
      <c r="E34" s="11" t="s">
        <v>54</v>
      </c>
      <c r="F34" s="11" t="s">
        <v>47</v>
      </c>
      <c r="G34" s="9" t="s">
        <v>55</v>
      </c>
    </row>
    <row r="35" customFormat="false" ht="15" hidden="false" customHeight="false" outlineLevel="0" collapsed="false">
      <c r="B35" s="9" t="s">
        <v>67</v>
      </c>
      <c r="C35" s="10" t="s">
        <v>44</v>
      </c>
      <c r="D35" s="11" t="s">
        <v>95</v>
      </c>
      <c r="E35" s="11" t="s">
        <v>54</v>
      </c>
      <c r="F35" s="11" t="s">
        <v>47</v>
      </c>
      <c r="G35" s="9" t="s">
        <v>55</v>
      </c>
    </row>
    <row r="36" customFormat="false" ht="15" hidden="false" customHeight="false" outlineLevel="0" collapsed="false">
      <c r="B36" s="9" t="s">
        <v>96</v>
      </c>
      <c r="C36" s="10" t="s">
        <v>44</v>
      </c>
      <c r="D36" s="11" t="s">
        <v>97</v>
      </c>
      <c r="E36" s="11" t="s">
        <v>54</v>
      </c>
      <c r="F36" s="11" t="s">
        <v>47</v>
      </c>
      <c r="G36" s="9" t="s">
        <v>55</v>
      </c>
    </row>
    <row r="37" customFormat="false" ht="15" hidden="false" customHeight="false" outlineLevel="0" collapsed="false">
      <c r="B37" s="9" t="s">
        <v>69</v>
      </c>
      <c r="C37" s="10" t="s">
        <v>44</v>
      </c>
      <c r="D37" s="11" t="s">
        <v>98</v>
      </c>
      <c r="E37" s="11" t="s">
        <v>54</v>
      </c>
      <c r="F37" s="11" t="s">
        <v>47</v>
      </c>
      <c r="G37" s="9" t="s">
        <v>55</v>
      </c>
    </row>
    <row r="38" customFormat="false" ht="15" hidden="false" customHeight="false" outlineLevel="0" collapsed="false">
      <c r="B38" s="9" t="s">
        <v>83</v>
      </c>
      <c r="C38" s="10" t="s">
        <v>44</v>
      </c>
      <c r="D38" s="11" t="s">
        <v>99</v>
      </c>
      <c r="E38" s="11" t="s">
        <v>54</v>
      </c>
      <c r="F38" s="11" t="s">
        <v>47</v>
      </c>
      <c r="G38" s="9" t="s">
        <v>55</v>
      </c>
    </row>
    <row r="39" customFormat="false" ht="15" hidden="false" customHeight="false" outlineLevel="0" collapsed="false">
      <c r="B39" s="9" t="s">
        <v>71</v>
      </c>
      <c r="C39" s="10" t="s">
        <v>44</v>
      </c>
      <c r="D39" s="11" t="s">
        <v>100</v>
      </c>
      <c r="E39" s="11" t="s">
        <v>54</v>
      </c>
      <c r="F39" s="11" t="s">
        <v>47</v>
      </c>
      <c r="G39" s="9" t="s">
        <v>55</v>
      </c>
    </row>
    <row r="40" customFormat="false" ht="15" hidden="false" customHeight="false" outlineLevel="0" collapsed="false">
      <c r="B40" s="9" t="s">
        <v>77</v>
      </c>
      <c r="C40" s="10" t="s">
        <v>44</v>
      </c>
      <c r="D40" s="11" t="s">
        <v>101</v>
      </c>
      <c r="E40" s="11" t="s">
        <v>54</v>
      </c>
      <c r="F40" s="11" t="s">
        <v>47</v>
      </c>
      <c r="G40" s="9" t="s">
        <v>55</v>
      </c>
    </row>
    <row r="41" customFormat="false" ht="15" hidden="false" customHeight="false" outlineLevel="0" collapsed="false">
      <c r="B41" s="9" t="s">
        <v>79</v>
      </c>
      <c r="C41" s="10" t="s">
        <v>44</v>
      </c>
      <c r="D41" s="11" t="s">
        <v>102</v>
      </c>
      <c r="E41" s="11" t="s">
        <v>54</v>
      </c>
      <c r="F41" s="11" t="s">
        <v>47</v>
      </c>
      <c r="G41" s="9" t="s">
        <v>55</v>
      </c>
    </row>
    <row r="42" customFormat="false" ht="15" hidden="false" customHeight="false" outlineLevel="0" collapsed="false">
      <c r="B42" s="9" t="s">
        <v>103</v>
      </c>
      <c r="C42" s="10" t="s">
        <v>44</v>
      </c>
      <c r="D42" s="11" t="s">
        <v>104</v>
      </c>
      <c r="E42" s="11" t="s">
        <v>54</v>
      </c>
      <c r="F42" s="11" t="s">
        <v>47</v>
      </c>
      <c r="G42" s="9" t="s">
        <v>55</v>
      </c>
    </row>
    <row r="43" customFormat="false" ht="22.35" hidden="false" customHeight="false" outlineLevel="0" collapsed="false">
      <c r="B43" s="9" t="s">
        <v>103</v>
      </c>
      <c r="C43" s="10" t="s">
        <v>44</v>
      </c>
      <c r="D43" s="11" t="s">
        <v>105</v>
      </c>
      <c r="E43" s="11" t="s">
        <v>59</v>
      </c>
      <c r="F43" s="11" t="s">
        <v>47</v>
      </c>
      <c r="G43" s="9" t="s">
        <v>60</v>
      </c>
    </row>
    <row r="44" customFormat="false" ht="22.35" hidden="false" customHeight="false" outlineLevel="0" collapsed="false">
      <c r="B44" s="9" t="s">
        <v>71</v>
      </c>
      <c r="C44" s="10" t="s">
        <v>44</v>
      </c>
      <c r="D44" s="11" t="s">
        <v>106</v>
      </c>
      <c r="E44" s="11" t="s">
        <v>59</v>
      </c>
      <c r="F44" s="11" t="s">
        <v>47</v>
      </c>
      <c r="G44" s="9" t="s">
        <v>60</v>
      </c>
    </row>
    <row r="45" customFormat="false" ht="22.35" hidden="false" customHeight="false" outlineLevel="0" collapsed="false">
      <c r="B45" s="9" t="s">
        <v>79</v>
      </c>
      <c r="C45" s="10" t="s">
        <v>44</v>
      </c>
      <c r="D45" s="11" t="s">
        <v>107</v>
      </c>
      <c r="E45" s="11" t="s">
        <v>59</v>
      </c>
      <c r="F45" s="11" t="s">
        <v>47</v>
      </c>
      <c r="G45" s="9" t="s">
        <v>60</v>
      </c>
    </row>
    <row r="46" customFormat="false" ht="22.35" hidden="false" customHeight="false" outlineLevel="0" collapsed="false">
      <c r="B46" s="9" t="s">
        <v>108</v>
      </c>
      <c r="C46" s="10" t="s">
        <v>44</v>
      </c>
      <c r="D46" s="11" t="s">
        <v>109</v>
      </c>
      <c r="E46" s="11" t="s">
        <v>59</v>
      </c>
      <c r="F46" s="11" t="s">
        <v>47</v>
      </c>
      <c r="G46" s="9" t="s">
        <v>60</v>
      </c>
    </row>
    <row r="47" customFormat="false" ht="22.35" hidden="false" customHeight="false" outlineLevel="0" collapsed="false">
      <c r="B47" s="9" t="s">
        <v>67</v>
      </c>
      <c r="C47" s="10" t="s">
        <v>44</v>
      </c>
      <c r="D47" s="11" t="s">
        <v>110</v>
      </c>
      <c r="E47" s="11" t="s">
        <v>59</v>
      </c>
      <c r="F47" s="11" t="s">
        <v>47</v>
      </c>
      <c r="G47" s="9" t="s">
        <v>60</v>
      </c>
    </row>
    <row r="48" customFormat="false" ht="22.35" hidden="false" customHeight="false" outlineLevel="0" collapsed="false">
      <c r="B48" s="9" t="s">
        <v>83</v>
      </c>
      <c r="C48" s="10" t="s">
        <v>44</v>
      </c>
      <c r="D48" s="11" t="s">
        <v>111</v>
      </c>
      <c r="E48" s="11" t="s">
        <v>59</v>
      </c>
      <c r="F48" s="11" t="s">
        <v>47</v>
      </c>
      <c r="G48" s="9" t="s">
        <v>60</v>
      </c>
    </row>
    <row r="49" customFormat="false" ht="22.35" hidden="false" customHeight="false" outlineLevel="0" collapsed="false">
      <c r="B49" s="9" t="s">
        <v>73</v>
      </c>
      <c r="C49" s="10" t="s">
        <v>44</v>
      </c>
      <c r="D49" s="11" t="s">
        <v>112</v>
      </c>
      <c r="E49" s="11" t="s">
        <v>59</v>
      </c>
      <c r="F49" s="11" t="s">
        <v>47</v>
      </c>
      <c r="G49" s="9" t="s">
        <v>60</v>
      </c>
    </row>
    <row r="50" customFormat="false" ht="22.35" hidden="false" customHeight="false" outlineLevel="0" collapsed="false">
      <c r="B50" s="9" t="s">
        <v>69</v>
      </c>
      <c r="C50" s="10" t="s">
        <v>44</v>
      </c>
      <c r="D50" s="11" t="s">
        <v>113</v>
      </c>
      <c r="E50" s="11" t="s">
        <v>59</v>
      </c>
      <c r="F50" s="11" t="s">
        <v>47</v>
      </c>
      <c r="G50" s="9" t="s">
        <v>60</v>
      </c>
    </row>
    <row r="51" customFormat="false" ht="22.35" hidden="false" customHeight="false" outlineLevel="0" collapsed="false">
      <c r="B51" s="9" t="s">
        <v>75</v>
      </c>
      <c r="C51" s="10" t="s">
        <v>44</v>
      </c>
      <c r="D51" s="11" t="s">
        <v>114</v>
      </c>
      <c r="E51" s="11" t="s">
        <v>59</v>
      </c>
      <c r="F51" s="11" t="s">
        <v>47</v>
      </c>
      <c r="G51" s="9" t="s">
        <v>60</v>
      </c>
    </row>
    <row r="52" customFormat="false" ht="15" hidden="false" customHeight="false" outlineLevel="0" collapsed="false">
      <c r="B52" s="12" t="s">
        <v>62</v>
      </c>
      <c r="C52" s="13" t="s">
        <v>63</v>
      </c>
      <c r="G52" s="14" t="s">
        <v>64</v>
      </c>
    </row>
    <row r="54" customFormat="false" ht="15" hidden="false" customHeight="false" outlineLevel="0" collapsed="false">
      <c r="B54" s="1" t="s">
        <v>115</v>
      </c>
      <c r="C54" s="1" t="s">
        <v>116</v>
      </c>
    </row>
    <row r="55" customFormat="false" ht="15" hidden="false" customHeight="false" outlineLevel="0" collapsed="false">
      <c r="B55" s="7" t="s">
        <v>35</v>
      </c>
      <c r="C55" s="7" t="s">
        <v>36</v>
      </c>
    </row>
    <row r="57" customFormat="false" ht="23.85" hidden="false" customHeight="false" outlineLevel="0" collapsed="false">
      <c r="B57" s="8" t="s">
        <v>37</v>
      </c>
      <c r="C57" s="8" t="s">
        <v>38</v>
      </c>
      <c r="D57" s="8" t="s">
        <v>39</v>
      </c>
      <c r="E57" s="8" t="s">
        <v>40</v>
      </c>
      <c r="F57" s="8" t="s">
        <v>41</v>
      </c>
      <c r="G57" s="8" t="s">
        <v>42</v>
      </c>
    </row>
    <row r="58" customFormat="false" ht="43.25" hidden="false" customHeight="false" outlineLevel="0" collapsed="false">
      <c r="B58" s="9" t="s">
        <v>117</v>
      </c>
      <c r="C58" s="10" t="s">
        <v>44</v>
      </c>
      <c r="D58" s="11" t="s">
        <v>118</v>
      </c>
      <c r="E58" s="11" t="s">
        <v>46</v>
      </c>
      <c r="F58" s="11" t="s">
        <v>47</v>
      </c>
      <c r="G58" s="9" t="s">
        <v>48</v>
      </c>
    </row>
    <row r="59" customFormat="false" ht="43.25" hidden="false" customHeight="false" outlineLevel="0" collapsed="false">
      <c r="B59" s="9" t="s">
        <v>119</v>
      </c>
      <c r="C59" s="10" t="s">
        <v>44</v>
      </c>
      <c r="D59" s="11" t="s">
        <v>120</v>
      </c>
      <c r="E59" s="11" t="s">
        <v>46</v>
      </c>
      <c r="F59" s="11" t="s">
        <v>47</v>
      </c>
      <c r="G59" s="9" t="s">
        <v>48</v>
      </c>
    </row>
    <row r="60" customFormat="false" ht="43.25" hidden="false" customHeight="false" outlineLevel="0" collapsed="false">
      <c r="B60" s="9" t="s">
        <v>121</v>
      </c>
      <c r="C60" s="10" t="s">
        <v>44</v>
      </c>
      <c r="D60" s="11" t="s">
        <v>122</v>
      </c>
      <c r="E60" s="11" t="s">
        <v>46</v>
      </c>
      <c r="F60" s="11" t="s">
        <v>47</v>
      </c>
      <c r="G60" s="9" t="s">
        <v>48</v>
      </c>
    </row>
    <row r="61" customFormat="false" ht="22.35" hidden="false" customHeight="false" outlineLevel="0" collapsed="false">
      <c r="B61" s="9" t="s">
        <v>123</v>
      </c>
      <c r="C61" s="10" t="s">
        <v>44</v>
      </c>
      <c r="D61" s="11" t="s">
        <v>124</v>
      </c>
      <c r="E61" s="11" t="s">
        <v>46</v>
      </c>
      <c r="F61" s="11" t="s">
        <v>47</v>
      </c>
      <c r="G61" s="9" t="s">
        <v>125</v>
      </c>
    </row>
    <row r="62" customFormat="false" ht="22.35" hidden="false" customHeight="false" outlineLevel="0" collapsed="false">
      <c r="B62" s="9" t="s">
        <v>126</v>
      </c>
      <c r="C62" s="10" t="s">
        <v>44</v>
      </c>
      <c r="D62" s="11" t="s">
        <v>127</v>
      </c>
      <c r="E62" s="11" t="s">
        <v>46</v>
      </c>
      <c r="F62" s="11" t="s">
        <v>47</v>
      </c>
      <c r="G62" s="9" t="s">
        <v>125</v>
      </c>
    </row>
    <row r="63" customFormat="false" ht="22.35" hidden="false" customHeight="false" outlineLevel="0" collapsed="false">
      <c r="B63" s="9" t="s">
        <v>128</v>
      </c>
      <c r="C63" s="10" t="s">
        <v>44</v>
      </c>
      <c r="D63" s="11" t="s">
        <v>129</v>
      </c>
      <c r="E63" s="11" t="s">
        <v>46</v>
      </c>
      <c r="F63" s="11" t="s">
        <v>47</v>
      </c>
      <c r="G63" s="9" t="s">
        <v>125</v>
      </c>
    </row>
    <row r="64" customFormat="false" ht="32.8" hidden="false" customHeight="false" outlineLevel="0" collapsed="false">
      <c r="B64" s="9" t="s">
        <v>130</v>
      </c>
      <c r="C64" s="10" t="s">
        <v>44</v>
      </c>
      <c r="D64" s="11" t="s">
        <v>131</v>
      </c>
      <c r="E64" s="11" t="s">
        <v>46</v>
      </c>
      <c r="F64" s="11" t="s">
        <v>47</v>
      </c>
      <c r="G64" s="9" t="s">
        <v>52</v>
      </c>
    </row>
    <row r="65" customFormat="false" ht="32.8" hidden="false" customHeight="false" outlineLevel="0" collapsed="false">
      <c r="B65" s="9" t="s">
        <v>132</v>
      </c>
      <c r="C65" s="10" t="s">
        <v>44</v>
      </c>
      <c r="D65" s="11" t="s">
        <v>133</v>
      </c>
      <c r="E65" s="11" t="s">
        <v>46</v>
      </c>
      <c r="F65" s="11" t="s">
        <v>47</v>
      </c>
      <c r="G65" s="9" t="s">
        <v>52</v>
      </c>
    </row>
    <row r="66" customFormat="false" ht="32.8" hidden="false" customHeight="false" outlineLevel="0" collapsed="false">
      <c r="B66" s="9" t="s">
        <v>134</v>
      </c>
      <c r="C66" s="10" t="s">
        <v>44</v>
      </c>
      <c r="D66" s="11" t="s">
        <v>135</v>
      </c>
      <c r="E66" s="11" t="s">
        <v>46</v>
      </c>
      <c r="F66" s="11" t="s">
        <v>47</v>
      </c>
      <c r="G66" s="9" t="s">
        <v>52</v>
      </c>
    </row>
    <row r="67" customFormat="false" ht="15" hidden="false" customHeight="false" outlineLevel="0" collapsed="false">
      <c r="B67" s="9" t="s">
        <v>123</v>
      </c>
      <c r="C67" s="10" t="s">
        <v>44</v>
      </c>
      <c r="D67" s="11" t="s">
        <v>136</v>
      </c>
      <c r="E67" s="11" t="s">
        <v>137</v>
      </c>
      <c r="F67" s="11" t="s">
        <v>47</v>
      </c>
      <c r="G67" s="9" t="s">
        <v>138</v>
      </c>
    </row>
    <row r="68" customFormat="false" ht="15" hidden="false" customHeight="false" outlineLevel="0" collapsed="false">
      <c r="B68" s="9" t="s">
        <v>128</v>
      </c>
      <c r="C68" s="10" t="s">
        <v>44</v>
      </c>
      <c r="D68" s="11" t="s">
        <v>139</v>
      </c>
      <c r="E68" s="11" t="s">
        <v>137</v>
      </c>
      <c r="F68" s="11" t="s">
        <v>47</v>
      </c>
      <c r="G68" s="9" t="s">
        <v>138</v>
      </c>
    </row>
    <row r="69" customFormat="false" ht="15" hidden="false" customHeight="false" outlineLevel="0" collapsed="false">
      <c r="B69" s="9" t="s">
        <v>126</v>
      </c>
      <c r="C69" s="10" t="s">
        <v>44</v>
      </c>
      <c r="D69" s="11" t="s">
        <v>140</v>
      </c>
      <c r="E69" s="11" t="s">
        <v>137</v>
      </c>
      <c r="F69" s="11" t="s">
        <v>47</v>
      </c>
      <c r="G69" s="9" t="s">
        <v>138</v>
      </c>
    </row>
    <row r="70" customFormat="false" ht="15" hidden="false" customHeight="false" outlineLevel="0" collapsed="false">
      <c r="B70" s="9" t="s">
        <v>141</v>
      </c>
      <c r="C70" s="10" t="s">
        <v>44</v>
      </c>
      <c r="D70" s="11" t="s">
        <v>142</v>
      </c>
      <c r="E70" s="11" t="s">
        <v>137</v>
      </c>
      <c r="F70" s="11" t="s">
        <v>47</v>
      </c>
      <c r="G70" s="9" t="s">
        <v>143</v>
      </c>
    </row>
    <row r="71" customFormat="false" ht="22.35" hidden="false" customHeight="false" outlineLevel="0" collapsed="false">
      <c r="B71" s="9" t="s">
        <v>130</v>
      </c>
      <c r="C71" s="10" t="s">
        <v>44</v>
      </c>
      <c r="D71" s="11" t="s">
        <v>144</v>
      </c>
      <c r="E71" s="11" t="s">
        <v>54</v>
      </c>
      <c r="F71" s="11" t="s">
        <v>47</v>
      </c>
      <c r="G71" s="9" t="s">
        <v>57</v>
      </c>
    </row>
    <row r="72" customFormat="false" ht="22.35" hidden="false" customHeight="false" outlineLevel="0" collapsed="false">
      <c r="B72" s="9" t="s">
        <v>134</v>
      </c>
      <c r="C72" s="10" t="s">
        <v>44</v>
      </c>
      <c r="D72" s="11" t="s">
        <v>145</v>
      </c>
      <c r="E72" s="11" t="s">
        <v>54</v>
      </c>
      <c r="F72" s="11" t="s">
        <v>47</v>
      </c>
      <c r="G72" s="9" t="s">
        <v>57</v>
      </c>
    </row>
    <row r="73" customFormat="false" ht="22.35" hidden="false" customHeight="false" outlineLevel="0" collapsed="false">
      <c r="B73" s="9" t="s">
        <v>132</v>
      </c>
      <c r="C73" s="10" t="s">
        <v>44</v>
      </c>
      <c r="D73" s="11" t="s">
        <v>146</v>
      </c>
      <c r="E73" s="11" t="s">
        <v>54</v>
      </c>
      <c r="F73" s="11" t="s">
        <v>47</v>
      </c>
      <c r="G73" s="9" t="s">
        <v>57</v>
      </c>
    </row>
    <row r="74" customFormat="false" ht="22.35" hidden="false" customHeight="false" outlineLevel="0" collapsed="false">
      <c r="B74" s="9" t="s">
        <v>134</v>
      </c>
      <c r="C74" s="10" t="s">
        <v>44</v>
      </c>
      <c r="D74" s="11" t="s">
        <v>147</v>
      </c>
      <c r="E74" s="11" t="s">
        <v>59</v>
      </c>
      <c r="F74" s="11" t="s">
        <v>47</v>
      </c>
      <c r="G74" s="9" t="s">
        <v>60</v>
      </c>
    </row>
    <row r="75" customFormat="false" ht="22.35" hidden="false" customHeight="false" outlineLevel="0" collapsed="false">
      <c r="B75" s="9" t="s">
        <v>148</v>
      </c>
      <c r="C75" s="10" t="s">
        <v>44</v>
      </c>
      <c r="D75" s="11" t="s">
        <v>149</v>
      </c>
      <c r="E75" s="11" t="s">
        <v>59</v>
      </c>
      <c r="F75" s="11" t="s">
        <v>47</v>
      </c>
      <c r="G75" s="9" t="s">
        <v>60</v>
      </c>
    </row>
    <row r="76" customFormat="false" ht="22.35" hidden="false" customHeight="false" outlineLevel="0" collapsed="false">
      <c r="B76" s="9" t="s">
        <v>130</v>
      </c>
      <c r="C76" s="10" t="s">
        <v>44</v>
      </c>
      <c r="D76" s="11" t="s">
        <v>150</v>
      </c>
      <c r="E76" s="11" t="s">
        <v>59</v>
      </c>
      <c r="F76" s="11" t="s">
        <v>47</v>
      </c>
      <c r="G76" s="9" t="s">
        <v>60</v>
      </c>
    </row>
    <row r="77" customFormat="false" ht="22.35" hidden="false" customHeight="false" outlineLevel="0" collapsed="false">
      <c r="B77" s="9" t="s">
        <v>132</v>
      </c>
      <c r="C77" s="10" t="s">
        <v>44</v>
      </c>
      <c r="D77" s="11" t="s">
        <v>151</v>
      </c>
      <c r="E77" s="11" t="s">
        <v>59</v>
      </c>
      <c r="F77" s="11" t="s">
        <v>47</v>
      </c>
      <c r="G77" s="9" t="s">
        <v>60</v>
      </c>
    </row>
    <row r="78" customFormat="false" ht="22.35" hidden="false" customHeight="false" outlineLevel="0" collapsed="false">
      <c r="B78" s="9" t="s">
        <v>152</v>
      </c>
      <c r="C78" s="10" t="s">
        <v>44</v>
      </c>
      <c r="D78" s="11" t="s">
        <v>153</v>
      </c>
      <c r="E78" s="11" t="s">
        <v>137</v>
      </c>
      <c r="F78" s="11" t="s">
        <v>47</v>
      </c>
      <c r="G78" s="9" t="s">
        <v>57</v>
      </c>
    </row>
    <row r="79" customFormat="false" ht="22.35" hidden="false" customHeight="false" outlineLevel="0" collapsed="false">
      <c r="B79" s="9" t="s">
        <v>154</v>
      </c>
      <c r="C79" s="10" t="s">
        <v>44</v>
      </c>
      <c r="D79" s="11" t="s">
        <v>155</v>
      </c>
      <c r="E79" s="11" t="s">
        <v>137</v>
      </c>
      <c r="F79" s="11" t="s">
        <v>47</v>
      </c>
      <c r="G79" s="9" t="s">
        <v>57</v>
      </c>
    </row>
    <row r="80" customFormat="false" ht="22.35" hidden="false" customHeight="false" outlineLevel="0" collapsed="false">
      <c r="B80" s="9" t="s">
        <v>128</v>
      </c>
      <c r="C80" s="10" t="s">
        <v>44</v>
      </c>
      <c r="D80" s="11" t="s">
        <v>156</v>
      </c>
      <c r="E80" s="11" t="s">
        <v>137</v>
      </c>
      <c r="F80" s="11" t="s">
        <v>47</v>
      </c>
      <c r="G80" s="9" t="s">
        <v>57</v>
      </c>
    </row>
    <row r="81" customFormat="false" ht="15" hidden="false" customHeight="false" outlineLevel="0" collapsed="false">
      <c r="B81" s="12" t="s">
        <v>62</v>
      </c>
      <c r="C81" s="13" t="s">
        <v>63</v>
      </c>
      <c r="G81" s="14" t="s">
        <v>64</v>
      </c>
    </row>
    <row r="83" customFormat="false" ht="15" hidden="false" customHeight="false" outlineLevel="0" collapsed="false">
      <c r="B83" s="1" t="s">
        <v>157</v>
      </c>
      <c r="C83" s="1" t="s">
        <v>158</v>
      </c>
    </row>
    <row r="84" customFormat="false" ht="15" hidden="false" customHeight="false" outlineLevel="0" collapsed="false">
      <c r="B84" s="7" t="s">
        <v>35</v>
      </c>
      <c r="C84" s="7" t="s">
        <v>159</v>
      </c>
    </row>
    <row r="86" customFormat="false" ht="23.85" hidden="false" customHeight="false" outlineLevel="0" collapsed="false">
      <c r="B86" s="8" t="s">
        <v>37</v>
      </c>
      <c r="C86" s="8" t="s">
        <v>38</v>
      </c>
      <c r="D86" s="8" t="s">
        <v>39</v>
      </c>
      <c r="E86" s="8" t="s">
        <v>40</v>
      </c>
      <c r="F86" s="8" t="s">
        <v>41</v>
      </c>
      <c r="G86" s="8" t="s">
        <v>42</v>
      </c>
    </row>
    <row r="87" customFormat="false" ht="22.35" hidden="false" customHeight="false" outlineLevel="0" collapsed="false">
      <c r="B87" s="9" t="s">
        <v>160</v>
      </c>
      <c r="C87" s="10" t="s">
        <v>44</v>
      </c>
      <c r="D87" s="11" t="s">
        <v>161</v>
      </c>
      <c r="E87" s="11" t="s">
        <v>46</v>
      </c>
      <c r="F87" s="11" t="s">
        <v>47</v>
      </c>
      <c r="G87" s="9" t="s">
        <v>162</v>
      </c>
    </row>
    <row r="88" customFormat="false" ht="22.35" hidden="false" customHeight="false" outlineLevel="0" collapsed="false">
      <c r="B88" s="9" t="s">
        <v>160</v>
      </c>
      <c r="C88" s="10" t="s">
        <v>44</v>
      </c>
      <c r="D88" s="11" t="s">
        <v>163</v>
      </c>
      <c r="E88" s="11" t="s">
        <v>137</v>
      </c>
      <c r="F88" s="11" t="s">
        <v>47</v>
      </c>
      <c r="G88" s="9" t="s">
        <v>164</v>
      </c>
    </row>
    <row r="89" customFormat="false" ht="15" hidden="false" customHeight="false" outlineLevel="0" collapsed="false">
      <c r="B89" s="12" t="s">
        <v>62</v>
      </c>
      <c r="C89" s="13" t="s">
        <v>165</v>
      </c>
      <c r="G89" s="14" t="s">
        <v>64</v>
      </c>
    </row>
    <row r="91" customFormat="false" ht="15" hidden="false" customHeight="false" outlineLevel="0" collapsed="false">
      <c r="B91" s="1" t="s">
        <v>166</v>
      </c>
      <c r="C91" s="1" t="s">
        <v>167</v>
      </c>
    </row>
    <row r="92" customFormat="false" ht="15" hidden="false" customHeight="false" outlineLevel="0" collapsed="false">
      <c r="B92" s="7" t="s">
        <v>35</v>
      </c>
      <c r="C92" s="7" t="s">
        <v>168</v>
      </c>
    </row>
    <row r="94" customFormat="false" ht="23.85" hidden="false" customHeight="false" outlineLevel="0" collapsed="false">
      <c r="B94" s="8" t="s">
        <v>37</v>
      </c>
      <c r="C94" s="8" t="s">
        <v>38</v>
      </c>
      <c r="D94" s="8" t="s">
        <v>39</v>
      </c>
      <c r="E94" s="8" t="s">
        <v>40</v>
      </c>
      <c r="F94" s="8" t="s">
        <v>41</v>
      </c>
      <c r="G94" s="8" t="s">
        <v>42</v>
      </c>
    </row>
    <row r="95" customFormat="false" ht="15" hidden="false" customHeight="false" outlineLevel="0" collapsed="false">
      <c r="B95" s="9" t="s">
        <v>169</v>
      </c>
      <c r="C95" s="10" t="s">
        <v>44</v>
      </c>
      <c r="D95" s="11" t="s">
        <v>170</v>
      </c>
      <c r="E95" s="11" t="s">
        <v>137</v>
      </c>
      <c r="F95" s="11" t="s">
        <v>47</v>
      </c>
      <c r="G95" s="9" t="s">
        <v>171</v>
      </c>
    </row>
    <row r="96" customFormat="false" ht="15" hidden="false" customHeight="false" outlineLevel="0" collapsed="false">
      <c r="B96" s="12" t="s">
        <v>62</v>
      </c>
      <c r="C96" s="13" t="s">
        <v>172</v>
      </c>
      <c r="G96" s="14" t="s">
        <v>64</v>
      </c>
    </row>
    <row r="98" customFormat="false" ht="46.25" hidden="false" customHeight="false" outlineLevel="0" collapsed="false">
      <c r="B98" s="15"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5" hidden="false" customHeight="false" outlineLevel="0" collapsed="false">
      <c r="A1" s="16" t="s">
        <v>174</v>
      </c>
    </row>
    <row r="3" customFormat="false" ht="15" hidden="false" customHeight="true" outlineLevel="0" collapsed="false">
      <c r="B3" s="17" t="s">
        <v>175</v>
      </c>
      <c r="C3" s="17"/>
      <c r="D3" s="17"/>
      <c r="E3" s="17" t="s">
        <v>176</v>
      </c>
      <c r="F3" s="17"/>
      <c r="G3" s="17"/>
    </row>
    <row r="4" customFormat="false" ht="15" hidden="false" customHeight="false" outlineLevel="0" collapsed="false">
      <c r="B4" s="17"/>
      <c r="C4" s="17"/>
      <c r="D4" s="17"/>
      <c r="E4" s="17"/>
      <c r="F4" s="17"/>
      <c r="G4" s="17"/>
    </row>
    <row r="5" customFormat="false" ht="15" hidden="false" customHeight="false" outlineLevel="0" collapsed="false">
      <c r="B5" s="17"/>
      <c r="C5" s="17"/>
      <c r="D5" s="17"/>
      <c r="E5" s="17"/>
      <c r="F5" s="17"/>
      <c r="G5" s="17"/>
    </row>
    <row r="6" customFormat="false" ht="15" hidden="false" customHeight="false" outlineLevel="0" collapsed="false">
      <c r="B6" s="17"/>
      <c r="C6" s="17"/>
      <c r="D6" s="17"/>
      <c r="E6" s="17"/>
      <c r="F6" s="17"/>
      <c r="G6" s="17"/>
    </row>
    <row r="7" customFormat="false" ht="15" hidden="false" customHeight="true" outlineLevel="0" collapsed="false">
      <c r="B7" s="17" t="s">
        <v>177</v>
      </c>
      <c r="C7" s="17"/>
      <c r="D7" s="17"/>
      <c r="E7" s="17" t="s">
        <v>178</v>
      </c>
      <c r="F7" s="17"/>
      <c r="G7" s="17"/>
    </row>
    <row r="8" customFormat="false" ht="15" hidden="false" customHeight="false" outlineLevel="0" collapsed="false">
      <c r="B8" s="17"/>
      <c r="C8" s="17"/>
      <c r="D8" s="17"/>
      <c r="E8" s="17"/>
      <c r="F8" s="17"/>
      <c r="G8" s="17"/>
    </row>
    <row r="9" customFormat="false" ht="15" hidden="false" customHeight="false" outlineLevel="0" collapsed="false">
      <c r="B9" s="17"/>
      <c r="C9" s="17"/>
      <c r="D9" s="17"/>
      <c r="E9" s="17"/>
      <c r="F9" s="17"/>
      <c r="G9" s="17"/>
    </row>
    <row r="10" customFormat="false" ht="15" hidden="false" customHeight="false" outlineLevel="0" collapsed="false">
      <c r="B10" s="17"/>
      <c r="C10" s="17"/>
      <c r="D10" s="17"/>
      <c r="E10" s="17"/>
      <c r="F10" s="17"/>
      <c r="G10" s="17"/>
    </row>
    <row r="12" customFormat="false" ht="15" hidden="false" customHeight="false" outlineLevel="0" collapsed="false">
      <c r="B12" s="18" t="s">
        <v>179</v>
      </c>
    </row>
    <row r="14" customFormat="false" ht="15" hidden="false" customHeight="false" outlineLevel="0" collapsed="false">
      <c r="B14" s="19" t="s">
        <v>180</v>
      </c>
    </row>
  </sheetData>
  <mergeCells count="4">
    <mergeCell ref="B3:D6"/>
    <mergeCell ref="E3:G6"/>
    <mergeCell ref="B7:D10"/>
    <mergeCell ref="E7: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2"/>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14" min="8" style="0" width="20"/>
  </cols>
  <sheetData>
    <row r="1" customFormat="false" ht="15" hidden="false" customHeight="false" outlineLevel="0" collapsed="false">
      <c r="E1" s="20" t="s">
        <v>181</v>
      </c>
      <c r="G1" s="1" t="s">
        <v>182</v>
      </c>
      <c r="H1" s="21" t="s">
        <v>182</v>
      </c>
      <c r="I1" s="21" t="s">
        <v>183</v>
      </c>
      <c r="J1" s="21" t="s">
        <v>184</v>
      </c>
      <c r="K1" s="21" t="s">
        <v>185</v>
      </c>
      <c r="L1" s="21" t="s">
        <v>186</v>
      </c>
      <c r="M1" s="21" t="s">
        <v>187</v>
      </c>
      <c r="N1" s="21" t="s">
        <v>188</v>
      </c>
    </row>
    <row r="2" customFormat="false" ht="55.2" hidden="false" customHeight="false" outlineLevel="0" collapsed="false">
      <c r="A2" s="22" t="s">
        <v>189</v>
      </c>
      <c r="B2" s="20" t="s">
        <v>190</v>
      </c>
      <c r="E2" s="20" t="s">
        <v>191</v>
      </c>
      <c r="H2" s="23" t="s">
        <v>192</v>
      </c>
      <c r="I2" s="23" t="s">
        <v>193</v>
      </c>
      <c r="J2" s="23" t="s">
        <v>194</v>
      </c>
      <c r="K2" s="23" t="s">
        <v>195</v>
      </c>
      <c r="L2" s="23" t="s">
        <v>196</v>
      </c>
      <c r="M2" s="23" t="s">
        <v>197</v>
      </c>
      <c r="N2" s="23" t="s">
        <v>198</v>
      </c>
    </row>
    <row r="3" customFormat="false" ht="55.2" hidden="false" customHeight="false" outlineLevel="0" collapsed="false">
      <c r="B3" s="20" t="s">
        <v>199</v>
      </c>
      <c r="C3" s="24" t="s">
        <v>34</v>
      </c>
      <c r="E3" s="20" t="s">
        <v>200</v>
      </c>
      <c r="G3" s="25" t="s">
        <v>201</v>
      </c>
      <c r="H3" s="23" t="s">
        <v>202</v>
      </c>
      <c r="I3" s="23" t="s">
        <v>203</v>
      </c>
      <c r="J3" s="23" t="s">
        <v>204</v>
      </c>
      <c r="K3" s="23" t="s">
        <v>205</v>
      </c>
      <c r="L3" s="23" t="s">
        <v>206</v>
      </c>
      <c r="M3" s="23" t="s">
        <v>207</v>
      </c>
      <c r="N3" s="23" t="s">
        <v>208</v>
      </c>
    </row>
    <row r="4" customFormat="false" ht="28.35" hidden="false" customHeight="false" outlineLevel="0" collapsed="false">
      <c r="E4" s="20" t="s">
        <v>209</v>
      </c>
      <c r="H4" s="23" t="s">
        <v>210</v>
      </c>
      <c r="I4" s="23" t="s">
        <v>211</v>
      </c>
      <c r="J4" s="23" t="s">
        <v>212</v>
      </c>
      <c r="K4" s="23" t="s">
        <v>213</v>
      </c>
      <c r="L4" s="23" t="s">
        <v>214</v>
      </c>
      <c r="M4" s="23" t="s">
        <v>215</v>
      </c>
      <c r="N4" s="23" t="s">
        <v>216</v>
      </c>
    </row>
    <row r="5" customFormat="false" ht="84" hidden="false" customHeight="true" outlineLevel="0" collapsed="false">
      <c r="B5" s="20" t="s">
        <v>217</v>
      </c>
      <c r="D5" s="2" t="n">
        <v>160</v>
      </c>
      <c r="E5" s="20" t="s">
        <v>218</v>
      </c>
      <c r="G5" s="26" t="s">
        <v>219</v>
      </c>
      <c r="H5" s="26" t="s">
        <v>220</v>
      </c>
      <c r="I5" s="26" t="s">
        <v>221</v>
      </c>
      <c r="J5" s="26" t="s">
        <v>222</v>
      </c>
      <c r="K5" s="26" t="s">
        <v>223</v>
      </c>
      <c r="L5" s="26" t="s">
        <v>224</v>
      </c>
      <c r="M5" s="26" t="s">
        <v>225</v>
      </c>
      <c r="N5" s="26" t="s">
        <v>226</v>
      </c>
    </row>
    <row r="6" customFormat="false" ht="15" hidden="false" customHeight="false" outlineLevel="0" collapsed="false">
      <c r="B6" s="20" t="s">
        <v>227</v>
      </c>
      <c r="C6" s="27" t="n">
        <f aca="false">ROUND(SUBTOTAL(9,C9:C204),2)</f>
        <v>160</v>
      </c>
      <c r="D6" s="2" t="s">
        <v>228</v>
      </c>
      <c r="E6" s="28" t="n">
        <f aca="false">ROUND(SUBTOTAL(9,E9:E204),10)</f>
        <v>1</v>
      </c>
      <c r="F6" s="29" t="s">
        <v>229</v>
      </c>
      <c r="H6" s="30" t="str">
        <f aca="false">IF(ABS(H7)&lt;0.0000001,"","RECHECK")</f>
        <v/>
      </c>
      <c r="I6" s="30" t="str">
        <f aca="false">IF(ABS(I7)&lt;0.0000001,"","RECHECK")</f>
        <v/>
      </c>
      <c r="J6" s="30" t="str">
        <f aca="false">IF(ABS(J7)&lt;0.0000001,"","RECHECK")</f>
        <v/>
      </c>
      <c r="K6" s="30" t="str">
        <f aca="false">IF(ABS(K7)&lt;0.0000001,"","RECHECK")</f>
        <v/>
      </c>
      <c r="L6" s="30" t="str">
        <f aca="false">IF(ABS(L7)&lt;0.0000001,"","RECHECK")</f>
        <v/>
      </c>
      <c r="M6" s="30" t="str">
        <f aca="false">IF(ABS(M7)&lt;0.0000001,"","RECHECK")</f>
        <v/>
      </c>
      <c r="N6" s="30" t="str">
        <f aca="false">IF(ABS(N7)&lt;0.0000001,"","RECHECK")</f>
        <v/>
      </c>
    </row>
    <row r="7" customFormat="false" ht="15" hidden="false" customHeight="false" outlineLevel="0" collapsed="false">
      <c r="G7" s="31" t="n">
        <f aca="false">SUBTOTAL(9,G10:G204)</f>
        <v>1</v>
      </c>
      <c r="H7" s="31" t="n">
        <f aca="false">SUBTOTAL(9,H10:H204)</f>
        <v>0</v>
      </c>
      <c r="I7" s="31" t="n">
        <f aca="false">SUBTOTAL(9,I10:I204)</f>
        <v>0</v>
      </c>
      <c r="J7" s="31" t="n">
        <f aca="false">SUBTOTAL(9,J10:J204)</f>
        <v>0</v>
      </c>
      <c r="K7" s="31" t="n">
        <f aca="false">SUBTOTAL(9,K10:K204)</f>
        <v>0</v>
      </c>
      <c r="L7" s="31" t="n">
        <f aca="false">SUBTOTAL(9,L10:L204)</f>
        <v>0</v>
      </c>
      <c r="M7" s="31" t="n">
        <f aca="false">SUBTOTAL(9,M10:M204)</f>
        <v>0</v>
      </c>
      <c r="N7" s="31" t="n">
        <f aca="false">SUBTOTAL(9,N10:N204)</f>
        <v>0</v>
      </c>
    </row>
    <row r="8" customFormat="false" ht="15" hidden="false" customHeight="false" outlineLevel="0" collapsed="false">
      <c r="A8" s="32" t="s">
        <v>230</v>
      </c>
      <c r="C8" s="33" t="s">
        <v>231</v>
      </c>
      <c r="D8" s="34" t="s">
        <v>232</v>
      </c>
      <c r="E8" s="33" t="s">
        <v>62</v>
      </c>
    </row>
    <row r="10" customFormat="false" ht="28.35" hidden="false" customHeight="false" outlineLevel="0" collapsed="false">
      <c r="A10" s="26" t="s">
        <v>233</v>
      </c>
      <c r="B10" s="26" t="s">
        <v>234</v>
      </c>
      <c r="C10" s="35" t="n">
        <f aca="false">E10*$D$5</f>
        <v>47.91666675</v>
      </c>
      <c r="D10" s="24" t="s">
        <v>235</v>
      </c>
      <c r="E10" s="36" t="n">
        <f aca="false">F10</f>
        <v>0.2994791671875</v>
      </c>
      <c r="F10" s="37" t="n">
        <f aca="false">SUM(G10:N10)</f>
        <v>0.2994791671875</v>
      </c>
      <c r="G10" s="38" t="n">
        <v>0.2994791671875</v>
      </c>
    </row>
    <row r="11" customFormat="false" ht="55.2" hidden="false" customHeight="false" outlineLevel="0" collapsed="false">
      <c r="A11" s="26" t="s">
        <v>236</v>
      </c>
      <c r="B11" s="26" t="s">
        <v>237</v>
      </c>
      <c r="C11" s="35" t="n">
        <f aca="false">E11*$D$5</f>
        <v>0</v>
      </c>
      <c r="D11" s="24" t="s">
        <v>238</v>
      </c>
      <c r="E11" s="36" t="n">
        <f aca="false">F11</f>
        <v>0</v>
      </c>
      <c r="F11" s="37" t="n">
        <f aca="false">SUM(G11:N11)</f>
        <v>0</v>
      </c>
      <c r="G11" s="38" t="n">
        <v>0.7005208328125</v>
      </c>
      <c r="H11" s="38" t="n">
        <v>-0.7005208328125</v>
      </c>
    </row>
    <row r="12" customFormat="false" ht="28.35" hidden="false" customHeight="false" outlineLevel="0" collapsed="false">
      <c r="A12" s="26" t="s">
        <v>239</v>
      </c>
      <c r="B12" s="26" t="s">
        <v>240</v>
      </c>
      <c r="C12" s="35" t="n">
        <f aca="false">E12*$D$5</f>
        <v>0</v>
      </c>
      <c r="D12" s="24" t="s">
        <v>241</v>
      </c>
      <c r="E12" s="36" t="n">
        <f aca="false">F12</f>
        <v>0</v>
      </c>
      <c r="F12" s="37" t="n">
        <f aca="false">SUM(G12:N12)</f>
        <v>0</v>
      </c>
      <c r="H12" s="38" t="n">
        <v>0.7005208328125</v>
      </c>
      <c r="I12" s="38" t="n">
        <v>-0.7005208328125</v>
      </c>
    </row>
    <row r="13" customFormat="false" ht="28.35" hidden="false" customHeight="false" outlineLevel="0" collapsed="false">
      <c r="A13" s="26" t="s">
        <v>242</v>
      </c>
      <c r="B13" s="26" t="s">
        <v>243</v>
      </c>
      <c r="C13" s="35" t="n">
        <f aca="false">E13*$D$5</f>
        <v>0</v>
      </c>
      <c r="D13" s="24" t="s">
        <v>244</v>
      </c>
      <c r="E13" s="36" t="n">
        <f aca="false">F13</f>
        <v>0</v>
      </c>
      <c r="F13" s="37" t="n">
        <f aca="false">SUM(G13:N13)</f>
        <v>0</v>
      </c>
      <c r="I13" s="38" t="n">
        <v>0.7005208328125</v>
      </c>
      <c r="J13" s="38" t="n">
        <v>-0.7005208328125</v>
      </c>
    </row>
    <row r="14" customFormat="false" ht="37.3" hidden="false" customHeight="false" outlineLevel="0" collapsed="false">
      <c r="A14" s="26" t="s">
        <v>245</v>
      </c>
      <c r="B14" s="26" t="s">
        <v>246</v>
      </c>
      <c r="C14" s="35" t="n">
        <f aca="false">E14*$D$5</f>
        <v>112.08333325</v>
      </c>
      <c r="D14" s="24" t="s">
        <v>247</v>
      </c>
      <c r="E14" s="36" t="n">
        <f aca="false">F14</f>
        <v>0.7005208328125</v>
      </c>
      <c r="F14" s="37" t="n">
        <f aca="false">SUM(G14:N14)</f>
        <v>0.7005208328125</v>
      </c>
      <c r="J14" s="38" t="n">
        <v>0.7005208328125</v>
      </c>
    </row>
    <row r="15" customFormat="false" ht="28.35" hidden="false" customHeight="false" outlineLevel="0" collapsed="false">
      <c r="A15" s="26" t="s">
        <v>248</v>
      </c>
      <c r="B15" s="26" t="s">
        <v>249</v>
      </c>
      <c r="C15" s="35" t="n">
        <f aca="false">E15*$D$5</f>
        <v>0</v>
      </c>
      <c r="D15" s="24" t="s">
        <v>250</v>
      </c>
      <c r="E15" s="36" t="n">
        <f aca="false">F15</f>
        <v>0</v>
      </c>
      <c r="F15" s="37" t="n">
        <f aca="false">SUM(G15:N15)</f>
        <v>0</v>
      </c>
      <c r="K15" s="38" t="n">
        <v>0</v>
      </c>
    </row>
    <row r="16" customFormat="false" ht="37.3" hidden="false" customHeight="false" outlineLevel="0" collapsed="false">
      <c r="A16" s="26" t="s">
        <v>251</v>
      </c>
      <c r="B16" s="26" t="s">
        <v>252</v>
      </c>
      <c r="C16" s="35" t="n">
        <f aca="false">E16*$D$5</f>
        <v>0</v>
      </c>
      <c r="D16" s="24" t="s">
        <v>253</v>
      </c>
      <c r="E16" s="36" t="n">
        <f aca="false">F16</f>
        <v>0</v>
      </c>
      <c r="F16" s="37" t="n">
        <f aca="false">SUM(G16:N16)</f>
        <v>0</v>
      </c>
      <c r="L16" s="38" t="n">
        <v>0</v>
      </c>
    </row>
    <row r="17" customFormat="false" ht="19.4" hidden="false" customHeight="false" outlineLevel="0" collapsed="false">
      <c r="A17" s="26" t="s">
        <v>254</v>
      </c>
      <c r="B17" s="26" t="s">
        <v>255</v>
      </c>
      <c r="C17" s="35" t="n">
        <f aca="false">E17*$D$5</f>
        <v>0</v>
      </c>
      <c r="D17" s="24" t="s">
        <v>256</v>
      </c>
      <c r="E17" s="36" t="n">
        <f aca="false">F17</f>
        <v>0</v>
      </c>
      <c r="F17" s="37" t="n">
        <f aca="false">SUM(G17:N17)</f>
        <v>0</v>
      </c>
      <c r="M17" s="38" t="n">
        <v>0</v>
      </c>
    </row>
    <row r="18" customFormat="false" ht="46.25" hidden="false" customHeight="false" outlineLevel="0" collapsed="false">
      <c r="A18" s="26" t="s">
        <v>257</v>
      </c>
      <c r="B18" s="26" t="s">
        <v>258</v>
      </c>
      <c r="C18" s="35" t="n">
        <f aca="false">E18*$D$5</f>
        <v>0</v>
      </c>
      <c r="D18" s="24" t="s">
        <v>259</v>
      </c>
      <c r="E18" s="36" t="n">
        <f aca="false">F18</f>
        <v>0</v>
      </c>
      <c r="F18" s="37" t="n">
        <f aca="false">SUM(G18:N18)</f>
        <v>0</v>
      </c>
    </row>
    <row r="20" customFormat="false" ht="55.2" hidden="false" customHeight="false" outlineLevel="0" collapsed="false">
      <c r="A20" s="15"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2"/>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14" min="8" style="0" width="20"/>
  </cols>
  <sheetData>
    <row r="1" customFormat="false" ht="15" hidden="false" customHeight="false" outlineLevel="0" collapsed="false">
      <c r="E1" s="20" t="s">
        <v>181</v>
      </c>
      <c r="G1" s="1" t="s">
        <v>182</v>
      </c>
      <c r="H1" s="21" t="s">
        <v>182</v>
      </c>
      <c r="I1" s="21" t="s">
        <v>183</v>
      </c>
      <c r="J1" s="21" t="s">
        <v>184</v>
      </c>
      <c r="K1" s="21" t="s">
        <v>185</v>
      </c>
      <c r="L1" s="21" t="s">
        <v>186</v>
      </c>
      <c r="M1" s="21" t="s">
        <v>187</v>
      </c>
      <c r="N1" s="21" t="s">
        <v>188</v>
      </c>
    </row>
    <row r="2" customFormat="false" ht="55.2" hidden="false" customHeight="false" outlineLevel="0" collapsed="false">
      <c r="A2" s="22" t="s">
        <v>189</v>
      </c>
      <c r="B2" s="20" t="s">
        <v>190</v>
      </c>
      <c r="E2" s="20" t="s">
        <v>191</v>
      </c>
      <c r="H2" s="23" t="s">
        <v>192</v>
      </c>
      <c r="I2" s="23" t="s">
        <v>193</v>
      </c>
      <c r="J2" s="23" t="s">
        <v>194</v>
      </c>
      <c r="K2" s="23" t="s">
        <v>195</v>
      </c>
      <c r="L2" s="23" t="s">
        <v>196</v>
      </c>
      <c r="M2" s="23" t="s">
        <v>197</v>
      </c>
      <c r="N2" s="23" t="s">
        <v>198</v>
      </c>
    </row>
    <row r="3" customFormat="false" ht="55.2" hidden="false" customHeight="false" outlineLevel="0" collapsed="false">
      <c r="B3" s="20" t="s">
        <v>199</v>
      </c>
      <c r="C3" s="24" t="s">
        <v>66</v>
      </c>
      <c r="E3" s="20" t="s">
        <v>200</v>
      </c>
      <c r="G3" s="25" t="s">
        <v>201</v>
      </c>
      <c r="H3" s="23" t="s">
        <v>202</v>
      </c>
      <c r="I3" s="23" t="s">
        <v>203</v>
      </c>
      <c r="J3" s="23" t="s">
        <v>204</v>
      </c>
      <c r="K3" s="23" t="s">
        <v>205</v>
      </c>
      <c r="L3" s="23" t="s">
        <v>206</v>
      </c>
      <c r="M3" s="23" t="s">
        <v>207</v>
      </c>
      <c r="N3" s="23" t="s">
        <v>208</v>
      </c>
    </row>
    <row r="4" customFormat="false" ht="28.35" hidden="false" customHeight="false" outlineLevel="0" collapsed="false">
      <c r="E4" s="20" t="s">
        <v>209</v>
      </c>
      <c r="H4" s="23" t="s">
        <v>210</v>
      </c>
      <c r="I4" s="23" t="s">
        <v>211</v>
      </c>
      <c r="J4" s="23" t="s">
        <v>212</v>
      </c>
      <c r="K4" s="23" t="s">
        <v>213</v>
      </c>
      <c r="L4" s="23" t="s">
        <v>214</v>
      </c>
      <c r="M4" s="23" t="s">
        <v>215</v>
      </c>
      <c r="N4" s="23" t="s">
        <v>216</v>
      </c>
    </row>
    <row r="5" customFormat="false" ht="84" hidden="false" customHeight="true" outlineLevel="0" collapsed="false">
      <c r="B5" s="20" t="s">
        <v>217</v>
      </c>
      <c r="D5" s="2" t="n">
        <v>160</v>
      </c>
      <c r="E5" s="20" t="s">
        <v>218</v>
      </c>
      <c r="G5" s="26" t="s">
        <v>219</v>
      </c>
      <c r="H5" s="26" t="s">
        <v>220</v>
      </c>
      <c r="I5" s="26" t="s">
        <v>221</v>
      </c>
      <c r="J5" s="26" t="s">
        <v>222</v>
      </c>
      <c r="K5" s="26" t="s">
        <v>223</v>
      </c>
      <c r="L5" s="26" t="s">
        <v>224</v>
      </c>
      <c r="M5" s="26" t="s">
        <v>225</v>
      </c>
      <c r="N5" s="26" t="s">
        <v>226</v>
      </c>
    </row>
    <row r="6" customFormat="false" ht="15" hidden="false" customHeight="false" outlineLevel="0" collapsed="false">
      <c r="B6" s="20" t="s">
        <v>227</v>
      </c>
      <c r="C6" s="27" t="n">
        <f aca="false">ROUND(SUBTOTAL(9,C9:C204),2)</f>
        <v>160</v>
      </c>
      <c r="D6" s="2" t="s">
        <v>228</v>
      </c>
      <c r="E6" s="28" t="n">
        <f aca="false">ROUND(SUBTOTAL(9,E9:E204),10)</f>
        <v>1</v>
      </c>
      <c r="F6" s="29" t="s">
        <v>229</v>
      </c>
      <c r="H6" s="30" t="str">
        <f aca="false">IF(ABS(H7)&lt;0.0000001,"","RECHECK")</f>
        <v/>
      </c>
      <c r="I6" s="30" t="str">
        <f aca="false">IF(ABS(I7)&lt;0.0000001,"","RECHECK")</f>
        <v/>
      </c>
      <c r="J6" s="30" t="str">
        <f aca="false">IF(ABS(J7)&lt;0.0000001,"","RECHECK")</f>
        <v/>
      </c>
      <c r="K6" s="30" t="str">
        <f aca="false">IF(ABS(K7)&lt;0.0000001,"","RECHECK")</f>
        <v/>
      </c>
      <c r="L6" s="30" t="str">
        <f aca="false">IF(ABS(L7)&lt;0.0000001,"","RECHECK")</f>
        <v/>
      </c>
      <c r="M6" s="30" t="str">
        <f aca="false">IF(ABS(M7)&lt;0.0000001,"","RECHECK")</f>
        <v/>
      </c>
      <c r="N6" s="30" t="str">
        <f aca="false">IF(ABS(N7)&lt;0.0000001,"","RECHECK")</f>
        <v/>
      </c>
    </row>
    <row r="7" customFormat="false" ht="15" hidden="false" customHeight="false" outlineLevel="0" collapsed="false">
      <c r="G7" s="31" t="n">
        <f aca="false">SUBTOTAL(9,G10:G204)</f>
        <v>1</v>
      </c>
      <c r="H7" s="31" t="n">
        <f aca="false">SUBTOTAL(9,H10:H204)</f>
        <v>0</v>
      </c>
      <c r="I7" s="31" t="n">
        <f aca="false">SUBTOTAL(9,I10:I204)</f>
        <v>0</v>
      </c>
      <c r="J7" s="31" t="n">
        <f aca="false">SUBTOTAL(9,J10:J204)</f>
        <v>0</v>
      </c>
      <c r="K7" s="31" t="n">
        <f aca="false">SUBTOTAL(9,K10:K204)</f>
        <v>0</v>
      </c>
      <c r="L7" s="31" t="n">
        <f aca="false">SUBTOTAL(9,L10:L204)</f>
        <v>0</v>
      </c>
      <c r="M7" s="31" t="n">
        <f aca="false">SUBTOTAL(9,M10:M204)</f>
        <v>0</v>
      </c>
      <c r="N7" s="31" t="n">
        <f aca="false">SUBTOTAL(9,N10:N204)</f>
        <v>0</v>
      </c>
    </row>
    <row r="8" customFormat="false" ht="15" hidden="false" customHeight="false" outlineLevel="0" collapsed="false">
      <c r="A8" s="32" t="s">
        <v>230</v>
      </c>
      <c r="C8" s="33" t="s">
        <v>231</v>
      </c>
      <c r="D8" s="34" t="s">
        <v>232</v>
      </c>
      <c r="E8" s="33" t="s">
        <v>62</v>
      </c>
    </row>
    <row r="10" customFormat="false" ht="28.35" hidden="false" customHeight="false" outlineLevel="0" collapsed="false">
      <c r="A10" s="26" t="s">
        <v>233</v>
      </c>
      <c r="B10" s="26" t="s">
        <v>234</v>
      </c>
      <c r="C10" s="35" t="n">
        <f aca="false">E10*$D$5</f>
        <v>47.91666675</v>
      </c>
      <c r="D10" s="24" t="s">
        <v>235</v>
      </c>
      <c r="E10" s="36" t="n">
        <f aca="false">F10</f>
        <v>0.2994791671875</v>
      </c>
      <c r="F10" s="37" t="n">
        <f aca="false">SUM(G10:N10)</f>
        <v>0.2994791671875</v>
      </c>
      <c r="G10" s="38" t="n">
        <v>0.2994791671875</v>
      </c>
    </row>
    <row r="11" customFormat="false" ht="55.2" hidden="false" customHeight="false" outlineLevel="0" collapsed="false">
      <c r="A11" s="26" t="s">
        <v>236</v>
      </c>
      <c r="B11" s="26" t="s">
        <v>237</v>
      </c>
      <c r="C11" s="35" t="n">
        <f aca="false">E11*$D$5</f>
        <v>0</v>
      </c>
      <c r="D11" s="24" t="s">
        <v>238</v>
      </c>
      <c r="E11" s="36" t="n">
        <f aca="false">F11</f>
        <v>0</v>
      </c>
      <c r="F11" s="37" t="n">
        <f aca="false">SUM(G11:N11)</f>
        <v>0</v>
      </c>
      <c r="G11" s="38" t="n">
        <v>0.7005208328125</v>
      </c>
      <c r="H11" s="38" t="n">
        <v>-0.7005208328125</v>
      </c>
    </row>
    <row r="12" customFormat="false" ht="28.35" hidden="false" customHeight="false" outlineLevel="0" collapsed="false">
      <c r="A12" s="26" t="s">
        <v>239</v>
      </c>
      <c r="B12" s="26" t="s">
        <v>240</v>
      </c>
      <c r="C12" s="35" t="n">
        <f aca="false">E12*$D$5</f>
        <v>0</v>
      </c>
      <c r="D12" s="24" t="s">
        <v>241</v>
      </c>
      <c r="E12" s="36" t="n">
        <f aca="false">F12</f>
        <v>0</v>
      </c>
      <c r="F12" s="37" t="n">
        <f aca="false">SUM(G12:N12)</f>
        <v>0</v>
      </c>
      <c r="H12" s="38" t="n">
        <v>0.7005208328125</v>
      </c>
      <c r="I12" s="38" t="n">
        <v>-0.7005208328125</v>
      </c>
    </row>
    <row r="13" customFormat="false" ht="28.35" hidden="false" customHeight="false" outlineLevel="0" collapsed="false">
      <c r="A13" s="26" t="s">
        <v>242</v>
      </c>
      <c r="B13" s="26" t="s">
        <v>243</v>
      </c>
      <c r="C13" s="35" t="n">
        <f aca="false">E13*$D$5</f>
        <v>0</v>
      </c>
      <c r="D13" s="24" t="s">
        <v>244</v>
      </c>
      <c r="E13" s="36" t="n">
        <f aca="false">F13</f>
        <v>0</v>
      </c>
      <c r="F13" s="37" t="n">
        <f aca="false">SUM(G13:N13)</f>
        <v>0</v>
      </c>
      <c r="I13" s="38" t="n">
        <v>0.7005208328125</v>
      </c>
      <c r="J13" s="38" t="n">
        <v>-0.7005208328125</v>
      </c>
    </row>
    <row r="14" customFormat="false" ht="37.3" hidden="false" customHeight="false" outlineLevel="0" collapsed="false">
      <c r="A14" s="26" t="s">
        <v>245</v>
      </c>
      <c r="B14" s="26" t="s">
        <v>246</v>
      </c>
      <c r="C14" s="35" t="n">
        <f aca="false">E14*$D$5</f>
        <v>112.08333325</v>
      </c>
      <c r="D14" s="24" t="s">
        <v>247</v>
      </c>
      <c r="E14" s="36" t="n">
        <f aca="false">F14</f>
        <v>0.7005208328125</v>
      </c>
      <c r="F14" s="37" t="n">
        <f aca="false">SUM(G14:N14)</f>
        <v>0.7005208328125</v>
      </c>
      <c r="J14" s="38" t="n">
        <v>0.7005208328125</v>
      </c>
    </row>
    <row r="15" customFormat="false" ht="28.35" hidden="false" customHeight="false" outlineLevel="0" collapsed="false">
      <c r="A15" s="26" t="s">
        <v>248</v>
      </c>
      <c r="B15" s="26" t="s">
        <v>249</v>
      </c>
      <c r="C15" s="35" t="n">
        <f aca="false">E15*$D$5</f>
        <v>0</v>
      </c>
      <c r="D15" s="24" t="s">
        <v>250</v>
      </c>
      <c r="E15" s="36" t="n">
        <f aca="false">F15</f>
        <v>0</v>
      </c>
      <c r="F15" s="37" t="n">
        <f aca="false">SUM(G15:N15)</f>
        <v>0</v>
      </c>
      <c r="K15" s="38" t="n">
        <v>0</v>
      </c>
    </row>
    <row r="16" customFormat="false" ht="37.3" hidden="false" customHeight="false" outlineLevel="0" collapsed="false">
      <c r="A16" s="26" t="s">
        <v>251</v>
      </c>
      <c r="B16" s="26" t="s">
        <v>252</v>
      </c>
      <c r="C16" s="35" t="n">
        <f aca="false">E16*$D$5</f>
        <v>0</v>
      </c>
      <c r="D16" s="24" t="s">
        <v>253</v>
      </c>
      <c r="E16" s="36" t="n">
        <f aca="false">F16</f>
        <v>0</v>
      </c>
      <c r="F16" s="37" t="n">
        <f aca="false">SUM(G16:N16)</f>
        <v>0</v>
      </c>
      <c r="L16" s="38" t="n">
        <v>0</v>
      </c>
    </row>
    <row r="17" customFormat="false" ht="19.4" hidden="false" customHeight="false" outlineLevel="0" collapsed="false">
      <c r="A17" s="26" t="s">
        <v>254</v>
      </c>
      <c r="B17" s="26" t="s">
        <v>255</v>
      </c>
      <c r="C17" s="35" t="n">
        <f aca="false">E17*$D$5</f>
        <v>0</v>
      </c>
      <c r="D17" s="24" t="s">
        <v>256</v>
      </c>
      <c r="E17" s="36" t="n">
        <f aca="false">F17</f>
        <v>0</v>
      </c>
      <c r="F17" s="37" t="n">
        <f aca="false">SUM(G17:N17)</f>
        <v>0</v>
      </c>
      <c r="M17" s="38" t="n">
        <v>0</v>
      </c>
    </row>
    <row r="18" customFormat="false" ht="46.25" hidden="false" customHeight="false" outlineLevel="0" collapsed="false">
      <c r="A18" s="26" t="s">
        <v>257</v>
      </c>
      <c r="B18" s="26" t="s">
        <v>258</v>
      </c>
      <c r="C18" s="35" t="n">
        <f aca="false">E18*$D$5</f>
        <v>0</v>
      </c>
      <c r="D18" s="24" t="s">
        <v>259</v>
      </c>
      <c r="E18" s="36" t="n">
        <f aca="false">F18</f>
        <v>0</v>
      </c>
      <c r="F18" s="37" t="n">
        <f aca="false">SUM(G18:N18)</f>
        <v>0</v>
      </c>
    </row>
    <row r="20" customFormat="false" ht="55.2" hidden="false" customHeight="false" outlineLevel="0" collapsed="false">
      <c r="A20" s="15"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2"/>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14" min="8" style="0" width="20"/>
  </cols>
  <sheetData>
    <row r="1" customFormat="false" ht="15" hidden="false" customHeight="false" outlineLevel="0" collapsed="false">
      <c r="E1" s="20" t="s">
        <v>181</v>
      </c>
      <c r="G1" s="1" t="s">
        <v>182</v>
      </c>
      <c r="H1" s="21" t="s">
        <v>182</v>
      </c>
      <c r="I1" s="21" t="s">
        <v>183</v>
      </c>
      <c r="J1" s="21" t="s">
        <v>184</v>
      </c>
      <c r="K1" s="21" t="s">
        <v>185</v>
      </c>
      <c r="L1" s="21" t="s">
        <v>186</v>
      </c>
      <c r="M1" s="21" t="s">
        <v>187</v>
      </c>
      <c r="N1" s="21" t="s">
        <v>188</v>
      </c>
    </row>
    <row r="2" customFormat="false" ht="55.2" hidden="false" customHeight="false" outlineLevel="0" collapsed="false">
      <c r="A2" s="22" t="s">
        <v>189</v>
      </c>
      <c r="B2" s="20" t="s">
        <v>190</v>
      </c>
      <c r="E2" s="20" t="s">
        <v>191</v>
      </c>
      <c r="H2" s="23" t="s">
        <v>192</v>
      </c>
      <c r="I2" s="23" t="s">
        <v>193</v>
      </c>
      <c r="J2" s="23" t="s">
        <v>194</v>
      </c>
      <c r="K2" s="23" t="s">
        <v>195</v>
      </c>
      <c r="L2" s="23" t="s">
        <v>196</v>
      </c>
      <c r="M2" s="23" t="s">
        <v>197</v>
      </c>
      <c r="N2" s="23" t="s">
        <v>198</v>
      </c>
    </row>
    <row r="3" customFormat="false" ht="55.2" hidden="false" customHeight="false" outlineLevel="0" collapsed="false">
      <c r="B3" s="20" t="s">
        <v>199</v>
      </c>
      <c r="C3" s="24" t="s">
        <v>116</v>
      </c>
      <c r="E3" s="20" t="s">
        <v>200</v>
      </c>
      <c r="G3" s="25" t="s">
        <v>201</v>
      </c>
      <c r="H3" s="23" t="s">
        <v>202</v>
      </c>
      <c r="I3" s="23" t="s">
        <v>203</v>
      </c>
      <c r="J3" s="23" t="s">
        <v>204</v>
      </c>
      <c r="K3" s="23" t="s">
        <v>205</v>
      </c>
      <c r="L3" s="23" t="s">
        <v>206</v>
      </c>
      <c r="M3" s="23" t="s">
        <v>207</v>
      </c>
      <c r="N3" s="23" t="s">
        <v>208</v>
      </c>
    </row>
    <row r="4" customFormat="false" ht="28.35" hidden="false" customHeight="false" outlineLevel="0" collapsed="false">
      <c r="E4" s="20" t="s">
        <v>209</v>
      </c>
      <c r="H4" s="23" t="s">
        <v>210</v>
      </c>
      <c r="I4" s="23" t="s">
        <v>211</v>
      </c>
      <c r="J4" s="23" t="s">
        <v>212</v>
      </c>
      <c r="K4" s="23" t="s">
        <v>213</v>
      </c>
      <c r="L4" s="23" t="s">
        <v>214</v>
      </c>
      <c r="M4" s="23" t="s">
        <v>215</v>
      </c>
      <c r="N4" s="23" t="s">
        <v>216</v>
      </c>
    </row>
    <row r="5" customFormat="false" ht="84" hidden="false" customHeight="true" outlineLevel="0" collapsed="false">
      <c r="B5" s="20" t="s">
        <v>217</v>
      </c>
      <c r="D5" s="2" t="n">
        <v>160</v>
      </c>
      <c r="E5" s="20" t="s">
        <v>218</v>
      </c>
      <c r="G5" s="26" t="s">
        <v>219</v>
      </c>
      <c r="H5" s="26" t="s">
        <v>220</v>
      </c>
      <c r="I5" s="26" t="s">
        <v>221</v>
      </c>
      <c r="J5" s="26" t="s">
        <v>222</v>
      </c>
      <c r="K5" s="26" t="s">
        <v>223</v>
      </c>
      <c r="L5" s="26" t="s">
        <v>224</v>
      </c>
      <c r="M5" s="26" t="s">
        <v>225</v>
      </c>
      <c r="N5" s="26" t="s">
        <v>226</v>
      </c>
    </row>
    <row r="6" customFormat="false" ht="15" hidden="false" customHeight="false" outlineLevel="0" collapsed="false">
      <c r="B6" s="20" t="s">
        <v>227</v>
      </c>
      <c r="C6" s="27" t="n">
        <f aca="false">ROUND(SUBTOTAL(9,C9:C204),2)</f>
        <v>160</v>
      </c>
      <c r="D6" s="2" t="s">
        <v>228</v>
      </c>
      <c r="E6" s="28" t="n">
        <f aca="false">ROUND(SUBTOTAL(9,E9:E204),10)</f>
        <v>1</v>
      </c>
      <c r="F6" s="29" t="s">
        <v>229</v>
      </c>
      <c r="H6" s="30" t="str">
        <f aca="false">IF(ABS(H7)&lt;0.0000001,"","RECHECK")</f>
        <v/>
      </c>
      <c r="I6" s="30" t="str">
        <f aca="false">IF(ABS(I7)&lt;0.0000001,"","RECHECK")</f>
        <v/>
      </c>
      <c r="J6" s="30" t="str">
        <f aca="false">IF(ABS(J7)&lt;0.0000001,"","RECHECK")</f>
        <v/>
      </c>
      <c r="K6" s="30" t="str">
        <f aca="false">IF(ABS(K7)&lt;0.0000001,"","RECHECK")</f>
        <v/>
      </c>
      <c r="L6" s="30" t="str">
        <f aca="false">IF(ABS(L7)&lt;0.0000001,"","RECHECK")</f>
        <v/>
      </c>
      <c r="M6" s="30" t="str">
        <f aca="false">IF(ABS(M7)&lt;0.0000001,"","RECHECK")</f>
        <v/>
      </c>
      <c r="N6" s="30" t="str">
        <f aca="false">IF(ABS(N7)&lt;0.0000001,"","RECHECK")</f>
        <v/>
      </c>
    </row>
    <row r="7" customFormat="false" ht="15" hidden="false" customHeight="false" outlineLevel="0" collapsed="false">
      <c r="G7" s="31" t="n">
        <f aca="false">SUBTOTAL(9,G10:G204)</f>
        <v>1</v>
      </c>
      <c r="H7" s="31" t="n">
        <f aca="false">SUBTOTAL(9,H10:H204)</f>
        <v>0</v>
      </c>
      <c r="I7" s="31" t="n">
        <f aca="false">SUBTOTAL(9,I10:I204)</f>
        <v>0</v>
      </c>
      <c r="J7" s="31" t="n">
        <f aca="false">SUBTOTAL(9,J10:J204)</f>
        <v>0</v>
      </c>
      <c r="K7" s="31" t="n">
        <f aca="false">SUBTOTAL(9,K10:K204)</f>
        <v>0</v>
      </c>
      <c r="L7" s="31" t="n">
        <f aca="false">SUBTOTAL(9,L10:L204)</f>
        <v>0</v>
      </c>
      <c r="M7" s="31" t="n">
        <f aca="false">SUBTOTAL(9,M10:M204)</f>
        <v>0</v>
      </c>
      <c r="N7" s="31" t="n">
        <f aca="false">SUBTOTAL(9,N10:N204)</f>
        <v>0</v>
      </c>
    </row>
    <row r="8" customFormat="false" ht="15" hidden="false" customHeight="false" outlineLevel="0" collapsed="false">
      <c r="A8" s="32" t="s">
        <v>230</v>
      </c>
      <c r="C8" s="33" t="s">
        <v>231</v>
      </c>
      <c r="D8" s="34" t="s">
        <v>232</v>
      </c>
      <c r="E8" s="33" t="s">
        <v>62</v>
      </c>
    </row>
    <row r="10" customFormat="false" ht="28.35" hidden="false" customHeight="false" outlineLevel="0" collapsed="false">
      <c r="A10" s="26" t="s">
        <v>233</v>
      </c>
      <c r="B10" s="26" t="s">
        <v>234</v>
      </c>
      <c r="C10" s="35" t="n">
        <f aca="false">E10*$D$5</f>
        <v>47.91666675</v>
      </c>
      <c r="D10" s="24" t="s">
        <v>235</v>
      </c>
      <c r="E10" s="36" t="n">
        <f aca="false">F10</f>
        <v>0.2994791671875</v>
      </c>
      <c r="F10" s="37" t="n">
        <f aca="false">SUM(G10:N10)</f>
        <v>0.2994791671875</v>
      </c>
      <c r="G10" s="38" t="n">
        <v>0.2994791671875</v>
      </c>
    </row>
    <row r="11" customFormat="false" ht="55.2" hidden="false" customHeight="false" outlineLevel="0" collapsed="false">
      <c r="A11" s="26" t="s">
        <v>236</v>
      </c>
      <c r="B11" s="26" t="s">
        <v>237</v>
      </c>
      <c r="C11" s="35" t="n">
        <f aca="false">E11*$D$5</f>
        <v>0</v>
      </c>
      <c r="D11" s="24" t="s">
        <v>238</v>
      </c>
      <c r="E11" s="36" t="n">
        <f aca="false">F11</f>
        <v>0</v>
      </c>
      <c r="F11" s="37" t="n">
        <f aca="false">SUM(G11:N11)</f>
        <v>0</v>
      </c>
      <c r="G11" s="38" t="n">
        <v>0.7005208328125</v>
      </c>
      <c r="H11" s="38" t="n">
        <v>-0.7005208328125</v>
      </c>
    </row>
    <row r="12" customFormat="false" ht="28.35" hidden="false" customHeight="false" outlineLevel="0" collapsed="false">
      <c r="A12" s="26" t="s">
        <v>239</v>
      </c>
      <c r="B12" s="26" t="s">
        <v>240</v>
      </c>
      <c r="C12" s="35" t="n">
        <f aca="false">E12*$D$5</f>
        <v>0</v>
      </c>
      <c r="D12" s="24" t="s">
        <v>241</v>
      </c>
      <c r="E12" s="36" t="n">
        <f aca="false">F12</f>
        <v>0</v>
      </c>
      <c r="F12" s="37" t="n">
        <f aca="false">SUM(G12:N12)</f>
        <v>0</v>
      </c>
      <c r="H12" s="38" t="n">
        <v>0.7005208328125</v>
      </c>
      <c r="I12" s="38" t="n">
        <v>-0.7005208328125</v>
      </c>
    </row>
    <row r="13" customFormat="false" ht="28.35" hidden="false" customHeight="false" outlineLevel="0" collapsed="false">
      <c r="A13" s="26" t="s">
        <v>242</v>
      </c>
      <c r="B13" s="26" t="s">
        <v>243</v>
      </c>
      <c r="C13" s="35" t="n">
        <f aca="false">E13*$D$5</f>
        <v>0</v>
      </c>
      <c r="D13" s="24" t="s">
        <v>244</v>
      </c>
      <c r="E13" s="36" t="n">
        <f aca="false">F13</f>
        <v>0</v>
      </c>
      <c r="F13" s="37" t="n">
        <f aca="false">SUM(G13:N13)</f>
        <v>0</v>
      </c>
      <c r="I13" s="38" t="n">
        <v>0.7005208328125</v>
      </c>
      <c r="J13" s="38" t="n">
        <v>-0.7005208328125</v>
      </c>
    </row>
    <row r="14" customFormat="false" ht="37.3" hidden="false" customHeight="false" outlineLevel="0" collapsed="false">
      <c r="A14" s="26" t="s">
        <v>245</v>
      </c>
      <c r="B14" s="26" t="s">
        <v>246</v>
      </c>
      <c r="C14" s="35" t="n">
        <f aca="false">E14*$D$5</f>
        <v>112.08333325</v>
      </c>
      <c r="D14" s="24" t="s">
        <v>247</v>
      </c>
      <c r="E14" s="36" t="n">
        <f aca="false">F14</f>
        <v>0.7005208328125</v>
      </c>
      <c r="F14" s="37" t="n">
        <f aca="false">SUM(G14:N14)</f>
        <v>0.7005208328125</v>
      </c>
      <c r="J14" s="38" t="n">
        <v>0.7005208328125</v>
      </c>
    </row>
    <row r="15" customFormat="false" ht="28.35" hidden="false" customHeight="false" outlineLevel="0" collapsed="false">
      <c r="A15" s="26" t="s">
        <v>248</v>
      </c>
      <c r="B15" s="26" t="s">
        <v>249</v>
      </c>
      <c r="C15" s="35" t="n">
        <f aca="false">E15*$D$5</f>
        <v>0</v>
      </c>
      <c r="D15" s="24" t="s">
        <v>250</v>
      </c>
      <c r="E15" s="36" t="n">
        <f aca="false">F15</f>
        <v>0</v>
      </c>
      <c r="F15" s="37" t="n">
        <f aca="false">SUM(G15:N15)</f>
        <v>0</v>
      </c>
      <c r="K15" s="38" t="n">
        <v>0</v>
      </c>
    </row>
    <row r="16" customFormat="false" ht="37.3" hidden="false" customHeight="false" outlineLevel="0" collapsed="false">
      <c r="A16" s="26" t="s">
        <v>251</v>
      </c>
      <c r="B16" s="26" t="s">
        <v>252</v>
      </c>
      <c r="C16" s="35" t="n">
        <f aca="false">E16*$D$5</f>
        <v>0</v>
      </c>
      <c r="D16" s="24" t="s">
        <v>253</v>
      </c>
      <c r="E16" s="36" t="n">
        <f aca="false">F16</f>
        <v>0</v>
      </c>
      <c r="F16" s="37" t="n">
        <f aca="false">SUM(G16:N16)</f>
        <v>0</v>
      </c>
      <c r="L16" s="38" t="n">
        <v>0</v>
      </c>
    </row>
    <row r="17" customFormat="false" ht="19.4" hidden="false" customHeight="false" outlineLevel="0" collapsed="false">
      <c r="A17" s="26" t="s">
        <v>254</v>
      </c>
      <c r="B17" s="26" t="s">
        <v>255</v>
      </c>
      <c r="C17" s="35" t="n">
        <f aca="false">E17*$D$5</f>
        <v>0</v>
      </c>
      <c r="D17" s="24" t="s">
        <v>256</v>
      </c>
      <c r="E17" s="36" t="n">
        <f aca="false">F17</f>
        <v>0</v>
      </c>
      <c r="F17" s="37" t="n">
        <f aca="false">SUM(G17:N17)</f>
        <v>0</v>
      </c>
      <c r="M17" s="38" t="n">
        <v>0</v>
      </c>
    </row>
    <row r="18" customFormat="false" ht="46.25" hidden="false" customHeight="false" outlineLevel="0" collapsed="false">
      <c r="A18" s="26" t="s">
        <v>257</v>
      </c>
      <c r="B18" s="26" t="s">
        <v>258</v>
      </c>
      <c r="C18" s="35" t="n">
        <f aca="false">E18*$D$5</f>
        <v>0</v>
      </c>
      <c r="D18" s="24" t="s">
        <v>259</v>
      </c>
      <c r="E18" s="36" t="n">
        <f aca="false">F18</f>
        <v>0</v>
      </c>
      <c r="F18" s="37" t="n">
        <f aca="false">SUM(G18:N18)</f>
        <v>0</v>
      </c>
    </row>
    <row r="20" customFormat="false" ht="55.2" hidden="false" customHeight="false" outlineLevel="0" collapsed="false">
      <c r="A20" s="15"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2"/>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14" min="8" style="0" width="20"/>
  </cols>
  <sheetData>
    <row r="1" customFormat="false" ht="15" hidden="false" customHeight="false" outlineLevel="0" collapsed="false">
      <c r="E1" s="20" t="s">
        <v>181</v>
      </c>
      <c r="G1" s="1" t="s">
        <v>182</v>
      </c>
      <c r="H1" s="21" t="s">
        <v>182</v>
      </c>
      <c r="I1" s="21" t="s">
        <v>183</v>
      </c>
      <c r="J1" s="21" t="s">
        <v>184</v>
      </c>
      <c r="K1" s="21" t="s">
        <v>185</v>
      </c>
      <c r="L1" s="21" t="s">
        <v>186</v>
      </c>
      <c r="M1" s="21" t="s">
        <v>187</v>
      </c>
      <c r="N1" s="21" t="s">
        <v>188</v>
      </c>
    </row>
    <row r="2" customFormat="false" ht="55.2" hidden="false" customHeight="false" outlineLevel="0" collapsed="false">
      <c r="A2" s="22" t="s">
        <v>189</v>
      </c>
      <c r="B2" s="20" t="s">
        <v>190</v>
      </c>
      <c r="E2" s="20" t="s">
        <v>191</v>
      </c>
      <c r="H2" s="23" t="s">
        <v>192</v>
      </c>
      <c r="I2" s="23" t="s">
        <v>193</v>
      </c>
      <c r="J2" s="23" t="s">
        <v>194</v>
      </c>
      <c r="K2" s="23" t="s">
        <v>195</v>
      </c>
      <c r="L2" s="23" t="s">
        <v>196</v>
      </c>
      <c r="M2" s="23" t="s">
        <v>197</v>
      </c>
      <c r="N2" s="23" t="s">
        <v>198</v>
      </c>
    </row>
    <row r="3" customFormat="false" ht="55.2" hidden="false" customHeight="false" outlineLevel="0" collapsed="false">
      <c r="B3" s="20" t="s">
        <v>199</v>
      </c>
      <c r="C3" s="24" t="s">
        <v>261</v>
      </c>
      <c r="E3" s="20" t="s">
        <v>200</v>
      </c>
      <c r="G3" s="25" t="s">
        <v>201</v>
      </c>
      <c r="H3" s="23" t="s">
        <v>202</v>
      </c>
      <c r="I3" s="23" t="s">
        <v>203</v>
      </c>
      <c r="J3" s="23" t="s">
        <v>204</v>
      </c>
      <c r="K3" s="23" t="s">
        <v>205</v>
      </c>
      <c r="L3" s="23" t="s">
        <v>206</v>
      </c>
      <c r="M3" s="23" t="s">
        <v>207</v>
      </c>
      <c r="N3" s="23" t="s">
        <v>208</v>
      </c>
    </row>
    <row r="4" customFormat="false" ht="28.35" hidden="false" customHeight="false" outlineLevel="0" collapsed="false">
      <c r="E4" s="20" t="s">
        <v>209</v>
      </c>
      <c r="H4" s="23" t="s">
        <v>210</v>
      </c>
      <c r="I4" s="23" t="s">
        <v>211</v>
      </c>
      <c r="J4" s="23" t="s">
        <v>212</v>
      </c>
      <c r="K4" s="23" t="s">
        <v>213</v>
      </c>
      <c r="L4" s="23" t="s">
        <v>214</v>
      </c>
      <c r="M4" s="23" t="s">
        <v>215</v>
      </c>
      <c r="N4" s="23" t="s">
        <v>216</v>
      </c>
    </row>
    <row r="5" customFormat="false" ht="84" hidden="false" customHeight="true" outlineLevel="0" collapsed="false">
      <c r="B5" s="20" t="s">
        <v>217</v>
      </c>
      <c r="D5" s="2" t="n">
        <v>159</v>
      </c>
      <c r="E5" s="20" t="s">
        <v>218</v>
      </c>
      <c r="G5" s="26" t="s">
        <v>219</v>
      </c>
      <c r="H5" s="26" t="s">
        <v>220</v>
      </c>
      <c r="I5" s="26" t="s">
        <v>221</v>
      </c>
      <c r="J5" s="26" t="s">
        <v>222</v>
      </c>
      <c r="K5" s="26" t="s">
        <v>223</v>
      </c>
      <c r="L5" s="26" t="s">
        <v>224</v>
      </c>
      <c r="M5" s="26" t="s">
        <v>225</v>
      </c>
      <c r="N5" s="26" t="s">
        <v>226</v>
      </c>
    </row>
    <row r="6" customFormat="false" ht="15" hidden="false" customHeight="false" outlineLevel="0" collapsed="false">
      <c r="B6" s="20" t="s">
        <v>227</v>
      </c>
      <c r="C6" s="27" t="n">
        <f aca="false">ROUND(SUBTOTAL(9,C9:C204),2)</f>
        <v>159</v>
      </c>
      <c r="D6" s="2" t="s">
        <v>228</v>
      </c>
      <c r="E6" s="28" t="n">
        <f aca="false">ROUND(SUBTOTAL(9,E9:E204),10)</f>
        <v>1</v>
      </c>
      <c r="F6" s="29" t="s">
        <v>229</v>
      </c>
      <c r="H6" s="30" t="str">
        <f aca="false">IF(ABS(H7)&lt;0.0000001,"","RECHECK")</f>
        <v/>
      </c>
      <c r="I6" s="30" t="str">
        <f aca="false">IF(ABS(I7)&lt;0.0000001,"","RECHECK")</f>
        <v/>
      </c>
      <c r="J6" s="30" t="str">
        <f aca="false">IF(ABS(J7)&lt;0.0000001,"","RECHECK")</f>
        <v/>
      </c>
      <c r="K6" s="30" t="str">
        <f aca="false">IF(ABS(K7)&lt;0.0000001,"","RECHECK")</f>
        <v/>
      </c>
      <c r="L6" s="30" t="str">
        <f aca="false">IF(ABS(L7)&lt;0.0000001,"","RECHECK")</f>
        <v/>
      </c>
      <c r="M6" s="30" t="str">
        <f aca="false">IF(ABS(M7)&lt;0.0000001,"","RECHECK")</f>
        <v/>
      </c>
      <c r="N6" s="30" t="str">
        <f aca="false">IF(ABS(N7)&lt;0.0000001,"","RECHECK")</f>
        <v/>
      </c>
    </row>
    <row r="7" customFormat="false" ht="15" hidden="false" customHeight="false" outlineLevel="0" collapsed="false">
      <c r="G7" s="31" t="n">
        <f aca="false">SUBTOTAL(9,G10:G204)</f>
        <v>1</v>
      </c>
      <c r="H7" s="31" t="n">
        <f aca="false">SUBTOTAL(9,H10:H204)</f>
        <v>0</v>
      </c>
      <c r="I7" s="31" t="n">
        <f aca="false">SUBTOTAL(9,I10:I204)</f>
        <v>0</v>
      </c>
      <c r="J7" s="31" t="n">
        <f aca="false">SUBTOTAL(9,J10:J204)</f>
        <v>0</v>
      </c>
      <c r="K7" s="31" t="n">
        <f aca="false">SUBTOTAL(9,K10:K204)</f>
        <v>0</v>
      </c>
      <c r="L7" s="31" t="n">
        <f aca="false">SUBTOTAL(9,L10:L204)</f>
        <v>0</v>
      </c>
      <c r="M7" s="31" t="n">
        <f aca="false">SUBTOTAL(9,M10:M204)</f>
        <v>0</v>
      </c>
      <c r="N7" s="31" t="n">
        <f aca="false">SUBTOTAL(9,N10:N204)</f>
        <v>0</v>
      </c>
    </row>
    <row r="8" customFormat="false" ht="15" hidden="false" customHeight="false" outlineLevel="0" collapsed="false">
      <c r="A8" s="32" t="s">
        <v>230</v>
      </c>
      <c r="C8" s="33" t="s">
        <v>231</v>
      </c>
      <c r="D8" s="34" t="s">
        <v>232</v>
      </c>
      <c r="E8" s="33" t="s">
        <v>62</v>
      </c>
    </row>
    <row r="10" customFormat="false" ht="28.35" hidden="false" customHeight="false" outlineLevel="0" collapsed="false">
      <c r="A10" s="26" t="s">
        <v>233</v>
      </c>
      <c r="B10" s="26" t="s">
        <v>234</v>
      </c>
      <c r="C10" s="35" t="n">
        <f aca="false">E10*$D$5</f>
        <v>47.6171875828125</v>
      </c>
      <c r="D10" s="24" t="s">
        <v>235</v>
      </c>
      <c r="E10" s="36" t="n">
        <f aca="false">F10</f>
        <v>0.2994791671875</v>
      </c>
      <c r="F10" s="37" t="n">
        <f aca="false">SUM(G10:N10)</f>
        <v>0.2994791671875</v>
      </c>
      <c r="G10" s="38" t="n">
        <v>0.2994791671875</v>
      </c>
    </row>
    <row r="11" customFormat="false" ht="55.2" hidden="false" customHeight="false" outlineLevel="0" collapsed="false">
      <c r="A11" s="26" t="s">
        <v>236</v>
      </c>
      <c r="B11" s="26" t="s">
        <v>237</v>
      </c>
      <c r="C11" s="35" t="n">
        <f aca="false">E11*$D$5</f>
        <v>0</v>
      </c>
      <c r="D11" s="24" t="s">
        <v>238</v>
      </c>
      <c r="E11" s="36" t="n">
        <f aca="false">F11</f>
        <v>0</v>
      </c>
      <c r="F11" s="37" t="n">
        <f aca="false">SUM(G11:N11)</f>
        <v>0</v>
      </c>
      <c r="G11" s="38" t="n">
        <v>0.7005208328125</v>
      </c>
      <c r="H11" s="38" t="n">
        <v>-0.7005208328125</v>
      </c>
    </row>
    <row r="12" customFormat="false" ht="28.35" hidden="false" customHeight="false" outlineLevel="0" collapsed="false">
      <c r="A12" s="26" t="s">
        <v>239</v>
      </c>
      <c r="B12" s="26" t="s">
        <v>240</v>
      </c>
      <c r="C12" s="35" t="n">
        <f aca="false">E12*$D$5</f>
        <v>0</v>
      </c>
      <c r="D12" s="24" t="s">
        <v>241</v>
      </c>
      <c r="E12" s="36" t="n">
        <f aca="false">F12</f>
        <v>0</v>
      </c>
      <c r="F12" s="37" t="n">
        <f aca="false">SUM(G12:N12)</f>
        <v>0</v>
      </c>
      <c r="H12" s="38" t="n">
        <v>0.7005208328125</v>
      </c>
      <c r="I12" s="38" t="n">
        <v>-0.7005208328125</v>
      </c>
    </row>
    <row r="13" customFormat="false" ht="28.35" hidden="false" customHeight="false" outlineLevel="0" collapsed="false">
      <c r="A13" s="26" t="s">
        <v>242</v>
      </c>
      <c r="B13" s="26" t="s">
        <v>243</v>
      </c>
      <c r="C13" s="35" t="n">
        <f aca="false">E13*$D$5</f>
        <v>0</v>
      </c>
      <c r="D13" s="24" t="s">
        <v>244</v>
      </c>
      <c r="E13" s="36" t="n">
        <f aca="false">F13</f>
        <v>0</v>
      </c>
      <c r="F13" s="37" t="n">
        <f aca="false">SUM(G13:N13)</f>
        <v>0</v>
      </c>
      <c r="I13" s="38" t="n">
        <v>0.7005208328125</v>
      </c>
      <c r="J13" s="38" t="n">
        <v>-0.7005208328125</v>
      </c>
    </row>
    <row r="14" customFormat="false" ht="37.3" hidden="false" customHeight="false" outlineLevel="0" collapsed="false">
      <c r="A14" s="26" t="s">
        <v>245</v>
      </c>
      <c r="B14" s="26" t="s">
        <v>246</v>
      </c>
      <c r="C14" s="35" t="n">
        <f aca="false">E14*$D$5</f>
        <v>111.382812417188</v>
      </c>
      <c r="D14" s="24" t="s">
        <v>247</v>
      </c>
      <c r="E14" s="36" t="n">
        <f aca="false">F14</f>
        <v>0.7005208328125</v>
      </c>
      <c r="F14" s="37" t="n">
        <f aca="false">SUM(G14:N14)</f>
        <v>0.7005208328125</v>
      </c>
      <c r="J14" s="38" t="n">
        <v>0.7005208328125</v>
      </c>
    </row>
    <row r="15" customFormat="false" ht="28.35" hidden="false" customHeight="false" outlineLevel="0" collapsed="false">
      <c r="A15" s="26" t="s">
        <v>248</v>
      </c>
      <c r="B15" s="26" t="s">
        <v>249</v>
      </c>
      <c r="C15" s="35" t="n">
        <f aca="false">E15*$D$5</f>
        <v>0</v>
      </c>
      <c r="D15" s="24" t="s">
        <v>250</v>
      </c>
      <c r="E15" s="36" t="n">
        <f aca="false">F15</f>
        <v>0</v>
      </c>
      <c r="F15" s="37" t="n">
        <f aca="false">SUM(G15:N15)</f>
        <v>0</v>
      </c>
      <c r="K15" s="38" t="n">
        <v>0</v>
      </c>
    </row>
    <row r="16" customFormat="false" ht="37.3" hidden="false" customHeight="false" outlineLevel="0" collapsed="false">
      <c r="A16" s="26" t="s">
        <v>251</v>
      </c>
      <c r="B16" s="26" t="s">
        <v>252</v>
      </c>
      <c r="C16" s="35" t="n">
        <f aca="false">E16*$D$5</f>
        <v>0</v>
      </c>
      <c r="D16" s="24" t="s">
        <v>253</v>
      </c>
      <c r="E16" s="36" t="n">
        <f aca="false">F16</f>
        <v>0</v>
      </c>
      <c r="F16" s="37" t="n">
        <f aca="false">SUM(G16:N16)</f>
        <v>0</v>
      </c>
      <c r="L16" s="38" t="n">
        <v>0</v>
      </c>
    </row>
    <row r="17" customFormat="false" ht="19.4" hidden="false" customHeight="false" outlineLevel="0" collapsed="false">
      <c r="A17" s="26" t="s">
        <v>254</v>
      </c>
      <c r="B17" s="26" t="s">
        <v>255</v>
      </c>
      <c r="C17" s="35" t="n">
        <f aca="false">E17*$D$5</f>
        <v>0</v>
      </c>
      <c r="D17" s="24" t="s">
        <v>256</v>
      </c>
      <c r="E17" s="36" t="n">
        <f aca="false">F17</f>
        <v>0</v>
      </c>
      <c r="F17" s="37" t="n">
        <f aca="false">SUM(G17:N17)</f>
        <v>0</v>
      </c>
      <c r="M17" s="38" t="n">
        <v>0</v>
      </c>
    </row>
    <row r="18" customFormat="false" ht="46.25" hidden="false" customHeight="false" outlineLevel="0" collapsed="false">
      <c r="A18" s="26" t="s">
        <v>257</v>
      </c>
      <c r="B18" s="26" t="s">
        <v>258</v>
      </c>
      <c r="C18" s="35" t="n">
        <f aca="false">E18*$D$5</f>
        <v>0</v>
      </c>
      <c r="D18" s="24" t="s">
        <v>259</v>
      </c>
      <c r="E18" s="36" t="n">
        <f aca="false">F18</f>
        <v>0</v>
      </c>
      <c r="F18" s="37" t="n">
        <f aca="false">SUM(G18:N18)</f>
        <v>0</v>
      </c>
    </row>
    <row r="20" customFormat="false" ht="55.2" hidden="false" customHeight="false" outlineLevel="0" collapsed="false">
      <c r="A20" s="15"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2"/>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14" min="8" style="0" width="20"/>
  </cols>
  <sheetData>
    <row r="1" customFormat="false" ht="15" hidden="false" customHeight="false" outlineLevel="0" collapsed="false">
      <c r="E1" s="20" t="s">
        <v>181</v>
      </c>
      <c r="G1" s="1" t="s">
        <v>182</v>
      </c>
      <c r="H1" s="21" t="s">
        <v>182</v>
      </c>
      <c r="I1" s="21" t="s">
        <v>183</v>
      </c>
      <c r="J1" s="21" t="s">
        <v>184</v>
      </c>
      <c r="K1" s="21" t="s">
        <v>185</v>
      </c>
      <c r="L1" s="21" t="s">
        <v>186</v>
      </c>
      <c r="M1" s="21" t="s">
        <v>187</v>
      </c>
      <c r="N1" s="21" t="s">
        <v>188</v>
      </c>
    </row>
    <row r="2" customFormat="false" ht="55.2" hidden="false" customHeight="false" outlineLevel="0" collapsed="false">
      <c r="A2" s="22" t="s">
        <v>189</v>
      </c>
      <c r="B2" s="20" t="s">
        <v>190</v>
      </c>
      <c r="E2" s="20" t="s">
        <v>191</v>
      </c>
      <c r="H2" s="23" t="s">
        <v>192</v>
      </c>
      <c r="I2" s="23" t="s">
        <v>193</v>
      </c>
      <c r="J2" s="23" t="s">
        <v>194</v>
      </c>
      <c r="K2" s="23" t="s">
        <v>195</v>
      </c>
      <c r="L2" s="23" t="s">
        <v>196</v>
      </c>
      <c r="M2" s="23" t="s">
        <v>197</v>
      </c>
      <c r="N2" s="23" t="s">
        <v>198</v>
      </c>
    </row>
    <row r="3" customFormat="false" ht="55.2" hidden="false" customHeight="false" outlineLevel="0" collapsed="false">
      <c r="B3" s="20" t="s">
        <v>199</v>
      </c>
      <c r="C3" s="24" t="s">
        <v>262</v>
      </c>
      <c r="E3" s="20" t="s">
        <v>200</v>
      </c>
      <c r="G3" s="25" t="s">
        <v>201</v>
      </c>
      <c r="H3" s="23" t="s">
        <v>202</v>
      </c>
      <c r="I3" s="23" t="s">
        <v>203</v>
      </c>
      <c r="J3" s="23" t="s">
        <v>204</v>
      </c>
      <c r="K3" s="23" t="s">
        <v>205</v>
      </c>
      <c r="L3" s="23" t="s">
        <v>206</v>
      </c>
      <c r="M3" s="23" t="s">
        <v>207</v>
      </c>
      <c r="N3" s="23" t="s">
        <v>208</v>
      </c>
    </row>
    <row r="4" customFormat="false" ht="28.35" hidden="false" customHeight="false" outlineLevel="0" collapsed="false">
      <c r="E4" s="20" t="s">
        <v>209</v>
      </c>
      <c r="H4" s="23" t="s">
        <v>210</v>
      </c>
      <c r="I4" s="23" t="s">
        <v>211</v>
      </c>
      <c r="J4" s="23" t="s">
        <v>212</v>
      </c>
      <c r="K4" s="23" t="s">
        <v>213</v>
      </c>
      <c r="L4" s="23" t="s">
        <v>214</v>
      </c>
      <c r="M4" s="23" t="s">
        <v>215</v>
      </c>
      <c r="N4" s="23" t="s">
        <v>216</v>
      </c>
    </row>
    <row r="5" customFormat="false" ht="84" hidden="false" customHeight="true" outlineLevel="0" collapsed="false">
      <c r="B5" s="20" t="s">
        <v>217</v>
      </c>
      <c r="D5" s="2" t="n">
        <v>1</v>
      </c>
      <c r="E5" s="20" t="s">
        <v>218</v>
      </c>
      <c r="G5" s="26" t="s">
        <v>219</v>
      </c>
      <c r="H5" s="26" t="s">
        <v>220</v>
      </c>
      <c r="I5" s="26" t="s">
        <v>221</v>
      </c>
      <c r="J5" s="26" t="s">
        <v>222</v>
      </c>
      <c r="K5" s="26" t="s">
        <v>223</v>
      </c>
      <c r="L5" s="26" t="s">
        <v>224</v>
      </c>
      <c r="M5" s="26" t="s">
        <v>225</v>
      </c>
      <c r="N5" s="26" t="s">
        <v>226</v>
      </c>
    </row>
    <row r="6" customFormat="false" ht="15" hidden="false" customHeight="false" outlineLevel="0" collapsed="false">
      <c r="B6" s="20" t="s">
        <v>227</v>
      </c>
      <c r="C6" s="27" t="n">
        <f aca="false">ROUND(SUBTOTAL(9,C9:C204),2)</f>
        <v>1</v>
      </c>
      <c r="D6" s="2" t="s">
        <v>228</v>
      </c>
      <c r="E6" s="28" t="n">
        <f aca="false">ROUND(SUBTOTAL(9,E9:E204),10)</f>
        <v>1</v>
      </c>
      <c r="F6" s="29" t="s">
        <v>229</v>
      </c>
      <c r="H6" s="30" t="str">
        <f aca="false">IF(ABS(H7)&lt;0.0000001,"","RECHECK")</f>
        <v/>
      </c>
      <c r="I6" s="30" t="str">
        <f aca="false">IF(ABS(I7)&lt;0.0000001,"","RECHECK")</f>
        <v/>
      </c>
      <c r="J6" s="30" t="str">
        <f aca="false">IF(ABS(J7)&lt;0.0000001,"","RECHECK")</f>
        <v/>
      </c>
      <c r="K6" s="30" t="str">
        <f aca="false">IF(ABS(K7)&lt;0.0000001,"","RECHECK")</f>
        <v/>
      </c>
      <c r="L6" s="30" t="str">
        <f aca="false">IF(ABS(L7)&lt;0.0000001,"","RECHECK")</f>
        <v/>
      </c>
      <c r="M6" s="30" t="str">
        <f aca="false">IF(ABS(M7)&lt;0.0000001,"","RECHECK")</f>
        <v/>
      </c>
      <c r="N6" s="30" t="str">
        <f aca="false">IF(ABS(N7)&lt;0.0000001,"","RECHECK")</f>
        <v/>
      </c>
    </row>
    <row r="7" customFormat="false" ht="15" hidden="false" customHeight="false" outlineLevel="0" collapsed="false">
      <c r="G7" s="31" t="n">
        <f aca="false">SUBTOTAL(9,G10:G204)</f>
        <v>1</v>
      </c>
      <c r="H7" s="31" t="n">
        <f aca="false">SUBTOTAL(9,H10:H204)</f>
        <v>0</v>
      </c>
      <c r="I7" s="31" t="n">
        <f aca="false">SUBTOTAL(9,I10:I204)</f>
        <v>0</v>
      </c>
      <c r="J7" s="31" t="n">
        <f aca="false">SUBTOTAL(9,J10:J204)</f>
        <v>0</v>
      </c>
      <c r="K7" s="31" t="n">
        <f aca="false">SUBTOTAL(9,K10:K204)</f>
        <v>0</v>
      </c>
      <c r="L7" s="31" t="n">
        <f aca="false">SUBTOTAL(9,L10:L204)</f>
        <v>0</v>
      </c>
      <c r="M7" s="31" t="n">
        <f aca="false">SUBTOTAL(9,M10:M204)</f>
        <v>0</v>
      </c>
      <c r="N7" s="31" t="n">
        <f aca="false">SUBTOTAL(9,N10:N204)</f>
        <v>0</v>
      </c>
    </row>
    <row r="8" customFormat="false" ht="15" hidden="false" customHeight="false" outlineLevel="0" collapsed="false">
      <c r="A8" s="32" t="s">
        <v>230</v>
      </c>
      <c r="C8" s="33" t="s">
        <v>231</v>
      </c>
      <c r="D8" s="34" t="s">
        <v>232</v>
      </c>
      <c r="E8" s="33" t="s">
        <v>62</v>
      </c>
    </row>
    <row r="10" customFormat="false" ht="28.35" hidden="false" customHeight="false" outlineLevel="0" collapsed="false">
      <c r="A10" s="26" t="s">
        <v>233</v>
      </c>
      <c r="B10" s="26" t="s">
        <v>234</v>
      </c>
      <c r="C10" s="35" t="n">
        <f aca="false">E10*$D$5</f>
        <v>0.2994791671875</v>
      </c>
      <c r="D10" s="24" t="s">
        <v>235</v>
      </c>
      <c r="E10" s="36" t="n">
        <f aca="false">F10</f>
        <v>0.2994791671875</v>
      </c>
      <c r="F10" s="37" t="n">
        <f aca="false">SUM(G10:N10)</f>
        <v>0.2994791671875</v>
      </c>
      <c r="G10" s="38" t="n">
        <v>0.2994791671875</v>
      </c>
    </row>
    <row r="11" customFormat="false" ht="55.2" hidden="false" customHeight="false" outlineLevel="0" collapsed="false">
      <c r="A11" s="26" t="s">
        <v>236</v>
      </c>
      <c r="B11" s="26" t="s">
        <v>237</v>
      </c>
      <c r="C11" s="35" t="n">
        <f aca="false">E11*$D$5</f>
        <v>0</v>
      </c>
      <c r="D11" s="24" t="s">
        <v>238</v>
      </c>
      <c r="E11" s="36" t="n">
        <f aca="false">F11</f>
        <v>0</v>
      </c>
      <c r="F11" s="37" t="n">
        <f aca="false">SUM(G11:N11)</f>
        <v>0</v>
      </c>
      <c r="G11" s="38" t="n">
        <v>0.7005208328125</v>
      </c>
      <c r="H11" s="38" t="n">
        <v>-0.7005208328125</v>
      </c>
    </row>
    <row r="12" customFormat="false" ht="28.35" hidden="false" customHeight="false" outlineLevel="0" collapsed="false">
      <c r="A12" s="26" t="s">
        <v>239</v>
      </c>
      <c r="B12" s="26" t="s">
        <v>240</v>
      </c>
      <c r="C12" s="35" t="n">
        <f aca="false">E12*$D$5</f>
        <v>0</v>
      </c>
      <c r="D12" s="24" t="s">
        <v>241</v>
      </c>
      <c r="E12" s="36" t="n">
        <f aca="false">F12</f>
        <v>0</v>
      </c>
      <c r="F12" s="37" t="n">
        <f aca="false">SUM(G12:N12)</f>
        <v>0</v>
      </c>
      <c r="H12" s="38" t="n">
        <v>0.7005208328125</v>
      </c>
      <c r="I12" s="38" t="n">
        <v>-0.7005208328125</v>
      </c>
    </row>
    <row r="13" customFormat="false" ht="28.35" hidden="false" customHeight="false" outlineLevel="0" collapsed="false">
      <c r="A13" s="26" t="s">
        <v>242</v>
      </c>
      <c r="B13" s="26" t="s">
        <v>243</v>
      </c>
      <c r="C13" s="35" t="n">
        <f aca="false">E13*$D$5</f>
        <v>0</v>
      </c>
      <c r="D13" s="24" t="s">
        <v>244</v>
      </c>
      <c r="E13" s="36" t="n">
        <f aca="false">F13</f>
        <v>0</v>
      </c>
      <c r="F13" s="37" t="n">
        <f aca="false">SUM(G13:N13)</f>
        <v>0</v>
      </c>
      <c r="I13" s="38" t="n">
        <v>0.7005208328125</v>
      </c>
      <c r="J13" s="38" t="n">
        <v>-0.7005208328125</v>
      </c>
    </row>
    <row r="14" customFormat="false" ht="37.3" hidden="false" customHeight="false" outlineLevel="0" collapsed="false">
      <c r="A14" s="26" t="s">
        <v>245</v>
      </c>
      <c r="B14" s="26" t="s">
        <v>246</v>
      </c>
      <c r="C14" s="35" t="n">
        <f aca="false">E14*$D$5</f>
        <v>0.7005208328125</v>
      </c>
      <c r="D14" s="24" t="s">
        <v>247</v>
      </c>
      <c r="E14" s="36" t="n">
        <f aca="false">F14</f>
        <v>0.7005208328125</v>
      </c>
      <c r="F14" s="37" t="n">
        <f aca="false">SUM(G14:N14)</f>
        <v>0.7005208328125</v>
      </c>
      <c r="J14" s="38" t="n">
        <v>0.7005208328125</v>
      </c>
    </row>
    <row r="15" customFormat="false" ht="28.35" hidden="false" customHeight="false" outlineLevel="0" collapsed="false">
      <c r="A15" s="26" t="s">
        <v>248</v>
      </c>
      <c r="B15" s="26" t="s">
        <v>249</v>
      </c>
      <c r="C15" s="35" t="n">
        <f aca="false">E15*$D$5</f>
        <v>0</v>
      </c>
      <c r="D15" s="24" t="s">
        <v>250</v>
      </c>
      <c r="E15" s="36" t="n">
        <f aca="false">F15</f>
        <v>0</v>
      </c>
      <c r="F15" s="37" t="n">
        <f aca="false">SUM(G15:N15)</f>
        <v>0</v>
      </c>
      <c r="K15" s="38" t="n">
        <v>0</v>
      </c>
    </row>
    <row r="16" customFormat="false" ht="37.3" hidden="false" customHeight="false" outlineLevel="0" collapsed="false">
      <c r="A16" s="26" t="s">
        <v>251</v>
      </c>
      <c r="B16" s="26" t="s">
        <v>252</v>
      </c>
      <c r="C16" s="35" t="n">
        <f aca="false">E16*$D$5</f>
        <v>0</v>
      </c>
      <c r="D16" s="24" t="s">
        <v>253</v>
      </c>
      <c r="E16" s="36" t="n">
        <f aca="false">F16</f>
        <v>0</v>
      </c>
      <c r="F16" s="37" t="n">
        <f aca="false">SUM(G16:N16)</f>
        <v>0</v>
      </c>
      <c r="L16" s="38" t="n">
        <v>0</v>
      </c>
    </row>
    <row r="17" customFormat="false" ht="19.4" hidden="false" customHeight="false" outlineLevel="0" collapsed="false">
      <c r="A17" s="26" t="s">
        <v>254</v>
      </c>
      <c r="B17" s="26" t="s">
        <v>255</v>
      </c>
      <c r="C17" s="35" t="n">
        <f aca="false">E17*$D$5</f>
        <v>0</v>
      </c>
      <c r="D17" s="24" t="s">
        <v>256</v>
      </c>
      <c r="E17" s="36" t="n">
        <f aca="false">F17</f>
        <v>0</v>
      </c>
      <c r="F17" s="37" t="n">
        <f aca="false">SUM(G17:N17)</f>
        <v>0</v>
      </c>
      <c r="M17" s="38" t="n">
        <v>0</v>
      </c>
    </row>
    <row r="18" customFormat="false" ht="46.25" hidden="false" customHeight="false" outlineLevel="0" collapsed="false">
      <c r="A18" s="26" t="s">
        <v>257</v>
      </c>
      <c r="B18" s="26" t="s">
        <v>258</v>
      </c>
      <c r="C18" s="35" t="n">
        <f aca="false">E18*$D$5</f>
        <v>0</v>
      </c>
      <c r="D18" s="24" t="s">
        <v>259</v>
      </c>
      <c r="E18" s="36" t="n">
        <f aca="false">F18</f>
        <v>0</v>
      </c>
      <c r="F18" s="37" t="n">
        <f aca="false">SUM(G18:N18)</f>
        <v>0</v>
      </c>
    </row>
    <row r="20" customFormat="false" ht="55.2" hidden="false" customHeight="false" outlineLevel="0" collapsed="false">
      <c r="A20" s="15"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0" topLeftCell="G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2"/>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14" min="8" style="0" width="20"/>
  </cols>
  <sheetData>
    <row r="1" customFormat="false" ht="15" hidden="false" customHeight="false" outlineLevel="0" collapsed="false">
      <c r="E1" s="20" t="s">
        <v>181</v>
      </c>
      <c r="G1" s="1" t="s">
        <v>182</v>
      </c>
      <c r="H1" s="21" t="s">
        <v>182</v>
      </c>
      <c r="I1" s="21" t="s">
        <v>183</v>
      </c>
      <c r="J1" s="21" t="s">
        <v>184</v>
      </c>
      <c r="K1" s="21" t="s">
        <v>185</v>
      </c>
      <c r="L1" s="21" t="s">
        <v>186</v>
      </c>
      <c r="M1" s="21" t="s">
        <v>187</v>
      </c>
      <c r="N1" s="21" t="s">
        <v>188</v>
      </c>
    </row>
    <row r="2" customFormat="false" ht="55.2" hidden="false" customHeight="false" outlineLevel="0" collapsed="false">
      <c r="A2" s="22" t="s">
        <v>189</v>
      </c>
      <c r="B2" s="20" t="s">
        <v>190</v>
      </c>
      <c r="E2" s="20" t="s">
        <v>191</v>
      </c>
      <c r="H2" s="23" t="s">
        <v>192</v>
      </c>
      <c r="I2" s="23" t="s">
        <v>193</v>
      </c>
      <c r="J2" s="23" t="s">
        <v>194</v>
      </c>
      <c r="K2" s="23" t="s">
        <v>195</v>
      </c>
      <c r="L2" s="23" t="s">
        <v>196</v>
      </c>
      <c r="M2" s="23" t="s">
        <v>197</v>
      </c>
      <c r="N2" s="23" t="s">
        <v>198</v>
      </c>
    </row>
    <row r="3" customFormat="false" ht="55.2" hidden="false" customHeight="false" outlineLevel="0" collapsed="false">
      <c r="B3" s="20" t="s">
        <v>199</v>
      </c>
      <c r="C3" s="24" t="s">
        <v>263</v>
      </c>
      <c r="E3" s="20" t="s">
        <v>200</v>
      </c>
      <c r="G3" s="25" t="s">
        <v>201</v>
      </c>
      <c r="H3" s="23" t="s">
        <v>202</v>
      </c>
      <c r="I3" s="23" t="s">
        <v>203</v>
      </c>
      <c r="J3" s="23" t="s">
        <v>204</v>
      </c>
      <c r="K3" s="23" t="s">
        <v>205</v>
      </c>
      <c r="L3" s="23" t="s">
        <v>206</v>
      </c>
      <c r="M3" s="23" t="s">
        <v>207</v>
      </c>
      <c r="N3" s="23" t="s">
        <v>208</v>
      </c>
    </row>
    <row r="4" customFormat="false" ht="28.35" hidden="false" customHeight="false" outlineLevel="0" collapsed="false">
      <c r="E4" s="20" t="s">
        <v>209</v>
      </c>
      <c r="H4" s="23" t="s">
        <v>210</v>
      </c>
      <c r="I4" s="23" t="s">
        <v>211</v>
      </c>
      <c r="J4" s="23" t="s">
        <v>212</v>
      </c>
      <c r="K4" s="23" t="s">
        <v>213</v>
      </c>
      <c r="L4" s="23" t="s">
        <v>214</v>
      </c>
      <c r="M4" s="23" t="s">
        <v>215</v>
      </c>
      <c r="N4" s="23" t="s">
        <v>216</v>
      </c>
    </row>
    <row r="5" customFormat="false" ht="84" hidden="false" customHeight="true" outlineLevel="0" collapsed="false">
      <c r="B5" s="20" t="s">
        <v>217</v>
      </c>
      <c r="D5" s="2" t="n">
        <v>640</v>
      </c>
      <c r="E5" s="20" t="s">
        <v>218</v>
      </c>
      <c r="G5" s="26" t="s">
        <v>219</v>
      </c>
      <c r="H5" s="26" t="s">
        <v>220</v>
      </c>
      <c r="I5" s="26" t="s">
        <v>221</v>
      </c>
      <c r="J5" s="26" t="s">
        <v>222</v>
      </c>
      <c r="K5" s="26" t="s">
        <v>223</v>
      </c>
      <c r="L5" s="26" t="s">
        <v>224</v>
      </c>
      <c r="M5" s="26" t="s">
        <v>225</v>
      </c>
      <c r="N5" s="26" t="s">
        <v>226</v>
      </c>
    </row>
    <row r="6" customFormat="false" ht="15" hidden="false" customHeight="false" outlineLevel="0" collapsed="false">
      <c r="B6" s="20" t="s">
        <v>227</v>
      </c>
      <c r="C6" s="27" t="n">
        <f aca="false">ROUND(SUBTOTAL(9,C9:C204),2)</f>
        <v>640</v>
      </c>
      <c r="D6" s="2" t="s">
        <v>228</v>
      </c>
      <c r="E6" s="28" t="n">
        <f aca="false">ROUND(SUBTOTAL(9,E9:E204),10)</f>
        <v>1</v>
      </c>
      <c r="F6" s="29" t="s">
        <v>229</v>
      </c>
      <c r="H6" s="30" t="str">
        <f aca="false">IF(ABS(H7)&lt;0.0000001,"","RECHECK")</f>
        <v/>
      </c>
      <c r="I6" s="30" t="str">
        <f aca="false">IF(ABS(I7)&lt;0.0000001,"","RECHECK")</f>
        <v/>
      </c>
      <c r="J6" s="30" t="str">
        <f aca="false">IF(ABS(J7)&lt;0.0000001,"","RECHECK")</f>
        <v/>
      </c>
      <c r="K6" s="30" t="str">
        <f aca="false">IF(ABS(K7)&lt;0.0000001,"","RECHECK")</f>
        <v/>
      </c>
      <c r="L6" s="30" t="str">
        <f aca="false">IF(ABS(L7)&lt;0.0000001,"","RECHECK")</f>
        <v/>
      </c>
      <c r="M6" s="30" t="str">
        <f aca="false">IF(ABS(M7)&lt;0.0000001,"","RECHECK")</f>
        <v/>
      </c>
      <c r="N6" s="30" t="str">
        <f aca="false">IF(ABS(N7)&lt;0.0000001,"","RECHECK")</f>
        <v/>
      </c>
    </row>
    <row r="7" customFormat="false" ht="15" hidden="false" customHeight="false" outlineLevel="0" collapsed="false">
      <c r="G7" s="31" t="n">
        <f aca="false">SUBTOTAL(9,G10:G204)</f>
        <v>1</v>
      </c>
      <c r="H7" s="31" t="n">
        <f aca="false">SUBTOTAL(9,H10:H204)</f>
        <v>0</v>
      </c>
      <c r="I7" s="31" t="n">
        <f aca="false">SUBTOTAL(9,I10:I204)</f>
        <v>0</v>
      </c>
      <c r="J7" s="31" t="n">
        <f aca="false">SUBTOTAL(9,J10:J204)</f>
        <v>0</v>
      </c>
      <c r="K7" s="31" t="n">
        <f aca="false">SUBTOTAL(9,K10:K204)</f>
        <v>0</v>
      </c>
      <c r="L7" s="31" t="n">
        <f aca="false">SUBTOTAL(9,L10:L204)</f>
        <v>0</v>
      </c>
      <c r="M7" s="31" t="n">
        <f aca="false">SUBTOTAL(9,M10:M204)</f>
        <v>0</v>
      </c>
      <c r="N7" s="31" t="n">
        <f aca="false">SUBTOTAL(9,N10:N204)</f>
        <v>0</v>
      </c>
    </row>
    <row r="8" customFormat="false" ht="15" hidden="false" customHeight="false" outlineLevel="0" collapsed="false">
      <c r="A8" s="32" t="s">
        <v>230</v>
      </c>
      <c r="C8" s="33" t="s">
        <v>231</v>
      </c>
      <c r="D8" s="34" t="s">
        <v>232</v>
      </c>
      <c r="E8" s="33" t="s">
        <v>62</v>
      </c>
    </row>
    <row r="10" customFormat="false" ht="28.35" hidden="false" customHeight="false" outlineLevel="0" collapsed="false">
      <c r="A10" s="26" t="s">
        <v>233</v>
      </c>
      <c r="B10" s="26" t="s">
        <v>234</v>
      </c>
      <c r="C10" s="35" t="n">
        <f aca="false">E10*$D$5</f>
        <v>191.666667</v>
      </c>
      <c r="D10" s="24" t="s">
        <v>235</v>
      </c>
      <c r="E10" s="36" t="n">
        <f aca="false">F10</f>
        <v>0.2994791671875</v>
      </c>
      <c r="F10" s="37" t="n">
        <f aca="false">SUM(G10:N10)</f>
        <v>0.2994791671875</v>
      </c>
      <c r="G10" s="38" t="n">
        <v>0.2994791671875</v>
      </c>
    </row>
    <row r="11" customFormat="false" ht="55.2" hidden="false" customHeight="false" outlineLevel="0" collapsed="false">
      <c r="A11" s="26" t="s">
        <v>236</v>
      </c>
      <c r="B11" s="26" t="s">
        <v>237</v>
      </c>
      <c r="C11" s="35" t="n">
        <f aca="false">E11*$D$5</f>
        <v>0</v>
      </c>
      <c r="D11" s="24" t="s">
        <v>238</v>
      </c>
      <c r="E11" s="36" t="n">
        <f aca="false">F11</f>
        <v>0</v>
      </c>
      <c r="F11" s="37" t="n">
        <f aca="false">SUM(G11:N11)</f>
        <v>0</v>
      </c>
      <c r="G11" s="38" t="n">
        <v>0.7005208328125</v>
      </c>
      <c r="H11" s="38" t="n">
        <v>-0.7005208328125</v>
      </c>
    </row>
    <row r="12" customFormat="false" ht="28.35" hidden="false" customHeight="false" outlineLevel="0" collapsed="false">
      <c r="A12" s="26" t="s">
        <v>239</v>
      </c>
      <c r="B12" s="26" t="s">
        <v>240</v>
      </c>
      <c r="C12" s="35" t="n">
        <f aca="false">E12*$D$5</f>
        <v>0</v>
      </c>
      <c r="D12" s="24" t="s">
        <v>241</v>
      </c>
      <c r="E12" s="36" t="n">
        <f aca="false">F12</f>
        <v>0</v>
      </c>
      <c r="F12" s="37" t="n">
        <f aca="false">SUM(G12:N12)</f>
        <v>0</v>
      </c>
      <c r="H12" s="38" t="n">
        <v>0.7005208328125</v>
      </c>
      <c r="I12" s="38" t="n">
        <v>-0.7005208328125</v>
      </c>
    </row>
    <row r="13" customFormat="false" ht="28.35" hidden="false" customHeight="false" outlineLevel="0" collapsed="false">
      <c r="A13" s="26" t="s">
        <v>242</v>
      </c>
      <c r="B13" s="26" t="s">
        <v>243</v>
      </c>
      <c r="C13" s="35" t="n">
        <f aca="false">E13*$D$5</f>
        <v>0</v>
      </c>
      <c r="D13" s="24" t="s">
        <v>244</v>
      </c>
      <c r="E13" s="36" t="n">
        <f aca="false">F13</f>
        <v>0</v>
      </c>
      <c r="F13" s="37" t="n">
        <f aca="false">SUM(G13:N13)</f>
        <v>0</v>
      </c>
      <c r="I13" s="38" t="n">
        <v>0.7005208328125</v>
      </c>
      <c r="J13" s="38" t="n">
        <v>-0.7005208328125</v>
      </c>
    </row>
    <row r="14" customFormat="false" ht="37.3" hidden="false" customHeight="false" outlineLevel="0" collapsed="false">
      <c r="A14" s="26" t="s">
        <v>245</v>
      </c>
      <c r="B14" s="26" t="s">
        <v>246</v>
      </c>
      <c r="C14" s="35" t="n">
        <f aca="false">E14*$D$5</f>
        <v>448.333333</v>
      </c>
      <c r="D14" s="24" t="s">
        <v>247</v>
      </c>
      <c r="E14" s="36" t="n">
        <f aca="false">F14</f>
        <v>0.7005208328125</v>
      </c>
      <c r="F14" s="37" t="n">
        <f aca="false">SUM(G14:N14)</f>
        <v>0.7005208328125</v>
      </c>
      <c r="J14" s="38" t="n">
        <v>0.7005208328125</v>
      </c>
    </row>
    <row r="15" customFormat="false" ht="28.35" hidden="false" customHeight="false" outlineLevel="0" collapsed="false">
      <c r="A15" s="26" t="s">
        <v>248</v>
      </c>
      <c r="B15" s="26" t="s">
        <v>249</v>
      </c>
      <c r="C15" s="35" t="n">
        <f aca="false">E15*$D$5</f>
        <v>0</v>
      </c>
      <c r="D15" s="24" t="s">
        <v>250</v>
      </c>
      <c r="E15" s="36" t="n">
        <f aca="false">F15</f>
        <v>0</v>
      </c>
      <c r="F15" s="37" t="n">
        <f aca="false">SUM(G15:N15)</f>
        <v>0</v>
      </c>
      <c r="K15" s="38" t="n">
        <v>0</v>
      </c>
    </row>
    <row r="16" customFormat="false" ht="37.3" hidden="false" customHeight="false" outlineLevel="0" collapsed="false">
      <c r="A16" s="26" t="s">
        <v>251</v>
      </c>
      <c r="B16" s="26" t="s">
        <v>252</v>
      </c>
      <c r="C16" s="35" t="n">
        <f aca="false">E16*$D$5</f>
        <v>0</v>
      </c>
      <c r="D16" s="24" t="s">
        <v>253</v>
      </c>
      <c r="E16" s="36" t="n">
        <f aca="false">F16</f>
        <v>0</v>
      </c>
      <c r="F16" s="37" t="n">
        <f aca="false">SUM(G16:N16)</f>
        <v>0</v>
      </c>
      <c r="L16" s="38" t="n">
        <v>0</v>
      </c>
    </row>
    <row r="17" customFormat="false" ht="19.4" hidden="false" customHeight="false" outlineLevel="0" collapsed="false">
      <c r="A17" s="26" t="s">
        <v>254</v>
      </c>
      <c r="B17" s="26" t="s">
        <v>255</v>
      </c>
      <c r="C17" s="35" t="n">
        <f aca="false">E17*$D$5</f>
        <v>0</v>
      </c>
      <c r="D17" s="24" t="s">
        <v>256</v>
      </c>
      <c r="E17" s="36" t="n">
        <f aca="false">F17</f>
        <v>0</v>
      </c>
      <c r="F17" s="37" t="n">
        <f aca="false">SUM(G17:N17)</f>
        <v>0</v>
      </c>
      <c r="M17" s="38" t="n">
        <v>0</v>
      </c>
    </row>
    <row r="18" customFormat="false" ht="46.25" hidden="false" customHeight="false" outlineLevel="0" collapsed="false">
      <c r="A18" s="26" t="s">
        <v>257</v>
      </c>
      <c r="B18" s="26" t="s">
        <v>258</v>
      </c>
      <c r="C18" s="35" t="n">
        <f aca="false">E18*$D$5</f>
        <v>0</v>
      </c>
      <c r="D18" s="24" t="s">
        <v>259</v>
      </c>
      <c r="E18" s="36" t="n">
        <f aca="false">F18</f>
        <v>0</v>
      </c>
      <c r="F18" s="37" t="n">
        <f aca="false">SUM(G18:N18)</f>
        <v>0</v>
      </c>
    </row>
    <row r="20" customFormat="false" ht="55.2" hidden="false" customHeight="false" outlineLevel="0" collapsed="false">
      <c r="A20" s="15"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3" min="3" style="0" width="11"/>
    <col collapsed="false" customWidth="true" hidden="false" outlineLevel="0" max="5" min="4" style="0" width="12"/>
    <col collapsed="false" customWidth="true" hidden="false" outlineLevel="0" max="7" min="6" style="0" width="26"/>
    <col collapsed="false" customWidth="true" hidden="false" outlineLevel="0" max="8" min="8" style="0" width="30"/>
    <col collapsed="false" customWidth="true" hidden="false" outlineLevel="0" max="9" min="9" style="0" width="40"/>
    <col collapsed="false" customWidth="true" hidden="false" outlineLevel="0" max="10" min="10" style="0" width="10"/>
  </cols>
  <sheetData>
    <row r="1" customFormat="false" ht="22.35" hidden="false" customHeight="false" outlineLevel="0" collapsed="false">
      <c r="A1" s="39" t="s">
        <v>264</v>
      </c>
      <c r="B1" s="39" t="s">
        <v>265</v>
      </c>
      <c r="C1" s="39" t="s">
        <v>266</v>
      </c>
      <c r="D1" s="39" t="s">
        <v>267</v>
      </c>
      <c r="E1" s="39" t="s">
        <v>268</v>
      </c>
      <c r="F1" s="39" t="s">
        <v>269</v>
      </c>
      <c r="G1" s="39" t="s">
        <v>270</v>
      </c>
      <c r="H1" s="39" t="s">
        <v>271</v>
      </c>
      <c r="I1" s="39" t="s">
        <v>272</v>
      </c>
      <c r="J1" s="39" t="s">
        <v>273</v>
      </c>
    </row>
    <row r="2" customFormat="false" ht="74.6" hidden="false" customHeight="false" outlineLevel="0" collapsed="false">
      <c r="A2" s="24" t="s">
        <v>274</v>
      </c>
      <c r="B2" s="24" t="s">
        <v>275</v>
      </c>
      <c r="C2" s="24" t="s">
        <v>276</v>
      </c>
      <c r="D2" s="24" t="s">
        <v>277</v>
      </c>
      <c r="E2" s="24" t="s">
        <v>278</v>
      </c>
      <c r="F2" s="24" t="s">
        <v>279</v>
      </c>
      <c r="G2" s="24" t="s">
        <v>280</v>
      </c>
      <c r="H2" s="24" t="s">
        <v>281</v>
      </c>
      <c r="I2" s="24" t="s">
        <v>282</v>
      </c>
      <c r="J2" s="24" t="s">
        <v>283</v>
      </c>
    </row>
    <row r="3" customFormat="false" ht="22.35" hidden="false" customHeight="false" outlineLevel="0" collapsed="false">
      <c r="A3" s="24" t="s">
        <v>284</v>
      </c>
      <c r="B3" s="24" t="s">
        <v>285</v>
      </c>
      <c r="C3" s="24" t="s">
        <v>286</v>
      </c>
      <c r="D3" s="24" t="s">
        <v>287</v>
      </c>
      <c r="E3" s="24" t="s">
        <v>288</v>
      </c>
      <c r="F3" s="24" t="s">
        <v>280</v>
      </c>
      <c r="G3" s="24" t="s">
        <v>289</v>
      </c>
      <c r="H3" s="24" t="s">
        <v>290</v>
      </c>
      <c r="I3" s="24" t="s">
        <v>291</v>
      </c>
      <c r="J3" s="24" t="s">
        <v>283</v>
      </c>
    </row>
    <row r="4" customFormat="false" ht="53.7" hidden="false" customHeight="false" outlineLevel="0" collapsed="false">
      <c r="A4" s="24" t="s">
        <v>292</v>
      </c>
      <c r="B4" s="24" t="s">
        <v>293</v>
      </c>
      <c r="C4" s="24" t="s">
        <v>294</v>
      </c>
      <c r="D4" s="24" t="s">
        <v>295</v>
      </c>
      <c r="E4" s="24" t="s">
        <v>296</v>
      </c>
      <c r="F4" s="24" t="s">
        <v>297</v>
      </c>
      <c r="G4" s="24" t="s">
        <v>280</v>
      </c>
      <c r="H4" s="24" t="s">
        <v>298</v>
      </c>
      <c r="I4" s="24" t="s">
        <v>299</v>
      </c>
      <c r="J4" s="24" t="s">
        <v>283</v>
      </c>
    </row>
    <row r="5" customFormat="false" ht="32.8" hidden="false" customHeight="false" outlineLevel="0" collapsed="false">
      <c r="A5" s="24" t="s">
        <v>300</v>
      </c>
      <c r="B5" s="24" t="s">
        <v>301</v>
      </c>
      <c r="C5" s="24" t="s">
        <v>61</v>
      </c>
      <c r="D5" s="24" t="s">
        <v>302</v>
      </c>
      <c r="E5" s="24" t="s">
        <v>303</v>
      </c>
      <c r="F5" s="24" t="s">
        <v>49</v>
      </c>
      <c r="G5" s="24" t="s">
        <v>304</v>
      </c>
      <c r="H5" s="24" t="s">
        <v>34</v>
      </c>
      <c r="I5" s="24" t="s">
        <v>305</v>
      </c>
      <c r="J5" s="24" t="s">
        <v>283</v>
      </c>
    </row>
    <row r="6" customFormat="false" ht="32.8" hidden="false" customHeight="false" outlineLevel="0" collapsed="false">
      <c r="A6" s="24" t="s">
        <v>306</v>
      </c>
      <c r="B6" s="24" t="s">
        <v>301</v>
      </c>
      <c r="C6" s="24" t="s">
        <v>58</v>
      </c>
      <c r="D6" s="24" t="s">
        <v>307</v>
      </c>
      <c r="E6" s="24" t="s">
        <v>303</v>
      </c>
      <c r="F6" s="24" t="s">
        <v>43</v>
      </c>
      <c r="G6" s="24" t="s">
        <v>304</v>
      </c>
      <c r="H6" s="24" t="s">
        <v>34</v>
      </c>
      <c r="I6" s="24" t="s">
        <v>308</v>
      </c>
      <c r="J6" s="24" t="s">
        <v>283</v>
      </c>
    </row>
    <row r="7" customFormat="false" ht="32.8" hidden="false" customHeight="false" outlineLevel="0" collapsed="false">
      <c r="A7" s="24" t="s">
        <v>309</v>
      </c>
      <c r="B7" s="24" t="s">
        <v>301</v>
      </c>
      <c r="C7" s="24" t="s">
        <v>151</v>
      </c>
      <c r="D7" s="24" t="s">
        <v>307</v>
      </c>
      <c r="E7" s="24" t="s">
        <v>303</v>
      </c>
      <c r="F7" s="24" t="s">
        <v>132</v>
      </c>
      <c r="G7" s="24" t="s">
        <v>304</v>
      </c>
      <c r="H7" s="24" t="s">
        <v>310</v>
      </c>
      <c r="I7" s="24" t="s">
        <v>311</v>
      </c>
      <c r="J7" s="24" t="s">
        <v>283</v>
      </c>
    </row>
    <row r="8" customFormat="false" ht="32.8" hidden="false" customHeight="false" outlineLevel="0" collapsed="false">
      <c r="A8" s="24" t="s">
        <v>312</v>
      </c>
      <c r="B8" s="24" t="s">
        <v>301</v>
      </c>
      <c r="C8" s="24" t="s">
        <v>150</v>
      </c>
      <c r="D8" s="24" t="s">
        <v>307</v>
      </c>
      <c r="E8" s="24" t="s">
        <v>303</v>
      </c>
      <c r="F8" s="24" t="s">
        <v>313</v>
      </c>
      <c r="G8" s="24" t="s">
        <v>304</v>
      </c>
      <c r="H8" s="24" t="s">
        <v>310</v>
      </c>
      <c r="I8" s="24" t="s">
        <v>314</v>
      </c>
      <c r="J8" s="24" t="s">
        <v>283</v>
      </c>
    </row>
    <row r="9" customFormat="false" ht="32.8" hidden="false" customHeight="false" outlineLevel="0" collapsed="false">
      <c r="A9" s="24" t="s">
        <v>315</v>
      </c>
      <c r="B9" s="24" t="s">
        <v>301</v>
      </c>
      <c r="C9" s="24" t="s">
        <v>149</v>
      </c>
      <c r="D9" s="24" t="s">
        <v>316</v>
      </c>
      <c r="E9" s="24" t="s">
        <v>303</v>
      </c>
      <c r="F9" s="24" t="s">
        <v>148</v>
      </c>
      <c r="G9" s="24" t="s">
        <v>304</v>
      </c>
      <c r="H9" s="24" t="s">
        <v>310</v>
      </c>
      <c r="I9" s="24" t="s">
        <v>317</v>
      </c>
      <c r="J9" s="24" t="s">
        <v>283</v>
      </c>
    </row>
    <row r="10" customFormat="false" ht="32.8" hidden="false" customHeight="false" outlineLevel="0" collapsed="false">
      <c r="A10" s="24" t="s">
        <v>318</v>
      </c>
      <c r="B10" s="24" t="s">
        <v>301</v>
      </c>
      <c r="C10" s="24" t="s">
        <v>114</v>
      </c>
      <c r="D10" s="24" t="s">
        <v>319</v>
      </c>
      <c r="E10" s="24" t="s">
        <v>303</v>
      </c>
      <c r="F10" s="24" t="s">
        <v>75</v>
      </c>
      <c r="G10" s="24" t="s">
        <v>304</v>
      </c>
      <c r="H10" s="24" t="s">
        <v>320</v>
      </c>
      <c r="I10" s="24" t="s">
        <v>321</v>
      </c>
      <c r="J10" s="24" t="s">
        <v>283</v>
      </c>
    </row>
    <row r="11" customFormat="false" ht="32.8" hidden="false" customHeight="false" outlineLevel="0" collapsed="false">
      <c r="A11" s="24" t="s">
        <v>322</v>
      </c>
      <c r="B11" s="24" t="s">
        <v>301</v>
      </c>
      <c r="C11" s="24" t="s">
        <v>113</v>
      </c>
      <c r="D11" s="24" t="s">
        <v>319</v>
      </c>
      <c r="E11" s="24" t="s">
        <v>303</v>
      </c>
      <c r="F11" s="24" t="s">
        <v>69</v>
      </c>
      <c r="G11" s="24" t="s">
        <v>304</v>
      </c>
      <c r="H11" s="24" t="s">
        <v>320</v>
      </c>
      <c r="I11" s="24" t="s">
        <v>323</v>
      </c>
      <c r="J11" s="24" t="s">
        <v>283</v>
      </c>
    </row>
    <row r="12" customFormat="false" ht="32.8" hidden="false" customHeight="false" outlineLevel="0" collapsed="false">
      <c r="A12" s="24" t="s">
        <v>324</v>
      </c>
      <c r="B12" s="24" t="s">
        <v>301</v>
      </c>
      <c r="C12" s="24" t="s">
        <v>112</v>
      </c>
      <c r="D12" s="24" t="s">
        <v>319</v>
      </c>
      <c r="E12" s="24" t="s">
        <v>303</v>
      </c>
      <c r="F12" s="24" t="s">
        <v>73</v>
      </c>
      <c r="G12" s="24" t="s">
        <v>304</v>
      </c>
      <c r="H12" s="24" t="s">
        <v>320</v>
      </c>
      <c r="I12" s="24" t="s">
        <v>325</v>
      </c>
      <c r="J12" s="24" t="s">
        <v>283</v>
      </c>
    </row>
    <row r="13" customFormat="false" ht="32.8" hidden="false" customHeight="false" outlineLevel="0" collapsed="false">
      <c r="A13" s="24" t="s">
        <v>326</v>
      </c>
      <c r="B13" s="24" t="s">
        <v>301</v>
      </c>
      <c r="C13" s="24" t="s">
        <v>111</v>
      </c>
      <c r="D13" s="24" t="s">
        <v>319</v>
      </c>
      <c r="E13" s="24" t="s">
        <v>303</v>
      </c>
      <c r="F13" s="24" t="s">
        <v>83</v>
      </c>
      <c r="G13" s="24" t="s">
        <v>304</v>
      </c>
      <c r="H13" s="24" t="s">
        <v>320</v>
      </c>
      <c r="I13" s="24" t="s">
        <v>327</v>
      </c>
      <c r="J13" s="24" t="s">
        <v>283</v>
      </c>
    </row>
    <row r="14" customFormat="false" ht="32.8" hidden="false" customHeight="false" outlineLevel="0" collapsed="false">
      <c r="A14" s="24" t="s">
        <v>328</v>
      </c>
      <c r="B14" s="24" t="s">
        <v>301</v>
      </c>
      <c r="C14" s="24" t="s">
        <v>110</v>
      </c>
      <c r="D14" s="24" t="s">
        <v>319</v>
      </c>
      <c r="E14" s="24" t="s">
        <v>303</v>
      </c>
      <c r="F14" s="24" t="s">
        <v>67</v>
      </c>
      <c r="G14" s="24" t="s">
        <v>304</v>
      </c>
      <c r="H14" s="24" t="s">
        <v>320</v>
      </c>
      <c r="I14" s="24" t="s">
        <v>329</v>
      </c>
      <c r="J14" s="24" t="s">
        <v>283</v>
      </c>
    </row>
    <row r="15" customFormat="false" ht="32.8" hidden="false" customHeight="false" outlineLevel="0" collapsed="false">
      <c r="A15" s="24" t="s">
        <v>330</v>
      </c>
      <c r="B15" s="24" t="s">
        <v>301</v>
      </c>
      <c r="C15" s="24" t="s">
        <v>109</v>
      </c>
      <c r="D15" s="24" t="s">
        <v>319</v>
      </c>
      <c r="E15" s="24" t="s">
        <v>303</v>
      </c>
      <c r="F15" s="24" t="s">
        <v>108</v>
      </c>
      <c r="G15" s="24" t="s">
        <v>304</v>
      </c>
      <c r="H15" s="24" t="s">
        <v>320</v>
      </c>
      <c r="I15" s="24" t="s">
        <v>331</v>
      </c>
      <c r="J15" s="24" t="s">
        <v>283</v>
      </c>
    </row>
    <row r="16" customFormat="false" ht="32.8" hidden="false" customHeight="false" outlineLevel="0" collapsed="false">
      <c r="A16" s="24" t="s">
        <v>332</v>
      </c>
      <c r="B16" s="24" t="s">
        <v>301</v>
      </c>
      <c r="C16" s="24" t="s">
        <v>107</v>
      </c>
      <c r="D16" s="24" t="s">
        <v>319</v>
      </c>
      <c r="E16" s="24" t="s">
        <v>303</v>
      </c>
      <c r="F16" s="24" t="s">
        <v>79</v>
      </c>
      <c r="G16" s="24" t="s">
        <v>304</v>
      </c>
      <c r="H16" s="24" t="s">
        <v>320</v>
      </c>
      <c r="I16" s="24" t="s">
        <v>333</v>
      </c>
      <c r="J16" s="24" t="s">
        <v>283</v>
      </c>
    </row>
    <row r="17" customFormat="false" ht="32.8" hidden="false" customHeight="false" outlineLevel="0" collapsed="false">
      <c r="A17" s="24" t="s">
        <v>334</v>
      </c>
      <c r="B17" s="24" t="s">
        <v>301</v>
      </c>
      <c r="C17" s="24" t="s">
        <v>106</v>
      </c>
      <c r="D17" s="24" t="s">
        <v>319</v>
      </c>
      <c r="E17" s="24" t="s">
        <v>303</v>
      </c>
      <c r="F17" s="24" t="s">
        <v>71</v>
      </c>
      <c r="G17" s="24" t="s">
        <v>304</v>
      </c>
      <c r="H17" s="24" t="s">
        <v>320</v>
      </c>
      <c r="I17" s="24" t="s">
        <v>335</v>
      </c>
      <c r="J17" s="24" t="s">
        <v>283</v>
      </c>
    </row>
    <row r="18" customFormat="false" ht="32.8" hidden="false" customHeight="false" outlineLevel="0" collapsed="false">
      <c r="A18" s="24" t="s">
        <v>336</v>
      </c>
      <c r="B18" s="24" t="s">
        <v>301</v>
      </c>
      <c r="C18" s="24" t="s">
        <v>147</v>
      </c>
      <c r="D18" s="24" t="s">
        <v>307</v>
      </c>
      <c r="E18" s="24" t="s">
        <v>337</v>
      </c>
      <c r="F18" s="24" t="s">
        <v>134</v>
      </c>
      <c r="G18" s="24" t="s">
        <v>304</v>
      </c>
      <c r="H18" s="24" t="s">
        <v>310</v>
      </c>
      <c r="I18" s="24" t="s">
        <v>338</v>
      </c>
      <c r="J18" s="24" t="s">
        <v>283</v>
      </c>
    </row>
    <row r="19" customFormat="false" ht="32.8" hidden="false" customHeight="false" outlineLevel="0" collapsed="false">
      <c r="A19" s="24" t="s">
        <v>339</v>
      </c>
      <c r="B19" s="24" t="s">
        <v>301</v>
      </c>
      <c r="C19" s="24" t="s">
        <v>105</v>
      </c>
      <c r="D19" s="24" t="s">
        <v>340</v>
      </c>
      <c r="E19" s="24" t="s">
        <v>341</v>
      </c>
      <c r="F19" s="24" t="s">
        <v>103</v>
      </c>
      <c r="G19" s="24" t="s">
        <v>304</v>
      </c>
      <c r="H19" s="24" t="s">
        <v>320</v>
      </c>
      <c r="I19" s="24" t="s">
        <v>342</v>
      </c>
      <c r="J19" s="24" t="s">
        <v>283</v>
      </c>
    </row>
    <row r="20" customFormat="false" ht="32.8" hidden="false" customHeight="false" outlineLevel="0" collapsed="false">
      <c r="A20" s="24" t="s">
        <v>343</v>
      </c>
      <c r="B20" s="24" t="s">
        <v>344</v>
      </c>
      <c r="C20" s="24" t="s">
        <v>345</v>
      </c>
      <c r="D20" s="24" t="s">
        <v>346</v>
      </c>
      <c r="E20" s="24" t="s">
        <v>347</v>
      </c>
      <c r="F20" s="24" t="s">
        <v>304</v>
      </c>
      <c r="G20" s="24" t="s">
        <v>348</v>
      </c>
      <c r="H20" s="24" t="s">
        <v>349</v>
      </c>
      <c r="I20" s="24" t="s">
        <v>350</v>
      </c>
      <c r="J20" s="24" t="s">
        <v>283</v>
      </c>
    </row>
    <row r="21" customFormat="false" ht="85.05" hidden="false" customHeight="false" outlineLevel="0" collapsed="false">
      <c r="A21" s="24" t="s">
        <v>351</v>
      </c>
      <c r="B21" s="24" t="s">
        <v>344</v>
      </c>
      <c r="C21" s="24" t="s">
        <v>352</v>
      </c>
      <c r="D21" s="24" t="s">
        <v>353</v>
      </c>
      <c r="E21" s="24" t="s">
        <v>354</v>
      </c>
      <c r="F21" s="24" t="s">
        <v>348</v>
      </c>
      <c r="G21" s="24" t="s">
        <v>355</v>
      </c>
      <c r="H21" s="24" t="s">
        <v>356</v>
      </c>
      <c r="I21" s="24" t="s">
        <v>357</v>
      </c>
      <c r="J21" s="24" t="s">
        <v>283</v>
      </c>
    </row>
    <row r="22" customFormat="false" ht="32.8" hidden="false" customHeight="false" outlineLevel="0" collapsed="false">
      <c r="A22" s="24" t="s">
        <v>358</v>
      </c>
      <c r="B22" s="24" t="s">
        <v>301</v>
      </c>
      <c r="C22" s="24" t="s">
        <v>56</v>
      </c>
      <c r="D22" s="24" t="s">
        <v>359</v>
      </c>
      <c r="E22" s="24" t="s">
        <v>360</v>
      </c>
      <c r="F22" s="24" t="s">
        <v>43</v>
      </c>
      <c r="G22" s="24" t="s">
        <v>361</v>
      </c>
      <c r="H22" s="24" t="s">
        <v>34</v>
      </c>
      <c r="I22" s="24" t="s">
        <v>362</v>
      </c>
      <c r="J22" s="24" t="s">
        <v>283</v>
      </c>
    </row>
    <row r="23" customFormat="false" ht="32.8" hidden="false" customHeight="false" outlineLevel="0" collapsed="false">
      <c r="A23" s="24" t="s">
        <v>363</v>
      </c>
      <c r="B23" s="24" t="s">
        <v>301</v>
      </c>
      <c r="C23" s="24" t="s">
        <v>146</v>
      </c>
      <c r="D23" s="24" t="s">
        <v>364</v>
      </c>
      <c r="E23" s="24" t="s">
        <v>360</v>
      </c>
      <c r="F23" s="24" t="s">
        <v>365</v>
      </c>
      <c r="G23" s="24" t="s">
        <v>361</v>
      </c>
      <c r="H23" s="24" t="s">
        <v>310</v>
      </c>
      <c r="I23" s="24" t="s">
        <v>366</v>
      </c>
      <c r="J23" s="24" t="s">
        <v>283</v>
      </c>
    </row>
    <row r="24" customFormat="false" ht="32.8" hidden="false" customHeight="false" outlineLevel="0" collapsed="false">
      <c r="A24" s="24" t="s">
        <v>367</v>
      </c>
      <c r="B24" s="24" t="s">
        <v>301</v>
      </c>
      <c r="C24" s="24" t="s">
        <v>145</v>
      </c>
      <c r="D24" s="24" t="s">
        <v>364</v>
      </c>
      <c r="E24" s="24" t="s">
        <v>360</v>
      </c>
      <c r="F24" s="24" t="s">
        <v>134</v>
      </c>
      <c r="G24" s="24" t="s">
        <v>361</v>
      </c>
      <c r="H24" s="24" t="s">
        <v>310</v>
      </c>
      <c r="I24" s="24" t="s">
        <v>368</v>
      </c>
      <c r="J24" s="24" t="s">
        <v>283</v>
      </c>
    </row>
    <row r="25" customFormat="false" ht="32.8" hidden="false" customHeight="false" outlineLevel="0" collapsed="false">
      <c r="A25" s="24" t="s">
        <v>369</v>
      </c>
      <c r="B25" s="24" t="s">
        <v>301</v>
      </c>
      <c r="C25" s="24" t="s">
        <v>144</v>
      </c>
      <c r="D25" s="24" t="s">
        <v>364</v>
      </c>
      <c r="E25" s="24" t="s">
        <v>360</v>
      </c>
      <c r="F25" s="24" t="s">
        <v>370</v>
      </c>
      <c r="G25" s="24" t="s">
        <v>361</v>
      </c>
      <c r="H25" s="24" t="s">
        <v>310</v>
      </c>
      <c r="I25" s="24" t="s">
        <v>371</v>
      </c>
      <c r="J25" s="24" t="s">
        <v>283</v>
      </c>
    </row>
    <row r="26" customFormat="false" ht="22.35" hidden="false" customHeight="false" outlineLevel="0" collapsed="false">
      <c r="A26" s="24" t="s">
        <v>372</v>
      </c>
      <c r="B26" s="24" t="s">
        <v>344</v>
      </c>
      <c r="C26" s="24" t="s">
        <v>373</v>
      </c>
      <c r="D26" s="24" t="s">
        <v>374</v>
      </c>
      <c r="E26" s="24" t="s">
        <v>375</v>
      </c>
      <c r="F26" s="24" t="s">
        <v>361</v>
      </c>
      <c r="G26" s="24" t="s">
        <v>376</v>
      </c>
      <c r="H26" s="24" t="s">
        <v>377</v>
      </c>
      <c r="I26" s="24" t="s">
        <v>378</v>
      </c>
      <c r="J26" s="24" t="s">
        <v>283</v>
      </c>
    </row>
    <row r="27" customFormat="false" ht="22.35" hidden="false" customHeight="false" outlineLevel="0" collapsed="false">
      <c r="A27" s="24" t="s">
        <v>379</v>
      </c>
      <c r="B27" s="24" t="s">
        <v>344</v>
      </c>
      <c r="C27" s="24" t="s">
        <v>380</v>
      </c>
      <c r="D27" s="24" t="s">
        <v>381</v>
      </c>
      <c r="E27" s="24" t="s">
        <v>382</v>
      </c>
      <c r="F27" s="24" t="s">
        <v>376</v>
      </c>
      <c r="G27" s="24" t="s">
        <v>383</v>
      </c>
      <c r="H27" s="24" t="s">
        <v>377</v>
      </c>
      <c r="I27" s="24" t="s">
        <v>378</v>
      </c>
      <c r="J27" s="24" t="s">
        <v>283</v>
      </c>
    </row>
    <row r="28" customFormat="false" ht="32.8" hidden="false" customHeight="false" outlineLevel="0" collapsed="false">
      <c r="A28" s="24" t="s">
        <v>384</v>
      </c>
      <c r="B28" s="24" t="s">
        <v>301</v>
      </c>
      <c r="C28" s="24" t="s">
        <v>97</v>
      </c>
      <c r="D28" s="24" t="s">
        <v>385</v>
      </c>
      <c r="E28" s="24" t="s">
        <v>386</v>
      </c>
      <c r="F28" s="24" t="s">
        <v>96</v>
      </c>
      <c r="G28" s="24" t="s">
        <v>304</v>
      </c>
      <c r="H28" s="24" t="s">
        <v>320</v>
      </c>
      <c r="I28" s="24" t="s">
        <v>387</v>
      </c>
      <c r="J28" s="24" t="s">
        <v>283</v>
      </c>
    </row>
    <row r="29" customFormat="false" ht="32.8" hidden="false" customHeight="false" outlineLevel="0" collapsed="false">
      <c r="A29" s="24" t="s">
        <v>388</v>
      </c>
      <c r="B29" s="24" t="s">
        <v>301</v>
      </c>
      <c r="C29" s="24" t="s">
        <v>95</v>
      </c>
      <c r="D29" s="24" t="s">
        <v>385</v>
      </c>
      <c r="E29" s="24" t="s">
        <v>386</v>
      </c>
      <c r="F29" s="24" t="s">
        <v>67</v>
      </c>
      <c r="G29" s="24" t="s">
        <v>304</v>
      </c>
      <c r="H29" s="24" t="s">
        <v>320</v>
      </c>
      <c r="I29" s="24" t="s">
        <v>389</v>
      </c>
      <c r="J29" s="24" t="s">
        <v>283</v>
      </c>
    </row>
    <row r="30" customFormat="false" ht="32.8" hidden="false" customHeight="false" outlineLevel="0" collapsed="false">
      <c r="A30" s="24" t="s">
        <v>390</v>
      </c>
      <c r="B30" s="24" t="s">
        <v>301</v>
      </c>
      <c r="C30" s="24" t="s">
        <v>53</v>
      </c>
      <c r="D30" s="24" t="s">
        <v>385</v>
      </c>
      <c r="E30" s="24" t="s">
        <v>386</v>
      </c>
      <c r="F30" s="24" t="s">
        <v>49</v>
      </c>
      <c r="G30" s="24" t="s">
        <v>304</v>
      </c>
      <c r="H30" s="24" t="s">
        <v>34</v>
      </c>
      <c r="I30" s="24" t="s">
        <v>391</v>
      </c>
      <c r="J30" s="24" t="s">
        <v>283</v>
      </c>
    </row>
    <row r="31" customFormat="false" ht="32.8" hidden="false" customHeight="false" outlineLevel="0" collapsed="false">
      <c r="A31" s="24" t="s">
        <v>392</v>
      </c>
      <c r="B31" s="24" t="s">
        <v>301</v>
      </c>
      <c r="C31" s="24" t="s">
        <v>94</v>
      </c>
      <c r="D31" s="24" t="s">
        <v>385</v>
      </c>
      <c r="E31" s="24" t="s">
        <v>386</v>
      </c>
      <c r="F31" s="24" t="s">
        <v>73</v>
      </c>
      <c r="G31" s="24" t="s">
        <v>304</v>
      </c>
      <c r="H31" s="24" t="s">
        <v>320</v>
      </c>
      <c r="I31" s="24" t="s">
        <v>393</v>
      </c>
      <c r="J31" s="24" t="s">
        <v>283</v>
      </c>
    </row>
    <row r="32" customFormat="false" ht="32.8" hidden="false" customHeight="false" outlineLevel="0" collapsed="false">
      <c r="A32" s="24" t="s">
        <v>394</v>
      </c>
      <c r="B32" s="24" t="s">
        <v>301</v>
      </c>
      <c r="C32" s="24" t="s">
        <v>104</v>
      </c>
      <c r="D32" s="24" t="s">
        <v>385</v>
      </c>
      <c r="E32" s="24" t="s">
        <v>386</v>
      </c>
      <c r="F32" s="24" t="s">
        <v>103</v>
      </c>
      <c r="G32" s="24" t="s">
        <v>304</v>
      </c>
      <c r="H32" s="24" t="s">
        <v>320</v>
      </c>
      <c r="I32" s="24" t="s">
        <v>395</v>
      </c>
      <c r="J32" s="24" t="s">
        <v>283</v>
      </c>
    </row>
    <row r="33" customFormat="false" ht="32.8" hidden="false" customHeight="false" outlineLevel="0" collapsed="false">
      <c r="A33" s="24" t="s">
        <v>396</v>
      </c>
      <c r="B33" s="24" t="s">
        <v>301</v>
      </c>
      <c r="C33" s="24" t="s">
        <v>102</v>
      </c>
      <c r="D33" s="24" t="s">
        <v>385</v>
      </c>
      <c r="E33" s="24" t="s">
        <v>386</v>
      </c>
      <c r="F33" s="24" t="s">
        <v>79</v>
      </c>
      <c r="G33" s="24" t="s">
        <v>304</v>
      </c>
      <c r="H33" s="24" t="s">
        <v>320</v>
      </c>
      <c r="I33" s="24" t="s">
        <v>397</v>
      </c>
      <c r="J33" s="24" t="s">
        <v>283</v>
      </c>
    </row>
    <row r="34" customFormat="false" ht="32.8" hidden="false" customHeight="false" outlineLevel="0" collapsed="false">
      <c r="A34" s="24" t="s">
        <v>398</v>
      </c>
      <c r="B34" s="24" t="s">
        <v>301</v>
      </c>
      <c r="C34" s="24" t="s">
        <v>101</v>
      </c>
      <c r="D34" s="24" t="s">
        <v>385</v>
      </c>
      <c r="E34" s="24" t="s">
        <v>386</v>
      </c>
      <c r="F34" s="24" t="s">
        <v>77</v>
      </c>
      <c r="G34" s="24" t="s">
        <v>304</v>
      </c>
      <c r="H34" s="24" t="s">
        <v>320</v>
      </c>
      <c r="I34" s="24" t="s">
        <v>399</v>
      </c>
      <c r="J34" s="24" t="s">
        <v>283</v>
      </c>
    </row>
    <row r="35" customFormat="false" ht="32.8" hidden="false" customHeight="false" outlineLevel="0" collapsed="false">
      <c r="A35" s="24" t="s">
        <v>400</v>
      </c>
      <c r="B35" s="24" t="s">
        <v>301</v>
      </c>
      <c r="C35" s="24" t="s">
        <v>100</v>
      </c>
      <c r="D35" s="24" t="s">
        <v>385</v>
      </c>
      <c r="E35" s="24" t="s">
        <v>386</v>
      </c>
      <c r="F35" s="24" t="s">
        <v>71</v>
      </c>
      <c r="G35" s="24" t="s">
        <v>304</v>
      </c>
      <c r="H35" s="24" t="s">
        <v>320</v>
      </c>
      <c r="I35" s="24" t="s">
        <v>401</v>
      </c>
      <c r="J35" s="24" t="s">
        <v>283</v>
      </c>
    </row>
    <row r="36" customFormat="false" ht="32.8" hidden="false" customHeight="false" outlineLevel="0" collapsed="false">
      <c r="A36" s="24" t="s">
        <v>402</v>
      </c>
      <c r="B36" s="24" t="s">
        <v>301</v>
      </c>
      <c r="C36" s="24" t="s">
        <v>99</v>
      </c>
      <c r="D36" s="24" t="s">
        <v>385</v>
      </c>
      <c r="E36" s="24" t="s">
        <v>386</v>
      </c>
      <c r="F36" s="24" t="s">
        <v>83</v>
      </c>
      <c r="G36" s="24" t="s">
        <v>304</v>
      </c>
      <c r="H36" s="24" t="s">
        <v>320</v>
      </c>
      <c r="I36" s="24" t="s">
        <v>403</v>
      </c>
      <c r="J36" s="24" t="s">
        <v>283</v>
      </c>
    </row>
    <row r="37" customFormat="false" ht="32.8" hidden="false" customHeight="false" outlineLevel="0" collapsed="false">
      <c r="A37" s="24" t="s">
        <v>404</v>
      </c>
      <c r="B37" s="24" t="s">
        <v>301</v>
      </c>
      <c r="C37" s="24" t="s">
        <v>98</v>
      </c>
      <c r="D37" s="24" t="s">
        <v>385</v>
      </c>
      <c r="E37" s="24" t="s">
        <v>386</v>
      </c>
      <c r="F37" s="24" t="s">
        <v>69</v>
      </c>
      <c r="G37" s="24" t="s">
        <v>304</v>
      </c>
      <c r="H37" s="24" t="s">
        <v>320</v>
      </c>
      <c r="I37" s="24" t="s">
        <v>405</v>
      </c>
      <c r="J37" s="24" t="s">
        <v>283</v>
      </c>
    </row>
    <row r="38" customFormat="false" ht="32.8" hidden="false" customHeight="false" outlineLevel="0" collapsed="false">
      <c r="A38" s="24" t="s">
        <v>406</v>
      </c>
      <c r="B38" s="24" t="s">
        <v>301</v>
      </c>
      <c r="C38" s="24" t="s">
        <v>142</v>
      </c>
      <c r="D38" s="24" t="s">
        <v>407</v>
      </c>
      <c r="E38" s="24" t="s">
        <v>408</v>
      </c>
      <c r="F38" s="24" t="s">
        <v>141</v>
      </c>
      <c r="G38" s="24" t="s">
        <v>348</v>
      </c>
      <c r="H38" s="24" t="s">
        <v>310</v>
      </c>
      <c r="I38" s="24" t="s">
        <v>409</v>
      </c>
      <c r="J38" s="24" t="s">
        <v>283</v>
      </c>
    </row>
    <row r="39" customFormat="false" ht="43.25" hidden="false" customHeight="false" outlineLevel="0" collapsed="false">
      <c r="A39" s="24" t="s">
        <v>410</v>
      </c>
      <c r="B39" s="24" t="s">
        <v>301</v>
      </c>
      <c r="C39" s="24" t="s">
        <v>170</v>
      </c>
      <c r="D39" s="24" t="s">
        <v>411</v>
      </c>
      <c r="E39" s="24" t="s">
        <v>412</v>
      </c>
      <c r="F39" s="24" t="s">
        <v>413</v>
      </c>
      <c r="G39" s="24" t="s">
        <v>414</v>
      </c>
      <c r="H39" s="24" t="s">
        <v>415</v>
      </c>
      <c r="I39" s="24" t="s">
        <v>416</v>
      </c>
      <c r="J39" s="24" t="s">
        <v>283</v>
      </c>
    </row>
    <row r="40" customFormat="false" ht="22.35" hidden="false" customHeight="false" outlineLevel="0" collapsed="false">
      <c r="A40" s="24" t="s">
        <v>417</v>
      </c>
      <c r="B40" s="24" t="s">
        <v>344</v>
      </c>
      <c r="C40" s="24" t="s">
        <v>418</v>
      </c>
      <c r="D40" s="24" t="s">
        <v>419</v>
      </c>
      <c r="E40" s="24" t="s">
        <v>420</v>
      </c>
      <c r="F40" s="24" t="s">
        <v>421</v>
      </c>
      <c r="G40" s="24" t="s">
        <v>422</v>
      </c>
      <c r="H40" s="24" t="s">
        <v>423</v>
      </c>
      <c r="I40" s="24" t="s">
        <v>424</v>
      </c>
      <c r="J40" s="24" t="s">
        <v>283</v>
      </c>
    </row>
    <row r="41" customFormat="false" ht="43.25" hidden="false" customHeight="false" outlineLevel="0" collapsed="false">
      <c r="A41" s="24" t="s">
        <v>425</v>
      </c>
      <c r="B41" s="24" t="s">
        <v>301</v>
      </c>
      <c r="C41" s="24" t="s">
        <v>161</v>
      </c>
      <c r="D41" s="24" t="s">
        <v>426</v>
      </c>
      <c r="E41" s="24" t="s">
        <v>427</v>
      </c>
      <c r="F41" s="24" t="s">
        <v>160</v>
      </c>
      <c r="G41" s="24" t="s">
        <v>348</v>
      </c>
      <c r="H41" s="24" t="s">
        <v>428</v>
      </c>
      <c r="I41" s="24" t="s">
        <v>429</v>
      </c>
      <c r="J41" s="24" t="s">
        <v>283</v>
      </c>
    </row>
    <row r="42" customFormat="false" ht="32.8" hidden="false" customHeight="false" outlineLevel="0" collapsed="false">
      <c r="A42" s="24" t="s">
        <v>430</v>
      </c>
      <c r="B42" s="24" t="s">
        <v>301</v>
      </c>
      <c r="C42" s="24" t="s">
        <v>92</v>
      </c>
      <c r="D42" s="24" t="s">
        <v>431</v>
      </c>
      <c r="E42" s="24" t="s">
        <v>427</v>
      </c>
      <c r="F42" s="24" t="s">
        <v>91</v>
      </c>
      <c r="G42" s="24" t="s">
        <v>348</v>
      </c>
      <c r="H42" s="24" t="s">
        <v>320</v>
      </c>
      <c r="I42" s="24" t="s">
        <v>432</v>
      </c>
      <c r="J42" s="24" t="s">
        <v>283</v>
      </c>
    </row>
    <row r="43" customFormat="false" ht="32.8" hidden="false" customHeight="false" outlineLevel="0" collapsed="false">
      <c r="A43" s="24" t="s">
        <v>433</v>
      </c>
      <c r="B43" s="24" t="s">
        <v>301</v>
      </c>
      <c r="C43" s="24" t="s">
        <v>140</v>
      </c>
      <c r="D43" s="24" t="s">
        <v>434</v>
      </c>
      <c r="E43" s="24" t="s">
        <v>435</v>
      </c>
      <c r="F43" s="24" t="s">
        <v>126</v>
      </c>
      <c r="G43" s="24" t="s">
        <v>414</v>
      </c>
      <c r="H43" s="24" t="s">
        <v>310</v>
      </c>
      <c r="I43" s="24" t="s">
        <v>436</v>
      </c>
      <c r="J43" s="24" t="s">
        <v>283</v>
      </c>
    </row>
    <row r="44" customFormat="false" ht="32.8" hidden="false" customHeight="false" outlineLevel="0" collapsed="false">
      <c r="A44" s="24" t="s">
        <v>437</v>
      </c>
      <c r="B44" s="24" t="s">
        <v>301</v>
      </c>
      <c r="C44" s="24" t="s">
        <v>139</v>
      </c>
      <c r="D44" s="24" t="s">
        <v>434</v>
      </c>
      <c r="E44" s="24" t="s">
        <v>435</v>
      </c>
      <c r="F44" s="24" t="s">
        <v>128</v>
      </c>
      <c r="G44" s="24" t="s">
        <v>414</v>
      </c>
      <c r="H44" s="24" t="s">
        <v>310</v>
      </c>
      <c r="I44" s="24" t="s">
        <v>438</v>
      </c>
      <c r="J44" s="24" t="s">
        <v>283</v>
      </c>
    </row>
    <row r="45" customFormat="false" ht="32.8" hidden="false" customHeight="false" outlineLevel="0" collapsed="false">
      <c r="A45" s="24" t="s">
        <v>439</v>
      </c>
      <c r="B45" s="24" t="s">
        <v>301</v>
      </c>
      <c r="C45" s="24" t="s">
        <v>136</v>
      </c>
      <c r="D45" s="24" t="s">
        <v>434</v>
      </c>
      <c r="E45" s="24" t="s">
        <v>435</v>
      </c>
      <c r="F45" s="24" t="s">
        <v>440</v>
      </c>
      <c r="G45" s="24" t="s">
        <v>414</v>
      </c>
      <c r="H45" s="24" t="s">
        <v>310</v>
      </c>
      <c r="I45" s="24" t="s">
        <v>441</v>
      </c>
      <c r="J45" s="24" t="s">
        <v>283</v>
      </c>
    </row>
    <row r="46" customFormat="false" ht="22.35" hidden="false" customHeight="false" outlineLevel="0" collapsed="false">
      <c r="A46" s="24" t="s">
        <v>442</v>
      </c>
      <c r="B46" s="24" t="s">
        <v>344</v>
      </c>
      <c r="C46" s="24" t="s">
        <v>443</v>
      </c>
      <c r="D46" s="24" t="s">
        <v>444</v>
      </c>
      <c r="E46" s="24" t="s">
        <v>445</v>
      </c>
      <c r="F46" s="24" t="s">
        <v>414</v>
      </c>
      <c r="G46" s="24" t="s">
        <v>446</v>
      </c>
      <c r="H46" s="24" t="s">
        <v>310</v>
      </c>
      <c r="I46" s="24" t="s">
        <v>447</v>
      </c>
      <c r="J46" s="24" t="s">
        <v>283</v>
      </c>
    </row>
    <row r="47" customFormat="false" ht="43.25" hidden="false" customHeight="false" outlineLevel="0" collapsed="false">
      <c r="A47" s="24" t="s">
        <v>448</v>
      </c>
      <c r="B47" s="24" t="s">
        <v>344</v>
      </c>
      <c r="C47" s="24" t="s">
        <v>449</v>
      </c>
      <c r="D47" s="24" t="s">
        <v>420</v>
      </c>
      <c r="E47" s="24" t="s">
        <v>450</v>
      </c>
      <c r="F47" s="24" t="s">
        <v>383</v>
      </c>
      <c r="G47" s="24" t="s">
        <v>348</v>
      </c>
      <c r="H47" s="24" t="s">
        <v>377</v>
      </c>
      <c r="I47" s="24" t="s">
        <v>451</v>
      </c>
      <c r="J47" s="24" t="s">
        <v>283</v>
      </c>
    </row>
    <row r="48" customFormat="false" ht="43.25" hidden="false" customHeight="false" outlineLevel="0" collapsed="false">
      <c r="A48" s="24" t="s">
        <v>452</v>
      </c>
      <c r="B48" s="24" t="s">
        <v>344</v>
      </c>
      <c r="C48" s="24" t="s">
        <v>453</v>
      </c>
      <c r="D48" s="24" t="s">
        <v>454</v>
      </c>
      <c r="E48" s="24" t="s">
        <v>455</v>
      </c>
      <c r="F48" s="24" t="s">
        <v>304</v>
      </c>
      <c r="G48" s="24" t="s">
        <v>348</v>
      </c>
      <c r="H48" s="24" t="s">
        <v>456</v>
      </c>
      <c r="I48" s="24" t="s">
        <v>457</v>
      </c>
      <c r="J48" s="24" t="s">
        <v>283</v>
      </c>
    </row>
    <row r="49" customFormat="false" ht="22.35" hidden="false" customHeight="false" outlineLevel="0" collapsed="false">
      <c r="A49" s="24" t="s">
        <v>458</v>
      </c>
      <c r="B49" s="24" t="s">
        <v>344</v>
      </c>
      <c r="C49" s="24" t="s">
        <v>459</v>
      </c>
      <c r="D49" s="24" t="s">
        <v>460</v>
      </c>
      <c r="E49" s="24" t="s">
        <v>461</v>
      </c>
      <c r="F49" s="24" t="s">
        <v>414</v>
      </c>
      <c r="G49" s="24" t="s">
        <v>446</v>
      </c>
      <c r="H49" s="24" t="s">
        <v>462</v>
      </c>
      <c r="I49" s="24" t="s">
        <v>463</v>
      </c>
      <c r="J49" s="24" t="s">
        <v>283</v>
      </c>
    </row>
    <row r="50" customFormat="false" ht="32.8" hidden="false" customHeight="false" outlineLevel="0" collapsed="false">
      <c r="A50" s="24" t="s">
        <v>464</v>
      </c>
      <c r="B50" s="24" t="s">
        <v>301</v>
      </c>
      <c r="C50" s="24" t="s">
        <v>89</v>
      </c>
      <c r="D50" s="24" t="s">
        <v>465</v>
      </c>
      <c r="E50" s="24" t="s">
        <v>466</v>
      </c>
      <c r="F50" s="24" t="s">
        <v>88</v>
      </c>
      <c r="G50" s="24" t="s">
        <v>88</v>
      </c>
      <c r="H50" s="24" t="s">
        <v>320</v>
      </c>
      <c r="I50" s="24" t="s">
        <v>467</v>
      </c>
      <c r="J50" s="24" t="s">
        <v>283</v>
      </c>
    </row>
    <row r="51" customFormat="false" ht="32.8" hidden="false" customHeight="false" outlineLevel="0" collapsed="false">
      <c r="A51" s="24" t="s">
        <v>468</v>
      </c>
      <c r="B51" s="24" t="s">
        <v>301</v>
      </c>
      <c r="C51" s="24" t="s">
        <v>86</v>
      </c>
      <c r="D51" s="24" t="s">
        <v>465</v>
      </c>
      <c r="E51" s="24" t="s">
        <v>469</v>
      </c>
      <c r="F51" s="24" t="s">
        <v>470</v>
      </c>
      <c r="G51" s="24" t="s">
        <v>88</v>
      </c>
      <c r="H51" s="24" t="s">
        <v>320</v>
      </c>
      <c r="I51" s="24" t="s">
        <v>471</v>
      </c>
      <c r="J51" s="24" t="s">
        <v>283</v>
      </c>
    </row>
    <row r="52" customFormat="false" ht="22.35" hidden="false" customHeight="false" outlineLevel="0" collapsed="false">
      <c r="A52" s="24" t="s">
        <v>472</v>
      </c>
      <c r="B52" s="24" t="s">
        <v>473</v>
      </c>
      <c r="C52" s="24" t="s">
        <v>474</v>
      </c>
      <c r="D52" s="24" t="s">
        <v>475</v>
      </c>
      <c r="E52" s="24" t="s">
        <v>476</v>
      </c>
      <c r="F52" s="24" t="s">
        <v>477</v>
      </c>
      <c r="G52" s="24" t="s">
        <v>478</v>
      </c>
      <c r="H52" s="24" t="s">
        <v>479</v>
      </c>
      <c r="I52" s="24" t="s">
        <v>480</v>
      </c>
      <c r="J52" s="24" t="s">
        <v>283</v>
      </c>
    </row>
    <row r="53" customFormat="false" ht="32.8" hidden="false" customHeight="false" outlineLevel="0" collapsed="false">
      <c r="A53" s="24" t="s">
        <v>481</v>
      </c>
      <c r="B53" s="24" t="s">
        <v>482</v>
      </c>
      <c r="C53" s="24" t="s">
        <v>483</v>
      </c>
      <c r="D53" s="24" t="s">
        <v>476</v>
      </c>
      <c r="E53" s="24" t="s">
        <v>484</v>
      </c>
      <c r="F53" s="24" t="s">
        <v>348</v>
      </c>
      <c r="G53" s="24" t="s">
        <v>485</v>
      </c>
      <c r="H53" s="24" t="s">
        <v>423</v>
      </c>
      <c r="I53" s="24" t="s">
        <v>486</v>
      </c>
      <c r="J53" s="24" t="s">
        <v>283</v>
      </c>
    </row>
    <row r="54" customFormat="false" ht="15" hidden="false" customHeight="false" outlineLevel="0" collapsed="false">
      <c r="A54" s="24" t="s">
        <v>487</v>
      </c>
      <c r="B54" s="24" t="s">
        <v>488</v>
      </c>
      <c r="C54" s="24" t="s">
        <v>489</v>
      </c>
      <c r="D54" s="24" t="s">
        <v>490</v>
      </c>
      <c r="E54" s="24" t="s">
        <v>484</v>
      </c>
      <c r="F54" s="24" t="s">
        <v>348</v>
      </c>
      <c r="G54" s="24" t="s">
        <v>491</v>
      </c>
      <c r="H54" s="24" t="s">
        <v>349</v>
      </c>
      <c r="I54" s="24" t="s">
        <v>492</v>
      </c>
      <c r="J54" s="24" t="s">
        <v>283</v>
      </c>
    </row>
    <row r="55" customFormat="false" ht="231.3" hidden="false" customHeight="false" outlineLevel="0" collapsed="false">
      <c r="A55" s="24" t="s">
        <v>493</v>
      </c>
      <c r="B55" s="24" t="s">
        <v>344</v>
      </c>
      <c r="C55" s="24" t="s">
        <v>494</v>
      </c>
      <c r="D55" s="24" t="s">
        <v>495</v>
      </c>
      <c r="E55" s="24" t="s">
        <v>496</v>
      </c>
      <c r="F55" s="24" t="s">
        <v>88</v>
      </c>
      <c r="G55" s="24" t="s">
        <v>348</v>
      </c>
      <c r="H55" s="24" t="s">
        <v>497</v>
      </c>
      <c r="I55" s="24" t="s">
        <v>498</v>
      </c>
      <c r="J55" s="24" t="s">
        <v>283</v>
      </c>
    </row>
    <row r="56" customFormat="false" ht="231.3" hidden="false" customHeight="false" outlineLevel="0" collapsed="false">
      <c r="A56" s="24" t="s">
        <v>499</v>
      </c>
      <c r="B56" s="24" t="s">
        <v>344</v>
      </c>
      <c r="C56" s="24" t="s">
        <v>500</v>
      </c>
      <c r="D56" s="24" t="s">
        <v>495</v>
      </c>
      <c r="E56" s="24" t="s">
        <v>496</v>
      </c>
      <c r="F56" s="24" t="s">
        <v>470</v>
      </c>
      <c r="G56" s="24" t="s">
        <v>348</v>
      </c>
      <c r="H56" s="24" t="s">
        <v>349</v>
      </c>
      <c r="I56" s="24" t="s">
        <v>501</v>
      </c>
      <c r="J56" s="24" t="s">
        <v>283</v>
      </c>
    </row>
    <row r="57" customFormat="false" ht="22.35" hidden="false" customHeight="false" outlineLevel="0" collapsed="false">
      <c r="A57" s="24" t="s">
        <v>502</v>
      </c>
      <c r="B57" s="24" t="s">
        <v>503</v>
      </c>
      <c r="C57" s="24" t="s">
        <v>504</v>
      </c>
      <c r="D57" s="24" t="s">
        <v>505</v>
      </c>
      <c r="E57" s="24" t="s">
        <v>506</v>
      </c>
      <c r="F57" s="24" t="s">
        <v>414</v>
      </c>
      <c r="G57" s="24" t="s">
        <v>446</v>
      </c>
      <c r="H57" s="24" t="s">
        <v>462</v>
      </c>
      <c r="I57" s="24" t="s">
        <v>507</v>
      </c>
      <c r="J57" s="24" t="s">
        <v>283</v>
      </c>
    </row>
    <row r="58" customFormat="false" ht="32.8" hidden="false" customHeight="false" outlineLevel="0" collapsed="false">
      <c r="A58" s="24" t="s">
        <v>508</v>
      </c>
      <c r="B58" s="24" t="s">
        <v>509</v>
      </c>
      <c r="C58" s="24" t="s">
        <v>510</v>
      </c>
      <c r="D58" s="24" t="s">
        <v>511</v>
      </c>
      <c r="E58" s="24" t="s">
        <v>512</v>
      </c>
      <c r="F58" s="24" t="s">
        <v>446</v>
      </c>
      <c r="G58" s="24" t="s">
        <v>513</v>
      </c>
      <c r="H58" s="24" t="s">
        <v>349</v>
      </c>
      <c r="I58" s="24" t="s">
        <v>514</v>
      </c>
      <c r="J58" s="24" t="s">
        <v>283</v>
      </c>
    </row>
    <row r="59" customFormat="false" ht="53.7" hidden="false" customHeight="false" outlineLevel="0" collapsed="false">
      <c r="A59" s="24" t="s">
        <v>515</v>
      </c>
      <c r="B59" s="24" t="s">
        <v>509</v>
      </c>
      <c r="C59" s="24" t="s">
        <v>516</v>
      </c>
      <c r="D59" s="24" t="s">
        <v>517</v>
      </c>
      <c r="E59" s="24" t="s">
        <v>512</v>
      </c>
      <c r="F59" s="24" t="s">
        <v>446</v>
      </c>
      <c r="G59" s="24" t="s">
        <v>518</v>
      </c>
      <c r="H59" s="24" t="s">
        <v>349</v>
      </c>
      <c r="I59" s="24" t="s">
        <v>519</v>
      </c>
      <c r="J59" s="24" t="s">
        <v>283</v>
      </c>
    </row>
    <row r="60" customFormat="false" ht="116.4" hidden="false" customHeight="false" outlineLevel="0" collapsed="false">
      <c r="A60" s="24" t="s">
        <v>520</v>
      </c>
      <c r="B60" s="24" t="s">
        <v>344</v>
      </c>
      <c r="C60" s="24" t="s">
        <v>521</v>
      </c>
      <c r="D60" s="24" t="s">
        <v>522</v>
      </c>
      <c r="E60" s="24" t="s">
        <v>523</v>
      </c>
      <c r="F60" s="24" t="s">
        <v>348</v>
      </c>
      <c r="G60" s="24" t="s">
        <v>524</v>
      </c>
      <c r="H60" s="24" t="s">
        <v>423</v>
      </c>
      <c r="I60" s="24" t="s">
        <v>525</v>
      </c>
      <c r="J60" s="24" t="s">
        <v>283</v>
      </c>
    </row>
    <row r="61" customFormat="false" ht="126.85" hidden="false" customHeight="false" outlineLevel="0" collapsed="false">
      <c r="A61" s="24" t="s">
        <v>526</v>
      </c>
      <c r="B61" s="24" t="s">
        <v>344</v>
      </c>
      <c r="C61" s="24" t="s">
        <v>527</v>
      </c>
      <c r="D61" s="24" t="s">
        <v>522</v>
      </c>
      <c r="E61" s="24" t="s">
        <v>523</v>
      </c>
      <c r="F61" s="24" t="s">
        <v>348</v>
      </c>
      <c r="G61" s="24" t="s">
        <v>524</v>
      </c>
      <c r="H61" s="24" t="s">
        <v>349</v>
      </c>
      <c r="I61" s="24" t="s">
        <v>528</v>
      </c>
      <c r="J61" s="24" t="s">
        <v>283</v>
      </c>
    </row>
    <row r="62" customFormat="false" ht="43.25" hidden="false" customHeight="false" outlineLevel="0" collapsed="false">
      <c r="A62" s="24" t="s">
        <v>529</v>
      </c>
      <c r="B62" s="24" t="s">
        <v>482</v>
      </c>
      <c r="C62" s="24" t="s">
        <v>530</v>
      </c>
      <c r="D62" s="24" t="s">
        <v>531</v>
      </c>
      <c r="E62" s="24" t="s">
        <v>532</v>
      </c>
      <c r="F62" s="24" t="s">
        <v>348</v>
      </c>
      <c r="G62" s="24" t="s">
        <v>533</v>
      </c>
      <c r="H62" s="24" t="s">
        <v>349</v>
      </c>
      <c r="I62" s="24" t="s">
        <v>534</v>
      </c>
      <c r="J62" s="24" t="s">
        <v>283</v>
      </c>
    </row>
    <row r="63" customFormat="false" ht="126.85" hidden="false" customHeight="false" outlineLevel="0" collapsed="false">
      <c r="A63" s="24" t="s">
        <v>535</v>
      </c>
      <c r="B63" s="24" t="s">
        <v>344</v>
      </c>
      <c r="C63" s="24" t="s">
        <v>536</v>
      </c>
      <c r="D63" s="24" t="s">
        <v>537</v>
      </c>
      <c r="E63" s="24" t="s">
        <v>532</v>
      </c>
      <c r="F63" s="24" t="s">
        <v>348</v>
      </c>
      <c r="G63" s="24" t="s">
        <v>538</v>
      </c>
      <c r="H63" s="24" t="s">
        <v>539</v>
      </c>
      <c r="I63" s="24" t="s">
        <v>540</v>
      </c>
      <c r="J63" s="24" t="s">
        <v>283</v>
      </c>
    </row>
    <row r="64" customFormat="false" ht="126.85" hidden="false" customHeight="false" outlineLevel="0" collapsed="false">
      <c r="A64" s="24" t="s">
        <v>541</v>
      </c>
      <c r="B64" s="24" t="s">
        <v>344</v>
      </c>
      <c r="C64" s="24" t="s">
        <v>542</v>
      </c>
      <c r="D64" s="24" t="s">
        <v>543</v>
      </c>
      <c r="E64" s="24" t="s">
        <v>532</v>
      </c>
      <c r="F64" s="24" t="s">
        <v>348</v>
      </c>
      <c r="G64" s="24" t="s">
        <v>538</v>
      </c>
      <c r="H64" s="24" t="s">
        <v>320</v>
      </c>
      <c r="I64" s="24" t="s">
        <v>544</v>
      </c>
      <c r="J64" s="24" t="s">
        <v>283</v>
      </c>
    </row>
    <row r="65" customFormat="false" ht="199.95" hidden="false" customHeight="false" outlineLevel="0" collapsed="false">
      <c r="A65" s="24" t="s">
        <v>545</v>
      </c>
      <c r="B65" s="24" t="s">
        <v>546</v>
      </c>
      <c r="C65" s="24" t="s">
        <v>547</v>
      </c>
      <c r="D65" s="24" t="s">
        <v>548</v>
      </c>
      <c r="E65" s="24" t="s">
        <v>532</v>
      </c>
      <c r="F65" s="24" t="s">
        <v>348</v>
      </c>
      <c r="G65" s="24" t="s">
        <v>549</v>
      </c>
      <c r="H65" s="24" t="s">
        <v>349</v>
      </c>
      <c r="I65" s="24" t="s">
        <v>550</v>
      </c>
      <c r="J65" s="24" t="s">
        <v>283</v>
      </c>
    </row>
    <row r="66" customFormat="false" ht="199.95" hidden="false" customHeight="false" outlineLevel="0" collapsed="false">
      <c r="A66" s="24" t="s">
        <v>551</v>
      </c>
      <c r="B66" s="24" t="s">
        <v>344</v>
      </c>
      <c r="C66" s="24" t="s">
        <v>552</v>
      </c>
      <c r="D66" s="24" t="s">
        <v>553</v>
      </c>
      <c r="E66" s="24" t="s">
        <v>532</v>
      </c>
      <c r="F66" s="24" t="s">
        <v>348</v>
      </c>
      <c r="G66" s="24" t="s">
        <v>549</v>
      </c>
      <c r="H66" s="24" t="s">
        <v>349</v>
      </c>
      <c r="I66" s="24" t="s">
        <v>554</v>
      </c>
      <c r="J66" s="24" t="s">
        <v>283</v>
      </c>
    </row>
    <row r="67" customFormat="false" ht="158.2" hidden="false" customHeight="false" outlineLevel="0" collapsed="false">
      <c r="A67" s="24" t="s">
        <v>555</v>
      </c>
      <c r="B67" s="24" t="s">
        <v>546</v>
      </c>
      <c r="C67" s="24" t="s">
        <v>556</v>
      </c>
      <c r="D67" s="24" t="s">
        <v>557</v>
      </c>
      <c r="E67" s="24" t="s">
        <v>532</v>
      </c>
      <c r="F67" s="24" t="s">
        <v>348</v>
      </c>
      <c r="G67" s="24" t="s">
        <v>558</v>
      </c>
      <c r="H67" s="24" t="s">
        <v>349</v>
      </c>
      <c r="I67" s="24" t="s">
        <v>559</v>
      </c>
      <c r="J67" s="24" t="s">
        <v>283</v>
      </c>
    </row>
    <row r="68" customFormat="false" ht="179.1" hidden="false" customHeight="false" outlineLevel="0" collapsed="false">
      <c r="A68" s="24" t="s">
        <v>560</v>
      </c>
      <c r="B68" s="24" t="s">
        <v>344</v>
      </c>
      <c r="C68" s="24" t="s">
        <v>561</v>
      </c>
      <c r="D68" s="24" t="s">
        <v>562</v>
      </c>
      <c r="E68" s="24" t="s">
        <v>532</v>
      </c>
      <c r="F68" s="24" t="s">
        <v>348</v>
      </c>
      <c r="G68" s="24" t="s">
        <v>563</v>
      </c>
      <c r="H68" s="24" t="s">
        <v>539</v>
      </c>
      <c r="I68" s="24" t="s">
        <v>564</v>
      </c>
      <c r="J68" s="24" t="s">
        <v>283</v>
      </c>
    </row>
    <row r="69" customFormat="false" ht="32.8" hidden="false" customHeight="false" outlineLevel="0" collapsed="false">
      <c r="A69" s="24" t="s">
        <v>565</v>
      </c>
      <c r="B69" s="24" t="s">
        <v>301</v>
      </c>
      <c r="C69" s="24" t="s">
        <v>51</v>
      </c>
      <c r="D69" s="24" t="s">
        <v>566</v>
      </c>
      <c r="E69" s="24" t="s">
        <v>567</v>
      </c>
      <c r="F69" s="24" t="s">
        <v>43</v>
      </c>
      <c r="G69" s="24" t="s">
        <v>348</v>
      </c>
      <c r="H69" s="24" t="s">
        <v>34</v>
      </c>
      <c r="I69" s="24" t="s">
        <v>568</v>
      </c>
      <c r="J69" s="24" t="s">
        <v>283</v>
      </c>
    </row>
    <row r="70" customFormat="false" ht="32.8" hidden="false" customHeight="false" outlineLevel="0" collapsed="false">
      <c r="A70" s="24" t="s">
        <v>569</v>
      </c>
      <c r="B70" s="24" t="s">
        <v>301</v>
      </c>
      <c r="C70" s="24" t="s">
        <v>135</v>
      </c>
      <c r="D70" s="24" t="s">
        <v>566</v>
      </c>
      <c r="E70" s="24" t="s">
        <v>567</v>
      </c>
      <c r="F70" s="24" t="s">
        <v>134</v>
      </c>
      <c r="G70" s="24" t="s">
        <v>348</v>
      </c>
      <c r="H70" s="24" t="s">
        <v>310</v>
      </c>
      <c r="I70" s="24" t="s">
        <v>570</v>
      </c>
      <c r="J70" s="24" t="s">
        <v>283</v>
      </c>
    </row>
    <row r="71" customFormat="false" ht="32.8" hidden="false" customHeight="false" outlineLevel="0" collapsed="false">
      <c r="A71" s="24" t="s">
        <v>571</v>
      </c>
      <c r="B71" s="24" t="s">
        <v>301</v>
      </c>
      <c r="C71" s="24" t="s">
        <v>133</v>
      </c>
      <c r="D71" s="24" t="s">
        <v>566</v>
      </c>
      <c r="E71" s="24" t="s">
        <v>567</v>
      </c>
      <c r="F71" s="24" t="s">
        <v>572</v>
      </c>
      <c r="G71" s="24" t="s">
        <v>348</v>
      </c>
      <c r="H71" s="24" t="s">
        <v>310</v>
      </c>
      <c r="I71" s="24" t="s">
        <v>573</v>
      </c>
      <c r="J71" s="24" t="s">
        <v>283</v>
      </c>
    </row>
    <row r="72" customFormat="false" ht="32.8" hidden="false" customHeight="false" outlineLevel="0" collapsed="false">
      <c r="A72" s="24" t="s">
        <v>574</v>
      </c>
      <c r="B72" s="24" t="s">
        <v>301</v>
      </c>
      <c r="C72" s="24" t="s">
        <v>131</v>
      </c>
      <c r="D72" s="24" t="s">
        <v>566</v>
      </c>
      <c r="E72" s="24" t="s">
        <v>567</v>
      </c>
      <c r="F72" s="24" t="s">
        <v>313</v>
      </c>
      <c r="G72" s="24" t="s">
        <v>348</v>
      </c>
      <c r="H72" s="24" t="s">
        <v>310</v>
      </c>
      <c r="I72" s="24" t="s">
        <v>575</v>
      </c>
      <c r="J72" s="24" t="s">
        <v>283</v>
      </c>
    </row>
    <row r="73" customFormat="false" ht="43.25" hidden="false" customHeight="false" outlineLevel="0" collapsed="false">
      <c r="A73" s="24" t="s">
        <v>576</v>
      </c>
      <c r="B73" s="24" t="s">
        <v>482</v>
      </c>
      <c r="C73" s="24" t="s">
        <v>577</v>
      </c>
      <c r="D73" s="24" t="s">
        <v>578</v>
      </c>
      <c r="E73" s="24" t="s">
        <v>579</v>
      </c>
      <c r="F73" s="24" t="s">
        <v>348</v>
      </c>
      <c r="G73" s="24" t="s">
        <v>533</v>
      </c>
      <c r="H73" s="24" t="s">
        <v>349</v>
      </c>
      <c r="I73" s="24" t="s">
        <v>534</v>
      </c>
      <c r="J73" s="24" t="s">
        <v>283</v>
      </c>
    </row>
    <row r="74" customFormat="false" ht="179.1" hidden="false" customHeight="false" outlineLevel="0" collapsed="false">
      <c r="A74" s="24" t="s">
        <v>580</v>
      </c>
      <c r="B74" s="24" t="s">
        <v>344</v>
      </c>
      <c r="C74" s="24" t="s">
        <v>581</v>
      </c>
      <c r="D74" s="24" t="s">
        <v>582</v>
      </c>
      <c r="E74" s="24" t="s">
        <v>579</v>
      </c>
      <c r="F74" s="24" t="s">
        <v>348</v>
      </c>
      <c r="G74" s="24" t="s">
        <v>583</v>
      </c>
      <c r="H74" s="24" t="s">
        <v>584</v>
      </c>
      <c r="I74" s="24" t="s">
        <v>585</v>
      </c>
      <c r="J74" s="24" t="s">
        <v>283</v>
      </c>
    </row>
    <row r="75" customFormat="false" ht="32.8" hidden="false" customHeight="false" outlineLevel="0" collapsed="false">
      <c r="A75" s="24" t="s">
        <v>586</v>
      </c>
      <c r="B75" s="24" t="s">
        <v>301</v>
      </c>
      <c r="C75" s="24" t="s">
        <v>129</v>
      </c>
      <c r="D75" s="24" t="s">
        <v>587</v>
      </c>
      <c r="E75" s="24" t="s">
        <v>588</v>
      </c>
      <c r="F75" s="24" t="s">
        <v>128</v>
      </c>
      <c r="G75" s="24" t="s">
        <v>414</v>
      </c>
      <c r="H75" s="24" t="s">
        <v>310</v>
      </c>
      <c r="I75" s="24" t="s">
        <v>589</v>
      </c>
      <c r="J75" s="24" t="s">
        <v>283</v>
      </c>
    </row>
    <row r="76" customFormat="false" ht="32.8" hidden="false" customHeight="false" outlineLevel="0" collapsed="false">
      <c r="A76" s="24" t="s">
        <v>590</v>
      </c>
      <c r="B76" s="24" t="s">
        <v>301</v>
      </c>
      <c r="C76" s="24" t="s">
        <v>127</v>
      </c>
      <c r="D76" s="24" t="s">
        <v>587</v>
      </c>
      <c r="E76" s="24" t="s">
        <v>588</v>
      </c>
      <c r="F76" s="24" t="s">
        <v>126</v>
      </c>
      <c r="G76" s="24" t="s">
        <v>414</v>
      </c>
      <c r="H76" s="24" t="s">
        <v>310</v>
      </c>
      <c r="I76" s="24" t="s">
        <v>591</v>
      </c>
      <c r="J76" s="24" t="s">
        <v>283</v>
      </c>
    </row>
    <row r="77" customFormat="false" ht="32.8" hidden="false" customHeight="false" outlineLevel="0" collapsed="false">
      <c r="A77" s="24" t="s">
        <v>592</v>
      </c>
      <c r="B77" s="24" t="s">
        <v>301</v>
      </c>
      <c r="C77" s="24" t="s">
        <v>124</v>
      </c>
      <c r="D77" s="24" t="s">
        <v>587</v>
      </c>
      <c r="E77" s="24" t="s">
        <v>588</v>
      </c>
      <c r="F77" s="24" t="s">
        <v>593</v>
      </c>
      <c r="G77" s="24" t="s">
        <v>414</v>
      </c>
      <c r="H77" s="24" t="s">
        <v>310</v>
      </c>
      <c r="I77" s="24" t="s">
        <v>594</v>
      </c>
      <c r="J77" s="24" t="s">
        <v>283</v>
      </c>
    </row>
    <row r="78" customFormat="false" ht="126.85" hidden="false" customHeight="false" outlineLevel="0" collapsed="false">
      <c r="A78" s="24" t="s">
        <v>595</v>
      </c>
      <c r="B78" s="24" t="s">
        <v>596</v>
      </c>
      <c r="C78" s="24" t="s">
        <v>597</v>
      </c>
      <c r="D78" s="24" t="s">
        <v>557</v>
      </c>
      <c r="E78" s="24" t="s">
        <v>598</v>
      </c>
      <c r="F78" s="24" t="s">
        <v>599</v>
      </c>
      <c r="G78" s="24" t="s">
        <v>85</v>
      </c>
      <c r="H78" s="24" t="s">
        <v>320</v>
      </c>
      <c r="I78" s="24" t="s">
        <v>600</v>
      </c>
      <c r="J78" s="24" t="s">
        <v>283</v>
      </c>
    </row>
    <row r="79" customFormat="false" ht="22.35" hidden="false" customHeight="false" outlineLevel="0" collapsed="false">
      <c r="A79" s="24" t="s">
        <v>601</v>
      </c>
      <c r="B79" s="24" t="s">
        <v>344</v>
      </c>
      <c r="C79" s="24" t="s">
        <v>602</v>
      </c>
      <c r="D79" s="24" t="s">
        <v>603</v>
      </c>
      <c r="E79" s="24" t="s">
        <v>604</v>
      </c>
      <c r="F79" s="24" t="s">
        <v>414</v>
      </c>
      <c r="G79" s="24" t="s">
        <v>446</v>
      </c>
      <c r="H79" s="24" t="s">
        <v>310</v>
      </c>
      <c r="I79" s="24" t="s">
        <v>605</v>
      </c>
      <c r="J79" s="24" t="s">
        <v>283</v>
      </c>
    </row>
    <row r="80" customFormat="false" ht="22.35" hidden="false" customHeight="false" outlineLevel="0" collapsed="false">
      <c r="A80" s="24" t="s">
        <v>606</v>
      </c>
      <c r="B80" s="24" t="s">
        <v>509</v>
      </c>
      <c r="C80" s="24" t="s">
        <v>607</v>
      </c>
      <c r="D80" s="24" t="s">
        <v>604</v>
      </c>
      <c r="E80" s="24" t="s">
        <v>608</v>
      </c>
      <c r="F80" s="24" t="s">
        <v>609</v>
      </c>
      <c r="G80" s="24" t="s">
        <v>610</v>
      </c>
      <c r="H80" s="24" t="s">
        <v>349</v>
      </c>
      <c r="I80" s="24" t="s">
        <v>611</v>
      </c>
      <c r="J80" s="24" t="s">
        <v>283</v>
      </c>
    </row>
    <row r="81" customFormat="false" ht="126.85" hidden="false" customHeight="false" outlineLevel="0" collapsed="false">
      <c r="A81" s="24" t="s">
        <v>612</v>
      </c>
      <c r="B81" s="24" t="s">
        <v>596</v>
      </c>
      <c r="C81" s="24" t="s">
        <v>613</v>
      </c>
      <c r="D81" s="24" t="s">
        <v>566</v>
      </c>
      <c r="E81" s="24" t="s">
        <v>614</v>
      </c>
      <c r="F81" s="24" t="s">
        <v>599</v>
      </c>
      <c r="G81" s="24" t="s">
        <v>88</v>
      </c>
      <c r="H81" s="24" t="s">
        <v>497</v>
      </c>
      <c r="I81" s="24" t="s">
        <v>615</v>
      </c>
      <c r="J81" s="24" t="s">
        <v>283</v>
      </c>
    </row>
    <row r="82" customFormat="false" ht="22.35" hidden="false" customHeight="false" outlineLevel="0" collapsed="false">
      <c r="A82" s="24" t="s">
        <v>616</v>
      </c>
      <c r="B82" s="24" t="s">
        <v>509</v>
      </c>
      <c r="C82" s="24" t="s">
        <v>617</v>
      </c>
      <c r="D82" s="24" t="s">
        <v>618</v>
      </c>
      <c r="E82" s="24" t="s">
        <v>619</v>
      </c>
      <c r="F82" s="24" t="s">
        <v>609</v>
      </c>
      <c r="G82" s="24" t="s">
        <v>620</v>
      </c>
      <c r="H82" s="24" t="s">
        <v>349</v>
      </c>
      <c r="I82" s="24" t="s">
        <v>621</v>
      </c>
      <c r="J82" s="24" t="s">
        <v>283</v>
      </c>
    </row>
    <row r="83" customFormat="false" ht="22.35" hidden="false" customHeight="false" outlineLevel="0" collapsed="false">
      <c r="A83" s="24" t="s">
        <v>622</v>
      </c>
      <c r="B83" s="24" t="s">
        <v>344</v>
      </c>
      <c r="C83" s="24" t="s">
        <v>623</v>
      </c>
      <c r="D83" s="24" t="s">
        <v>624</v>
      </c>
      <c r="E83" s="24" t="s">
        <v>625</v>
      </c>
      <c r="F83" s="24" t="s">
        <v>626</v>
      </c>
      <c r="G83" s="24" t="s">
        <v>627</v>
      </c>
      <c r="H83" s="24" t="s">
        <v>349</v>
      </c>
      <c r="I83" s="24" t="s">
        <v>424</v>
      </c>
      <c r="J83" s="24" t="s">
        <v>283</v>
      </c>
    </row>
    <row r="84" customFormat="false" ht="32.8" hidden="false" customHeight="false" outlineLevel="0" collapsed="false">
      <c r="A84" s="24" t="s">
        <v>628</v>
      </c>
      <c r="B84" s="24" t="s">
        <v>301</v>
      </c>
      <c r="C84" s="24" t="s">
        <v>84</v>
      </c>
      <c r="D84" s="24" t="s">
        <v>629</v>
      </c>
      <c r="E84" s="24" t="s">
        <v>630</v>
      </c>
      <c r="F84" s="24" t="s">
        <v>83</v>
      </c>
      <c r="G84" s="24" t="s">
        <v>348</v>
      </c>
      <c r="H84" s="24" t="s">
        <v>320</v>
      </c>
      <c r="I84" s="24" t="s">
        <v>631</v>
      </c>
      <c r="J84" s="24" t="s">
        <v>283</v>
      </c>
    </row>
    <row r="85" customFormat="false" ht="32.8" hidden="false" customHeight="false" outlineLevel="0" collapsed="false">
      <c r="A85" s="24" t="s">
        <v>632</v>
      </c>
      <c r="B85" s="24" t="s">
        <v>301</v>
      </c>
      <c r="C85" s="24" t="s">
        <v>82</v>
      </c>
      <c r="D85" s="24" t="s">
        <v>629</v>
      </c>
      <c r="E85" s="24" t="s">
        <v>630</v>
      </c>
      <c r="F85" s="24" t="s">
        <v>81</v>
      </c>
      <c r="G85" s="24" t="s">
        <v>348</v>
      </c>
      <c r="H85" s="24" t="s">
        <v>320</v>
      </c>
      <c r="I85" s="24" t="s">
        <v>633</v>
      </c>
      <c r="J85" s="24" t="s">
        <v>283</v>
      </c>
    </row>
    <row r="86" customFormat="false" ht="32.8" hidden="false" customHeight="false" outlineLevel="0" collapsed="false">
      <c r="A86" s="24" t="s">
        <v>634</v>
      </c>
      <c r="B86" s="24" t="s">
        <v>301</v>
      </c>
      <c r="C86" s="24" t="s">
        <v>80</v>
      </c>
      <c r="D86" s="24" t="s">
        <v>629</v>
      </c>
      <c r="E86" s="24" t="s">
        <v>630</v>
      </c>
      <c r="F86" s="24" t="s">
        <v>79</v>
      </c>
      <c r="G86" s="24" t="s">
        <v>348</v>
      </c>
      <c r="H86" s="24" t="s">
        <v>320</v>
      </c>
      <c r="I86" s="24" t="s">
        <v>635</v>
      </c>
      <c r="J86" s="24" t="s">
        <v>283</v>
      </c>
    </row>
    <row r="87" customFormat="false" ht="32.8" hidden="false" customHeight="false" outlineLevel="0" collapsed="false">
      <c r="A87" s="24" t="s">
        <v>636</v>
      </c>
      <c r="B87" s="24" t="s">
        <v>301</v>
      </c>
      <c r="C87" s="24" t="s">
        <v>78</v>
      </c>
      <c r="D87" s="24" t="s">
        <v>629</v>
      </c>
      <c r="E87" s="24" t="s">
        <v>630</v>
      </c>
      <c r="F87" s="24" t="s">
        <v>77</v>
      </c>
      <c r="G87" s="24" t="s">
        <v>348</v>
      </c>
      <c r="H87" s="24" t="s">
        <v>320</v>
      </c>
      <c r="I87" s="24" t="s">
        <v>637</v>
      </c>
      <c r="J87" s="24" t="s">
        <v>283</v>
      </c>
    </row>
    <row r="88" customFormat="false" ht="32.8" hidden="false" customHeight="false" outlineLevel="0" collapsed="false">
      <c r="A88" s="24" t="s">
        <v>638</v>
      </c>
      <c r="B88" s="24" t="s">
        <v>301</v>
      </c>
      <c r="C88" s="24" t="s">
        <v>76</v>
      </c>
      <c r="D88" s="24" t="s">
        <v>629</v>
      </c>
      <c r="E88" s="24" t="s">
        <v>630</v>
      </c>
      <c r="F88" s="24" t="s">
        <v>75</v>
      </c>
      <c r="G88" s="24" t="s">
        <v>348</v>
      </c>
      <c r="H88" s="24" t="s">
        <v>320</v>
      </c>
      <c r="I88" s="24" t="s">
        <v>639</v>
      </c>
      <c r="J88" s="24" t="s">
        <v>283</v>
      </c>
    </row>
    <row r="89" customFormat="false" ht="32.8" hidden="false" customHeight="false" outlineLevel="0" collapsed="false">
      <c r="A89" s="24" t="s">
        <v>640</v>
      </c>
      <c r="B89" s="24" t="s">
        <v>301</v>
      </c>
      <c r="C89" s="24" t="s">
        <v>74</v>
      </c>
      <c r="D89" s="24" t="s">
        <v>629</v>
      </c>
      <c r="E89" s="24" t="s">
        <v>630</v>
      </c>
      <c r="F89" s="24" t="s">
        <v>73</v>
      </c>
      <c r="G89" s="24" t="s">
        <v>348</v>
      </c>
      <c r="H89" s="24" t="s">
        <v>320</v>
      </c>
      <c r="I89" s="24" t="s">
        <v>641</v>
      </c>
      <c r="J89" s="24" t="s">
        <v>283</v>
      </c>
    </row>
    <row r="90" customFormat="false" ht="32.8" hidden="false" customHeight="false" outlineLevel="0" collapsed="false">
      <c r="A90" s="24" t="s">
        <v>642</v>
      </c>
      <c r="B90" s="24" t="s">
        <v>301</v>
      </c>
      <c r="C90" s="24" t="s">
        <v>72</v>
      </c>
      <c r="D90" s="24" t="s">
        <v>629</v>
      </c>
      <c r="E90" s="24" t="s">
        <v>630</v>
      </c>
      <c r="F90" s="24" t="s">
        <v>71</v>
      </c>
      <c r="G90" s="24" t="s">
        <v>348</v>
      </c>
      <c r="H90" s="24" t="s">
        <v>320</v>
      </c>
      <c r="I90" s="24" t="s">
        <v>643</v>
      </c>
      <c r="J90" s="24" t="s">
        <v>283</v>
      </c>
    </row>
    <row r="91" customFormat="false" ht="32.8" hidden="false" customHeight="false" outlineLevel="0" collapsed="false">
      <c r="A91" s="24" t="s">
        <v>644</v>
      </c>
      <c r="B91" s="24" t="s">
        <v>301</v>
      </c>
      <c r="C91" s="24" t="s">
        <v>70</v>
      </c>
      <c r="D91" s="24" t="s">
        <v>629</v>
      </c>
      <c r="E91" s="24" t="s">
        <v>630</v>
      </c>
      <c r="F91" s="24" t="s">
        <v>69</v>
      </c>
      <c r="G91" s="24" t="s">
        <v>348</v>
      </c>
      <c r="H91" s="24" t="s">
        <v>320</v>
      </c>
      <c r="I91" s="24" t="s">
        <v>645</v>
      </c>
      <c r="J91" s="24" t="s">
        <v>283</v>
      </c>
    </row>
    <row r="92" customFormat="false" ht="32.8" hidden="false" customHeight="false" outlineLevel="0" collapsed="false">
      <c r="A92" s="24" t="s">
        <v>646</v>
      </c>
      <c r="B92" s="24" t="s">
        <v>301</v>
      </c>
      <c r="C92" s="24" t="s">
        <v>122</v>
      </c>
      <c r="D92" s="24" t="s">
        <v>629</v>
      </c>
      <c r="E92" s="24" t="s">
        <v>630</v>
      </c>
      <c r="F92" s="24" t="s">
        <v>121</v>
      </c>
      <c r="G92" s="24" t="s">
        <v>348</v>
      </c>
      <c r="H92" s="24" t="s">
        <v>310</v>
      </c>
      <c r="I92" s="24" t="s">
        <v>647</v>
      </c>
      <c r="J92" s="24" t="s">
        <v>283</v>
      </c>
    </row>
    <row r="93" customFormat="false" ht="32.8" hidden="false" customHeight="false" outlineLevel="0" collapsed="false">
      <c r="A93" s="24" t="s">
        <v>648</v>
      </c>
      <c r="B93" s="24" t="s">
        <v>301</v>
      </c>
      <c r="C93" s="24" t="s">
        <v>120</v>
      </c>
      <c r="D93" s="24" t="s">
        <v>629</v>
      </c>
      <c r="E93" s="24" t="s">
        <v>630</v>
      </c>
      <c r="F93" s="24" t="s">
        <v>649</v>
      </c>
      <c r="G93" s="24" t="s">
        <v>348</v>
      </c>
      <c r="H93" s="24" t="s">
        <v>310</v>
      </c>
      <c r="I93" s="24" t="s">
        <v>650</v>
      </c>
      <c r="J93" s="24" t="s">
        <v>283</v>
      </c>
    </row>
    <row r="94" customFormat="false" ht="32.8" hidden="false" customHeight="false" outlineLevel="0" collapsed="false">
      <c r="A94" s="24" t="s">
        <v>651</v>
      </c>
      <c r="B94" s="24" t="s">
        <v>301</v>
      </c>
      <c r="C94" s="24" t="s">
        <v>50</v>
      </c>
      <c r="D94" s="24" t="s">
        <v>629</v>
      </c>
      <c r="E94" s="24" t="s">
        <v>630</v>
      </c>
      <c r="F94" s="24" t="s">
        <v>49</v>
      </c>
      <c r="G94" s="24" t="s">
        <v>348</v>
      </c>
      <c r="H94" s="24" t="s">
        <v>34</v>
      </c>
      <c r="I94" s="24" t="s">
        <v>652</v>
      </c>
      <c r="J94" s="24" t="s">
        <v>283</v>
      </c>
    </row>
    <row r="95" customFormat="false" ht="32.8" hidden="false" customHeight="false" outlineLevel="0" collapsed="false">
      <c r="A95" s="24" t="s">
        <v>653</v>
      </c>
      <c r="B95" s="24" t="s">
        <v>301</v>
      </c>
      <c r="C95" s="24" t="s">
        <v>68</v>
      </c>
      <c r="D95" s="24" t="s">
        <v>629</v>
      </c>
      <c r="E95" s="24" t="s">
        <v>630</v>
      </c>
      <c r="F95" s="24" t="s">
        <v>67</v>
      </c>
      <c r="G95" s="24" t="s">
        <v>348</v>
      </c>
      <c r="H95" s="24" t="s">
        <v>320</v>
      </c>
      <c r="I95" s="24" t="s">
        <v>654</v>
      </c>
      <c r="J95" s="24" t="s">
        <v>283</v>
      </c>
    </row>
    <row r="96" customFormat="false" ht="32.8" hidden="false" customHeight="false" outlineLevel="0" collapsed="false">
      <c r="A96" s="24" t="s">
        <v>655</v>
      </c>
      <c r="B96" s="24" t="s">
        <v>301</v>
      </c>
      <c r="C96" s="24" t="s">
        <v>118</v>
      </c>
      <c r="D96" s="24" t="s">
        <v>629</v>
      </c>
      <c r="E96" s="24" t="s">
        <v>630</v>
      </c>
      <c r="F96" s="24" t="s">
        <v>117</v>
      </c>
      <c r="G96" s="24" t="s">
        <v>348</v>
      </c>
      <c r="H96" s="24" t="s">
        <v>310</v>
      </c>
      <c r="I96" s="24" t="s">
        <v>656</v>
      </c>
      <c r="J96" s="24" t="s">
        <v>283</v>
      </c>
    </row>
    <row r="97" customFormat="false" ht="32.8" hidden="false" customHeight="false" outlineLevel="0" collapsed="false">
      <c r="A97" s="24" t="s">
        <v>657</v>
      </c>
      <c r="B97" s="24" t="s">
        <v>301</v>
      </c>
      <c r="C97" s="24" t="s">
        <v>45</v>
      </c>
      <c r="D97" s="24" t="s">
        <v>629</v>
      </c>
      <c r="E97" s="24" t="s">
        <v>630</v>
      </c>
      <c r="F97" s="24" t="s">
        <v>43</v>
      </c>
      <c r="G97" s="24" t="s">
        <v>348</v>
      </c>
      <c r="H97" s="24" t="s">
        <v>34</v>
      </c>
      <c r="I97" s="24" t="s">
        <v>658</v>
      </c>
      <c r="J97" s="24" t="s">
        <v>283</v>
      </c>
    </row>
    <row r="98" customFormat="false" ht="252.2" hidden="false" customHeight="false" outlineLevel="0" collapsed="false">
      <c r="A98" s="24" t="s">
        <v>659</v>
      </c>
      <c r="B98" s="24" t="s">
        <v>660</v>
      </c>
      <c r="C98" s="24" t="s">
        <v>661</v>
      </c>
      <c r="D98" s="24" t="s">
        <v>629</v>
      </c>
      <c r="E98" s="24" t="s">
        <v>662</v>
      </c>
      <c r="F98" s="24" t="s">
        <v>599</v>
      </c>
      <c r="G98" s="24" t="s">
        <v>599</v>
      </c>
      <c r="H98" s="24" t="s">
        <v>349</v>
      </c>
      <c r="I98" s="24" t="s">
        <v>663</v>
      </c>
      <c r="J98" s="24" t="s">
        <v>283</v>
      </c>
    </row>
    <row r="99" customFormat="false" ht="53.7" hidden="false" customHeight="false" outlineLevel="0" collapsed="false">
      <c r="A99" s="24" t="s">
        <v>664</v>
      </c>
      <c r="B99" s="24" t="s">
        <v>482</v>
      </c>
      <c r="C99" s="24" t="s">
        <v>665</v>
      </c>
      <c r="D99" s="24" t="s">
        <v>666</v>
      </c>
      <c r="E99" s="24" t="s">
        <v>667</v>
      </c>
      <c r="F99" s="24" t="s">
        <v>348</v>
      </c>
      <c r="G99" s="24" t="s">
        <v>668</v>
      </c>
      <c r="H99" s="24" t="s">
        <v>349</v>
      </c>
      <c r="I99" s="24" t="s">
        <v>669</v>
      </c>
      <c r="J99" s="24" t="s">
        <v>283</v>
      </c>
    </row>
    <row r="100" customFormat="false" ht="199.95" hidden="false" customHeight="false" outlineLevel="0" collapsed="false">
      <c r="A100" s="24" t="s">
        <v>670</v>
      </c>
      <c r="B100" s="24" t="s">
        <v>344</v>
      </c>
      <c r="C100" s="24" t="s">
        <v>671</v>
      </c>
      <c r="D100" s="24" t="s">
        <v>672</v>
      </c>
      <c r="E100" s="24" t="s">
        <v>667</v>
      </c>
      <c r="F100" s="24" t="s">
        <v>348</v>
      </c>
      <c r="G100" s="24" t="s">
        <v>549</v>
      </c>
      <c r="H100" s="24" t="s">
        <v>673</v>
      </c>
      <c r="I100" s="24" t="s">
        <v>674</v>
      </c>
      <c r="J100" s="24" t="s">
        <v>283</v>
      </c>
    </row>
    <row r="101" customFormat="false" ht="210.4" hidden="false" customHeight="false" outlineLevel="0" collapsed="false">
      <c r="A101" s="24" t="s">
        <v>675</v>
      </c>
      <c r="B101" s="24" t="s">
        <v>344</v>
      </c>
      <c r="C101" s="24" t="s">
        <v>676</v>
      </c>
      <c r="D101" s="24" t="s">
        <v>672</v>
      </c>
      <c r="E101" s="24" t="s">
        <v>667</v>
      </c>
      <c r="F101" s="24" t="s">
        <v>348</v>
      </c>
      <c r="G101" s="24" t="s">
        <v>677</v>
      </c>
      <c r="H101" s="24" t="s">
        <v>678</v>
      </c>
      <c r="I101" s="24" t="s">
        <v>679</v>
      </c>
      <c r="J101" s="24" t="s">
        <v>283</v>
      </c>
    </row>
    <row r="102" customFormat="false" ht="189.55" hidden="false" customHeight="false" outlineLevel="0" collapsed="false">
      <c r="A102" s="24" t="s">
        <v>680</v>
      </c>
      <c r="B102" s="24" t="s">
        <v>218</v>
      </c>
      <c r="C102" s="24" t="s">
        <v>681</v>
      </c>
      <c r="D102" s="24" t="s">
        <v>682</v>
      </c>
      <c r="E102" s="24" t="s">
        <v>683</v>
      </c>
      <c r="F102" s="24" t="s">
        <v>684</v>
      </c>
      <c r="G102" s="24" t="s">
        <v>685</v>
      </c>
      <c r="H102" s="24" t="s">
        <v>479</v>
      </c>
      <c r="I102" s="24" t="s">
        <v>686</v>
      </c>
      <c r="J102" s="24" t="s">
        <v>283</v>
      </c>
    </row>
    <row r="103" customFormat="false" ht="43.25" hidden="false" customHeight="false" outlineLevel="0" collapsed="false">
      <c r="A103" s="24" t="s">
        <v>687</v>
      </c>
      <c r="B103" s="24" t="s">
        <v>546</v>
      </c>
      <c r="C103" s="24" t="s">
        <v>688</v>
      </c>
      <c r="D103" s="24" t="s">
        <v>689</v>
      </c>
      <c r="E103" s="24" t="s">
        <v>690</v>
      </c>
      <c r="F103" s="24" t="s">
        <v>691</v>
      </c>
      <c r="G103" s="24" t="s">
        <v>692</v>
      </c>
      <c r="H103" s="24" t="s">
        <v>349</v>
      </c>
      <c r="I103" s="24" t="s">
        <v>693</v>
      </c>
      <c r="J103" s="24" t="s">
        <v>283</v>
      </c>
    </row>
    <row r="104" customFormat="false" ht="22.35" hidden="false" customHeight="false" outlineLevel="0" collapsed="false">
      <c r="A104" s="24" t="s">
        <v>694</v>
      </c>
      <c r="B104" s="24" t="s">
        <v>546</v>
      </c>
      <c r="C104" s="24" t="s">
        <v>695</v>
      </c>
      <c r="D104" s="24" t="s">
        <v>696</v>
      </c>
      <c r="E104" s="24" t="s">
        <v>697</v>
      </c>
      <c r="F104" s="24" t="s">
        <v>698</v>
      </c>
      <c r="G104" s="24" t="s">
        <v>692</v>
      </c>
      <c r="H104" s="24" t="s">
        <v>349</v>
      </c>
      <c r="I104" s="24" t="s">
        <v>693</v>
      </c>
      <c r="J104" s="24" t="s">
        <v>283</v>
      </c>
    </row>
    <row r="105" customFormat="false" ht="241.75" hidden="false" customHeight="false" outlineLevel="0" collapsed="false">
      <c r="A105" s="24" t="s">
        <v>699</v>
      </c>
      <c r="B105" s="24" t="s">
        <v>546</v>
      </c>
      <c r="C105" s="24" t="s">
        <v>700</v>
      </c>
      <c r="D105" s="24" t="s">
        <v>701</v>
      </c>
      <c r="E105" s="24" t="s">
        <v>702</v>
      </c>
      <c r="F105" s="24" t="s">
        <v>703</v>
      </c>
      <c r="G105" s="24" t="s">
        <v>241</v>
      </c>
      <c r="H105" s="24" t="s">
        <v>349</v>
      </c>
      <c r="I105" s="24" t="s">
        <v>704</v>
      </c>
      <c r="J105" s="24" t="s">
        <v>283</v>
      </c>
    </row>
    <row r="106" customFormat="false" ht="64.15" hidden="false" customHeight="false" outlineLevel="0" collapsed="false">
      <c r="A106" s="24" t="s">
        <v>705</v>
      </c>
      <c r="B106" s="24" t="s">
        <v>596</v>
      </c>
      <c r="C106" s="24" t="s">
        <v>706</v>
      </c>
      <c r="D106" s="24" t="s">
        <v>707</v>
      </c>
      <c r="E106" s="24" t="s">
        <v>708</v>
      </c>
      <c r="F106" s="24" t="s">
        <v>709</v>
      </c>
      <c r="G106" s="24" t="s">
        <v>241</v>
      </c>
      <c r="H106" s="24" t="s">
        <v>349</v>
      </c>
      <c r="I106" s="24" t="s">
        <v>710</v>
      </c>
      <c r="J106" s="24" t="s">
        <v>283</v>
      </c>
    </row>
    <row r="107" customFormat="false" ht="189.55" hidden="false" customHeight="false" outlineLevel="0" collapsed="false">
      <c r="A107" s="24" t="s">
        <v>711</v>
      </c>
      <c r="B107" s="24" t="s">
        <v>596</v>
      </c>
      <c r="C107" s="24" t="s">
        <v>712</v>
      </c>
      <c r="D107" s="24" t="s">
        <v>707</v>
      </c>
      <c r="E107" s="24" t="s">
        <v>713</v>
      </c>
      <c r="F107" s="24" t="s">
        <v>709</v>
      </c>
      <c r="G107" s="24" t="s">
        <v>241</v>
      </c>
      <c r="H107" s="24" t="s">
        <v>349</v>
      </c>
      <c r="I107" s="24" t="s">
        <v>714</v>
      </c>
      <c r="J107" s="24" t="s">
        <v>283</v>
      </c>
    </row>
    <row r="108" customFormat="false" ht="64.15" hidden="false" customHeight="false" outlineLevel="0" collapsed="false">
      <c r="A108" s="24" t="s">
        <v>194</v>
      </c>
      <c r="B108" s="24" t="s">
        <v>715</v>
      </c>
      <c r="C108" s="24" t="s">
        <v>204</v>
      </c>
      <c r="D108" s="24" t="s">
        <v>716</v>
      </c>
      <c r="E108" s="24" t="s">
        <v>717</v>
      </c>
      <c r="F108" s="24" t="s">
        <v>718</v>
      </c>
      <c r="G108" s="24" t="s">
        <v>719</v>
      </c>
      <c r="H108" s="24" t="s">
        <v>349</v>
      </c>
      <c r="I108" s="24" t="s">
        <v>720</v>
      </c>
      <c r="J108" s="24" t="s">
        <v>283</v>
      </c>
    </row>
    <row r="109" customFormat="false" ht="199.95" hidden="false" customHeight="false" outlineLevel="0" collapsed="false">
      <c r="A109" s="24" t="s">
        <v>721</v>
      </c>
      <c r="B109" s="24" t="s">
        <v>546</v>
      </c>
      <c r="C109" s="24" t="s">
        <v>722</v>
      </c>
      <c r="D109" s="24" t="s">
        <v>723</v>
      </c>
      <c r="E109" s="24" t="s">
        <v>723</v>
      </c>
      <c r="F109" s="24" t="s">
        <v>724</v>
      </c>
      <c r="G109" s="24" t="s">
        <v>725</v>
      </c>
      <c r="H109" s="24" t="s">
        <v>726</v>
      </c>
      <c r="I109" s="24" t="s">
        <v>727</v>
      </c>
      <c r="J109" s="24" t="s">
        <v>283</v>
      </c>
    </row>
    <row r="110" customFormat="false" ht="199.95" hidden="false" customHeight="false" outlineLevel="0" collapsed="false">
      <c r="A110" s="24" t="s">
        <v>728</v>
      </c>
      <c r="B110" s="24" t="s">
        <v>546</v>
      </c>
      <c r="C110" s="24" t="s">
        <v>729</v>
      </c>
      <c r="D110" s="24" t="s">
        <v>723</v>
      </c>
      <c r="E110" s="24" t="s">
        <v>730</v>
      </c>
      <c r="F110" s="24" t="s">
        <v>731</v>
      </c>
      <c r="G110" s="24" t="s">
        <v>732</v>
      </c>
      <c r="H110" s="24" t="s">
        <v>479</v>
      </c>
      <c r="I110" s="24" t="s">
        <v>733</v>
      </c>
      <c r="J110" s="24" t="s">
        <v>283</v>
      </c>
    </row>
    <row r="111" customFormat="false" ht="168.65" hidden="false" customHeight="false" outlineLevel="0" collapsed="false">
      <c r="A111" s="24" t="s">
        <v>734</v>
      </c>
      <c r="B111" s="24" t="s">
        <v>735</v>
      </c>
      <c r="C111" s="24" t="s">
        <v>736</v>
      </c>
      <c r="D111" s="24" t="s">
        <v>737</v>
      </c>
      <c r="E111" s="24" t="s">
        <v>738</v>
      </c>
      <c r="F111" s="24" t="s">
        <v>739</v>
      </c>
      <c r="G111" s="24" t="s">
        <v>719</v>
      </c>
      <c r="H111" s="24" t="s">
        <v>479</v>
      </c>
      <c r="I111" s="24" t="s">
        <v>740</v>
      </c>
      <c r="J111" s="24" t="s">
        <v>283</v>
      </c>
    </row>
    <row r="112" customFormat="false" ht="53.7" hidden="false" customHeight="false" outlineLevel="0" collapsed="false">
      <c r="A112" s="24" t="s">
        <v>741</v>
      </c>
      <c r="B112" s="24" t="s">
        <v>546</v>
      </c>
      <c r="C112" s="24" t="s">
        <v>742</v>
      </c>
      <c r="D112" s="24" t="s">
        <v>743</v>
      </c>
      <c r="E112" s="24" t="s">
        <v>744</v>
      </c>
      <c r="F112" s="24" t="s">
        <v>745</v>
      </c>
      <c r="G112" s="24" t="s">
        <v>746</v>
      </c>
      <c r="H112" s="24" t="s">
        <v>747</v>
      </c>
      <c r="I112" s="24" t="s">
        <v>693</v>
      </c>
      <c r="J112" s="24" t="s">
        <v>283</v>
      </c>
    </row>
    <row r="113" customFormat="false" ht="179.1" hidden="false" customHeight="false" outlineLevel="0" collapsed="false">
      <c r="A113" s="24" t="s">
        <v>748</v>
      </c>
      <c r="B113" s="24" t="s">
        <v>218</v>
      </c>
      <c r="C113" s="24" t="s">
        <v>749</v>
      </c>
      <c r="D113" s="24" t="s">
        <v>750</v>
      </c>
      <c r="E113" s="24" t="s">
        <v>751</v>
      </c>
      <c r="F113" s="24" t="s">
        <v>752</v>
      </c>
      <c r="G113" s="24" t="s">
        <v>753</v>
      </c>
      <c r="H113" s="24" t="s">
        <v>479</v>
      </c>
      <c r="I113" s="24" t="s">
        <v>754</v>
      </c>
      <c r="J113" s="24" t="s">
        <v>283</v>
      </c>
    </row>
    <row r="114" customFormat="false" ht="116.4" hidden="false" customHeight="false" outlineLevel="0" collapsed="false">
      <c r="A114" s="24" t="s">
        <v>755</v>
      </c>
      <c r="B114" s="24" t="s">
        <v>218</v>
      </c>
      <c r="C114" s="24" t="s">
        <v>756</v>
      </c>
      <c r="D114" s="24" t="s">
        <v>757</v>
      </c>
      <c r="E114" s="24" t="s">
        <v>758</v>
      </c>
      <c r="F114" s="24" t="s">
        <v>759</v>
      </c>
      <c r="G114" s="24" t="s">
        <v>760</v>
      </c>
      <c r="H114" s="24" t="s">
        <v>479</v>
      </c>
      <c r="I114" s="24" t="s">
        <v>761</v>
      </c>
      <c r="J114" s="24" t="s">
        <v>283</v>
      </c>
    </row>
    <row r="115" customFormat="false" ht="43.25" hidden="false" customHeight="false" outlineLevel="0" collapsed="false">
      <c r="A115" s="24" t="s">
        <v>196</v>
      </c>
      <c r="B115" s="24" t="s">
        <v>546</v>
      </c>
      <c r="C115" s="24" t="s">
        <v>206</v>
      </c>
      <c r="D115" s="24" t="s">
        <v>762</v>
      </c>
      <c r="E115" s="24" t="s">
        <v>763</v>
      </c>
      <c r="F115" s="24" t="s">
        <v>718</v>
      </c>
      <c r="G115" s="24" t="s">
        <v>764</v>
      </c>
      <c r="H115" s="24" t="s">
        <v>349</v>
      </c>
      <c r="I115" s="24" t="s">
        <v>765</v>
      </c>
      <c r="J115" s="24" t="s">
        <v>283</v>
      </c>
    </row>
    <row r="116" customFormat="false" ht="147.75" hidden="false" customHeight="false" outlineLevel="0" collapsed="false">
      <c r="A116" s="24" t="s">
        <v>766</v>
      </c>
      <c r="B116" s="24" t="s">
        <v>767</v>
      </c>
      <c r="C116" s="24" t="s">
        <v>768</v>
      </c>
      <c r="D116" s="24" t="s">
        <v>769</v>
      </c>
      <c r="E116" s="24" t="s">
        <v>770</v>
      </c>
      <c r="F116" s="24" t="s">
        <v>771</v>
      </c>
      <c r="G116" s="24" t="s">
        <v>719</v>
      </c>
      <c r="H116" s="24" t="s">
        <v>772</v>
      </c>
      <c r="I116" s="24" t="s">
        <v>773</v>
      </c>
      <c r="J116" s="24" t="s">
        <v>283</v>
      </c>
    </row>
    <row r="117" customFormat="false" ht="53.7" hidden="false" customHeight="false" outlineLevel="0" collapsed="false">
      <c r="A117" s="24" t="s">
        <v>774</v>
      </c>
      <c r="B117" s="24" t="s">
        <v>546</v>
      </c>
      <c r="C117" s="24" t="s">
        <v>775</v>
      </c>
      <c r="D117" s="24" t="s">
        <v>776</v>
      </c>
      <c r="E117" s="24" t="s">
        <v>777</v>
      </c>
      <c r="F117" s="24" t="s">
        <v>778</v>
      </c>
      <c r="G117" s="24" t="s">
        <v>779</v>
      </c>
      <c r="H117" s="24" t="s">
        <v>479</v>
      </c>
      <c r="I117" s="24" t="s">
        <v>693</v>
      </c>
      <c r="J117" s="24" t="s">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1"/>
    <col collapsed="false" customWidth="true" hidden="false" outlineLevel="0" max="6" min="6" style="0" width="26"/>
    <col collapsed="false" customWidth="true" hidden="false" outlineLevel="0" max="7" min="7" style="0" width="24"/>
    <col collapsed="false" customWidth="true" hidden="false" outlineLevel="0" max="8" min="8" style="0" width="26"/>
    <col collapsed="false" customWidth="true" hidden="false" outlineLevel="0" max="9" min="9" style="0" width="10"/>
    <col collapsed="false" customWidth="true" hidden="false" outlineLevel="0" max="14" min="14" style="0" width="8"/>
    <col collapsed="false" customWidth="true" hidden="false" outlineLevel="0" max="21" min="21" style="0" width="40"/>
  </cols>
  <sheetData>
    <row r="1" customFormat="false" ht="32.8" hidden="false" customHeight="false" outlineLevel="0" collapsed="false">
      <c r="A1" s="39" t="s">
        <v>780</v>
      </c>
      <c r="B1" s="39" t="s">
        <v>181</v>
      </c>
      <c r="C1" s="39" t="s">
        <v>266</v>
      </c>
      <c r="D1" s="39" t="s">
        <v>781</v>
      </c>
      <c r="E1" s="39" t="s">
        <v>782</v>
      </c>
      <c r="F1" s="39" t="s">
        <v>783</v>
      </c>
      <c r="G1" s="39" t="s">
        <v>784</v>
      </c>
      <c r="H1" s="39" t="s">
        <v>785</v>
      </c>
      <c r="I1" s="39" t="s">
        <v>786</v>
      </c>
      <c r="J1" s="39" t="s">
        <v>787</v>
      </c>
      <c r="K1" s="39" t="s">
        <v>788</v>
      </c>
      <c r="L1" s="39" t="s">
        <v>789</v>
      </c>
      <c r="M1" s="39" t="s">
        <v>790</v>
      </c>
      <c r="N1" s="39" t="s">
        <v>40</v>
      </c>
      <c r="O1" s="39" t="s">
        <v>791</v>
      </c>
      <c r="P1" s="39" t="s">
        <v>792</v>
      </c>
      <c r="Q1" s="39" t="s">
        <v>793</v>
      </c>
      <c r="R1" s="39" t="s">
        <v>794</v>
      </c>
      <c r="S1" s="39" t="s">
        <v>795</v>
      </c>
      <c r="T1" s="39" t="s">
        <v>796</v>
      </c>
      <c r="U1" s="39" t="s">
        <v>797</v>
      </c>
      <c r="V1" s="39" t="s">
        <v>798</v>
      </c>
      <c r="W1" s="39" t="s">
        <v>799</v>
      </c>
    </row>
    <row r="2" customFormat="false" ht="273.1" hidden="false" customHeight="false" outlineLevel="0" collapsed="false">
      <c r="A2" s="24" t="s">
        <v>800</v>
      </c>
      <c r="B2" s="24" t="s">
        <v>657</v>
      </c>
      <c r="C2" s="24" t="s">
        <v>45</v>
      </c>
      <c r="D2" s="24" t="s">
        <v>629</v>
      </c>
      <c r="E2" s="24" t="s">
        <v>630</v>
      </c>
      <c r="F2" s="24" t="s">
        <v>43</v>
      </c>
      <c r="G2" s="24" t="s">
        <v>348</v>
      </c>
      <c r="H2" s="24" t="s">
        <v>34</v>
      </c>
      <c r="I2" s="24" t="s">
        <v>801</v>
      </c>
      <c r="J2" s="24" t="s">
        <v>802</v>
      </c>
      <c r="K2" s="24" t="s">
        <v>800</v>
      </c>
      <c r="L2" s="24" t="s">
        <v>47</v>
      </c>
      <c r="M2" s="24" t="s">
        <v>44</v>
      </c>
      <c r="N2" s="24" t="s">
        <v>803</v>
      </c>
      <c r="O2" s="24" t="s">
        <v>46</v>
      </c>
      <c r="P2" s="24" t="s">
        <v>804</v>
      </c>
      <c r="Q2" s="24" t="s">
        <v>805</v>
      </c>
      <c r="R2" s="24" t="s">
        <v>806</v>
      </c>
      <c r="S2" s="24" t="s">
        <v>807</v>
      </c>
      <c r="T2" s="24" t="s">
        <v>808</v>
      </c>
      <c r="U2" s="24" t="s">
        <v>808</v>
      </c>
      <c r="V2" s="24" t="s">
        <v>809</v>
      </c>
      <c r="W2" s="24" t="s">
        <v>283</v>
      </c>
    </row>
    <row r="3" customFormat="false" ht="273.1" hidden="false" customHeight="false" outlineLevel="0" collapsed="false">
      <c r="A3" s="24" t="s">
        <v>810</v>
      </c>
      <c r="B3" s="24" t="s">
        <v>655</v>
      </c>
      <c r="C3" s="24" t="s">
        <v>118</v>
      </c>
      <c r="D3" s="24" t="s">
        <v>629</v>
      </c>
      <c r="E3" s="24" t="s">
        <v>630</v>
      </c>
      <c r="F3" s="24" t="s">
        <v>117</v>
      </c>
      <c r="G3" s="24" t="s">
        <v>348</v>
      </c>
      <c r="H3" s="24" t="s">
        <v>116</v>
      </c>
      <c r="I3" s="24" t="s">
        <v>801</v>
      </c>
      <c r="J3" s="24" t="s">
        <v>802</v>
      </c>
      <c r="K3" s="24" t="s">
        <v>811</v>
      </c>
      <c r="L3" s="24" t="s">
        <v>47</v>
      </c>
      <c r="M3" s="24" t="s">
        <v>44</v>
      </c>
      <c r="N3" s="24" t="s">
        <v>803</v>
      </c>
      <c r="O3" s="24" t="s">
        <v>46</v>
      </c>
      <c r="P3" s="24" t="s">
        <v>804</v>
      </c>
      <c r="Q3" s="24" t="s">
        <v>812</v>
      </c>
      <c r="R3" s="24" t="s">
        <v>806</v>
      </c>
      <c r="S3" s="24" t="s">
        <v>807</v>
      </c>
      <c r="T3" s="24" t="s">
        <v>808</v>
      </c>
      <c r="U3" s="24" t="s">
        <v>808</v>
      </c>
      <c r="V3" s="24" t="s">
        <v>809</v>
      </c>
      <c r="W3" s="24" t="s">
        <v>283</v>
      </c>
    </row>
    <row r="4" customFormat="false" ht="273.1" hidden="false" customHeight="false" outlineLevel="0" collapsed="false">
      <c r="A4" s="24" t="s">
        <v>811</v>
      </c>
      <c r="B4" s="24" t="s">
        <v>653</v>
      </c>
      <c r="C4" s="24" t="s">
        <v>68</v>
      </c>
      <c r="D4" s="24" t="s">
        <v>629</v>
      </c>
      <c r="E4" s="24" t="s">
        <v>630</v>
      </c>
      <c r="F4" s="24" t="s">
        <v>67</v>
      </c>
      <c r="G4" s="24" t="s">
        <v>348</v>
      </c>
      <c r="H4" s="24" t="s">
        <v>66</v>
      </c>
      <c r="I4" s="24" t="s">
        <v>801</v>
      </c>
      <c r="J4" s="24" t="s">
        <v>802</v>
      </c>
      <c r="K4" s="24" t="s">
        <v>810</v>
      </c>
      <c r="L4" s="24" t="s">
        <v>47</v>
      </c>
      <c r="M4" s="24" t="s">
        <v>44</v>
      </c>
      <c r="N4" s="24" t="s">
        <v>803</v>
      </c>
      <c r="O4" s="24" t="s">
        <v>46</v>
      </c>
      <c r="P4" s="24" t="s">
        <v>804</v>
      </c>
      <c r="Q4" s="24" t="s">
        <v>813</v>
      </c>
      <c r="R4" s="24" t="s">
        <v>806</v>
      </c>
      <c r="S4" s="24" t="s">
        <v>807</v>
      </c>
      <c r="T4" s="24" t="s">
        <v>808</v>
      </c>
      <c r="U4" s="24" t="s">
        <v>808</v>
      </c>
      <c r="V4" s="24" t="s">
        <v>809</v>
      </c>
      <c r="W4" s="24" t="s">
        <v>283</v>
      </c>
    </row>
    <row r="5" customFormat="false" ht="273.1" hidden="false" customHeight="false" outlineLevel="0" collapsed="false">
      <c r="A5" s="24" t="s">
        <v>814</v>
      </c>
      <c r="B5" s="24" t="s">
        <v>651</v>
      </c>
      <c r="C5" s="24" t="s">
        <v>50</v>
      </c>
      <c r="D5" s="24" t="s">
        <v>629</v>
      </c>
      <c r="E5" s="24" t="s">
        <v>630</v>
      </c>
      <c r="F5" s="24" t="s">
        <v>49</v>
      </c>
      <c r="G5" s="24" t="s">
        <v>348</v>
      </c>
      <c r="H5" s="24" t="s">
        <v>34</v>
      </c>
      <c r="I5" s="24" t="s">
        <v>801</v>
      </c>
      <c r="J5" s="24" t="s">
        <v>802</v>
      </c>
      <c r="K5" s="24" t="s">
        <v>800</v>
      </c>
      <c r="L5" s="24" t="s">
        <v>47</v>
      </c>
      <c r="M5" s="24" t="s">
        <v>44</v>
      </c>
      <c r="N5" s="24" t="s">
        <v>803</v>
      </c>
      <c r="O5" s="24" t="s">
        <v>46</v>
      </c>
      <c r="P5" s="24" t="s">
        <v>804</v>
      </c>
      <c r="Q5" s="24" t="s">
        <v>815</v>
      </c>
      <c r="R5" s="24" t="s">
        <v>806</v>
      </c>
      <c r="S5" s="24" t="s">
        <v>807</v>
      </c>
      <c r="T5" s="24" t="s">
        <v>808</v>
      </c>
      <c r="U5" s="24" t="s">
        <v>808</v>
      </c>
      <c r="V5" s="24" t="s">
        <v>809</v>
      </c>
      <c r="W5" s="24" t="s">
        <v>283</v>
      </c>
    </row>
    <row r="6" customFormat="false" ht="273.1" hidden="false" customHeight="false" outlineLevel="0" collapsed="false">
      <c r="A6" s="24" t="s">
        <v>816</v>
      </c>
      <c r="B6" s="24" t="s">
        <v>648</v>
      </c>
      <c r="C6" s="24" t="s">
        <v>120</v>
      </c>
      <c r="D6" s="24" t="s">
        <v>629</v>
      </c>
      <c r="E6" s="24" t="s">
        <v>630</v>
      </c>
      <c r="F6" s="24" t="s">
        <v>119</v>
      </c>
      <c r="G6" s="24" t="s">
        <v>348</v>
      </c>
      <c r="H6" s="24" t="s">
        <v>116</v>
      </c>
      <c r="I6" s="24" t="s">
        <v>801</v>
      </c>
      <c r="J6" s="24" t="s">
        <v>802</v>
      </c>
      <c r="K6" s="24" t="s">
        <v>811</v>
      </c>
      <c r="L6" s="24" t="s">
        <v>47</v>
      </c>
      <c r="M6" s="24" t="s">
        <v>44</v>
      </c>
      <c r="N6" s="24" t="s">
        <v>803</v>
      </c>
      <c r="O6" s="24" t="s">
        <v>46</v>
      </c>
      <c r="P6" s="24" t="s">
        <v>804</v>
      </c>
      <c r="Q6" s="24" t="s">
        <v>817</v>
      </c>
      <c r="R6" s="24" t="s">
        <v>806</v>
      </c>
      <c r="S6" s="24" t="s">
        <v>807</v>
      </c>
      <c r="T6" s="24" t="s">
        <v>808</v>
      </c>
      <c r="U6" s="24" t="s">
        <v>818</v>
      </c>
      <c r="V6" s="24" t="s">
        <v>809</v>
      </c>
      <c r="W6" s="24" t="s">
        <v>283</v>
      </c>
    </row>
    <row r="7" customFormat="false" ht="273.1" hidden="false" customHeight="false" outlineLevel="0" collapsed="false">
      <c r="A7" s="24" t="s">
        <v>819</v>
      </c>
      <c r="B7" s="24" t="s">
        <v>646</v>
      </c>
      <c r="C7" s="24" t="s">
        <v>122</v>
      </c>
      <c r="D7" s="24" t="s">
        <v>629</v>
      </c>
      <c r="E7" s="24" t="s">
        <v>630</v>
      </c>
      <c r="F7" s="24" t="s">
        <v>121</v>
      </c>
      <c r="G7" s="24" t="s">
        <v>348</v>
      </c>
      <c r="H7" s="24" t="s">
        <v>116</v>
      </c>
      <c r="I7" s="24" t="s">
        <v>801</v>
      </c>
      <c r="J7" s="24" t="s">
        <v>802</v>
      </c>
      <c r="K7" s="24" t="s">
        <v>811</v>
      </c>
      <c r="L7" s="24" t="s">
        <v>47</v>
      </c>
      <c r="M7" s="24" t="s">
        <v>44</v>
      </c>
      <c r="N7" s="24" t="s">
        <v>803</v>
      </c>
      <c r="O7" s="24" t="s">
        <v>46</v>
      </c>
      <c r="P7" s="24" t="s">
        <v>804</v>
      </c>
      <c r="Q7" s="24" t="s">
        <v>820</v>
      </c>
      <c r="R7" s="24" t="s">
        <v>806</v>
      </c>
      <c r="S7" s="24" t="s">
        <v>807</v>
      </c>
      <c r="T7" s="24" t="s">
        <v>808</v>
      </c>
      <c r="U7" s="24" t="s">
        <v>818</v>
      </c>
      <c r="V7" s="24" t="s">
        <v>809</v>
      </c>
      <c r="W7" s="24" t="s">
        <v>283</v>
      </c>
    </row>
    <row r="8" customFormat="false" ht="273.1" hidden="false" customHeight="false" outlineLevel="0" collapsed="false">
      <c r="A8" s="24" t="s">
        <v>821</v>
      </c>
      <c r="B8" s="24" t="s">
        <v>644</v>
      </c>
      <c r="C8" s="24" t="s">
        <v>70</v>
      </c>
      <c r="D8" s="24" t="s">
        <v>629</v>
      </c>
      <c r="E8" s="24" t="s">
        <v>630</v>
      </c>
      <c r="F8" s="24" t="s">
        <v>69</v>
      </c>
      <c r="G8" s="24" t="s">
        <v>348</v>
      </c>
      <c r="H8" s="24" t="s">
        <v>66</v>
      </c>
      <c r="I8" s="24" t="s">
        <v>801</v>
      </c>
      <c r="J8" s="24" t="s">
        <v>802</v>
      </c>
      <c r="K8" s="24" t="s">
        <v>810</v>
      </c>
      <c r="L8" s="24" t="s">
        <v>47</v>
      </c>
      <c r="M8" s="24" t="s">
        <v>44</v>
      </c>
      <c r="N8" s="24" t="s">
        <v>803</v>
      </c>
      <c r="O8" s="24" t="s">
        <v>46</v>
      </c>
      <c r="P8" s="24" t="s">
        <v>804</v>
      </c>
      <c r="Q8" s="24" t="s">
        <v>822</v>
      </c>
      <c r="R8" s="24" t="s">
        <v>806</v>
      </c>
      <c r="S8" s="24" t="s">
        <v>807</v>
      </c>
      <c r="T8" s="24" t="s">
        <v>808</v>
      </c>
      <c r="U8" s="24" t="s">
        <v>808</v>
      </c>
      <c r="V8" s="24" t="s">
        <v>809</v>
      </c>
      <c r="W8" s="24" t="s">
        <v>283</v>
      </c>
    </row>
    <row r="9" customFormat="false" ht="273.1" hidden="false" customHeight="false" outlineLevel="0" collapsed="false">
      <c r="A9" s="24" t="s">
        <v>823</v>
      </c>
      <c r="B9" s="24" t="s">
        <v>642</v>
      </c>
      <c r="C9" s="24" t="s">
        <v>72</v>
      </c>
      <c r="D9" s="24" t="s">
        <v>629</v>
      </c>
      <c r="E9" s="24" t="s">
        <v>630</v>
      </c>
      <c r="F9" s="24" t="s">
        <v>71</v>
      </c>
      <c r="G9" s="24" t="s">
        <v>348</v>
      </c>
      <c r="H9" s="24" t="s">
        <v>66</v>
      </c>
      <c r="I9" s="24" t="s">
        <v>801</v>
      </c>
      <c r="J9" s="24" t="s">
        <v>802</v>
      </c>
      <c r="K9" s="24" t="s">
        <v>810</v>
      </c>
      <c r="L9" s="24" t="s">
        <v>47</v>
      </c>
      <c r="M9" s="24" t="s">
        <v>44</v>
      </c>
      <c r="N9" s="24" t="s">
        <v>803</v>
      </c>
      <c r="O9" s="24" t="s">
        <v>46</v>
      </c>
      <c r="P9" s="24" t="s">
        <v>804</v>
      </c>
      <c r="Q9" s="24" t="s">
        <v>824</v>
      </c>
      <c r="R9" s="24" t="s">
        <v>806</v>
      </c>
      <c r="S9" s="24" t="s">
        <v>807</v>
      </c>
      <c r="T9" s="24" t="s">
        <v>808</v>
      </c>
      <c r="U9" s="24" t="s">
        <v>808</v>
      </c>
      <c r="V9" s="24" t="s">
        <v>809</v>
      </c>
      <c r="W9" s="24" t="s">
        <v>283</v>
      </c>
    </row>
    <row r="10" customFormat="false" ht="273.1" hidden="false" customHeight="false" outlineLevel="0" collapsed="false">
      <c r="A10" s="24" t="s">
        <v>825</v>
      </c>
      <c r="B10" s="24" t="s">
        <v>640</v>
      </c>
      <c r="C10" s="24" t="s">
        <v>74</v>
      </c>
      <c r="D10" s="24" t="s">
        <v>629</v>
      </c>
      <c r="E10" s="24" t="s">
        <v>630</v>
      </c>
      <c r="F10" s="24" t="s">
        <v>73</v>
      </c>
      <c r="G10" s="24" t="s">
        <v>348</v>
      </c>
      <c r="H10" s="24" t="s">
        <v>66</v>
      </c>
      <c r="I10" s="24" t="s">
        <v>801</v>
      </c>
      <c r="J10" s="24" t="s">
        <v>802</v>
      </c>
      <c r="K10" s="24" t="s">
        <v>810</v>
      </c>
      <c r="L10" s="24" t="s">
        <v>47</v>
      </c>
      <c r="M10" s="24" t="s">
        <v>44</v>
      </c>
      <c r="N10" s="24" t="s">
        <v>803</v>
      </c>
      <c r="O10" s="24" t="s">
        <v>46</v>
      </c>
      <c r="P10" s="24" t="s">
        <v>804</v>
      </c>
      <c r="Q10" s="24" t="s">
        <v>826</v>
      </c>
      <c r="R10" s="24" t="s">
        <v>806</v>
      </c>
      <c r="S10" s="24" t="s">
        <v>807</v>
      </c>
      <c r="T10" s="24" t="s">
        <v>808</v>
      </c>
      <c r="U10" s="24" t="s">
        <v>808</v>
      </c>
      <c r="V10" s="24" t="s">
        <v>809</v>
      </c>
      <c r="W10" s="24" t="s">
        <v>283</v>
      </c>
    </row>
    <row r="11" customFormat="false" ht="273.1" hidden="false" customHeight="false" outlineLevel="0" collapsed="false">
      <c r="A11" s="24" t="s">
        <v>827</v>
      </c>
      <c r="B11" s="24" t="s">
        <v>638</v>
      </c>
      <c r="C11" s="24" t="s">
        <v>76</v>
      </c>
      <c r="D11" s="24" t="s">
        <v>629</v>
      </c>
      <c r="E11" s="24" t="s">
        <v>630</v>
      </c>
      <c r="F11" s="24" t="s">
        <v>75</v>
      </c>
      <c r="G11" s="24" t="s">
        <v>348</v>
      </c>
      <c r="H11" s="24" t="s">
        <v>66</v>
      </c>
      <c r="I11" s="24" t="s">
        <v>801</v>
      </c>
      <c r="J11" s="24" t="s">
        <v>802</v>
      </c>
      <c r="K11" s="24" t="s">
        <v>810</v>
      </c>
      <c r="L11" s="24" t="s">
        <v>47</v>
      </c>
      <c r="M11" s="24" t="s">
        <v>44</v>
      </c>
      <c r="N11" s="24" t="s">
        <v>803</v>
      </c>
      <c r="O11" s="24" t="s">
        <v>46</v>
      </c>
      <c r="P11" s="24" t="s">
        <v>804</v>
      </c>
      <c r="Q11" s="24" t="s">
        <v>828</v>
      </c>
      <c r="R11" s="24" t="s">
        <v>806</v>
      </c>
      <c r="S11" s="24" t="s">
        <v>807</v>
      </c>
      <c r="T11" s="24" t="s">
        <v>808</v>
      </c>
      <c r="U11" s="24" t="s">
        <v>808</v>
      </c>
      <c r="V11" s="24" t="s">
        <v>809</v>
      </c>
      <c r="W11" s="24" t="s">
        <v>283</v>
      </c>
    </row>
    <row r="12" customFormat="false" ht="273.1" hidden="false" customHeight="false" outlineLevel="0" collapsed="false">
      <c r="A12" s="24" t="s">
        <v>829</v>
      </c>
      <c r="B12" s="24" t="s">
        <v>636</v>
      </c>
      <c r="C12" s="24" t="s">
        <v>78</v>
      </c>
      <c r="D12" s="24" t="s">
        <v>629</v>
      </c>
      <c r="E12" s="24" t="s">
        <v>630</v>
      </c>
      <c r="F12" s="24" t="s">
        <v>77</v>
      </c>
      <c r="G12" s="24" t="s">
        <v>348</v>
      </c>
      <c r="H12" s="24" t="s">
        <v>66</v>
      </c>
      <c r="I12" s="24" t="s">
        <v>801</v>
      </c>
      <c r="J12" s="24" t="s">
        <v>802</v>
      </c>
      <c r="K12" s="24" t="s">
        <v>810</v>
      </c>
      <c r="L12" s="24" t="s">
        <v>47</v>
      </c>
      <c r="M12" s="24" t="s">
        <v>44</v>
      </c>
      <c r="N12" s="24" t="s">
        <v>803</v>
      </c>
      <c r="O12" s="24" t="s">
        <v>46</v>
      </c>
      <c r="P12" s="24" t="s">
        <v>804</v>
      </c>
      <c r="Q12" s="24" t="s">
        <v>830</v>
      </c>
      <c r="R12" s="24" t="s">
        <v>806</v>
      </c>
      <c r="S12" s="24" t="s">
        <v>807</v>
      </c>
      <c r="T12" s="24" t="s">
        <v>808</v>
      </c>
      <c r="U12" s="24" t="s">
        <v>808</v>
      </c>
      <c r="V12" s="24" t="s">
        <v>809</v>
      </c>
      <c r="W12" s="24" t="s">
        <v>283</v>
      </c>
    </row>
    <row r="13" customFormat="false" ht="273.1" hidden="false" customHeight="false" outlineLevel="0" collapsed="false">
      <c r="A13" s="24" t="s">
        <v>831</v>
      </c>
      <c r="B13" s="24" t="s">
        <v>634</v>
      </c>
      <c r="C13" s="24" t="s">
        <v>80</v>
      </c>
      <c r="D13" s="24" t="s">
        <v>629</v>
      </c>
      <c r="E13" s="24" t="s">
        <v>630</v>
      </c>
      <c r="F13" s="24" t="s">
        <v>79</v>
      </c>
      <c r="G13" s="24" t="s">
        <v>348</v>
      </c>
      <c r="H13" s="24" t="s">
        <v>66</v>
      </c>
      <c r="I13" s="24" t="s">
        <v>801</v>
      </c>
      <c r="J13" s="24" t="s">
        <v>802</v>
      </c>
      <c r="K13" s="24" t="s">
        <v>810</v>
      </c>
      <c r="L13" s="24" t="s">
        <v>47</v>
      </c>
      <c r="M13" s="24" t="s">
        <v>44</v>
      </c>
      <c r="N13" s="24" t="s">
        <v>803</v>
      </c>
      <c r="O13" s="24" t="s">
        <v>46</v>
      </c>
      <c r="P13" s="24" t="s">
        <v>804</v>
      </c>
      <c r="Q13" s="24" t="s">
        <v>832</v>
      </c>
      <c r="R13" s="24" t="s">
        <v>806</v>
      </c>
      <c r="S13" s="24" t="s">
        <v>807</v>
      </c>
      <c r="T13" s="24" t="s">
        <v>808</v>
      </c>
      <c r="U13" s="24" t="s">
        <v>808</v>
      </c>
      <c r="V13" s="24" t="s">
        <v>809</v>
      </c>
      <c r="W13" s="24" t="s">
        <v>283</v>
      </c>
    </row>
    <row r="14" customFormat="false" ht="273.1" hidden="false" customHeight="false" outlineLevel="0" collapsed="false">
      <c r="A14" s="24" t="s">
        <v>833</v>
      </c>
      <c r="B14" s="24" t="s">
        <v>632</v>
      </c>
      <c r="C14" s="24" t="s">
        <v>82</v>
      </c>
      <c r="D14" s="24" t="s">
        <v>629</v>
      </c>
      <c r="E14" s="24" t="s">
        <v>630</v>
      </c>
      <c r="F14" s="24" t="s">
        <v>81</v>
      </c>
      <c r="G14" s="24" t="s">
        <v>348</v>
      </c>
      <c r="H14" s="24" t="s">
        <v>66</v>
      </c>
      <c r="I14" s="24" t="s">
        <v>801</v>
      </c>
      <c r="J14" s="24" t="s">
        <v>802</v>
      </c>
      <c r="K14" s="24" t="s">
        <v>810</v>
      </c>
      <c r="L14" s="24" t="s">
        <v>47</v>
      </c>
      <c r="M14" s="24" t="s">
        <v>44</v>
      </c>
      <c r="N14" s="24" t="s">
        <v>803</v>
      </c>
      <c r="O14" s="24" t="s">
        <v>46</v>
      </c>
      <c r="P14" s="24" t="s">
        <v>804</v>
      </c>
      <c r="Q14" s="24" t="s">
        <v>834</v>
      </c>
      <c r="R14" s="24" t="s">
        <v>806</v>
      </c>
      <c r="S14" s="24" t="s">
        <v>807</v>
      </c>
      <c r="T14" s="24" t="s">
        <v>808</v>
      </c>
      <c r="U14" s="24" t="s">
        <v>808</v>
      </c>
      <c r="V14" s="24" t="s">
        <v>809</v>
      </c>
      <c r="W14" s="24" t="s">
        <v>283</v>
      </c>
    </row>
    <row r="15" customFormat="false" ht="273.1" hidden="false" customHeight="false" outlineLevel="0" collapsed="false">
      <c r="A15" s="24" t="s">
        <v>835</v>
      </c>
      <c r="B15" s="24" t="s">
        <v>628</v>
      </c>
      <c r="C15" s="24" t="s">
        <v>84</v>
      </c>
      <c r="D15" s="24" t="s">
        <v>629</v>
      </c>
      <c r="E15" s="24" t="s">
        <v>630</v>
      </c>
      <c r="F15" s="24" t="s">
        <v>83</v>
      </c>
      <c r="G15" s="24" t="s">
        <v>348</v>
      </c>
      <c r="H15" s="24" t="s">
        <v>66</v>
      </c>
      <c r="I15" s="24" t="s">
        <v>801</v>
      </c>
      <c r="J15" s="24" t="s">
        <v>802</v>
      </c>
      <c r="K15" s="24" t="s">
        <v>810</v>
      </c>
      <c r="L15" s="24" t="s">
        <v>47</v>
      </c>
      <c r="M15" s="24" t="s">
        <v>44</v>
      </c>
      <c r="N15" s="24" t="s">
        <v>803</v>
      </c>
      <c r="O15" s="24" t="s">
        <v>46</v>
      </c>
      <c r="P15" s="24" t="s">
        <v>804</v>
      </c>
      <c r="Q15" s="24" t="s">
        <v>836</v>
      </c>
      <c r="R15" s="24" t="s">
        <v>806</v>
      </c>
      <c r="S15" s="24" t="s">
        <v>807</v>
      </c>
      <c r="T15" s="24" t="s">
        <v>808</v>
      </c>
      <c r="U15" s="24" t="s">
        <v>808</v>
      </c>
      <c r="V15" s="24" t="s">
        <v>809</v>
      </c>
      <c r="W15" s="24" t="s">
        <v>283</v>
      </c>
    </row>
    <row r="16" customFormat="false" ht="199.95" hidden="false" customHeight="false" outlineLevel="0" collapsed="false">
      <c r="A16" s="24" t="s">
        <v>837</v>
      </c>
      <c r="B16" s="24" t="s">
        <v>592</v>
      </c>
      <c r="C16" s="24" t="s">
        <v>124</v>
      </c>
      <c r="D16" s="24" t="s">
        <v>587</v>
      </c>
      <c r="E16" s="24" t="s">
        <v>588</v>
      </c>
      <c r="F16" s="24" t="s">
        <v>123</v>
      </c>
      <c r="G16" s="24" t="s">
        <v>414</v>
      </c>
      <c r="H16" s="24" t="s">
        <v>116</v>
      </c>
      <c r="I16" s="24" t="s">
        <v>801</v>
      </c>
      <c r="J16" s="24" t="s">
        <v>802</v>
      </c>
      <c r="K16" s="24" t="s">
        <v>811</v>
      </c>
      <c r="L16" s="24" t="s">
        <v>47</v>
      </c>
      <c r="M16" s="24" t="s">
        <v>44</v>
      </c>
      <c r="N16" s="24" t="s">
        <v>803</v>
      </c>
      <c r="O16" s="24" t="s">
        <v>46</v>
      </c>
      <c r="P16" s="24" t="s">
        <v>804</v>
      </c>
      <c r="Q16" s="24" t="s">
        <v>838</v>
      </c>
      <c r="R16" s="24" t="s">
        <v>806</v>
      </c>
      <c r="S16" s="24" t="s">
        <v>839</v>
      </c>
      <c r="T16" s="24" t="s">
        <v>808</v>
      </c>
      <c r="U16" s="24" t="s">
        <v>840</v>
      </c>
      <c r="V16" s="24" t="s">
        <v>841</v>
      </c>
      <c r="W16" s="24" t="s">
        <v>283</v>
      </c>
    </row>
    <row r="17" customFormat="false" ht="199.95" hidden="false" customHeight="false" outlineLevel="0" collapsed="false">
      <c r="A17" s="24" t="s">
        <v>842</v>
      </c>
      <c r="B17" s="24" t="s">
        <v>590</v>
      </c>
      <c r="C17" s="24" t="s">
        <v>127</v>
      </c>
      <c r="D17" s="24" t="s">
        <v>587</v>
      </c>
      <c r="E17" s="24" t="s">
        <v>588</v>
      </c>
      <c r="F17" s="24" t="s">
        <v>126</v>
      </c>
      <c r="G17" s="24" t="s">
        <v>414</v>
      </c>
      <c r="H17" s="24" t="s">
        <v>116</v>
      </c>
      <c r="I17" s="24" t="s">
        <v>801</v>
      </c>
      <c r="J17" s="24" t="s">
        <v>802</v>
      </c>
      <c r="K17" s="24" t="s">
        <v>811</v>
      </c>
      <c r="L17" s="24" t="s">
        <v>47</v>
      </c>
      <c r="M17" s="24" t="s">
        <v>44</v>
      </c>
      <c r="N17" s="24" t="s">
        <v>803</v>
      </c>
      <c r="O17" s="24" t="s">
        <v>46</v>
      </c>
      <c r="P17" s="24" t="s">
        <v>804</v>
      </c>
      <c r="Q17" s="24" t="s">
        <v>843</v>
      </c>
      <c r="R17" s="24" t="s">
        <v>806</v>
      </c>
      <c r="S17" s="24" t="s">
        <v>839</v>
      </c>
      <c r="T17" s="24" t="s">
        <v>808</v>
      </c>
      <c r="U17" s="24" t="s">
        <v>840</v>
      </c>
      <c r="V17" s="24" t="s">
        <v>841</v>
      </c>
      <c r="W17" s="24" t="s">
        <v>283</v>
      </c>
    </row>
    <row r="18" customFormat="false" ht="199.95" hidden="false" customHeight="false" outlineLevel="0" collapsed="false">
      <c r="A18" s="24" t="s">
        <v>844</v>
      </c>
      <c r="B18" s="24" t="s">
        <v>586</v>
      </c>
      <c r="C18" s="24" t="s">
        <v>129</v>
      </c>
      <c r="D18" s="24" t="s">
        <v>587</v>
      </c>
      <c r="E18" s="24" t="s">
        <v>588</v>
      </c>
      <c r="F18" s="24" t="s">
        <v>128</v>
      </c>
      <c r="G18" s="24" t="s">
        <v>414</v>
      </c>
      <c r="H18" s="24" t="s">
        <v>116</v>
      </c>
      <c r="I18" s="24" t="s">
        <v>801</v>
      </c>
      <c r="J18" s="24" t="s">
        <v>802</v>
      </c>
      <c r="K18" s="24" t="s">
        <v>811</v>
      </c>
      <c r="L18" s="24" t="s">
        <v>47</v>
      </c>
      <c r="M18" s="24" t="s">
        <v>44</v>
      </c>
      <c r="N18" s="24" t="s">
        <v>803</v>
      </c>
      <c r="O18" s="24" t="s">
        <v>46</v>
      </c>
      <c r="P18" s="24" t="s">
        <v>804</v>
      </c>
      <c r="Q18" s="24" t="s">
        <v>845</v>
      </c>
      <c r="R18" s="24" t="s">
        <v>806</v>
      </c>
      <c r="S18" s="24" t="s">
        <v>839</v>
      </c>
      <c r="T18" s="24" t="s">
        <v>808</v>
      </c>
      <c r="U18" s="24" t="s">
        <v>840</v>
      </c>
      <c r="V18" s="24" t="s">
        <v>841</v>
      </c>
      <c r="W18" s="24" t="s">
        <v>283</v>
      </c>
    </row>
    <row r="19" customFormat="false" ht="210.4" hidden="false" customHeight="false" outlineLevel="0" collapsed="false">
      <c r="A19" s="24" t="s">
        <v>846</v>
      </c>
      <c r="B19" s="24" t="s">
        <v>574</v>
      </c>
      <c r="C19" s="24" t="s">
        <v>131</v>
      </c>
      <c r="D19" s="24" t="s">
        <v>566</v>
      </c>
      <c r="E19" s="24" t="s">
        <v>567</v>
      </c>
      <c r="F19" s="24" t="s">
        <v>130</v>
      </c>
      <c r="G19" s="24" t="s">
        <v>348</v>
      </c>
      <c r="H19" s="24" t="s">
        <v>116</v>
      </c>
      <c r="I19" s="24" t="s">
        <v>847</v>
      </c>
      <c r="J19" s="24" t="s">
        <v>802</v>
      </c>
      <c r="K19" s="24" t="s">
        <v>811</v>
      </c>
      <c r="L19" s="24" t="s">
        <v>47</v>
      </c>
      <c r="M19" s="24" t="s">
        <v>44</v>
      </c>
      <c r="N19" s="24" t="s">
        <v>803</v>
      </c>
      <c r="O19" s="24" t="s">
        <v>46</v>
      </c>
      <c r="P19" s="24" t="s">
        <v>804</v>
      </c>
      <c r="Q19" s="24" t="s">
        <v>848</v>
      </c>
      <c r="R19" s="24" t="s">
        <v>806</v>
      </c>
      <c r="S19" s="24" t="s">
        <v>849</v>
      </c>
      <c r="T19" s="24" t="s">
        <v>808</v>
      </c>
      <c r="U19" s="24" t="s">
        <v>850</v>
      </c>
      <c r="V19" s="24" t="s">
        <v>841</v>
      </c>
      <c r="W19" s="24" t="s">
        <v>283</v>
      </c>
    </row>
    <row r="20" customFormat="false" ht="210.4" hidden="false" customHeight="false" outlineLevel="0" collapsed="false">
      <c r="A20" s="24" t="s">
        <v>851</v>
      </c>
      <c r="B20" s="24" t="s">
        <v>571</v>
      </c>
      <c r="C20" s="24" t="s">
        <v>133</v>
      </c>
      <c r="D20" s="24" t="s">
        <v>566</v>
      </c>
      <c r="E20" s="24" t="s">
        <v>567</v>
      </c>
      <c r="F20" s="24" t="s">
        <v>132</v>
      </c>
      <c r="G20" s="24" t="s">
        <v>348</v>
      </c>
      <c r="H20" s="24" t="s">
        <v>116</v>
      </c>
      <c r="I20" s="24" t="s">
        <v>847</v>
      </c>
      <c r="J20" s="24" t="s">
        <v>802</v>
      </c>
      <c r="K20" s="24" t="s">
        <v>811</v>
      </c>
      <c r="L20" s="24" t="s">
        <v>47</v>
      </c>
      <c r="M20" s="24" t="s">
        <v>44</v>
      </c>
      <c r="N20" s="24" t="s">
        <v>803</v>
      </c>
      <c r="O20" s="24" t="s">
        <v>46</v>
      </c>
      <c r="P20" s="24" t="s">
        <v>804</v>
      </c>
      <c r="Q20" s="24" t="s">
        <v>852</v>
      </c>
      <c r="R20" s="24" t="s">
        <v>806</v>
      </c>
      <c r="S20" s="24" t="s">
        <v>849</v>
      </c>
      <c r="T20" s="24" t="s">
        <v>808</v>
      </c>
      <c r="U20" s="24" t="s">
        <v>853</v>
      </c>
      <c r="V20" s="24" t="s">
        <v>841</v>
      </c>
      <c r="W20" s="24" t="s">
        <v>283</v>
      </c>
    </row>
    <row r="21" customFormat="false" ht="210.4" hidden="false" customHeight="false" outlineLevel="0" collapsed="false">
      <c r="A21" s="24" t="s">
        <v>854</v>
      </c>
      <c r="B21" s="24" t="s">
        <v>569</v>
      </c>
      <c r="C21" s="24" t="s">
        <v>135</v>
      </c>
      <c r="D21" s="24" t="s">
        <v>566</v>
      </c>
      <c r="E21" s="24" t="s">
        <v>567</v>
      </c>
      <c r="F21" s="24" t="s">
        <v>134</v>
      </c>
      <c r="G21" s="24" t="s">
        <v>348</v>
      </c>
      <c r="H21" s="24" t="s">
        <v>116</v>
      </c>
      <c r="I21" s="24" t="s">
        <v>847</v>
      </c>
      <c r="J21" s="24" t="s">
        <v>802</v>
      </c>
      <c r="K21" s="24" t="s">
        <v>811</v>
      </c>
      <c r="L21" s="24" t="s">
        <v>47</v>
      </c>
      <c r="M21" s="24" t="s">
        <v>44</v>
      </c>
      <c r="N21" s="24" t="s">
        <v>803</v>
      </c>
      <c r="O21" s="24" t="s">
        <v>46</v>
      </c>
      <c r="P21" s="24" t="s">
        <v>804</v>
      </c>
      <c r="Q21" s="24" t="s">
        <v>855</v>
      </c>
      <c r="R21" s="24" t="s">
        <v>806</v>
      </c>
      <c r="S21" s="24" t="s">
        <v>849</v>
      </c>
      <c r="T21" s="24" t="s">
        <v>808</v>
      </c>
      <c r="U21" s="24" t="s">
        <v>853</v>
      </c>
      <c r="V21" s="24" t="s">
        <v>841</v>
      </c>
      <c r="W21" s="24" t="s">
        <v>283</v>
      </c>
    </row>
    <row r="22" customFormat="false" ht="210.4" hidden="false" customHeight="false" outlineLevel="0" collapsed="false">
      <c r="A22" s="24" t="s">
        <v>856</v>
      </c>
      <c r="B22" s="24" t="s">
        <v>565</v>
      </c>
      <c r="C22" s="24" t="s">
        <v>51</v>
      </c>
      <c r="D22" s="24" t="s">
        <v>566</v>
      </c>
      <c r="E22" s="24" t="s">
        <v>567</v>
      </c>
      <c r="F22" s="24" t="s">
        <v>43</v>
      </c>
      <c r="G22" s="24" t="s">
        <v>348</v>
      </c>
      <c r="H22" s="24" t="s">
        <v>34</v>
      </c>
      <c r="I22" s="24" t="s">
        <v>847</v>
      </c>
      <c r="J22" s="24" t="s">
        <v>802</v>
      </c>
      <c r="K22" s="24" t="s">
        <v>800</v>
      </c>
      <c r="L22" s="24" t="s">
        <v>47</v>
      </c>
      <c r="M22" s="24" t="s">
        <v>44</v>
      </c>
      <c r="N22" s="24" t="s">
        <v>803</v>
      </c>
      <c r="O22" s="24" t="s">
        <v>46</v>
      </c>
      <c r="P22" s="24" t="s">
        <v>804</v>
      </c>
      <c r="Q22" s="24" t="s">
        <v>857</v>
      </c>
      <c r="R22" s="24" t="s">
        <v>806</v>
      </c>
      <c r="S22" s="24" t="s">
        <v>849</v>
      </c>
      <c r="T22" s="24" t="s">
        <v>808</v>
      </c>
      <c r="U22" s="24" t="s">
        <v>853</v>
      </c>
      <c r="V22" s="24" t="s">
        <v>841</v>
      </c>
      <c r="W22" s="24" t="s">
        <v>283</v>
      </c>
    </row>
    <row r="23" customFormat="false" ht="199.95" hidden="false" customHeight="false" outlineLevel="0" collapsed="false">
      <c r="A23" s="24" t="s">
        <v>858</v>
      </c>
      <c r="B23" s="24" t="s">
        <v>468</v>
      </c>
      <c r="C23" s="24" t="s">
        <v>86</v>
      </c>
      <c r="D23" s="24" t="s">
        <v>465</v>
      </c>
      <c r="E23" s="24" t="s">
        <v>469</v>
      </c>
      <c r="F23" s="24" t="s">
        <v>85</v>
      </c>
      <c r="G23" s="24" t="s">
        <v>85</v>
      </c>
      <c r="H23" s="24" t="s">
        <v>66</v>
      </c>
      <c r="I23" s="24" t="s">
        <v>859</v>
      </c>
      <c r="J23" s="24" t="s">
        <v>802</v>
      </c>
      <c r="K23" s="24" t="s">
        <v>810</v>
      </c>
      <c r="L23" s="24" t="s">
        <v>47</v>
      </c>
      <c r="M23" s="24" t="s">
        <v>44</v>
      </c>
      <c r="N23" s="24" t="s">
        <v>860</v>
      </c>
      <c r="O23" s="24" t="s">
        <v>46</v>
      </c>
      <c r="P23" s="24" t="s">
        <v>804</v>
      </c>
      <c r="Q23" s="24" t="s">
        <v>861</v>
      </c>
      <c r="R23" s="24" t="s">
        <v>806</v>
      </c>
      <c r="S23" s="24" t="s">
        <v>808</v>
      </c>
      <c r="T23" s="24" t="s">
        <v>808</v>
      </c>
      <c r="U23" s="24" t="s">
        <v>808</v>
      </c>
      <c r="V23" s="24" t="s">
        <v>808</v>
      </c>
      <c r="W23" s="24" t="s">
        <v>283</v>
      </c>
    </row>
    <row r="24" customFormat="false" ht="199.95" hidden="false" customHeight="false" outlineLevel="0" collapsed="false">
      <c r="A24" s="24" t="s">
        <v>862</v>
      </c>
      <c r="B24" s="24" t="s">
        <v>464</v>
      </c>
      <c r="C24" s="24" t="s">
        <v>89</v>
      </c>
      <c r="D24" s="24" t="s">
        <v>465</v>
      </c>
      <c r="E24" s="24" t="s">
        <v>466</v>
      </c>
      <c r="F24" s="24" t="s">
        <v>88</v>
      </c>
      <c r="G24" s="24" t="s">
        <v>88</v>
      </c>
      <c r="H24" s="24" t="s">
        <v>66</v>
      </c>
      <c r="I24" s="24" t="s">
        <v>859</v>
      </c>
      <c r="J24" s="24" t="s">
        <v>802</v>
      </c>
      <c r="K24" s="24" t="s">
        <v>810</v>
      </c>
      <c r="L24" s="24" t="s">
        <v>47</v>
      </c>
      <c r="M24" s="24" t="s">
        <v>44</v>
      </c>
      <c r="N24" s="24" t="s">
        <v>860</v>
      </c>
      <c r="O24" s="24" t="s">
        <v>46</v>
      </c>
      <c r="P24" s="24" t="s">
        <v>804</v>
      </c>
      <c r="Q24" s="24" t="s">
        <v>863</v>
      </c>
      <c r="R24" s="24" t="s">
        <v>806</v>
      </c>
      <c r="S24" s="24" t="s">
        <v>808</v>
      </c>
      <c r="T24" s="24" t="s">
        <v>808</v>
      </c>
      <c r="U24" s="24" t="s">
        <v>808</v>
      </c>
      <c r="V24" s="24" t="s">
        <v>808</v>
      </c>
      <c r="W24" s="24" t="s">
        <v>283</v>
      </c>
    </row>
    <row r="25" customFormat="false" ht="199.95" hidden="false" customHeight="false" outlineLevel="0" collapsed="false">
      <c r="A25" s="24" t="s">
        <v>864</v>
      </c>
      <c r="B25" s="24" t="s">
        <v>430</v>
      </c>
      <c r="C25" s="24" t="s">
        <v>92</v>
      </c>
      <c r="D25" s="24" t="s">
        <v>431</v>
      </c>
      <c r="E25" s="24" t="s">
        <v>427</v>
      </c>
      <c r="F25" s="24" t="s">
        <v>91</v>
      </c>
      <c r="G25" s="24" t="s">
        <v>348</v>
      </c>
      <c r="H25" s="24" t="s">
        <v>66</v>
      </c>
      <c r="I25" s="24" t="s">
        <v>865</v>
      </c>
      <c r="J25" s="24" t="s">
        <v>802</v>
      </c>
      <c r="K25" s="24" t="s">
        <v>810</v>
      </c>
      <c r="L25" s="24" t="s">
        <v>47</v>
      </c>
      <c r="M25" s="24" t="s">
        <v>44</v>
      </c>
      <c r="N25" s="24" t="s">
        <v>860</v>
      </c>
      <c r="O25" s="24" t="s">
        <v>46</v>
      </c>
      <c r="P25" s="24" t="s">
        <v>804</v>
      </c>
      <c r="Q25" s="24" t="s">
        <v>866</v>
      </c>
      <c r="R25" s="24" t="s">
        <v>806</v>
      </c>
      <c r="S25" s="24" t="s">
        <v>867</v>
      </c>
      <c r="T25" s="24" t="s">
        <v>808</v>
      </c>
      <c r="U25" s="24" t="s">
        <v>841</v>
      </c>
      <c r="V25" s="24" t="s">
        <v>841</v>
      </c>
      <c r="W25" s="24" t="s">
        <v>283</v>
      </c>
    </row>
    <row r="26" customFormat="false" ht="199.95" hidden="false" customHeight="false" outlineLevel="0" collapsed="false">
      <c r="A26" s="24" t="s">
        <v>868</v>
      </c>
      <c r="B26" s="24" t="s">
        <v>425</v>
      </c>
      <c r="C26" s="24" t="s">
        <v>161</v>
      </c>
      <c r="D26" s="24" t="s">
        <v>426</v>
      </c>
      <c r="E26" s="24" t="s">
        <v>427</v>
      </c>
      <c r="F26" s="24" t="s">
        <v>160</v>
      </c>
      <c r="G26" s="24" t="s">
        <v>348</v>
      </c>
      <c r="H26" s="24" t="s">
        <v>869</v>
      </c>
      <c r="I26" s="24" t="s">
        <v>865</v>
      </c>
      <c r="J26" s="24" t="s">
        <v>870</v>
      </c>
      <c r="K26" s="24" t="s">
        <v>814</v>
      </c>
      <c r="L26" s="24" t="s">
        <v>47</v>
      </c>
      <c r="M26" s="24" t="s">
        <v>44</v>
      </c>
      <c r="N26" s="24" t="s">
        <v>860</v>
      </c>
      <c r="O26" s="24" t="s">
        <v>46</v>
      </c>
      <c r="P26" s="24" t="s">
        <v>804</v>
      </c>
      <c r="Q26" s="24" t="s">
        <v>871</v>
      </c>
      <c r="R26" s="24" t="s">
        <v>806</v>
      </c>
      <c r="S26" s="24" t="s">
        <v>872</v>
      </c>
      <c r="T26" s="24" t="s">
        <v>808</v>
      </c>
      <c r="U26" s="24" t="s">
        <v>841</v>
      </c>
      <c r="V26" s="24" t="s">
        <v>841</v>
      </c>
      <c r="W26" s="24" t="s">
        <v>283</v>
      </c>
    </row>
    <row r="27" customFormat="false" ht="199.95" hidden="false" customHeight="false" outlineLevel="0" collapsed="false">
      <c r="A27" s="24" t="s">
        <v>873</v>
      </c>
      <c r="B27" s="24" t="s">
        <v>439</v>
      </c>
      <c r="C27" s="24" t="s">
        <v>136</v>
      </c>
      <c r="D27" s="24" t="s">
        <v>434</v>
      </c>
      <c r="E27" s="24" t="s">
        <v>435</v>
      </c>
      <c r="F27" s="24" t="s">
        <v>123</v>
      </c>
      <c r="G27" s="24" t="s">
        <v>414</v>
      </c>
      <c r="H27" s="24" t="s">
        <v>116</v>
      </c>
      <c r="I27" s="24" t="s">
        <v>801</v>
      </c>
      <c r="J27" s="24" t="s">
        <v>802</v>
      </c>
      <c r="K27" s="24" t="s">
        <v>811</v>
      </c>
      <c r="L27" s="24" t="s">
        <v>47</v>
      </c>
      <c r="M27" s="24" t="s">
        <v>44</v>
      </c>
      <c r="N27" s="24" t="s">
        <v>803</v>
      </c>
      <c r="O27" s="24" t="s">
        <v>137</v>
      </c>
      <c r="P27" s="24" t="s">
        <v>804</v>
      </c>
      <c r="Q27" s="24" t="s">
        <v>874</v>
      </c>
      <c r="R27" s="24" t="s">
        <v>806</v>
      </c>
      <c r="S27" s="24" t="s">
        <v>808</v>
      </c>
      <c r="T27" s="24" t="s">
        <v>808</v>
      </c>
      <c r="U27" s="24" t="s">
        <v>808</v>
      </c>
      <c r="V27" s="24" t="s">
        <v>808</v>
      </c>
      <c r="W27" s="24" t="s">
        <v>283</v>
      </c>
    </row>
    <row r="28" customFormat="false" ht="199.95" hidden="false" customHeight="false" outlineLevel="0" collapsed="false">
      <c r="A28" s="24" t="s">
        <v>3</v>
      </c>
      <c r="B28" s="24" t="s">
        <v>437</v>
      </c>
      <c r="C28" s="24" t="s">
        <v>139</v>
      </c>
      <c r="D28" s="24" t="s">
        <v>434</v>
      </c>
      <c r="E28" s="24" t="s">
        <v>435</v>
      </c>
      <c r="F28" s="24" t="s">
        <v>128</v>
      </c>
      <c r="G28" s="24" t="s">
        <v>414</v>
      </c>
      <c r="H28" s="24" t="s">
        <v>116</v>
      </c>
      <c r="I28" s="24" t="s">
        <v>801</v>
      </c>
      <c r="J28" s="24" t="s">
        <v>802</v>
      </c>
      <c r="K28" s="24" t="s">
        <v>811</v>
      </c>
      <c r="L28" s="24" t="s">
        <v>47</v>
      </c>
      <c r="M28" s="24" t="s">
        <v>44</v>
      </c>
      <c r="N28" s="24" t="s">
        <v>803</v>
      </c>
      <c r="O28" s="24" t="s">
        <v>137</v>
      </c>
      <c r="P28" s="24" t="s">
        <v>804</v>
      </c>
      <c r="Q28" s="24" t="s">
        <v>875</v>
      </c>
      <c r="R28" s="24" t="s">
        <v>806</v>
      </c>
      <c r="S28" s="24" t="s">
        <v>808</v>
      </c>
      <c r="T28" s="24" t="s">
        <v>808</v>
      </c>
      <c r="U28" s="24" t="s">
        <v>808</v>
      </c>
      <c r="V28" s="24" t="s">
        <v>808</v>
      </c>
      <c r="W28" s="24" t="s">
        <v>283</v>
      </c>
    </row>
    <row r="29" customFormat="false" ht="199.95" hidden="false" customHeight="false" outlineLevel="0" collapsed="false">
      <c r="A29" s="24" t="s">
        <v>876</v>
      </c>
      <c r="B29" s="24" t="s">
        <v>433</v>
      </c>
      <c r="C29" s="24" t="s">
        <v>140</v>
      </c>
      <c r="D29" s="24" t="s">
        <v>434</v>
      </c>
      <c r="E29" s="24" t="s">
        <v>435</v>
      </c>
      <c r="F29" s="24" t="s">
        <v>126</v>
      </c>
      <c r="G29" s="24" t="s">
        <v>414</v>
      </c>
      <c r="H29" s="24" t="s">
        <v>116</v>
      </c>
      <c r="I29" s="24" t="s">
        <v>801</v>
      </c>
      <c r="J29" s="24" t="s">
        <v>802</v>
      </c>
      <c r="K29" s="24" t="s">
        <v>811</v>
      </c>
      <c r="L29" s="24" t="s">
        <v>47</v>
      </c>
      <c r="M29" s="24" t="s">
        <v>44</v>
      </c>
      <c r="N29" s="24" t="s">
        <v>803</v>
      </c>
      <c r="O29" s="24" t="s">
        <v>137</v>
      </c>
      <c r="P29" s="24" t="s">
        <v>804</v>
      </c>
      <c r="Q29" s="24" t="s">
        <v>877</v>
      </c>
      <c r="R29" s="24" t="s">
        <v>806</v>
      </c>
      <c r="S29" s="24" t="s">
        <v>808</v>
      </c>
      <c r="T29" s="24" t="s">
        <v>808</v>
      </c>
      <c r="U29" s="24" t="s">
        <v>808</v>
      </c>
      <c r="V29" s="24" t="s">
        <v>808</v>
      </c>
      <c r="W29" s="24" t="s">
        <v>283</v>
      </c>
    </row>
    <row r="30" customFormat="false" ht="199.95" hidden="false" customHeight="false" outlineLevel="0" collapsed="false">
      <c r="A30" s="24" t="s">
        <v>878</v>
      </c>
      <c r="B30" s="24" t="s">
        <v>410</v>
      </c>
      <c r="C30" s="24" t="s">
        <v>170</v>
      </c>
      <c r="D30" s="24" t="s">
        <v>411</v>
      </c>
      <c r="E30" s="24" t="s">
        <v>412</v>
      </c>
      <c r="F30" s="24" t="s">
        <v>169</v>
      </c>
      <c r="G30" s="24" t="s">
        <v>414</v>
      </c>
      <c r="H30" s="24" t="s">
        <v>415</v>
      </c>
      <c r="I30" s="24" t="s">
        <v>879</v>
      </c>
      <c r="J30" s="24" t="s">
        <v>800</v>
      </c>
      <c r="K30" s="24" t="s">
        <v>816</v>
      </c>
      <c r="L30" s="24" t="s">
        <v>47</v>
      </c>
      <c r="M30" s="24" t="s">
        <v>44</v>
      </c>
      <c r="N30" s="24" t="s">
        <v>880</v>
      </c>
      <c r="O30" s="24" t="s">
        <v>137</v>
      </c>
      <c r="P30" s="24" t="s">
        <v>804</v>
      </c>
      <c r="Q30" s="24" t="s">
        <v>881</v>
      </c>
      <c r="R30" s="24" t="s">
        <v>806</v>
      </c>
      <c r="S30" s="24" t="s">
        <v>808</v>
      </c>
      <c r="T30" s="24" t="s">
        <v>808</v>
      </c>
      <c r="U30" s="24" t="s">
        <v>808</v>
      </c>
      <c r="V30" s="24" t="s">
        <v>808</v>
      </c>
      <c r="W30" s="24" t="s">
        <v>283</v>
      </c>
    </row>
    <row r="31" customFormat="false" ht="199.95" hidden="false" customHeight="false" outlineLevel="0" collapsed="false">
      <c r="A31" s="24" t="s">
        <v>882</v>
      </c>
      <c r="B31" s="24" t="s">
        <v>406</v>
      </c>
      <c r="C31" s="24" t="s">
        <v>142</v>
      </c>
      <c r="D31" s="24" t="s">
        <v>407</v>
      </c>
      <c r="E31" s="24" t="s">
        <v>408</v>
      </c>
      <c r="F31" s="24" t="s">
        <v>141</v>
      </c>
      <c r="G31" s="24" t="s">
        <v>348</v>
      </c>
      <c r="H31" s="24" t="s">
        <v>116</v>
      </c>
      <c r="I31" s="24" t="s">
        <v>879</v>
      </c>
      <c r="J31" s="24" t="s">
        <v>802</v>
      </c>
      <c r="K31" s="24" t="s">
        <v>811</v>
      </c>
      <c r="L31" s="24" t="s">
        <v>47</v>
      </c>
      <c r="M31" s="24" t="s">
        <v>44</v>
      </c>
      <c r="N31" s="24" t="s">
        <v>803</v>
      </c>
      <c r="O31" s="24" t="s">
        <v>137</v>
      </c>
      <c r="P31" s="24" t="s">
        <v>804</v>
      </c>
      <c r="Q31" s="24" t="s">
        <v>883</v>
      </c>
      <c r="R31" s="24" t="s">
        <v>806</v>
      </c>
      <c r="S31" s="24" t="s">
        <v>808</v>
      </c>
      <c r="T31" s="24" t="s">
        <v>884</v>
      </c>
      <c r="U31" s="24" t="s">
        <v>808</v>
      </c>
      <c r="V31" s="24" t="s">
        <v>885</v>
      </c>
      <c r="W31" s="24" t="s">
        <v>283</v>
      </c>
    </row>
    <row r="32" customFormat="false" ht="199.95" hidden="false" customHeight="false" outlineLevel="0" collapsed="false">
      <c r="A32" s="24" t="s">
        <v>886</v>
      </c>
      <c r="B32" s="24" t="s">
        <v>392</v>
      </c>
      <c r="C32" s="24" t="s">
        <v>94</v>
      </c>
      <c r="D32" s="24" t="s">
        <v>385</v>
      </c>
      <c r="E32" s="24" t="s">
        <v>386</v>
      </c>
      <c r="F32" s="24" t="s">
        <v>73</v>
      </c>
      <c r="G32" s="24" t="s">
        <v>304</v>
      </c>
      <c r="H32" s="24" t="s">
        <v>66</v>
      </c>
      <c r="I32" s="24" t="s">
        <v>887</v>
      </c>
      <c r="J32" s="24" t="s">
        <v>802</v>
      </c>
      <c r="K32" s="24" t="s">
        <v>810</v>
      </c>
      <c r="L32" s="24" t="s">
        <v>47</v>
      </c>
      <c r="M32" s="24" t="s">
        <v>44</v>
      </c>
      <c r="N32" s="24" t="s">
        <v>803</v>
      </c>
      <c r="O32" s="24" t="s">
        <v>54</v>
      </c>
      <c r="P32" s="24" t="s">
        <v>804</v>
      </c>
      <c r="Q32" s="24" t="s">
        <v>888</v>
      </c>
      <c r="R32" s="24" t="s">
        <v>806</v>
      </c>
      <c r="S32" s="24" t="s">
        <v>808</v>
      </c>
      <c r="T32" s="24" t="s">
        <v>884</v>
      </c>
      <c r="U32" s="24" t="s">
        <v>808</v>
      </c>
      <c r="V32" s="24" t="s">
        <v>885</v>
      </c>
      <c r="W32" s="24" t="s">
        <v>283</v>
      </c>
    </row>
    <row r="33" customFormat="false" ht="199.95" hidden="false" customHeight="false" outlineLevel="0" collapsed="false">
      <c r="A33" s="24" t="s">
        <v>889</v>
      </c>
      <c r="B33" s="24" t="s">
        <v>390</v>
      </c>
      <c r="C33" s="24" t="s">
        <v>53</v>
      </c>
      <c r="D33" s="24" t="s">
        <v>385</v>
      </c>
      <c r="E33" s="24" t="s">
        <v>386</v>
      </c>
      <c r="F33" s="24" t="s">
        <v>49</v>
      </c>
      <c r="G33" s="24" t="s">
        <v>304</v>
      </c>
      <c r="H33" s="24" t="s">
        <v>34</v>
      </c>
      <c r="I33" s="24" t="s">
        <v>887</v>
      </c>
      <c r="J33" s="24" t="s">
        <v>802</v>
      </c>
      <c r="K33" s="24" t="s">
        <v>800</v>
      </c>
      <c r="L33" s="24" t="s">
        <v>47</v>
      </c>
      <c r="M33" s="24" t="s">
        <v>44</v>
      </c>
      <c r="N33" s="24" t="s">
        <v>803</v>
      </c>
      <c r="O33" s="24" t="s">
        <v>54</v>
      </c>
      <c r="P33" s="24" t="s">
        <v>804</v>
      </c>
      <c r="Q33" s="24" t="s">
        <v>890</v>
      </c>
      <c r="R33" s="24" t="s">
        <v>806</v>
      </c>
      <c r="S33" s="24" t="s">
        <v>808</v>
      </c>
      <c r="T33" s="24" t="s">
        <v>884</v>
      </c>
      <c r="U33" s="24" t="s">
        <v>808</v>
      </c>
      <c r="V33" s="24" t="s">
        <v>885</v>
      </c>
      <c r="W33" s="24" t="s">
        <v>283</v>
      </c>
    </row>
    <row r="34" customFormat="false" ht="199.95" hidden="false" customHeight="false" outlineLevel="0" collapsed="false">
      <c r="A34" s="24" t="s">
        <v>891</v>
      </c>
      <c r="B34" s="24" t="s">
        <v>388</v>
      </c>
      <c r="C34" s="24" t="s">
        <v>95</v>
      </c>
      <c r="D34" s="24" t="s">
        <v>385</v>
      </c>
      <c r="E34" s="24" t="s">
        <v>386</v>
      </c>
      <c r="F34" s="24" t="s">
        <v>67</v>
      </c>
      <c r="G34" s="24" t="s">
        <v>304</v>
      </c>
      <c r="H34" s="24" t="s">
        <v>66</v>
      </c>
      <c r="I34" s="24" t="s">
        <v>887</v>
      </c>
      <c r="J34" s="24" t="s">
        <v>802</v>
      </c>
      <c r="K34" s="24" t="s">
        <v>810</v>
      </c>
      <c r="L34" s="24" t="s">
        <v>47</v>
      </c>
      <c r="M34" s="24" t="s">
        <v>44</v>
      </c>
      <c r="N34" s="24" t="s">
        <v>803</v>
      </c>
      <c r="O34" s="24" t="s">
        <v>54</v>
      </c>
      <c r="P34" s="24" t="s">
        <v>804</v>
      </c>
      <c r="Q34" s="24" t="s">
        <v>892</v>
      </c>
      <c r="R34" s="24" t="s">
        <v>806</v>
      </c>
      <c r="S34" s="24" t="s">
        <v>808</v>
      </c>
      <c r="T34" s="24" t="s">
        <v>884</v>
      </c>
      <c r="U34" s="24" t="s">
        <v>808</v>
      </c>
      <c r="V34" s="24" t="s">
        <v>885</v>
      </c>
      <c r="W34" s="24" t="s">
        <v>283</v>
      </c>
    </row>
    <row r="35" customFormat="false" ht="199.95" hidden="false" customHeight="false" outlineLevel="0" collapsed="false">
      <c r="A35" s="24" t="s">
        <v>893</v>
      </c>
      <c r="B35" s="24" t="s">
        <v>384</v>
      </c>
      <c r="C35" s="24" t="s">
        <v>97</v>
      </c>
      <c r="D35" s="24" t="s">
        <v>385</v>
      </c>
      <c r="E35" s="24" t="s">
        <v>386</v>
      </c>
      <c r="F35" s="24" t="s">
        <v>96</v>
      </c>
      <c r="G35" s="24" t="s">
        <v>304</v>
      </c>
      <c r="H35" s="24" t="s">
        <v>66</v>
      </c>
      <c r="I35" s="24" t="s">
        <v>887</v>
      </c>
      <c r="J35" s="24" t="s">
        <v>802</v>
      </c>
      <c r="K35" s="24" t="s">
        <v>810</v>
      </c>
      <c r="L35" s="24" t="s">
        <v>47</v>
      </c>
      <c r="M35" s="24" t="s">
        <v>44</v>
      </c>
      <c r="N35" s="24" t="s">
        <v>803</v>
      </c>
      <c r="O35" s="24" t="s">
        <v>54</v>
      </c>
      <c r="P35" s="24" t="s">
        <v>804</v>
      </c>
      <c r="Q35" s="24" t="s">
        <v>894</v>
      </c>
      <c r="R35" s="24" t="s">
        <v>806</v>
      </c>
      <c r="S35" s="24" t="s">
        <v>808</v>
      </c>
      <c r="T35" s="24" t="s">
        <v>884</v>
      </c>
      <c r="U35" s="24" t="s">
        <v>808</v>
      </c>
      <c r="V35" s="24" t="s">
        <v>885</v>
      </c>
      <c r="W35" s="24" t="s">
        <v>283</v>
      </c>
    </row>
    <row r="36" customFormat="false" ht="199.95" hidden="false" customHeight="false" outlineLevel="0" collapsed="false">
      <c r="A36" s="24" t="s">
        <v>895</v>
      </c>
      <c r="B36" s="24" t="s">
        <v>404</v>
      </c>
      <c r="C36" s="24" t="s">
        <v>98</v>
      </c>
      <c r="D36" s="24" t="s">
        <v>385</v>
      </c>
      <c r="E36" s="24" t="s">
        <v>386</v>
      </c>
      <c r="F36" s="24" t="s">
        <v>69</v>
      </c>
      <c r="G36" s="24" t="s">
        <v>304</v>
      </c>
      <c r="H36" s="24" t="s">
        <v>66</v>
      </c>
      <c r="I36" s="24" t="s">
        <v>887</v>
      </c>
      <c r="J36" s="24" t="s">
        <v>802</v>
      </c>
      <c r="K36" s="24" t="s">
        <v>810</v>
      </c>
      <c r="L36" s="24" t="s">
        <v>47</v>
      </c>
      <c r="M36" s="24" t="s">
        <v>44</v>
      </c>
      <c r="N36" s="24" t="s">
        <v>803</v>
      </c>
      <c r="O36" s="24" t="s">
        <v>54</v>
      </c>
      <c r="P36" s="24" t="s">
        <v>804</v>
      </c>
      <c r="Q36" s="24" t="s">
        <v>896</v>
      </c>
      <c r="R36" s="24" t="s">
        <v>806</v>
      </c>
      <c r="S36" s="24" t="s">
        <v>808</v>
      </c>
      <c r="T36" s="24" t="s">
        <v>884</v>
      </c>
      <c r="U36" s="24" t="s">
        <v>808</v>
      </c>
      <c r="V36" s="24" t="s">
        <v>885</v>
      </c>
      <c r="W36" s="24" t="s">
        <v>283</v>
      </c>
    </row>
    <row r="37" customFormat="false" ht="199.95" hidden="false" customHeight="false" outlineLevel="0" collapsed="false">
      <c r="A37" s="24" t="s">
        <v>897</v>
      </c>
      <c r="B37" s="24" t="s">
        <v>402</v>
      </c>
      <c r="C37" s="24" t="s">
        <v>99</v>
      </c>
      <c r="D37" s="24" t="s">
        <v>385</v>
      </c>
      <c r="E37" s="24" t="s">
        <v>386</v>
      </c>
      <c r="F37" s="24" t="s">
        <v>83</v>
      </c>
      <c r="G37" s="24" t="s">
        <v>304</v>
      </c>
      <c r="H37" s="24" t="s">
        <v>66</v>
      </c>
      <c r="I37" s="24" t="s">
        <v>887</v>
      </c>
      <c r="J37" s="24" t="s">
        <v>802</v>
      </c>
      <c r="K37" s="24" t="s">
        <v>810</v>
      </c>
      <c r="L37" s="24" t="s">
        <v>47</v>
      </c>
      <c r="M37" s="24" t="s">
        <v>44</v>
      </c>
      <c r="N37" s="24" t="s">
        <v>803</v>
      </c>
      <c r="O37" s="24" t="s">
        <v>54</v>
      </c>
      <c r="P37" s="24" t="s">
        <v>804</v>
      </c>
      <c r="Q37" s="24" t="s">
        <v>898</v>
      </c>
      <c r="R37" s="24" t="s">
        <v>806</v>
      </c>
      <c r="S37" s="24" t="s">
        <v>808</v>
      </c>
      <c r="T37" s="24" t="s">
        <v>884</v>
      </c>
      <c r="U37" s="24" t="s">
        <v>808</v>
      </c>
      <c r="V37" s="24" t="s">
        <v>885</v>
      </c>
      <c r="W37" s="24" t="s">
        <v>283</v>
      </c>
    </row>
    <row r="38" customFormat="false" ht="199.95" hidden="false" customHeight="false" outlineLevel="0" collapsed="false">
      <c r="A38" s="24" t="s">
        <v>899</v>
      </c>
      <c r="B38" s="24" t="s">
        <v>400</v>
      </c>
      <c r="C38" s="24" t="s">
        <v>100</v>
      </c>
      <c r="D38" s="24" t="s">
        <v>385</v>
      </c>
      <c r="E38" s="24" t="s">
        <v>386</v>
      </c>
      <c r="F38" s="24" t="s">
        <v>71</v>
      </c>
      <c r="G38" s="24" t="s">
        <v>304</v>
      </c>
      <c r="H38" s="24" t="s">
        <v>66</v>
      </c>
      <c r="I38" s="24" t="s">
        <v>887</v>
      </c>
      <c r="J38" s="24" t="s">
        <v>802</v>
      </c>
      <c r="K38" s="24" t="s">
        <v>810</v>
      </c>
      <c r="L38" s="24" t="s">
        <v>47</v>
      </c>
      <c r="M38" s="24" t="s">
        <v>44</v>
      </c>
      <c r="N38" s="24" t="s">
        <v>803</v>
      </c>
      <c r="O38" s="24" t="s">
        <v>54</v>
      </c>
      <c r="P38" s="24" t="s">
        <v>804</v>
      </c>
      <c r="Q38" s="24" t="s">
        <v>900</v>
      </c>
      <c r="R38" s="24" t="s">
        <v>806</v>
      </c>
      <c r="S38" s="24" t="s">
        <v>808</v>
      </c>
      <c r="T38" s="24" t="s">
        <v>884</v>
      </c>
      <c r="U38" s="24" t="s">
        <v>808</v>
      </c>
      <c r="V38" s="24" t="s">
        <v>885</v>
      </c>
      <c r="W38" s="24" t="s">
        <v>283</v>
      </c>
    </row>
    <row r="39" customFormat="false" ht="199.95" hidden="false" customHeight="false" outlineLevel="0" collapsed="false">
      <c r="A39" s="24" t="s">
        <v>901</v>
      </c>
      <c r="B39" s="24" t="s">
        <v>398</v>
      </c>
      <c r="C39" s="24" t="s">
        <v>101</v>
      </c>
      <c r="D39" s="24" t="s">
        <v>385</v>
      </c>
      <c r="E39" s="24" t="s">
        <v>386</v>
      </c>
      <c r="F39" s="24" t="s">
        <v>77</v>
      </c>
      <c r="G39" s="24" t="s">
        <v>304</v>
      </c>
      <c r="H39" s="24" t="s">
        <v>66</v>
      </c>
      <c r="I39" s="24" t="s">
        <v>887</v>
      </c>
      <c r="J39" s="24" t="s">
        <v>802</v>
      </c>
      <c r="K39" s="24" t="s">
        <v>810</v>
      </c>
      <c r="L39" s="24" t="s">
        <v>47</v>
      </c>
      <c r="M39" s="24" t="s">
        <v>44</v>
      </c>
      <c r="N39" s="24" t="s">
        <v>803</v>
      </c>
      <c r="O39" s="24" t="s">
        <v>54</v>
      </c>
      <c r="P39" s="24" t="s">
        <v>804</v>
      </c>
      <c r="Q39" s="24" t="s">
        <v>902</v>
      </c>
      <c r="R39" s="24" t="s">
        <v>806</v>
      </c>
      <c r="S39" s="24" t="s">
        <v>808</v>
      </c>
      <c r="T39" s="24" t="s">
        <v>884</v>
      </c>
      <c r="U39" s="24" t="s">
        <v>808</v>
      </c>
      <c r="V39" s="24" t="s">
        <v>885</v>
      </c>
      <c r="W39" s="24" t="s">
        <v>283</v>
      </c>
    </row>
    <row r="40" customFormat="false" ht="199.95" hidden="false" customHeight="false" outlineLevel="0" collapsed="false">
      <c r="A40" s="24" t="s">
        <v>903</v>
      </c>
      <c r="B40" s="24" t="s">
        <v>396</v>
      </c>
      <c r="C40" s="24" t="s">
        <v>102</v>
      </c>
      <c r="D40" s="24" t="s">
        <v>385</v>
      </c>
      <c r="E40" s="24" t="s">
        <v>386</v>
      </c>
      <c r="F40" s="24" t="s">
        <v>79</v>
      </c>
      <c r="G40" s="24" t="s">
        <v>304</v>
      </c>
      <c r="H40" s="24" t="s">
        <v>66</v>
      </c>
      <c r="I40" s="24" t="s">
        <v>887</v>
      </c>
      <c r="J40" s="24" t="s">
        <v>802</v>
      </c>
      <c r="K40" s="24" t="s">
        <v>810</v>
      </c>
      <c r="L40" s="24" t="s">
        <v>47</v>
      </c>
      <c r="M40" s="24" t="s">
        <v>44</v>
      </c>
      <c r="N40" s="24" t="s">
        <v>803</v>
      </c>
      <c r="O40" s="24" t="s">
        <v>54</v>
      </c>
      <c r="P40" s="24" t="s">
        <v>804</v>
      </c>
      <c r="Q40" s="24" t="s">
        <v>904</v>
      </c>
      <c r="R40" s="24" t="s">
        <v>806</v>
      </c>
      <c r="S40" s="24" t="s">
        <v>808</v>
      </c>
      <c r="T40" s="24" t="s">
        <v>884</v>
      </c>
      <c r="U40" s="24" t="s">
        <v>808</v>
      </c>
      <c r="V40" s="24" t="s">
        <v>885</v>
      </c>
      <c r="W40" s="24" t="s">
        <v>283</v>
      </c>
    </row>
    <row r="41" customFormat="false" ht="199.95" hidden="false" customHeight="false" outlineLevel="0" collapsed="false">
      <c r="A41" s="24" t="s">
        <v>905</v>
      </c>
      <c r="B41" s="24" t="s">
        <v>394</v>
      </c>
      <c r="C41" s="24" t="s">
        <v>104</v>
      </c>
      <c r="D41" s="24" t="s">
        <v>385</v>
      </c>
      <c r="E41" s="24" t="s">
        <v>386</v>
      </c>
      <c r="F41" s="24" t="s">
        <v>103</v>
      </c>
      <c r="G41" s="24" t="s">
        <v>304</v>
      </c>
      <c r="H41" s="24" t="s">
        <v>66</v>
      </c>
      <c r="I41" s="24" t="s">
        <v>887</v>
      </c>
      <c r="J41" s="24" t="s">
        <v>802</v>
      </c>
      <c r="K41" s="24" t="s">
        <v>810</v>
      </c>
      <c r="L41" s="24" t="s">
        <v>47</v>
      </c>
      <c r="M41" s="24" t="s">
        <v>44</v>
      </c>
      <c r="N41" s="24" t="s">
        <v>803</v>
      </c>
      <c r="O41" s="24" t="s">
        <v>54</v>
      </c>
      <c r="P41" s="24" t="s">
        <v>804</v>
      </c>
      <c r="Q41" s="24" t="s">
        <v>906</v>
      </c>
      <c r="R41" s="24" t="s">
        <v>806</v>
      </c>
      <c r="S41" s="24" t="s">
        <v>808</v>
      </c>
      <c r="T41" s="24" t="s">
        <v>884</v>
      </c>
      <c r="U41" s="24" t="s">
        <v>808</v>
      </c>
      <c r="V41" s="24" t="s">
        <v>885</v>
      </c>
      <c r="W41" s="24" t="s">
        <v>283</v>
      </c>
    </row>
    <row r="42" customFormat="false" ht="199.95" hidden="false" customHeight="false" outlineLevel="0" collapsed="false">
      <c r="A42" s="24" t="s">
        <v>907</v>
      </c>
      <c r="B42" s="24" t="s">
        <v>369</v>
      </c>
      <c r="C42" s="24" t="s">
        <v>144</v>
      </c>
      <c r="D42" s="24" t="s">
        <v>364</v>
      </c>
      <c r="E42" s="24" t="s">
        <v>360</v>
      </c>
      <c r="F42" s="24" t="s">
        <v>130</v>
      </c>
      <c r="G42" s="24" t="s">
        <v>361</v>
      </c>
      <c r="H42" s="24" t="s">
        <v>116</v>
      </c>
      <c r="I42" s="24" t="s">
        <v>879</v>
      </c>
      <c r="J42" s="24" t="s">
        <v>802</v>
      </c>
      <c r="K42" s="24" t="s">
        <v>811</v>
      </c>
      <c r="L42" s="24" t="s">
        <v>47</v>
      </c>
      <c r="M42" s="24" t="s">
        <v>44</v>
      </c>
      <c r="N42" s="24" t="s">
        <v>803</v>
      </c>
      <c r="O42" s="24" t="s">
        <v>54</v>
      </c>
      <c r="P42" s="24" t="s">
        <v>804</v>
      </c>
      <c r="Q42" s="24" t="s">
        <v>908</v>
      </c>
      <c r="R42" s="24" t="s">
        <v>806</v>
      </c>
      <c r="S42" s="24" t="s">
        <v>808</v>
      </c>
      <c r="T42" s="24" t="s">
        <v>884</v>
      </c>
      <c r="U42" s="24" t="s">
        <v>808</v>
      </c>
      <c r="V42" s="24" t="s">
        <v>885</v>
      </c>
      <c r="W42" s="24" t="s">
        <v>283</v>
      </c>
    </row>
    <row r="43" customFormat="false" ht="199.95" hidden="false" customHeight="false" outlineLevel="0" collapsed="false">
      <c r="A43" s="24" t="s">
        <v>909</v>
      </c>
      <c r="B43" s="24" t="s">
        <v>367</v>
      </c>
      <c r="C43" s="24" t="s">
        <v>145</v>
      </c>
      <c r="D43" s="24" t="s">
        <v>364</v>
      </c>
      <c r="E43" s="24" t="s">
        <v>360</v>
      </c>
      <c r="F43" s="24" t="s">
        <v>134</v>
      </c>
      <c r="G43" s="24" t="s">
        <v>361</v>
      </c>
      <c r="H43" s="24" t="s">
        <v>116</v>
      </c>
      <c r="I43" s="24" t="s">
        <v>879</v>
      </c>
      <c r="J43" s="24" t="s">
        <v>802</v>
      </c>
      <c r="K43" s="24" t="s">
        <v>811</v>
      </c>
      <c r="L43" s="24" t="s">
        <v>47</v>
      </c>
      <c r="M43" s="24" t="s">
        <v>44</v>
      </c>
      <c r="N43" s="24" t="s">
        <v>803</v>
      </c>
      <c r="O43" s="24" t="s">
        <v>54</v>
      </c>
      <c r="P43" s="24" t="s">
        <v>804</v>
      </c>
      <c r="Q43" s="24" t="s">
        <v>910</v>
      </c>
      <c r="R43" s="24" t="s">
        <v>806</v>
      </c>
      <c r="S43" s="24" t="s">
        <v>808</v>
      </c>
      <c r="T43" s="24" t="s">
        <v>884</v>
      </c>
      <c r="U43" s="24" t="s">
        <v>808</v>
      </c>
      <c r="V43" s="24" t="s">
        <v>885</v>
      </c>
      <c r="W43" s="24" t="s">
        <v>283</v>
      </c>
    </row>
    <row r="44" customFormat="false" ht="199.95" hidden="false" customHeight="false" outlineLevel="0" collapsed="false">
      <c r="A44" s="24" t="s">
        <v>911</v>
      </c>
      <c r="B44" s="24" t="s">
        <v>363</v>
      </c>
      <c r="C44" s="24" t="s">
        <v>146</v>
      </c>
      <c r="D44" s="24" t="s">
        <v>364</v>
      </c>
      <c r="E44" s="24" t="s">
        <v>360</v>
      </c>
      <c r="F44" s="24" t="s">
        <v>132</v>
      </c>
      <c r="G44" s="24" t="s">
        <v>361</v>
      </c>
      <c r="H44" s="24" t="s">
        <v>116</v>
      </c>
      <c r="I44" s="24" t="s">
        <v>879</v>
      </c>
      <c r="J44" s="24" t="s">
        <v>802</v>
      </c>
      <c r="K44" s="24" t="s">
        <v>811</v>
      </c>
      <c r="L44" s="24" t="s">
        <v>47</v>
      </c>
      <c r="M44" s="24" t="s">
        <v>44</v>
      </c>
      <c r="N44" s="24" t="s">
        <v>803</v>
      </c>
      <c r="O44" s="24" t="s">
        <v>54</v>
      </c>
      <c r="P44" s="24" t="s">
        <v>804</v>
      </c>
      <c r="Q44" s="24" t="s">
        <v>912</v>
      </c>
      <c r="R44" s="24" t="s">
        <v>806</v>
      </c>
      <c r="S44" s="24" t="s">
        <v>808</v>
      </c>
      <c r="T44" s="24" t="s">
        <v>884</v>
      </c>
      <c r="U44" s="24" t="s">
        <v>808</v>
      </c>
      <c r="V44" s="24" t="s">
        <v>885</v>
      </c>
      <c r="W44" s="24" t="s">
        <v>283</v>
      </c>
    </row>
    <row r="45" customFormat="false" ht="199.95" hidden="false" customHeight="false" outlineLevel="0" collapsed="false">
      <c r="A45" s="24" t="s">
        <v>913</v>
      </c>
      <c r="B45" s="24" t="s">
        <v>358</v>
      </c>
      <c r="C45" s="24" t="s">
        <v>56</v>
      </c>
      <c r="D45" s="24" t="s">
        <v>359</v>
      </c>
      <c r="E45" s="24" t="s">
        <v>360</v>
      </c>
      <c r="F45" s="24" t="s">
        <v>43</v>
      </c>
      <c r="G45" s="24" t="s">
        <v>361</v>
      </c>
      <c r="H45" s="24" t="s">
        <v>34</v>
      </c>
      <c r="I45" s="24" t="s">
        <v>879</v>
      </c>
      <c r="J45" s="24" t="s">
        <v>802</v>
      </c>
      <c r="K45" s="24" t="s">
        <v>800</v>
      </c>
      <c r="L45" s="24" t="s">
        <v>47</v>
      </c>
      <c r="M45" s="24" t="s">
        <v>44</v>
      </c>
      <c r="N45" s="24" t="s">
        <v>803</v>
      </c>
      <c r="O45" s="24" t="s">
        <v>54</v>
      </c>
      <c r="P45" s="24" t="s">
        <v>804</v>
      </c>
      <c r="Q45" s="24" t="s">
        <v>914</v>
      </c>
      <c r="R45" s="24" t="s">
        <v>806</v>
      </c>
      <c r="S45" s="24" t="s">
        <v>808</v>
      </c>
      <c r="T45" s="24" t="s">
        <v>884</v>
      </c>
      <c r="U45" s="24" t="s">
        <v>808</v>
      </c>
      <c r="V45" s="24" t="s">
        <v>885</v>
      </c>
      <c r="W45" s="24" t="s">
        <v>283</v>
      </c>
    </row>
    <row r="46" customFormat="false" ht="199.95" hidden="false" customHeight="false" outlineLevel="0" collapsed="false">
      <c r="A46" s="24" t="s">
        <v>915</v>
      </c>
      <c r="B46" s="24" t="s">
        <v>339</v>
      </c>
      <c r="C46" s="24" t="s">
        <v>105</v>
      </c>
      <c r="D46" s="24" t="s">
        <v>340</v>
      </c>
      <c r="E46" s="24" t="s">
        <v>341</v>
      </c>
      <c r="F46" s="24" t="s">
        <v>103</v>
      </c>
      <c r="G46" s="24" t="s">
        <v>304</v>
      </c>
      <c r="H46" s="24" t="s">
        <v>66</v>
      </c>
      <c r="I46" s="24" t="s">
        <v>916</v>
      </c>
      <c r="J46" s="24" t="s">
        <v>802</v>
      </c>
      <c r="K46" s="24" t="s">
        <v>810</v>
      </c>
      <c r="L46" s="24" t="s">
        <v>47</v>
      </c>
      <c r="M46" s="24" t="s">
        <v>44</v>
      </c>
      <c r="N46" s="24" t="s">
        <v>803</v>
      </c>
      <c r="O46" s="24" t="s">
        <v>59</v>
      </c>
      <c r="P46" s="24" t="s">
        <v>804</v>
      </c>
      <c r="Q46" s="24" t="s">
        <v>917</v>
      </c>
      <c r="R46" s="24" t="s">
        <v>806</v>
      </c>
      <c r="S46" s="24" t="s">
        <v>918</v>
      </c>
      <c r="T46" s="24" t="s">
        <v>919</v>
      </c>
      <c r="U46" s="24" t="s">
        <v>808</v>
      </c>
      <c r="V46" s="24" t="s">
        <v>920</v>
      </c>
      <c r="W46" s="24" t="s">
        <v>283</v>
      </c>
    </row>
    <row r="47" customFormat="false" ht="199.95" hidden="false" customHeight="false" outlineLevel="0" collapsed="false">
      <c r="A47" s="24" t="s">
        <v>921</v>
      </c>
      <c r="B47" s="24" t="s">
        <v>336</v>
      </c>
      <c r="C47" s="24" t="s">
        <v>147</v>
      </c>
      <c r="D47" s="24" t="s">
        <v>307</v>
      </c>
      <c r="E47" s="24" t="s">
        <v>337</v>
      </c>
      <c r="F47" s="24" t="s">
        <v>134</v>
      </c>
      <c r="G47" s="24" t="s">
        <v>304</v>
      </c>
      <c r="H47" s="24" t="s">
        <v>116</v>
      </c>
      <c r="I47" s="24" t="s">
        <v>916</v>
      </c>
      <c r="J47" s="24" t="s">
        <v>802</v>
      </c>
      <c r="K47" s="24" t="s">
        <v>811</v>
      </c>
      <c r="L47" s="24" t="s">
        <v>47</v>
      </c>
      <c r="M47" s="24" t="s">
        <v>44</v>
      </c>
      <c r="N47" s="24" t="s">
        <v>803</v>
      </c>
      <c r="O47" s="24" t="s">
        <v>59</v>
      </c>
      <c r="P47" s="24" t="s">
        <v>804</v>
      </c>
      <c r="Q47" s="24" t="s">
        <v>922</v>
      </c>
      <c r="R47" s="24" t="s">
        <v>806</v>
      </c>
      <c r="S47" s="24" t="s">
        <v>918</v>
      </c>
      <c r="T47" s="24" t="s">
        <v>919</v>
      </c>
      <c r="U47" s="24" t="s">
        <v>808</v>
      </c>
      <c r="V47" s="24" t="s">
        <v>920</v>
      </c>
      <c r="W47" s="24" t="s">
        <v>283</v>
      </c>
    </row>
    <row r="48" customFormat="false" ht="199.95" hidden="false" customHeight="false" outlineLevel="0" collapsed="false">
      <c r="A48" s="24" t="s">
        <v>923</v>
      </c>
      <c r="B48" s="24" t="s">
        <v>334</v>
      </c>
      <c r="C48" s="24" t="s">
        <v>106</v>
      </c>
      <c r="D48" s="24" t="s">
        <v>319</v>
      </c>
      <c r="E48" s="24" t="s">
        <v>303</v>
      </c>
      <c r="F48" s="24" t="s">
        <v>71</v>
      </c>
      <c r="G48" s="24" t="s">
        <v>304</v>
      </c>
      <c r="H48" s="24" t="s">
        <v>66</v>
      </c>
      <c r="I48" s="24" t="s">
        <v>916</v>
      </c>
      <c r="J48" s="24" t="s">
        <v>802</v>
      </c>
      <c r="K48" s="24" t="s">
        <v>810</v>
      </c>
      <c r="L48" s="24" t="s">
        <v>47</v>
      </c>
      <c r="M48" s="24" t="s">
        <v>44</v>
      </c>
      <c r="N48" s="24" t="s">
        <v>803</v>
      </c>
      <c r="O48" s="24" t="s">
        <v>59</v>
      </c>
      <c r="P48" s="24" t="s">
        <v>804</v>
      </c>
      <c r="Q48" s="24" t="s">
        <v>924</v>
      </c>
      <c r="R48" s="24" t="s">
        <v>806</v>
      </c>
      <c r="S48" s="24" t="s">
        <v>918</v>
      </c>
      <c r="T48" s="24" t="s">
        <v>919</v>
      </c>
      <c r="U48" s="24" t="s">
        <v>808</v>
      </c>
      <c r="V48" s="24" t="s">
        <v>920</v>
      </c>
      <c r="W48" s="24" t="s">
        <v>283</v>
      </c>
    </row>
    <row r="49" customFormat="false" ht="199.95" hidden="false" customHeight="false" outlineLevel="0" collapsed="false">
      <c r="A49" s="24" t="s">
        <v>925</v>
      </c>
      <c r="B49" s="24" t="s">
        <v>332</v>
      </c>
      <c r="C49" s="24" t="s">
        <v>107</v>
      </c>
      <c r="D49" s="24" t="s">
        <v>319</v>
      </c>
      <c r="E49" s="24" t="s">
        <v>303</v>
      </c>
      <c r="F49" s="24" t="s">
        <v>79</v>
      </c>
      <c r="G49" s="24" t="s">
        <v>304</v>
      </c>
      <c r="H49" s="24" t="s">
        <v>66</v>
      </c>
      <c r="I49" s="24" t="s">
        <v>916</v>
      </c>
      <c r="J49" s="24" t="s">
        <v>802</v>
      </c>
      <c r="K49" s="24" t="s">
        <v>810</v>
      </c>
      <c r="L49" s="24" t="s">
        <v>47</v>
      </c>
      <c r="M49" s="24" t="s">
        <v>44</v>
      </c>
      <c r="N49" s="24" t="s">
        <v>803</v>
      </c>
      <c r="O49" s="24" t="s">
        <v>59</v>
      </c>
      <c r="P49" s="24" t="s">
        <v>804</v>
      </c>
      <c r="Q49" s="24" t="s">
        <v>926</v>
      </c>
      <c r="R49" s="24" t="s">
        <v>806</v>
      </c>
      <c r="S49" s="24" t="s">
        <v>918</v>
      </c>
      <c r="T49" s="24" t="s">
        <v>919</v>
      </c>
      <c r="U49" s="24" t="s">
        <v>808</v>
      </c>
      <c r="V49" s="24" t="s">
        <v>920</v>
      </c>
      <c r="W49" s="24" t="s">
        <v>283</v>
      </c>
    </row>
    <row r="50" customFormat="false" ht="199.95" hidden="false" customHeight="false" outlineLevel="0" collapsed="false">
      <c r="A50" s="24" t="s">
        <v>927</v>
      </c>
      <c r="B50" s="24" t="s">
        <v>330</v>
      </c>
      <c r="C50" s="24" t="s">
        <v>109</v>
      </c>
      <c r="D50" s="24" t="s">
        <v>319</v>
      </c>
      <c r="E50" s="24" t="s">
        <v>303</v>
      </c>
      <c r="F50" s="24" t="s">
        <v>108</v>
      </c>
      <c r="G50" s="24" t="s">
        <v>304</v>
      </c>
      <c r="H50" s="24" t="s">
        <v>66</v>
      </c>
      <c r="I50" s="24" t="s">
        <v>916</v>
      </c>
      <c r="J50" s="24" t="s">
        <v>802</v>
      </c>
      <c r="K50" s="24" t="s">
        <v>810</v>
      </c>
      <c r="L50" s="24" t="s">
        <v>47</v>
      </c>
      <c r="M50" s="24" t="s">
        <v>44</v>
      </c>
      <c r="N50" s="24" t="s">
        <v>803</v>
      </c>
      <c r="O50" s="24" t="s">
        <v>59</v>
      </c>
      <c r="P50" s="24" t="s">
        <v>804</v>
      </c>
      <c r="Q50" s="24" t="s">
        <v>928</v>
      </c>
      <c r="R50" s="24" t="s">
        <v>806</v>
      </c>
      <c r="S50" s="24" t="s">
        <v>918</v>
      </c>
      <c r="T50" s="24" t="s">
        <v>919</v>
      </c>
      <c r="U50" s="24" t="s">
        <v>808</v>
      </c>
      <c r="V50" s="24" t="s">
        <v>920</v>
      </c>
      <c r="W50" s="24" t="s">
        <v>283</v>
      </c>
    </row>
    <row r="51" customFormat="false" ht="199.95" hidden="false" customHeight="false" outlineLevel="0" collapsed="false">
      <c r="A51" s="24" t="s">
        <v>929</v>
      </c>
      <c r="B51" s="24" t="s">
        <v>328</v>
      </c>
      <c r="C51" s="24" t="s">
        <v>110</v>
      </c>
      <c r="D51" s="24" t="s">
        <v>319</v>
      </c>
      <c r="E51" s="24" t="s">
        <v>303</v>
      </c>
      <c r="F51" s="24" t="s">
        <v>67</v>
      </c>
      <c r="G51" s="24" t="s">
        <v>304</v>
      </c>
      <c r="H51" s="24" t="s">
        <v>66</v>
      </c>
      <c r="I51" s="24" t="s">
        <v>916</v>
      </c>
      <c r="J51" s="24" t="s">
        <v>802</v>
      </c>
      <c r="K51" s="24" t="s">
        <v>810</v>
      </c>
      <c r="L51" s="24" t="s">
        <v>47</v>
      </c>
      <c r="M51" s="24" t="s">
        <v>44</v>
      </c>
      <c r="N51" s="24" t="s">
        <v>803</v>
      </c>
      <c r="O51" s="24" t="s">
        <v>59</v>
      </c>
      <c r="P51" s="24" t="s">
        <v>804</v>
      </c>
      <c r="Q51" s="24" t="s">
        <v>930</v>
      </c>
      <c r="R51" s="24" t="s">
        <v>806</v>
      </c>
      <c r="S51" s="24" t="s">
        <v>918</v>
      </c>
      <c r="T51" s="24" t="s">
        <v>919</v>
      </c>
      <c r="U51" s="24" t="s">
        <v>808</v>
      </c>
      <c r="V51" s="24" t="s">
        <v>920</v>
      </c>
      <c r="W51" s="24" t="s">
        <v>283</v>
      </c>
    </row>
    <row r="52" customFormat="false" ht="199.95" hidden="false" customHeight="false" outlineLevel="0" collapsed="false">
      <c r="A52" s="24" t="s">
        <v>931</v>
      </c>
      <c r="B52" s="24" t="s">
        <v>326</v>
      </c>
      <c r="C52" s="24" t="s">
        <v>111</v>
      </c>
      <c r="D52" s="24" t="s">
        <v>319</v>
      </c>
      <c r="E52" s="24" t="s">
        <v>303</v>
      </c>
      <c r="F52" s="24" t="s">
        <v>83</v>
      </c>
      <c r="G52" s="24" t="s">
        <v>304</v>
      </c>
      <c r="H52" s="24" t="s">
        <v>66</v>
      </c>
      <c r="I52" s="24" t="s">
        <v>916</v>
      </c>
      <c r="J52" s="24" t="s">
        <v>802</v>
      </c>
      <c r="K52" s="24" t="s">
        <v>810</v>
      </c>
      <c r="L52" s="24" t="s">
        <v>47</v>
      </c>
      <c r="M52" s="24" t="s">
        <v>44</v>
      </c>
      <c r="N52" s="24" t="s">
        <v>803</v>
      </c>
      <c r="O52" s="24" t="s">
        <v>59</v>
      </c>
      <c r="P52" s="24" t="s">
        <v>804</v>
      </c>
      <c r="Q52" s="24" t="s">
        <v>932</v>
      </c>
      <c r="R52" s="24" t="s">
        <v>806</v>
      </c>
      <c r="S52" s="24" t="s">
        <v>918</v>
      </c>
      <c r="T52" s="24" t="s">
        <v>919</v>
      </c>
      <c r="U52" s="24" t="s">
        <v>808</v>
      </c>
      <c r="V52" s="24" t="s">
        <v>920</v>
      </c>
      <c r="W52" s="24" t="s">
        <v>283</v>
      </c>
    </row>
    <row r="53" customFormat="false" ht="199.95" hidden="false" customHeight="false" outlineLevel="0" collapsed="false">
      <c r="A53" s="24" t="s">
        <v>933</v>
      </c>
      <c r="B53" s="24" t="s">
        <v>324</v>
      </c>
      <c r="C53" s="24" t="s">
        <v>112</v>
      </c>
      <c r="D53" s="24" t="s">
        <v>319</v>
      </c>
      <c r="E53" s="24" t="s">
        <v>303</v>
      </c>
      <c r="F53" s="24" t="s">
        <v>73</v>
      </c>
      <c r="G53" s="24" t="s">
        <v>304</v>
      </c>
      <c r="H53" s="24" t="s">
        <v>66</v>
      </c>
      <c r="I53" s="24" t="s">
        <v>916</v>
      </c>
      <c r="J53" s="24" t="s">
        <v>802</v>
      </c>
      <c r="K53" s="24" t="s">
        <v>810</v>
      </c>
      <c r="L53" s="24" t="s">
        <v>47</v>
      </c>
      <c r="M53" s="24" t="s">
        <v>44</v>
      </c>
      <c r="N53" s="24" t="s">
        <v>803</v>
      </c>
      <c r="O53" s="24" t="s">
        <v>59</v>
      </c>
      <c r="P53" s="24" t="s">
        <v>804</v>
      </c>
      <c r="Q53" s="24" t="s">
        <v>934</v>
      </c>
      <c r="R53" s="24" t="s">
        <v>806</v>
      </c>
      <c r="S53" s="24" t="s">
        <v>918</v>
      </c>
      <c r="T53" s="24" t="s">
        <v>919</v>
      </c>
      <c r="U53" s="24" t="s">
        <v>808</v>
      </c>
      <c r="V53" s="24" t="s">
        <v>920</v>
      </c>
      <c r="W53" s="24" t="s">
        <v>283</v>
      </c>
    </row>
    <row r="54" customFormat="false" ht="199.95" hidden="false" customHeight="false" outlineLevel="0" collapsed="false">
      <c r="A54" s="24" t="s">
        <v>935</v>
      </c>
      <c r="B54" s="24" t="s">
        <v>322</v>
      </c>
      <c r="C54" s="24" t="s">
        <v>113</v>
      </c>
      <c r="D54" s="24" t="s">
        <v>319</v>
      </c>
      <c r="E54" s="24" t="s">
        <v>303</v>
      </c>
      <c r="F54" s="24" t="s">
        <v>69</v>
      </c>
      <c r="G54" s="24" t="s">
        <v>304</v>
      </c>
      <c r="H54" s="24" t="s">
        <v>66</v>
      </c>
      <c r="I54" s="24" t="s">
        <v>916</v>
      </c>
      <c r="J54" s="24" t="s">
        <v>802</v>
      </c>
      <c r="K54" s="24" t="s">
        <v>810</v>
      </c>
      <c r="L54" s="24" t="s">
        <v>47</v>
      </c>
      <c r="M54" s="24" t="s">
        <v>44</v>
      </c>
      <c r="N54" s="24" t="s">
        <v>803</v>
      </c>
      <c r="O54" s="24" t="s">
        <v>59</v>
      </c>
      <c r="P54" s="24" t="s">
        <v>804</v>
      </c>
      <c r="Q54" s="24" t="s">
        <v>936</v>
      </c>
      <c r="R54" s="24" t="s">
        <v>806</v>
      </c>
      <c r="S54" s="24" t="s">
        <v>918</v>
      </c>
      <c r="T54" s="24" t="s">
        <v>919</v>
      </c>
      <c r="U54" s="24" t="s">
        <v>808</v>
      </c>
      <c r="V54" s="24" t="s">
        <v>920</v>
      </c>
      <c r="W54" s="24" t="s">
        <v>283</v>
      </c>
    </row>
    <row r="55" customFormat="false" ht="199.95" hidden="false" customHeight="false" outlineLevel="0" collapsed="false">
      <c r="A55" s="24" t="s">
        <v>937</v>
      </c>
      <c r="B55" s="24" t="s">
        <v>318</v>
      </c>
      <c r="C55" s="24" t="s">
        <v>114</v>
      </c>
      <c r="D55" s="24" t="s">
        <v>319</v>
      </c>
      <c r="E55" s="24" t="s">
        <v>303</v>
      </c>
      <c r="F55" s="24" t="s">
        <v>75</v>
      </c>
      <c r="G55" s="24" t="s">
        <v>304</v>
      </c>
      <c r="H55" s="24" t="s">
        <v>66</v>
      </c>
      <c r="I55" s="24" t="s">
        <v>916</v>
      </c>
      <c r="J55" s="24" t="s">
        <v>802</v>
      </c>
      <c r="K55" s="24" t="s">
        <v>810</v>
      </c>
      <c r="L55" s="24" t="s">
        <v>47</v>
      </c>
      <c r="M55" s="24" t="s">
        <v>44</v>
      </c>
      <c r="N55" s="24" t="s">
        <v>803</v>
      </c>
      <c r="O55" s="24" t="s">
        <v>59</v>
      </c>
      <c r="P55" s="24" t="s">
        <v>804</v>
      </c>
      <c r="Q55" s="24" t="s">
        <v>938</v>
      </c>
      <c r="R55" s="24" t="s">
        <v>806</v>
      </c>
      <c r="S55" s="24" t="s">
        <v>918</v>
      </c>
      <c r="T55" s="24" t="s">
        <v>919</v>
      </c>
      <c r="U55" s="24" t="s">
        <v>808</v>
      </c>
      <c r="V55" s="24" t="s">
        <v>920</v>
      </c>
      <c r="W55" s="24" t="s">
        <v>283</v>
      </c>
    </row>
    <row r="56" customFormat="false" ht="199.95" hidden="false" customHeight="false" outlineLevel="0" collapsed="false">
      <c r="A56" s="24" t="s">
        <v>939</v>
      </c>
      <c r="B56" s="24" t="s">
        <v>315</v>
      </c>
      <c r="C56" s="24" t="s">
        <v>149</v>
      </c>
      <c r="D56" s="24" t="s">
        <v>316</v>
      </c>
      <c r="E56" s="24" t="s">
        <v>303</v>
      </c>
      <c r="F56" s="24" t="s">
        <v>148</v>
      </c>
      <c r="G56" s="24" t="s">
        <v>304</v>
      </c>
      <c r="H56" s="24" t="s">
        <v>116</v>
      </c>
      <c r="I56" s="24" t="s">
        <v>916</v>
      </c>
      <c r="J56" s="24" t="s">
        <v>802</v>
      </c>
      <c r="K56" s="24" t="s">
        <v>811</v>
      </c>
      <c r="L56" s="24" t="s">
        <v>47</v>
      </c>
      <c r="M56" s="24" t="s">
        <v>44</v>
      </c>
      <c r="N56" s="24" t="s">
        <v>803</v>
      </c>
      <c r="O56" s="24" t="s">
        <v>59</v>
      </c>
      <c r="P56" s="24" t="s">
        <v>804</v>
      </c>
      <c r="Q56" s="24" t="s">
        <v>940</v>
      </c>
      <c r="R56" s="24" t="s">
        <v>806</v>
      </c>
      <c r="S56" s="24" t="s">
        <v>918</v>
      </c>
      <c r="T56" s="24" t="s">
        <v>919</v>
      </c>
      <c r="U56" s="24" t="s">
        <v>808</v>
      </c>
      <c r="V56" s="24" t="s">
        <v>920</v>
      </c>
      <c r="W56" s="24" t="s">
        <v>283</v>
      </c>
    </row>
    <row r="57" customFormat="false" ht="199.95" hidden="false" customHeight="false" outlineLevel="0" collapsed="false">
      <c r="A57" s="24" t="s">
        <v>941</v>
      </c>
      <c r="B57" s="24" t="s">
        <v>312</v>
      </c>
      <c r="C57" s="24" t="s">
        <v>150</v>
      </c>
      <c r="D57" s="24" t="s">
        <v>307</v>
      </c>
      <c r="E57" s="24" t="s">
        <v>303</v>
      </c>
      <c r="F57" s="24" t="s">
        <v>130</v>
      </c>
      <c r="G57" s="24" t="s">
        <v>304</v>
      </c>
      <c r="H57" s="24" t="s">
        <v>116</v>
      </c>
      <c r="I57" s="24" t="s">
        <v>916</v>
      </c>
      <c r="J57" s="24" t="s">
        <v>802</v>
      </c>
      <c r="K57" s="24" t="s">
        <v>811</v>
      </c>
      <c r="L57" s="24" t="s">
        <v>47</v>
      </c>
      <c r="M57" s="24" t="s">
        <v>44</v>
      </c>
      <c r="N57" s="24" t="s">
        <v>803</v>
      </c>
      <c r="O57" s="24" t="s">
        <v>59</v>
      </c>
      <c r="P57" s="24" t="s">
        <v>804</v>
      </c>
      <c r="Q57" s="24" t="s">
        <v>942</v>
      </c>
      <c r="R57" s="24" t="s">
        <v>806</v>
      </c>
      <c r="S57" s="24" t="s">
        <v>918</v>
      </c>
      <c r="T57" s="24" t="s">
        <v>919</v>
      </c>
      <c r="U57" s="24" t="s">
        <v>808</v>
      </c>
      <c r="V57" s="24" t="s">
        <v>920</v>
      </c>
      <c r="W57" s="24" t="s">
        <v>283</v>
      </c>
    </row>
    <row r="58" customFormat="false" ht="199.95" hidden="false" customHeight="false" outlineLevel="0" collapsed="false">
      <c r="A58" s="24" t="s">
        <v>943</v>
      </c>
      <c r="B58" s="24" t="s">
        <v>309</v>
      </c>
      <c r="C58" s="24" t="s">
        <v>151</v>
      </c>
      <c r="D58" s="24" t="s">
        <v>307</v>
      </c>
      <c r="E58" s="24" t="s">
        <v>303</v>
      </c>
      <c r="F58" s="24" t="s">
        <v>132</v>
      </c>
      <c r="G58" s="24" t="s">
        <v>304</v>
      </c>
      <c r="H58" s="24" t="s">
        <v>116</v>
      </c>
      <c r="I58" s="24" t="s">
        <v>916</v>
      </c>
      <c r="J58" s="24" t="s">
        <v>802</v>
      </c>
      <c r="K58" s="24" t="s">
        <v>811</v>
      </c>
      <c r="L58" s="24" t="s">
        <v>47</v>
      </c>
      <c r="M58" s="24" t="s">
        <v>44</v>
      </c>
      <c r="N58" s="24" t="s">
        <v>803</v>
      </c>
      <c r="O58" s="24" t="s">
        <v>59</v>
      </c>
      <c r="P58" s="24" t="s">
        <v>804</v>
      </c>
      <c r="Q58" s="24" t="s">
        <v>944</v>
      </c>
      <c r="R58" s="24" t="s">
        <v>806</v>
      </c>
      <c r="S58" s="24" t="s">
        <v>918</v>
      </c>
      <c r="T58" s="24" t="s">
        <v>919</v>
      </c>
      <c r="U58" s="24" t="s">
        <v>808</v>
      </c>
      <c r="V58" s="24" t="s">
        <v>920</v>
      </c>
      <c r="W58" s="24" t="s">
        <v>283</v>
      </c>
    </row>
    <row r="59" customFormat="false" ht="199.95" hidden="false" customHeight="false" outlineLevel="0" collapsed="false">
      <c r="A59" s="24" t="s">
        <v>945</v>
      </c>
      <c r="B59" s="24" t="s">
        <v>306</v>
      </c>
      <c r="C59" s="24" t="s">
        <v>58</v>
      </c>
      <c r="D59" s="24" t="s">
        <v>307</v>
      </c>
      <c r="E59" s="24" t="s">
        <v>303</v>
      </c>
      <c r="F59" s="24" t="s">
        <v>43</v>
      </c>
      <c r="G59" s="24" t="s">
        <v>304</v>
      </c>
      <c r="H59" s="24" t="s">
        <v>34</v>
      </c>
      <c r="I59" s="24" t="s">
        <v>916</v>
      </c>
      <c r="J59" s="24" t="s">
        <v>802</v>
      </c>
      <c r="K59" s="24" t="s">
        <v>800</v>
      </c>
      <c r="L59" s="24" t="s">
        <v>47</v>
      </c>
      <c r="M59" s="24" t="s">
        <v>44</v>
      </c>
      <c r="N59" s="24" t="s">
        <v>803</v>
      </c>
      <c r="O59" s="24" t="s">
        <v>59</v>
      </c>
      <c r="P59" s="24" t="s">
        <v>804</v>
      </c>
      <c r="Q59" s="24" t="s">
        <v>946</v>
      </c>
      <c r="R59" s="24" t="s">
        <v>806</v>
      </c>
      <c r="S59" s="24" t="s">
        <v>918</v>
      </c>
      <c r="T59" s="24" t="s">
        <v>919</v>
      </c>
      <c r="U59" s="24" t="s">
        <v>808</v>
      </c>
      <c r="V59" s="24" t="s">
        <v>920</v>
      </c>
      <c r="W59" s="24" t="s">
        <v>283</v>
      </c>
    </row>
    <row r="60" customFormat="false" ht="199.95" hidden="false" customHeight="false" outlineLevel="0" collapsed="false">
      <c r="A60" s="24" t="s">
        <v>947</v>
      </c>
      <c r="B60" s="24" t="s">
        <v>300</v>
      </c>
      <c r="C60" s="24" t="s">
        <v>61</v>
      </c>
      <c r="D60" s="24" t="s">
        <v>302</v>
      </c>
      <c r="E60" s="24" t="s">
        <v>303</v>
      </c>
      <c r="F60" s="24" t="s">
        <v>49</v>
      </c>
      <c r="G60" s="24" t="s">
        <v>304</v>
      </c>
      <c r="H60" s="24" t="s">
        <v>34</v>
      </c>
      <c r="I60" s="24" t="s">
        <v>916</v>
      </c>
      <c r="J60" s="24" t="s">
        <v>802</v>
      </c>
      <c r="K60" s="24" t="s">
        <v>800</v>
      </c>
      <c r="L60" s="24" t="s">
        <v>47</v>
      </c>
      <c r="M60" s="24" t="s">
        <v>44</v>
      </c>
      <c r="N60" s="24" t="s">
        <v>803</v>
      </c>
      <c r="O60" s="24" t="s">
        <v>59</v>
      </c>
      <c r="P60" s="24" t="s">
        <v>804</v>
      </c>
      <c r="Q60" s="24" t="s">
        <v>948</v>
      </c>
      <c r="R60" s="24" t="s">
        <v>806</v>
      </c>
      <c r="S60" s="24" t="s">
        <v>918</v>
      </c>
      <c r="T60" s="24" t="s">
        <v>919</v>
      </c>
      <c r="U60" s="24" t="s">
        <v>808</v>
      </c>
      <c r="V60" s="24" t="s">
        <v>920</v>
      </c>
      <c r="W60" s="24" t="s">
        <v>283</v>
      </c>
    </row>
    <row r="61" customFormat="false" ht="199.95" hidden="false" customHeight="false" outlineLevel="0" collapsed="false">
      <c r="A61" s="24" t="s">
        <v>949</v>
      </c>
      <c r="B61" s="24" t="s">
        <v>950</v>
      </c>
      <c r="C61" s="24" t="s">
        <v>153</v>
      </c>
      <c r="D61" s="24" t="s">
        <v>951</v>
      </c>
      <c r="E61" s="24" t="s">
        <v>952</v>
      </c>
      <c r="F61" s="24" t="s">
        <v>152</v>
      </c>
      <c r="G61" s="24" t="s">
        <v>361</v>
      </c>
      <c r="H61" s="24" t="s">
        <v>116</v>
      </c>
      <c r="I61" s="24" t="s">
        <v>887</v>
      </c>
      <c r="J61" s="24" t="s">
        <v>802</v>
      </c>
      <c r="K61" s="24" t="s">
        <v>811</v>
      </c>
      <c r="L61" s="24" t="s">
        <v>47</v>
      </c>
      <c r="M61" s="24" t="s">
        <v>44</v>
      </c>
      <c r="N61" s="24" t="s">
        <v>953</v>
      </c>
      <c r="O61" s="24" t="s">
        <v>137</v>
      </c>
      <c r="P61" s="24" t="s">
        <v>804</v>
      </c>
      <c r="Q61" s="24" t="s">
        <v>954</v>
      </c>
      <c r="R61" s="24" t="s">
        <v>806</v>
      </c>
      <c r="S61" s="24" t="s">
        <v>808</v>
      </c>
      <c r="T61" s="24" t="s">
        <v>808</v>
      </c>
      <c r="U61" s="24" t="s">
        <v>808</v>
      </c>
      <c r="V61" s="24" t="s">
        <v>808</v>
      </c>
      <c r="W61" s="24" t="s">
        <v>283</v>
      </c>
    </row>
    <row r="62" customFormat="false" ht="199.95" hidden="false" customHeight="false" outlineLevel="0" collapsed="false">
      <c r="A62" s="24" t="s">
        <v>955</v>
      </c>
      <c r="B62" s="24" t="s">
        <v>956</v>
      </c>
      <c r="C62" s="24" t="s">
        <v>155</v>
      </c>
      <c r="D62" s="24" t="s">
        <v>951</v>
      </c>
      <c r="E62" s="24" t="s">
        <v>952</v>
      </c>
      <c r="F62" s="24" t="s">
        <v>154</v>
      </c>
      <c r="G62" s="24" t="s">
        <v>361</v>
      </c>
      <c r="H62" s="24" t="s">
        <v>116</v>
      </c>
      <c r="I62" s="24" t="s">
        <v>887</v>
      </c>
      <c r="J62" s="24" t="s">
        <v>802</v>
      </c>
      <c r="K62" s="24" t="s">
        <v>811</v>
      </c>
      <c r="L62" s="24" t="s">
        <v>47</v>
      </c>
      <c r="M62" s="24" t="s">
        <v>44</v>
      </c>
      <c r="N62" s="24" t="s">
        <v>953</v>
      </c>
      <c r="O62" s="24" t="s">
        <v>137</v>
      </c>
      <c r="P62" s="24" t="s">
        <v>804</v>
      </c>
      <c r="Q62" s="24" t="s">
        <v>957</v>
      </c>
      <c r="R62" s="24" t="s">
        <v>806</v>
      </c>
      <c r="S62" s="24" t="s">
        <v>808</v>
      </c>
      <c r="T62" s="24" t="s">
        <v>808</v>
      </c>
      <c r="U62" s="24" t="s">
        <v>808</v>
      </c>
      <c r="V62" s="24" t="s">
        <v>808</v>
      </c>
      <c r="W62" s="24" t="s">
        <v>283</v>
      </c>
    </row>
    <row r="63" customFormat="false" ht="199.95" hidden="false" customHeight="false" outlineLevel="0" collapsed="false">
      <c r="A63" s="24" t="s">
        <v>958</v>
      </c>
      <c r="B63" s="24" t="s">
        <v>959</v>
      </c>
      <c r="C63" s="24" t="s">
        <v>156</v>
      </c>
      <c r="D63" s="24" t="s">
        <v>951</v>
      </c>
      <c r="E63" s="24" t="s">
        <v>952</v>
      </c>
      <c r="F63" s="24" t="s">
        <v>128</v>
      </c>
      <c r="G63" s="24" t="s">
        <v>361</v>
      </c>
      <c r="H63" s="24" t="s">
        <v>116</v>
      </c>
      <c r="I63" s="24" t="s">
        <v>887</v>
      </c>
      <c r="J63" s="24" t="s">
        <v>802</v>
      </c>
      <c r="K63" s="24" t="s">
        <v>811</v>
      </c>
      <c r="L63" s="24" t="s">
        <v>47</v>
      </c>
      <c r="M63" s="24" t="s">
        <v>44</v>
      </c>
      <c r="N63" s="24" t="s">
        <v>953</v>
      </c>
      <c r="O63" s="24" t="s">
        <v>137</v>
      </c>
      <c r="P63" s="24" t="s">
        <v>804</v>
      </c>
      <c r="Q63" s="24" t="s">
        <v>960</v>
      </c>
      <c r="R63" s="24" t="s">
        <v>806</v>
      </c>
      <c r="S63" s="24" t="s">
        <v>808</v>
      </c>
      <c r="T63" s="24" t="s">
        <v>808</v>
      </c>
      <c r="U63" s="24" t="s">
        <v>808</v>
      </c>
      <c r="V63" s="24" t="s">
        <v>808</v>
      </c>
      <c r="W63" s="24" t="s">
        <v>283</v>
      </c>
    </row>
    <row r="64" customFormat="false" ht="199.95" hidden="false" customHeight="false" outlineLevel="0" collapsed="false">
      <c r="A64" s="24" t="s">
        <v>961</v>
      </c>
      <c r="B64" s="24" t="s">
        <v>962</v>
      </c>
      <c r="C64" s="24" t="s">
        <v>163</v>
      </c>
      <c r="D64" s="24" t="s">
        <v>963</v>
      </c>
      <c r="E64" s="24" t="s">
        <v>964</v>
      </c>
      <c r="F64" s="24" t="s">
        <v>160</v>
      </c>
      <c r="G64" s="24" t="s">
        <v>965</v>
      </c>
      <c r="H64" s="24" t="s">
        <v>966</v>
      </c>
      <c r="I64" s="24" t="s">
        <v>967</v>
      </c>
      <c r="J64" s="24" t="s">
        <v>870</v>
      </c>
      <c r="K64" s="24" t="s">
        <v>814</v>
      </c>
      <c r="L64" s="24" t="s">
        <v>47</v>
      </c>
      <c r="M64" s="24" t="s">
        <v>44</v>
      </c>
      <c r="N64" s="24" t="s">
        <v>803</v>
      </c>
      <c r="O64" s="24" t="s">
        <v>137</v>
      </c>
      <c r="P64" s="24" t="s">
        <v>804</v>
      </c>
      <c r="Q64" s="24" t="s">
        <v>968</v>
      </c>
      <c r="R64" s="24" t="s">
        <v>806</v>
      </c>
      <c r="S64" s="24" t="s">
        <v>808</v>
      </c>
      <c r="T64" s="24" t="s">
        <v>808</v>
      </c>
      <c r="U64" s="24" t="s">
        <v>808</v>
      </c>
      <c r="V64" s="24" t="s">
        <v>808</v>
      </c>
      <c r="W64" s="24" t="s">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30"/>
    <col collapsed="false" customWidth="true" hidden="false" outlineLevel="0" max="4" min="4" style="0" width="26"/>
    <col collapsed="false" customWidth="true" hidden="false" outlineLevel="0" max="6" min="6" style="0" width="34"/>
    <col collapsed="false" customWidth="true" hidden="false" outlineLevel="0" max="17" min="17" style="0" width="34"/>
  </cols>
  <sheetData>
    <row r="1" customFormat="false" ht="15" hidden="false" customHeight="false" outlineLevel="0" collapsed="false">
      <c r="A1" s="39" t="s">
        <v>969</v>
      </c>
      <c r="B1" s="39"/>
      <c r="C1" s="39"/>
      <c r="D1" s="39"/>
      <c r="E1" s="39"/>
      <c r="F1" s="39"/>
      <c r="G1" s="39"/>
      <c r="H1" s="39"/>
      <c r="I1" s="39"/>
      <c r="J1" s="39"/>
      <c r="K1" s="39"/>
      <c r="L1" s="39"/>
      <c r="M1" s="39"/>
      <c r="N1" s="39"/>
      <c r="O1" s="39"/>
      <c r="P1" s="39"/>
      <c r="Q1" s="39"/>
    </row>
    <row r="2" customFormat="false" ht="32.8" hidden="false" customHeight="false" outlineLevel="0" collapsed="false">
      <c r="A2" s="24" t="s">
        <v>970</v>
      </c>
      <c r="B2" s="24" t="s">
        <v>971</v>
      </c>
      <c r="C2" s="24" t="s">
        <v>972</v>
      </c>
      <c r="D2" s="24" t="s">
        <v>973</v>
      </c>
      <c r="E2" s="24" t="s">
        <v>974</v>
      </c>
      <c r="F2" s="24" t="s">
        <v>975</v>
      </c>
      <c r="G2" s="24" t="s">
        <v>976</v>
      </c>
      <c r="H2" s="24" t="s">
        <v>977</v>
      </c>
      <c r="I2" s="24" t="s">
        <v>978</v>
      </c>
      <c r="J2" s="24" t="s">
        <v>979</v>
      </c>
      <c r="K2" s="24" t="s">
        <v>980</v>
      </c>
      <c r="L2" s="24" t="s">
        <v>981</v>
      </c>
      <c r="M2" s="24" t="s">
        <v>982</v>
      </c>
      <c r="N2" s="24" t="s">
        <v>983</v>
      </c>
      <c r="O2" s="24" t="s">
        <v>984</v>
      </c>
      <c r="P2" s="24" t="s">
        <v>985</v>
      </c>
      <c r="Q2" s="24" t="s">
        <v>986</v>
      </c>
    </row>
    <row r="3" customFormat="false" ht="252.2" hidden="false" customHeight="false" outlineLevel="0" collapsed="false">
      <c r="A3" s="24" t="s">
        <v>800</v>
      </c>
      <c r="B3" s="24" t="s">
        <v>987</v>
      </c>
      <c r="C3" s="24" t="s">
        <v>988</v>
      </c>
      <c r="D3" s="24" t="s">
        <v>989</v>
      </c>
      <c r="E3" s="24" t="s">
        <v>990</v>
      </c>
      <c r="F3" s="24" t="s">
        <v>991</v>
      </c>
      <c r="G3" s="24" t="s">
        <v>992</v>
      </c>
      <c r="H3" s="24" t="s">
        <v>993</v>
      </c>
      <c r="I3" s="24" t="s">
        <v>994</v>
      </c>
      <c r="J3" s="24" t="s">
        <v>995</v>
      </c>
      <c r="K3" s="24" t="s">
        <v>996</v>
      </c>
      <c r="L3" s="24" t="s">
        <v>997</v>
      </c>
      <c r="M3" s="24" t="s">
        <v>998</v>
      </c>
      <c r="N3" s="24" t="s">
        <v>999</v>
      </c>
      <c r="O3" s="24" t="s">
        <v>1000</v>
      </c>
      <c r="P3" s="24" t="s">
        <v>1001</v>
      </c>
      <c r="Q3" s="24" t="s">
        <v>1002</v>
      </c>
    </row>
    <row r="4" customFormat="false" ht="252.2" hidden="false" customHeight="false" outlineLevel="0" collapsed="false">
      <c r="A4" s="24" t="s">
        <v>810</v>
      </c>
      <c r="B4" s="24" t="s">
        <v>1003</v>
      </c>
      <c r="C4" s="24" t="s">
        <v>988</v>
      </c>
      <c r="D4" s="24" t="s">
        <v>1004</v>
      </c>
      <c r="E4" s="24" t="s">
        <v>990</v>
      </c>
      <c r="F4" s="24" t="s">
        <v>1005</v>
      </c>
      <c r="G4" s="24" t="s">
        <v>992</v>
      </c>
      <c r="H4" s="24" t="s">
        <v>1006</v>
      </c>
      <c r="I4" s="24" t="s">
        <v>994</v>
      </c>
      <c r="J4" s="24" t="s">
        <v>1007</v>
      </c>
      <c r="K4" s="24" t="s">
        <v>1008</v>
      </c>
      <c r="L4" s="24" t="s">
        <v>997</v>
      </c>
      <c r="M4" s="24" t="s">
        <v>998</v>
      </c>
      <c r="N4" s="24" t="s">
        <v>1009</v>
      </c>
      <c r="O4" s="24" t="s">
        <v>1010</v>
      </c>
      <c r="P4" s="24" t="s">
        <v>1011</v>
      </c>
      <c r="Q4" s="24" t="s">
        <v>1012</v>
      </c>
    </row>
    <row r="5" customFormat="false" ht="252.2" hidden="false" customHeight="false" outlineLevel="0" collapsed="false">
      <c r="A5" s="24" t="s">
        <v>811</v>
      </c>
      <c r="B5" s="24" t="s">
        <v>1013</v>
      </c>
      <c r="C5" s="24" t="s">
        <v>1014</v>
      </c>
      <c r="D5" s="24" t="s">
        <v>1015</v>
      </c>
      <c r="E5" s="24" t="s">
        <v>1016</v>
      </c>
      <c r="F5" s="24" t="s">
        <v>1017</v>
      </c>
      <c r="G5" s="24" t="s">
        <v>1018</v>
      </c>
      <c r="H5" s="24" t="s">
        <v>1019</v>
      </c>
      <c r="I5" s="24" t="s">
        <v>1020</v>
      </c>
      <c r="J5" s="24" t="s">
        <v>1021</v>
      </c>
      <c r="K5" s="24" t="s">
        <v>1022</v>
      </c>
      <c r="L5" s="24" t="s">
        <v>1023</v>
      </c>
      <c r="M5" s="24" t="s">
        <v>1024</v>
      </c>
      <c r="N5" s="24" t="s">
        <v>1025</v>
      </c>
      <c r="O5" s="24" t="s">
        <v>1026</v>
      </c>
      <c r="P5" s="24" t="s">
        <v>1011</v>
      </c>
      <c r="Q5" s="24" t="s">
        <v>1027</v>
      </c>
    </row>
    <row r="6" customFormat="false" ht="126.85" hidden="false" customHeight="false" outlineLevel="0" collapsed="false">
      <c r="A6" s="24" t="s">
        <v>814</v>
      </c>
      <c r="B6" s="24" t="s">
        <v>1028</v>
      </c>
      <c r="C6" s="24" t="s">
        <v>1029</v>
      </c>
      <c r="D6" s="24" t="s">
        <v>1030</v>
      </c>
      <c r="E6" s="24" t="s">
        <v>1031</v>
      </c>
      <c r="F6" s="24" t="s">
        <v>1032</v>
      </c>
      <c r="G6" s="24" t="s">
        <v>1033</v>
      </c>
      <c r="H6" s="24" t="s">
        <v>1034</v>
      </c>
      <c r="I6" s="24" t="s">
        <v>1035</v>
      </c>
      <c r="J6" s="24" t="s">
        <v>1036</v>
      </c>
      <c r="K6" s="24" t="s">
        <v>1037</v>
      </c>
      <c r="L6" s="24" t="s">
        <v>1038</v>
      </c>
      <c r="M6" s="24" t="s">
        <v>1039</v>
      </c>
      <c r="N6" s="24" t="s">
        <v>1040</v>
      </c>
      <c r="O6" s="24" t="s">
        <v>1041</v>
      </c>
      <c r="P6" s="24" t="s">
        <v>1042</v>
      </c>
      <c r="Q6" s="24" t="s">
        <v>1043</v>
      </c>
    </row>
    <row r="7" customFormat="false" ht="982.8" hidden="false" customHeight="false" outlineLevel="0" collapsed="false">
      <c r="A7" s="24" t="s">
        <v>1044</v>
      </c>
      <c r="B7" s="24"/>
      <c r="C7" s="24"/>
      <c r="D7" s="24"/>
      <c r="E7" s="24"/>
      <c r="F7" s="24"/>
      <c r="G7" s="24"/>
      <c r="H7" s="24"/>
      <c r="I7" s="24"/>
      <c r="J7" s="24"/>
      <c r="K7" s="24"/>
      <c r="L7" s="24"/>
      <c r="M7" s="24"/>
      <c r="N7" s="24"/>
      <c r="O7" s="24"/>
      <c r="P7" s="24"/>
      <c r="Q7"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48"/>
  </cols>
  <sheetData>
    <row r="1" customFormat="false" ht="15" hidden="false" customHeight="false" outlineLevel="0" collapsed="false">
      <c r="A1" s="8" t="s">
        <v>1045</v>
      </c>
      <c r="B1" s="8" t="s">
        <v>982</v>
      </c>
      <c r="C1" s="8" t="s">
        <v>266</v>
      </c>
      <c r="D1" s="8" t="s">
        <v>209</v>
      </c>
      <c r="E1" s="8" t="s">
        <v>1046</v>
      </c>
      <c r="F1" s="8" t="s">
        <v>1047</v>
      </c>
    </row>
    <row r="2" customFormat="false" ht="22.35" hidden="false" customHeight="false" outlineLevel="0" collapsed="false">
      <c r="A2" s="40" t="s">
        <v>699</v>
      </c>
      <c r="B2" s="40" t="s">
        <v>546</v>
      </c>
      <c r="C2" s="40" t="s">
        <v>700</v>
      </c>
      <c r="D2" s="40" t="s">
        <v>702</v>
      </c>
      <c r="E2" s="40" t="s">
        <v>1048</v>
      </c>
      <c r="F2" s="40" t="s">
        <v>1049</v>
      </c>
    </row>
    <row r="3" customFormat="false" ht="22.35" hidden="false" customHeight="false" outlineLevel="0" collapsed="false">
      <c r="A3" s="40" t="s">
        <v>1050</v>
      </c>
      <c r="B3" s="40" t="s">
        <v>1051</v>
      </c>
      <c r="C3" s="40" t="s">
        <v>1052</v>
      </c>
      <c r="D3" s="40" t="s">
        <v>1053</v>
      </c>
      <c r="E3" s="40" t="s">
        <v>1054</v>
      </c>
      <c r="F3" s="40" t="s">
        <v>1055</v>
      </c>
    </row>
    <row r="4" customFormat="false" ht="15" hidden="false" customHeight="false" outlineLevel="0" collapsed="false">
      <c r="A4" s="40" t="s">
        <v>194</v>
      </c>
      <c r="B4" s="40" t="s">
        <v>1056</v>
      </c>
      <c r="C4" s="40" t="s">
        <v>204</v>
      </c>
      <c r="D4" s="40" t="s">
        <v>1057</v>
      </c>
      <c r="E4" s="40" t="s">
        <v>1058</v>
      </c>
      <c r="F4" s="40" t="s">
        <v>1059</v>
      </c>
    </row>
    <row r="5" customFormat="false" ht="22.35" hidden="false" customHeight="false" outlineLevel="0" collapsed="false">
      <c r="A5" s="40" t="s">
        <v>766</v>
      </c>
      <c r="B5" s="40" t="s">
        <v>767</v>
      </c>
      <c r="C5" s="40" t="s">
        <v>768</v>
      </c>
      <c r="D5" s="40" t="s">
        <v>1060</v>
      </c>
      <c r="E5" s="40" t="s">
        <v>1061</v>
      </c>
      <c r="F5" s="40" t="s">
        <v>1062</v>
      </c>
    </row>
    <row r="6" customFormat="false" ht="15" hidden="false" customHeight="false" outlineLevel="0" collapsed="false">
      <c r="A6" s="40" t="s">
        <v>196</v>
      </c>
      <c r="B6" s="40" t="s">
        <v>1063</v>
      </c>
      <c r="C6" s="40" t="s">
        <v>206</v>
      </c>
      <c r="D6" s="40" t="s">
        <v>1064</v>
      </c>
      <c r="E6" s="40" t="s">
        <v>1065</v>
      </c>
      <c r="F6" s="40" t="s">
        <v>1066</v>
      </c>
    </row>
    <row r="7" customFormat="false" ht="22.35" hidden="false" customHeight="false" outlineLevel="0" collapsed="false">
      <c r="A7" s="40" t="s">
        <v>1067</v>
      </c>
      <c r="B7" s="40" t="s">
        <v>1068</v>
      </c>
      <c r="C7" s="40" t="s">
        <v>1069</v>
      </c>
      <c r="D7" s="40" t="s">
        <v>1070</v>
      </c>
      <c r="E7" s="40" t="s">
        <v>1071</v>
      </c>
      <c r="F7" s="40" t="s">
        <v>1072</v>
      </c>
    </row>
    <row r="8" customFormat="false" ht="22.35" hidden="false" customHeight="false" outlineLevel="0" collapsed="false">
      <c r="A8" s="40" t="s">
        <v>659</v>
      </c>
      <c r="B8" s="40" t="s">
        <v>1073</v>
      </c>
      <c r="C8" s="40" t="s">
        <v>661</v>
      </c>
      <c r="D8" s="40" t="s">
        <v>1074</v>
      </c>
      <c r="E8" s="40" t="s">
        <v>1075</v>
      </c>
      <c r="F8" s="40" t="s">
        <v>1076</v>
      </c>
    </row>
    <row r="9" customFormat="false" ht="22.35" hidden="false" customHeight="false" outlineLevel="0" collapsed="false">
      <c r="A9" s="40" t="s">
        <v>1077</v>
      </c>
      <c r="B9" s="40" t="s">
        <v>1078</v>
      </c>
      <c r="C9" s="40" t="s">
        <v>1079</v>
      </c>
      <c r="D9" s="40" t="s">
        <v>1080</v>
      </c>
      <c r="E9" s="40" t="s">
        <v>1081</v>
      </c>
      <c r="F9" s="40" t="s">
        <v>1082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58"/>
    <col collapsed="false" customWidth="true" hidden="false" outlineLevel="0" max="4" min="4" style="0" width="8"/>
    <col collapsed="false" customWidth="true" hidden="false" outlineLevel="0" max="5" min="5" style="0" width="40"/>
  </cols>
  <sheetData>
    <row r="1" customFormat="false" ht="15" hidden="false" customHeight="false" outlineLevel="0" collapsed="false">
      <c r="A1" s="8" t="s">
        <v>1083</v>
      </c>
      <c r="B1" s="8" t="s">
        <v>1084</v>
      </c>
      <c r="C1" s="8" t="s">
        <v>1085</v>
      </c>
      <c r="D1" s="8" t="s">
        <v>1086</v>
      </c>
      <c r="E1" s="8" t="s">
        <v>1087</v>
      </c>
    </row>
    <row r="2" customFormat="false" ht="22.35" hidden="false" customHeight="false" outlineLevel="0" collapsed="false">
      <c r="A2" s="40" t="n">
        <v>1</v>
      </c>
      <c r="B2" s="40" t="s">
        <v>1088</v>
      </c>
      <c r="C2" s="40" t="s">
        <v>1089</v>
      </c>
      <c r="D2" s="40" t="s">
        <v>1090</v>
      </c>
      <c r="E2" s="40" t="s">
        <v>1091</v>
      </c>
    </row>
    <row r="3" customFormat="false" ht="22.35" hidden="false" customHeight="false" outlineLevel="0" collapsed="false">
      <c r="A3" s="40" t="n">
        <v>2</v>
      </c>
      <c r="B3" s="40" t="s">
        <v>1092</v>
      </c>
      <c r="C3" s="40" t="s">
        <v>1093</v>
      </c>
      <c r="D3" s="40" t="s">
        <v>1090</v>
      </c>
      <c r="E3" s="40" t="s">
        <v>1094</v>
      </c>
    </row>
    <row r="4" customFormat="false" ht="32.8" hidden="false" customHeight="false" outlineLevel="0" collapsed="false">
      <c r="A4" s="40" t="n">
        <v>3</v>
      </c>
      <c r="B4" s="40" t="s">
        <v>1095</v>
      </c>
      <c r="C4" s="40" t="s">
        <v>1096</v>
      </c>
      <c r="D4" s="40" t="s">
        <v>1090</v>
      </c>
      <c r="E4" s="40" t="s">
        <v>1097</v>
      </c>
    </row>
    <row r="5" customFormat="false" ht="22.35" hidden="false" customHeight="false" outlineLevel="0" collapsed="false">
      <c r="A5" s="40" t="n">
        <v>4</v>
      </c>
      <c r="B5" s="40" t="s">
        <v>1098</v>
      </c>
      <c r="C5" s="40" t="s">
        <v>1099</v>
      </c>
      <c r="D5" s="40" t="s">
        <v>1090</v>
      </c>
      <c r="E5" s="40" t="s">
        <v>1100</v>
      </c>
    </row>
    <row r="6" customFormat="false" ht="22.35" hidden="false" customHeight="false" outlineLevel="0" collapsed="false">
      <c r="A6" s="40" t="n">
        <v>5</v>
      </c>
      <c r="B6" s="40" t="s">
        <v>1101</v>
      </c>
      <c r="C6" s="40" t="s">
        <v>1102</v>
      </c>
      <c r="D6" s="40" t="s">
        <v>1103</v>
      </c>
      <c r="E6" s="40" t="s">
        <v>1104</v>
      </c>
    </row>
    <row r="7" customFormat="false" ht="22.35" hidden="false" customHeight="false" outlineLevel="0" collapsed="false">
      <c r="A7" s="40" t="n">
        <v>6</v>
      </c>
      <c r="B7" s="40" t="s">
        <v>1105</v>
      </c>
      <c r="C7" s="40" t="s">
        <v>1106</v>
      </c>
      <c r="D7" s="40" t="s">
        <v>1103</v>
      </c>
      <c r="E7" s="40" t="s">
        <v>1107</v>
      </c>
    </row>
    <row r="8" customFormat="false" ht="22.35" hidden="false" customHeight="false" outlineLevel="0" collapsed="false">
      <c r="A8" s="40" t="n">
        <v>7</v>
      </c>
      <c r="B8" s="40" t="s">
        <v>1108</v>
      </c>
      <c r="C8" s="40" t="s">
        <v>1109</v>
      </c>
      <c r="D8" s="40" t="s">
        <v>1110</v>
      </c>
      <c r="E8" s="40" t="s">
        <v>1111</v>
      </c>
    </row>
    <row r="9" customFormat="false" ht="22.35" hidden="false" customHeight="false" outlineLevel="0" collapsed="false">
      <c r="A9" s="40" t="n">
        <v>8</v>
      </c>
      <c r="B9" s="40" t="s">
        <v>1112</v>
      </c>
      <c r="C9" s="40" t="s">
        <v>1113</v>
      </c>
      <c r="D9" s="40" t="s">
        <v>1103</v>
      </c>
      <c r="E9" s="40" t="s">
        <v>1114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6" t="s">
        <v>1115</v>
      </c>
    </row>
    <row r="3" customFormat="false" ht="15" hidden="false" customHeight="false" outlineLevel="0" collapsed="false">
      <c r="A3" s="24" t="s">
        <v>1116</v>
      </c>
    </row>
    <row r="4" customFormat="false" ht="15" hidden="false" customHeight="false" outlineLevel="0" collapsed="false">
      <c r="A4" s="24" t="s">
        <v>1117</v>
      </c>
    </row>
    <row r="5" customFormat="false" ht="22.35" hidden="false" customHeight="false" outlineLevel="0" collapsed="false">
      <c r="A5" s="24" t="s">
        <v>1118</v>
      </c>
    </row>
    <row r="6" customFormat="false" ht="15" hidden="false" customHeight="false" outlineLevel="0" collapsed="false">
      <c r="A6" s="24" t="s">
        <v>1119</v>
      </c>
    </row>
    <row r="7" customFormat="false" ht="15" hidden="false" customHeight="false" outlineLevel="0" collapsed="false">
      <c r="A7" s="24" t="s">
        <v>1120</v>
      </c>
    </row>
    <row r="8" customFormat="false" ht="15" hidden="false" customHeight="false" outlineLevel="0" collapsed="false">
      <c r="A8" s="24" t="s">
        <v>1121</v>
      </c>
    </row>
    <row r="9" customFormat="false" ht="15" hidden="false" customHeight="false" outlineLevel="0" collapsed="false">
      <c r="A9" s="24" t="s">
        <v>1122</v>
      </c>
    </row>
    <row r="10" customFormat="false" ht="15" hidden="false" customHeight="false" outlineLevel="0" collapsed="false">
      <c r="A10" s="24" t="s">
        <v>1123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2026-06-08T20:45:47Z</dcterms:created>
  <dc:creator>openpyxl</dc:creator>
  <dc:description/>
  <dc:language>en-US</dc:language>
  <cp:lastModifiedBy/>
  <dcterms:modified xsi:type="dcterms:W3CDTF">2026-06-08T20:45:47Z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