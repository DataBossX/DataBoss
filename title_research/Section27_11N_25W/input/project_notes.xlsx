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Desktop\Horizon\"/>
    </mc:Choice>
  </mc:AlternateContent>
  <xr:revisionPtr revIDLastSave="0" documentId="13_ncr:1_{0623BB89-3211-4220-9629-DE43B882EACA}" xr6:coauthVersionLast="47" xr6:coauthVersionMax="47" xr10:uidLastSave="{00000000-0000-0000-0000-000000000000}"/>
  <bookViews>
    <workbookView xWindow="-120" yWindow="-120" windowWidth="29040" windowHeight="15840" xr2:uid="{00000000-000D-0000-FFFF-FFFF00000000}"/>
  </bookViews>
  <sheets>
    <sheet name="Sheet10" sheetId="15" r:id="rId1"/>
    <sheet name="Sheet9" sheetId="14" r:id="rId2"/>
    <sheet name="todo" sheetId="1" r:id="rId3"/>
    <sheet name="links" sheetId="2" r:id="rId4"/>
    <sheet name="emails" sheetId="3" r:id="rId5"/>
    <sheet name="prompts" sheetId="4" r:id="rId6"/>
    <sheet name="Sheet2" sheetId="5" r:id="rId7"/>
    <sheet name="Sheet1" sheetId="6" r:id="rId8"/>
    <sheet name="Sheet4" sheetId="7" r:id="rId9"/>
    <sheet name="Sheet6" sheetId="8" r:id="rId10"/>
    <sheet name="Sheet7" sheetId="9" r:id="rId11"/>
    <sheet name="Sheet8" sheetId="10" r:id="rId12"/>
    <sheet name="notes" sheetId="11" r:id="rId13"/>
    <sheet name="Sheet3" sheetId="12" r:id="rId14"/>
    <sheet name="Sheet5" sheetId="13" r:id="rId15"/>
  </sheets>
  <definedNames>
    <definedName name="_xlnm._FilterDatabase" localSheetId="2" hidden="1">todo!$A$1:$K$23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 i="13" l="1"/>
  <c r="A14" i="13" a="1"/>
  <c r="A14" i="13" s="1"/>
  <c r="A41" i="13" a="1"/>
  <c r="A41" i="13" s="1"/>
  <c r="A42" i="13" a="1"/>
  <c r="A42" i="13" s="1"/>
  <c r="A43" i="13" a="1"/>
  <c r="A43" i="13" s="1"/>
  <c r="A44" i="13" a="1"/>
  <c r="A44" i="13" s="1"/>
  <c r="A45" i="13" a="1"/>
  <c r="A45" i="13" s="1"/>
  <c r="A46" i="13" a="1"/>
  <c r="A46" i="13" s="1"/>
  <c r="A49" i="13" a="1"/>
  <c r="A49" i="13" s="1"/>
  <c r="A54" i="13" a="1"/>
  <c r="A54" i="13" s="1"/>
  <c r="A55" i="13" a="1"/>
  <c r="A55" i="13" s="1"/>
  <c r="A56" i="13" a="1"/>
  <c r="A56" i="13" s="1"/>
  <c r="A57" i="13" a="1"/>
  <c r="A57" i="13" s="1"/>
  <c r="A58" i="13" a="1"/>
  <c r="A58" i="13" s="1"/>
  <c r="A59" i="13" a="1"/>
  <c r="A59" i="13" s="1"/>
  <c r="A60" i="13" a="1"/>
  <c r="A60" i="13" s="1"/>
  <c r="A63" i="13" a="1"/>
  <c r="A63" i="13" s="1"/>
  <c r="A69" i="13" a="1"/>
  <c r="A69" i="13" s="1"/>
  <c r="A71" i="13" a="1"/>
  <c r="A71" i="13" s="1"/>
  <c r="A72" i="13" a="1"/>
  <c r="A72" i="13" s="1"/>
  <c r="A73" i="13" a="1"/>
  <c r="A73" i="13" s="1"/>
  <c r="A75" i="13" a="1"/>
  <c r="A75" i="13" s="1"/>
  <c r="A77" i="13" a="1"/>
  <c r="A77" i="13" s="1"/>
  <c r="A83" i="13" a="1"/>
  <c r="A83" i="13" s="1"/>
  <c r="A93" i="13" a="1"/>
  <c r="A93" i="13" s="1"/>
  <c r="A94" i="13" a="1"/>
  <c r="A94" i="13" s="1"/>
  <c r="A97" i="13" a="1"/>
  <c r="A97" i="13" s="1"/>
  <c r="A98" i="13" a="1"/>
  <c r="A98" i="13"/>
  <c r="A99" i="13" a="1"/>
  <c r="A99" i="13" s="1"/>
  <c r="A100" i="13" a="1"/>
  <c r="A100" i="13" s="1"/>
  <c r="A101" i="13" a="1"/>
  <c r="A101" i="13" s="1"/>
  <c r="A121" i="13" a="1"/>
  <c r="A121" i="13" s="1"/>
  <c r="A122" i="13" a="1"/>
  <c r="A122" i="13"/>
  <c r="A123" i="13" a="1"/>
  <c r="A123" i="13"/>
  <c r="A124" i="13" a="1"/>
  <c r="A124" i="13"/>
  <c r="A125" i="13" a="1"/>
  <c r="A125" i="13"/>
  <c r="A126" i="13" a="1"/>
  <c r="A126" i="13"/>
  <c r="A127" i="13" a="1"/>
  <c r="A127" i="13"/>
  <c r="A128" i="13" a="1"/>
  <c r="A128" i="13"/>
  <c r="A129" i="13" a="1"/>
  <c r="A129" i="13"/>
  <c r="A131" i="13" a="1"/>
  <c r="A131" i="13" s="1"/>
  <c r="A132" i="13" a="1"/>
  <c r="A132" i="13" s="1"/>
  <c r="A133" i="13" a="1"/>
  <c r="A133" i="13" s="1"/>
  <c r="A137" i="13" a="1"/>
  <c r="A137" i="13" s="1"/>
  <c r="A138" i="13" a="1"/>
  <c r="A138" i="13"/>
  <c r="A139" i="13" a="1"/>
  <c r="A139" i="13" s="1"/>
  <c r="A140" i="13" a="1"/>
  <c r="A140" i="13" s="1"/>
  <c r="A141" i="13" a="1"/>
  <c r="A141" i="13" s="1"/>
  <c r="A142" i="13" a="1"/>
  <c r="A142" i="13" s="1"/>
  <c r="A143" i="13" a="1"/>
  <c r="A143" i="13" s="1"/>
  <c r="A144" i="13" a="1"/>
  <c r="A144" i="13" s="1"/>
  <c r="A145" i="13" a="1"/>
  <c r="A145" i="13" s="1"/>
  <c r="A146" i="13" a="1"/>
  <c r="A146" i="13" s="1"/>
  <c r="A157" i="13" a="1"/>
  <c r="A157" i="13" s="1"/>
  <c r="A158" i="13" a="1"/>
  <c r="A158" i="13" s="1"/>
  <c r="A159" i="13" a="1"/>
  <c r="A159" i="13" s="1"/>
  <c r="A160" i="13" a="1"/>
  <c r="A160" i="13" s="1"/>
  <c r="A161" i="13" a="1"/>
  <c r="A161" i="13" s="1"/>
  <c r="A162" i="13" a="1"/>
  <c r="A162" i="13" s="1"/>
  <c r="A163" i="13" a="1"/>
  <c r="A163" i="13" s="1"/>
  <c r="A164" i="13" a="1"/>
  <c r="A164" i="13" s="1"/>
  <c r="A165" i="13" a="1"/>
  <c r="A165" i="13" s="1"/>
  <c r="A168" i="13" a="1"/>
  <c r="A168" i="13" s="1"/>
  <c r="A169" i="13" a="1"/>
  <c r="A169" i="13" s="1"/>
  <c r="A172" i="13" a="1"/>
  <c r="A172" i="13" s="1"/>
  <c r="A177" i="13" a="1"/>
  <c r="A177" i="13" s="1"/>
  <c r="A178" i="13" a="1"/>
  <c r="A178" i="13" s="1"/>
  <c r="A183" i="13" a="1"/>
  <c r="A183" i="13" s="1"/>
  <c r="A196" i="13" a="1"/>
  <c r="A196" i="13" s="1"/>
  <c r="A197" i="13" a="1"/>
  <c r="A197" i="13" s="1"/>
  <c r="A199" i="13" a="1"/>
  <c r="A199" i="13" s="1"/>
  <c r="A203" i="13" a="1"/>
  <c r="A203" i="13" s="1"/>
  <c r="A204" i="13" a="1"/>
  <c r="A204" i="13" s="1"/>
  <c r="A205" i="13" a="1"/>
  <c r="A205" i="13" s="1"/>
  <c r="A206" i="13" a="1"/>
  <c r="A206" i="13" s="1"/>
  <c r="A209" i="13" a="1"/>
  <c r="A209" i="13" s="1"/>
  <c r="A211" i="13" a="1"/>
  <c r="A211" i="13" s="1"/>
  <c r="A216" i="13" a="1"/>
  <c r="A216" i="13"/>
  <c r="A217" i="13" a="1"/>
  <c r="A217" i="13"/>
  <c r="A218" i="13" a="1"/>
  <c r="A218" i="13" s="1"/>
  <c r="A219" i="13" a="1"/>
  <c r="A219" i="13" s="1"/>
  <c r="A220" i="13" a="1"/>
  <c r="A220" i="13" s="1"/>
  <c r="A224" i="13" a="1"/>
  <c r="A224" i="13" s="1"/>
  <c r="A230" i="13" a="1"/>
  <c r="A230" i="13" s="1"/>
  <c r="A242" i="13" a="1"/>
  <c r="A242" i="1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<sst xmlns="http://schemas.openxmlformats.org/spreadsheetml/2006/main" count="618" uniqueCount="436">
  <si>
    <t>2. The County tax records can be found on the Howard County Appraisers website at https://esearch.howardcad.org/</t>
  </si>
  <si>
    <t>search by id print pdf</t>
  </si>
  <si>
    <t>for tax and property details</t>
  </si>
  <si>
    <t>2. The County tax records can be found on the Culberson County Appraisers website at https://culbersoncad.org</t>
  </si>
  <si>
    <t>Email: ryangille02@aol.com</t>
  </si>
  <si>
    <t>Password: bobcat</t>
  </si>
  <si>
    <t>use for other counties</t>
  </si>
  <si>
    <t>https://www.courthousedirect.com/</t>
  </si>
  <si>
    <t>https://howardcountytx-web.tylerhost.net/web/user/disclaimer</t>
  </si>
  <si>
    <t>ryangille02</t>
  </si>
  <si>
    <t>Bobcat84</t>
  </si>
  <si>
    <t>google drive folder: https://drive.google.com/drive/folders/1W2ikjOXSIKniVd3_WkXHRpK1ZcK3QBiy?usp=drive_link</t>
  </si>
  <si>
    <t>https://drive.google.com/drive/folders/1tTCE_MlxlSms-3ZO8I4gN8n1R2TO780X?usp=drive_link</t>
  </si>
  <si>
    <t>SOSDirect  USER ID: 1147116980 PW Bobcat84</t>
  </si>
  <si>
    <t>https://direct.sos.state.tx.us/acct/acct-login.asp</t>
  </si>
  <si>
    <t>https://direct.sos.state.tx.us/lef/index.aspx</t>
  </si>
  <si>
    <t>allie@horizonenergy.io</t>
  </si>
  <si>
    <t>https://www.dropbox.com/home/Ryan%20Gille/Parcel%20298936</t>
  </si>
  <si>
    <t>2. Gather property data: Use the Howard County property search site (https://esearch.howardcad.org) to locate the parcel by its Property ID or geographic ID. Confirm the owner name, legal description, acreage and appraised value. Download the current tax statement (PDF) and make note of the owner mailing address. If no property‑details report exists, create one summarising this information.</t>
  </si>
  <si>
    <t>https://www.martincad.org/Home/Search</t>
  </si>
  <si>
    <t>assessor</t>
  </si>
  <si>
    <t>https://www.texasfile.com/search/texas/martin-county/county-clerk-records/</t>
  </si>
  <si>
    <t>martin co</t>
  </si>
  <si>
    <t>ryangille02@aol.com</t>
  </si>
  <si>
    <t>bobcat</t>
  </si>
  <si>
    <t>https://public.lgsonlinesolutions.com/ors.html</t>
  </si>
  <si>
    <t>OWNER</t>
  </si>
  <si>
    <t>GEO ID</t>
  </si>
  <si>
    <t>PARCEL #</t>
  </si>
  <si>
    <t>MAP ID</t>
  </si>
  <si>
    <t>LEGAL DESCRIPTION</t>
  </si>
  <si>
    <t>SECTION</t>
  </si>
  <si>
    <t>BLK/TWN</t>
  </si>
  <si>
    <t>ABSTRACT</t>
  </si>
  <si>
    <t>COUNTY</t>
  </si>
  <si>
    <t>STATE</t>
  </si>
  <si>
    <t>status</t>
  </si>
  <si>
    <t>Caddo Oaks LLC</t>
  </si>
  <si>
    <t>sec 24 -36-1-n-</t>
  </si>
  <si>
    <t>36 T 1N</t>
  </si>
  <si>
    <t>A-913</t>
  </si>
  <si>
    <t>TEXAS</t>
  </si>
  <si>
    <t>done</t>
  </si>
  <si>
    <t>GRANTHAM RODNEY DARWIN</t>
  </si>
  <si>
    <t>N/2 OF SC 42 BK 33 1S 002 ACQ 050304 BLK/TRACT 33 1S 94.2 ACRES</t>
  </si>
  <si>
    <t>33 T1S</t>
  </si>
  <si>
    <t>A-1512</t>
  </si>
  <si>
    <t>HOWARD</t>
  </si>
  <si>
    <t>MORITA RANCHES, LLC</t>
  </si>
  <si>
    <t>review</t>
  </si>
  <si>
    <t>24 T1S</t>
  </si>
  <si>
    <t>SC 21 BK 34 1S 03 ACQ 031700 BLK/TRACT 34 1S 640 ACRES</t>
  </si>
  <si>
    <t>34 T1S</t>
  </si>
  <si>
    <t>A-413</t>
  </si>
  <si>
    <t>shirley fryar</t>
  </si>
  <si>
    <t>SEC37_BLK34_T1S</t>
  </si>
  <si>
    <t>TEXAS PACIFIC RESOURCES LLC</t>
  </si>
  <si>
    <t>AB 2658 BLK 58 SEC 43 TWP 1 T&amp;P RY</t>
  </si>
  <si>
    <t>58 T1</t>
  </si>
  <si>
    <t>A-2658</t>
  </si>
  <si>
    <t>CULBERSON</t>
  </si>
  <si>
    <t xml:space="preserve"> John_and_Kristen_Nichols</t>
  </si>
  <si>
    <t>Owl Exploration LLC</t>
  </si>
  <si>
    <t>SEC 24_BLK 35_T1S</t>
  </si>
  <si>
    <t>H&amp;S Farms</t>
  </si>
  <si>
    <t>Janice Stroup</t>
  </si>
  <si>
    <t>SEC 23 BLK 35 T1S</t>
  </si>
  <si>
    <t>35 T1S</t>
  </si>
  <si>
    <t>Rodney_Grantham</t>
  </si>
  <si>
    <t>sent last 4 easement documents</t>
  </si>
  <si>
    <t>Wayne Cook &amp; Sons</t>
  </si>
  <si>
    <t>_SEC 15_BLK 35_ TWP_1S_</t>
  </si>
  <si>
    <t>Martin</t>
  </si>
  <si>
    <t>Steve Cook and Tricia Cook</t>
  </si>
  <si>
    <t>_SEC 15_BLK 35_T1S_</t>
  </si>
  <si>
    <t>Lance_Hill</t>
  </si>
  <si>
    <t>Edwards_Trust</t>
  </si>
  <si>
    <t>send new docs</t>
  </si>
  <si>
    <t>Vera_Martin</t>
  </si>
  <si>
    <t>Sec 39_Blk 33_T1S_</t>
  </si>
  <si>
    <t>HILL JTWROS JANET &amp; CLARENCE</t>
  </si>
  <si>
    <t>AB 1745 BLK 56-1 SEC 44 T&amp;P (UND 175.3 AC)</t>
  </si>
  <si>
    <t>56-1</t>
  </si>
  <si>
    <t>1745</t>
  </si>
  <si>
    <t>Reeves</t>
  </si>
  <si>
    <t>OLDS KELLY B</t>
  </si>
  <si>
    <t>EDGAR &amp; LILLIAN OLDS HOMESTEAD LLC</t>
  </si>
  <si>
    <t>I'm shifting a few things around on this project to make it more efficient for everyone. </t>
  </si>
  <si>
    <t>The office will start handling the retrieval of the documents, so you don't need to purchase them. I know the costs have started to add up for some of you, and we've found a plan I can buy to reduce this stress. </t>
  </si>
  <si>
    <t>We've also found a way to create a runsheet/index for each section, which I'll provide when I assign you a parcel. We've tested this on a few parcels and the information isn't 100% correct, but it does help. Use the runsheet as a companion when researching title.</t>
  </si>
  <si>
    <t>I'm moving everything to Dropbox, where I will put the index, tax statement, and Secretary of State (if it's a company) information. </t>
  </si>
  <si>
    <t>I've also had a couple of questions asked to me, and I wanted to share it with everyone.</t>
  </si>
  <si>
    <t>We need ROW/Easements for everyone in the chain of title for your tract, as those stay with the land regardless of who the current owner is.</t>
  </si>
  <si>
    <t>Make sure you're including unreleased mortgages, liens or any other encumbrances, again, that are unreleased.</t>
  </si>
  <si>
    <t>The address on the report needs to be from the conveyance of record. If the address is different than the tax statement, make a note on the report detailing the discrepancy. </t>
  </si>
  <si>
    <t>If you don't have a map of the route and how it aligns with your parcel, please let me know and we'll get it to you. When you're reviewing all row/easements, we need to know immediately if it conflicts with Oncor's proposed route. If it does, then they may need to shift what we're working on to a different path. </t>
  </si>
  <si>
    <t>On your runsheet, make a note if the easement/row is a Blanket Easement or if it's Exclusive. The example I sent this morning shows how they want those words in Bold. </t>
  </si>
  <si>
    <t>I'll probably have more of this for y'all but that's it for right now. Also, you can work 7 days a week on this, so work away and let's keep up the great job everyone is doing so far. Thank you!!!</t>
  </si>
  <si>
    <t>Please see below from the client regarding how the reports should be formatted, and attached is an example. If you've already turned one of these in, please go back and make sure your runsheet looks exactly like this, and please resubmit it to me. </t>
  </si>
  <si>
    <t>I'm sure they'll have additional edits they'd like us to make, but for right now, this is it.</t>
  </si>
  <si>
    <t>Again, I can't stress these reports need to look exactly like this, and also spellcheck your reports before submitting them to me. </t>
  </si>
  <si>
    <t>Please see the attached updated templates for Coversheet, Runsheet and SOR for Oncor. This one has a few minor changes to the SOR, but the main change is a place for Oncor’s CCN number on the Coversheet, runsheet and SOR.</t>
  </si>
  <si>
    <t>josh@horizonenergy.io</t>
  </si>
  <si>
    <t>When you submit your report for 26-003, please also CC allie@horizonenergy.io and kristen@horizonenergy.io.</t>
  </si>
  <si>
    <t>kristen@horizonenergy.io</t>
  </si>
  <si>
    <t>allie@horizonenergy.io, kristen@horizonenergy.io</t>
  </si>
  <si>
    <t>please read through the NEW INFORMATION below before beginning. Also, please use the updated Runsheet template, attached, in place of the original one provided to you.​​</t>
  </si>
  <si>
    <t>NEW INFORMATION</t>
  </si>
  <si>
    <t>1. You will use the Howard County website to view your documents for this tract. You will still need to purchase all documents and save as described in the detailed information below. Courthouse Direct is likely the most cost-effective way to do this. Please keep your receipts for your invoice.</t>
  </si>
  <si>
    <t>3. We are looking at an easement lying 100' on each side of the line shown on the map for your tract. If there is a question as to whether an instrument impacts the lands within this area, please let me know and we can have the GIS department map it and make the determination.</t>
  </si>
  <si>
    <t>4. If you find any out-sales in your area that don't appear to have been accounted for, and/or are missing a parcel number, please let me know.</t>
  </si>
  <si>
    <t>5. As you start each new report, begin with the provided template. Do not try to change the information on a completed report. This often leads to problems with the embedded formulas and formatting.</t>
  </si>
  <si>
    <t>6. The client code for this project will be 26-003. You can leave the cell for the client's name blank.</t>
  </si>
  <si>
    <t>We have been asked to run 75 year surface title for tracts in Andrews, Culberson, Ector, Howard, Loving, Martin, Reeves, and Winkler Counties. Our Runsheets will include all conveyances, deeds, easements, rights-of-way, surface agreements, surface leases, any other surface related agreements, unreleased/unexpired mortgages, tax liens, judgments and any other instruments relevant to the surface ownership or property.  </t>
  </si>
  <si>
    <t>We have been asked to begin our Runsheets with 100% ownership interest, even if that interest goes back further than the 75 year scope. If you find that you will need to take your title back further than 75 years to encompass 100% interest, please be sure to include all surface agreements, including rights-of-way and easements back to the earliest date on your Runsheet. Please be sure to begin your runsheet with a Deed or Conveyance, that preferable warrants title, not a Probate or Affidavit, Quitclaim Deed, etc. </t>
  </si>
  <si>
    <t>  </t>
  </si>
  <si>
    <t>EASEMENTS/ROWS </t>
  </si>
  <si>
    <t>Regarding Easements and ROWs, you will need to make a note if the document is a Blanket Easement and/or an Exclusive Easement. Please make sure to include the exclusivity language in the notes from the Easement. All notes for Easements/ROWs on the Runsheet will need to include the term/expiration date, exclusivity language, type of easement/ROW, and the granting language. You will also need to add all exclusive Easements/ROWs to the Surface Ownership Report under the section titled “EXCLUSIVE EASEMENTS/ROWs” and Blanket Easements under the section titled “BLANKET EASEMENT/ROWS.” There is a line for a Yes/No answer as to if your tract includes any exclusive Easements/ROWs. If yes, put “Yes” and list the Bk/Pg of each instrument that has exclusivity language. If no, put “No” and leave the Bk/Pg entries as “N/A.” Please also remember to add any unexpired/unreleased liens to the Surface Ownership report as well. For Deeds of Trust, Mortgages and Liens, we will need the Maturity Date and Principal Amount in the notes column (if stated in the instrument) on the Runsheet. </t>
  </si>
  <si>
    <t>ACREAGE DISCREPANCIES </t>
  </si>
  <si>
    <t>Make sure to note any discrepancies in acreage from what is found in title vs. taxed acreage for the property on the SOR. If you find that you have a tract which is described by metes and bounds, or are unsure of acreage for your tract, please let us know immediately so we can have our mapping team deed plot your tract. Also if you have out sales on your property, please identify those and let us know if you unsure where it is located or if it may cross the line path so we can have it mapped.  </t>
  </si>
  <si>
    <t>Please be sure to describe the legal description exactly as it appears in the instrument, and use the exact granting language from the deeds and conveyances.  </t>
  </si>
  <si>
    <t>If you are having any issues with acreage, legal description or any other issues identifying the subject property, please let us know asap. </t>
  </si>
  <si>
    <t>PROBATES </t>
  </si>
  <si>
    <t>If your chain of title requires obtaining a probate that needs to be requested, please let me know as soon as possible. Due to the short timeline to complete this project, we will need to assign you another tract to begin working while you are waiting to receive requested probate(s). If you are unable to find a probate or any estate documents for a party, please let me know, as sometimes I am able to find what you need by using additional resources. </t>
  </si>
  <si>
    <t>I have included an example of how we would like our probates styled for our reports. Please include the Executor(s)/Executrix and the Devisees in the Grantee column. In the Notes column, we will need the decedents name, date of death, place of death, and the Articles in the LWT that bequeath the estate to the devisee, and appoint the Executor(s).  </t>
  </si>
  <si>
    <t>TEXAS SECRETERY OF STATE </t>
  </si>
  <si>
    <t>If your current owner of the subject property is an entity like a Limited Partnership (LP), Limited Liability Company, (LLC), etc., you will need to include PDF copies of the entity information, which includes the address info from the first page, a copy of the filing history to show what all documents have been filed from the entity, the “Names” tab which shows any alternate names for the entity and documents from the filing history that would include things like: Certificate of Formation, Certificate of Amendment, Name Changes, Mergers, Change of Registered Agents/Office. We do not need the Public Information Reports (PIR). We just need documents from the filing history that would show the formation of the entity and any changes to the name/structure or agents/office address. </t>
  </si>
  <si>
    <t>OWNERSHIP NOTES </t>
  </si>
  <si>
    <t>Please be sure to have a note on the Surface Ownership Report if your owner’s name appears with different variations of spelling on deeds and/or taxes. Also please note if the owner’s address on the taxes does not appear to match their address in the source deed from record title.  </t>
  </si>
  <si>
    <t>It is very important that any and all title issues have notes regarding those issues on the Surface Ownership Report.  </t>
  </si>
  <si>
    <t>FINAL DELIVERABLE </t>
  </si>
  <si>
    <t>As a reminder, please be sure to have the following in your shared folder when submitting an assignment and uploading RS &amp; SOR:</t>
  </si>
  <si>
    <t>1. Coversheet </t>
  </si>
  <si>
    <t>2. Runsheet (Note any blanket and/or exclusive easements/ROWs) </t>
  </si>
  <si>
    <t>3. Surface Ownership Report (complete with Liens/Mortgages, Exclusive Easements/ROWs, Taxes, and Surface Title Notes filled out) </t>
  </si>
  <si>
    <t>4. Instruments folder with all instruments included on the Runsheet in PDF format and labeled exactly as they are labeled in the Vol/Page column (you should have the same number of instruments in your instruments folder as you have on your runsheet) </t>
  </si>
  <si>
    <t>5. Taxes for all current owners</t>
  </si>
  <si>
    <t>of your tract (if the taxes provided in your tract tax folder do not pertain to your current owner, but your current owner does not have taxes shown in their name, please leave the taxes in your folder and put a note on the SOR explaining that the taxes do not match the current owner, and that the current owner does not appear to have taxes in their name) </t>
  </si>
  <si>
    <t>Please let me know if you have any questions or issues.</t>
  </si>
  <si>
    <t>I am attaching a map of the overall work area as well as one zoomed into more of your specific area. </t>
  </si>
  <si>
    <t>The information for your first tract is as follows:</t>
  </si>
  <si>
    <t>This email, its contents, and any attachments hereto are private and confidential, and are intended for the recipient’s eyes only. If you have received this message in error, please notify the sender and delete it immediately. </t>
  </si>
  <si>
    <t>Please start this new report with the original template, and not the completed report, in order to avoid issues with the formulas and / or formatting.</t>
  </si>
  <si>
    <t>parcel:</t>
  </si>
  <si>
    <t>I'm adding you to the Dropbox folder now. </t>
  </si>
  <si>
    <t>look at these easements and note if they say blanket or exclusive in them and if so put on the reports in bold fix the reports like the examples and send back with fixes highlighted</t>
  </si>
  <si>
    <t>also see if you can find any other missing title documents and have me help you get logged in to the site(s) if needed</t>
  </si>
  <si>
    <t>do either of these mention blanket or exclusive?</t>
  </si>
  <si>
    <t>A few of you have had some additional questions that merit sharing with everyone.</t>
  </si>
  <si>
    <t>1. You will need to use Texas File for viewing the online records for Culberson County. If any of you have a different, or better option, please feel free to share it with me. Please keep your receipts for your invoice.</t>
  </si>
  <si>
    <t>5. As you complete a report, please start each new one with the provided template. Do not try to change the information on a completed report. This often leads to problems with the embedded formulas and formatting.</t>
  </si>
  <si>
    <t>This is a new client with experienced in-house landmen. They will notice if we don't include any instruments, so please be thorough. With that said, we have a fairly short window for this project. All reports must be submitted within 45 days. We have been informed that, assuming we do well on this project, there will be one, if not two more, 45-day projects to follow this one. So, for this, we truly need quality and quantity. You have permission to work any additional time you wish on this project, including weekends.</t>
  </si>
  <si>
    <t>Let me know if you need anything else, or have additional questions.</t>
  </si>
  <si>
    <t>SOSDirect USER ID: 1147116980 PW Bobcat84</t>
  </si>
  <si>
    <t>send invoices to</t>
  </si>
  <si>
    <t>I am attaching a map of the over all work area as well as one zoomed into more of your specific area. </t>
  </si>
  <si>
    <t>I wanted to send a reminder of a couple of key things we need to make sure are being included in your reports:</t>
  </si>
  <si>
    <t>1. Please make sure you are including the blanket and exclusivity language from applicable instruments, both in your runsheet and in the appropriate section of the report.</t>
  </si>
  <si>
    <t>2. Remember to compare the name and address of the determined owners of record to those on the tax rolls. If these differ, please make the report owner be the owner of record, with a note at the bottom stating the discrepancy and the owner and address as found on the tax information.</t>
  </si>
  <si>
    <t>3. Make sure that if your owner is an LLC, or any other type of company or corporation, you are including the appropriate inception and amendment docs from the Secretary of State website. You can exclude the public information reports, or any other irrelevant documents.</t>
  </si>
  <si>
    <t>All of this, and other important things to pay attention to, are in the initial assignment email I sent out, but I wanted to remind you of these in particular, as they are of high importance to the client.</t>
  </si>
  <si>
    <t>What I need help with is making sure the reports are ready to send to the client. This means the landmen didn't miss any ROW/Documents, the notes look good and spellchecked, the runsheet/SOR is done correctly, and everything flows in order. </t>
  </si>
  <si>
    <t>You're welcome to reach out to the landmen individually if you have any questions about a report. Let me know who you need contact info for, when you do.</t>
  </si>
  <si>
    <t>Howard County - Parcel 298936</t>
  </si>
  <si>
    <t>working on</t>
  </si>
  <si>
    <t>Here is one to start out with, but I'm going to send you a couple more.</t>
  </si>
  <si>
    <t>I just added you to the following parcels for review:
298284
298250</t>
  </si>
  <si>
    <t>make sure column withs do not change</t>
  </si>
  <si>
    <t>Objective: Prepare complete and consistent deliverables for each parcel assigned.</t>
  </si>
  <si>
    <t>Steps:</t>
  </si>
  <si>
    <t>1. Review project notes: Read any provided project notes or templates carefully. They usually contain client codes, scope (e.g., 75‑year surface title), naming conventions and special requirements.</t>
  </si>
  <si>
    <t>3. Check instruments and title chain: Using the county’s e‑search or Courthouse Direct, obtain deeds, easements, rights‑of‑way, mortgages and any other instruments affecting the surface title. Ensure the runsheet lists every document with correct volume/page references, grantors/grantees and notes (e.g., term, exclusivity and maturity dates). For easements and ROWs, identify whether they are blanket or exclusive and summarise the granting language in the notes.</t>
  </si>
  <si>
    <t>4. Update SOR: Transfer surface‑title notes, liens, exclusive and blanket easements, tax info and ownership notes into the surface‑ownership report. Note any discrepancies (e.g., acreage differences between deed and tax record).</t>
  </si>
  <si>
    <t>5. Prepare deliverables: Create/update the coversheet, runsheet and SOR using the latest template. Save or rename each file following the naming convention: Coversheet_SEC##_BLK##_T#S__Owner_Name_(acreage_acres)_75_yr_Oncor, with underscores for spaces, no space between the SEC/BLK/T label and number, a double underscore before the owner name, acreage in parentheses and “yr” in lower case. Prepare a property‑details document (docx) summarising the information from the appraisal site and include the downloaded tax statement as a PDF.</t>
  </si>
  <si>
    <t>6. Quality check: Confirm that all notes are complete, that the number of instrument PDFs matches the runsheet entries and that the names, dates and legal descriptions are consistent throughout. If any document is missing, mis‑labelled or incomplete, return to the county sites to obtain the correct records.</t>
  </si>
  <si>
    <t>7. Submit: Upload the coversheet, runsheet, SOR, property‑details report and tax statement (five files per parcel) to the appropriate shared folder.</t>
  </si>
  <si>
    <t>Objective: Create consistent cover sheets, property detail reports, runsheets and SORs for each assigned parcel in Howard County.</t>
  </si>
  <si>
    <t>1. Read the latest project notes to understand scope (75‑year surface title), naming conventions and any special client instructions.</t>
  </si>
  <si>
    <t>2. Obtain property data from the Howard County appraisal site (esearch.howardcad.org). Search by parcel ID to verify the owner name, mailing address, legal description, acreage and appraised value. Download the current tax statement (PDF).</t>
  </si>
  <si>
    <t>3. Check the title chain using CourthouseDirect or the county recorder. Collect deeds, easements, rights‑of‑way, leases, mortgages, liens and judgments affecting the surface title. Record each instrument in the runsheet with volume/page, grantor, grantee, dates, acreage (if stated), prior reference and notes (e.g., term, exclusivity and granting language). Note any liens or unexpired mortgages with maturity date and principal amount.</t>
  </si>
  <si>
    <t>4. Update the Surface Ownership Report (SOR). Transfer ownership notes, exclusive and blanket easements/ROWs, tax information and lien details into the SOR’s sections. Highlight acreage discrepancies between title and tax records.</t>
  </si>
  <si>
    <t>5. Prepare the cover sheet using the latest template. Include “Surface Ownership Report” as the title, followed by CCN, Section, Block, Township, Survey and abstract, county, tax appraisal property ID(s), acreage and owner(s). Save with the naming convention: Coversheet_SEC##_BLK##_T#S__Owner_Name_(acreage_acres)_75_yr_Oncor.docx (underscores instead of spaces, double underscore before owner name, acreage in parentheses, “yr” in lower‑case).</t>
  </si>
  <si>
    <t>6. Create a property details report summarising the information from the appraisal site: Property ID, geographic ID, owner name and mailing address, legal description, acreage, appraised value and any relevant notes. Save with Property_Details_SEC##_BLK##_T#S__Owner_Name.docx.</t>
  </si>
  <si>
    <t>7. Quality‑check all files. Verify that notes are complete, names and legal descriptions match the instruments and tax records, and the number of documents purchased corresponds to the runsheet entries. Correct any missing or mislabeled items before finalising.</t>
  </si>
  <si>
    <t>8. Submit deliverables—coversheet, runsheet, SOR, property details report and tax statement—for each parcel, adhering strictly to the naming conventions.</t>
  </si>
  <si>
    <t xml:space="preserve">organize this workbook and improve it and return it </t>
  </si>
  <si>
    <t>You are a senior Texas landman, title abstractor, county-record researcher, and runsheet production specialist.
You are working on a REAL client deliverable. Your job is to gather as much reliable title-related data as possible for the target tract and produce the best, fullest, cleanest, most defensible surface runsheet possible.
You do not guess. You verify. You document uncertainty. You do not stop at the obvious chain. You search aggressively for missing instruments, encumbrances, easements, and forward-chain surface impacts.
========================================
MISSION
========================================
Build the most complete and accurate SURFACE RUNSHEET possible for the target parcel and export it in client-ready form.
Your objectives are to:
1. Identify the correct tract identity with certainty
2. Find all relevant title-affecting instruments within scope
3. Build a continuous surface chain of title
4. Capture and analyze easements / ROWs / encumbrances
5. Produce detailed, professional notes for every relevant document
6. Export a full completed runsheet with no blank required fields
7. Flag gaps, conflicts, and uncertainties clearly
========================================
TARGET TRACT
========================================
Use the provided parcel/report inputs to lock identity first.
Target fields to verify:
- Parcel ID
- Owner name
- County
- State
- Section
- Block
- Township
- Survey name
- Abstract number
- Geographic ID
- Acreage
- Legal description
Do not proceed until tract identity is locked.
========================================
NON-NEGOTIABLE RULES
========================================
- Do NOT guess
- Do NOT fabricate instrument details
- Do NOT leave required cells blank
- Do NOT drop rows unless true duplicate or clearly irrelevant
- Do NOT assume abstract number from survey name alone
- Do NOT rely on only one source
- If two sources conflict, flag the conflict and explain which source is stronger
- Maintain chronological order
- Preserve traceability
- Use exact document titles where possible
- Every easement / ROW must have a real note, not generic filler
- If something is uncertain, write VERIFY instead of inventing
========================================
SOURCE PRIORITY
========================================
Use sources in this order of trust:
1. County clerk real property records / official index
2. Appraisal district property detail / tax records
3. Tax statement
4. Existing runsheet / SOR / coversheet
5. Supporting project files
6. Secondary supporting references
If a county record and appraisal detail conflict, do not blindly choose one. Flag it and explain.
========================================
PHASE 1 — IDENTITY LOCK
========================================
Before abstracting, confirm:
- Exact legal description
- Correct abstract number
- Correct county
- Correct parcel ID
- Correct acreage
- Correct current owner
- Correct survey and tract naming format
Cross-check:
- Property Detail
- Tax Statement
- Existing Runsheet
- Existing SOR
- County index search results
Required output:
- “IDENTITY LOCK STATUS: CONFIRMED” or “IDENTITY LOCK STATUS: CONFLICT”
- Brief explanation
- Final locked tract description to use for all later work
========================================
PHASE 2 — SEARCH STRATEGY
========================================
Run ALL of these searches.
A. Grantor / Grantee searches
Search all known names in both directions:
- Current owner
- Prior owners from deed history
- Variations, punctuation differences, middle initials, abbreviations
B. Legal description searches
Search tract by:
- Section / Block / Township variations
- Abstract number
- Survey name
- Partial legal strings
- Common abbreviations:
  - Sec / Section
  - Blk / Block
  - T / Twp / Township
  - RR Co / Railroad Company
C. Forward chain search
From current owner acquisition date to present, search for:
- Easements
- ROWs
- Surface use agreements
- Pipeline agreements
- Utility grants
- Access easements
- Mortgage / lien activity if surface-relevant
D. Backward chain search
Work backwards through prior deed history to establish continuous vesting.
E. Adjoining / nearby tract logic
Search surrounding or related legal descriptors when needed to detect blanket easements or tract-spanning grants.
========================================
PHASE 3 — DOCUMENT COLLECTION
========================================
For every potentially relevant document, extract:
- Instrument number or volume/page
- Exact document title
- Execution date
- Recording date
- Grantor(s)
- Grantee(s)
- Legal description stated
- Acreage or interest conveyed
- Whether it affects subject tract directly, partially, or possibly by blanket language
Classify each document into one of:
- Patent / State grant
- Warranty deed
- Special warranty deed
- Quitclaim deed
- Trustee deed
- Deed of trust
- Release / reconveyance
- Probate / heirship
- Affidavit / correction instrument
- Easement
- Right-of-way
- Surface use agreement
- Lease / memorandum
- Judgment / lien
- Other
========================================
PHASE 4 — RELEVANCE FILTER
========================================
Include in the runsheet if:
- It affects surface ownership
- It burdens the tract
- It may burden the tract by blanket language
- It impacts access, utilities, use, or ownership
- It is needed to explain chain continuity
- It is needed to explain release or removal of prior encumbrance
Exclude only if clearly unrelated and document why excluded in working notes.
========================================
PHASE 5 — CHAIN OF TITLE
========================================
Build a continuous surface chain.
For each deed-level conveyance:
- Confirm grantor to grantee flow
- Confirm whether full tract or partial tract
- Confirm if legal matches the tract exactly or partially
- Identify missing conveyances between known owners
If chain gap exists:
- Insert a placeholder row if needed
- Mark: CHAIN GAP DETECTED — VERIFY
- Explain what appears missing
========================================
PHASE 6 — EASEMENT / ROW ANALYSIS
========================================
For every easement / ROW / SUA, determine:
- Blanket or specific
- Exclusive or non-exclusive
- Width stated?
- Location defined?
- Affects all or part of tract?
- Perpetual or term-limited?
- Release found?
- Surface impact summary
Required note format:
1. What rights are granted
2. Who holds the rights
3. Whether the tract is specifically described or affected by blanket language
4. Whether location is defined or undefined
5. Whether it appears active, released, or needs verification
If unclear:
- Write “ASSUMED BLANKET — VERIFY”
- or “LOCATION NOT STATED — VERIFY”
========================================
PHASE 7 — RUNSHEET COMPLETION RULES
========================================
Complete every row with:
- Row number
- Volume/Page or Instrument No.
- Document type
- Execution date
- Recording date
- Grantor
- Grantee
- Acres / interest if stated
- Prior reference if stated
- Legal description summary
- Professional notes
Rules:
- Keep order chronological by recording date unless client template requires different
- Use consistent naming
- Standardize dates
- Spell-check all notes
- Preserve client formatting structure
- Fill blank required fields with N/A only when truly not available
- Never use N/A where the data can be found with more searching
========================================
PHASE 8 — QUALITY NOTES
========================================
Each note must be useful.
Bad note example:
- “Easement affecting property”
Good note example:
- “Perpetual utility easement granted to [grantee]; appears to burden subject tract by blanket language rather than metes-and-bounds location. No width stated in index summary. Treat as possible blanket encumbrance pending full document review.”
For deeds, note:
- what conveyed
- whether full tract
- fee simple or security instrument
- relationship to prior chain
For deeds of trust, note:
- security instrument only
- not a fee conveyance
- release status if found
========================================
PHASE 9 — CROSS-CHECKING
========================================
Cross-check final runsheet against:
- Property Detail
- Tax record / tax statement
- Existing SOR
- Existing runsheet
- County record results
Validate:
- owner name
- acreage
- legal
- parcel ID
- chain continuity
- abstract number
- county
Flag every mismatch in a separate findings section.
========================================
PHASE 10 — OUTPUTS
========================================
Produce:
1. FULL COMPLETED RUNSHEET
- Client-ready
- Chronological
- Detailed notes
- No missing required fields
- Best available title coverage
2. FINDINGS / EXCEPTIONS SUMMARY
Include:
- Identity lock result
- Conflicts found
- Missing documents suspected
- Chain gaps
- Easements requiring full-image review
- Tax statement mismatch if applicable
- Any unresolved abstract/legal issues
3. CHANGE LOG
Columns:
- Field / Row
- Old value
- New value
- Reason
- Source used
========================================
SUCCESS STANDARD
========================================
The job is only complete if:
- The tract identity is locked
- The abstract number is defended with evidence
- The chain is as complete as the records allow
- All likely surface-affecting documents are searched for
- Easement notes are strong and specific
- The final runsheet is useful to a real client
- Any uncertainty is clearly flagged, never hidden
========================================
FINAL BEHAVIOR
========================================
Think like the last senior landman before client delivery.
Be skeptical.
Search wider than the obvious.
Trust primary records over assumptions.
Do not stop early.
Return the strongest complete runsheet you can defend.</t>
  </si>
  <si>
    <t>I had another call with the client this morning, and they're streamlining a few items and they gave me some expectations for how long these take.</t>
  </si>
  <si>
    <t>1. The client expects these reports to take no longer than 2-3 billed days based on previous projects they've completed. If they're going to take longer, I need to explain to them what the reason is. With every new prospect, especially one where it is with a new client, there is a learning curve on the first report or two, but most everyone is well past that. If you think it is going to take longer than 3 days to complete, I need to communicate the reason to the client.</t>
  </si>
  <si>
    <t>2. Piggybacking off of number one, don't get in the weeds with probates or other items when it is clear what is happening in title. If someone dies and there isn't a probate filed or AOH, but it's clear who their heirs/successors are, put those parties as the owners and write an extensive note about the assumptions you made. </t>
  </si>
  <si>
    <t>3. We are getting rid of the 2nd tab for just Easements. They like it, but understand it is adding additional time to the project so just put all documents in the runsheet tab and leave off the easement tab. </t>
  </si>
  <si>
    <t>Below is a list of items we'd like to see done better for the office and our final review:</t>
  </si>
  <si>
    <t>1-Saving the document consistently in the correct format for all items (runsheet, sor, coversheet) meaning spacing, underscores, capitalization; and a space after SEC and BLK.  See examples below.</t>
  </si>
  <si>
    <t>Coversheet_SEC _42_BLK _33_T1S_Rodney Grantham (108.7_acres)_75_yr_Oncor</t>
  </si>
  <si>
    <t>Runsheet_SEC _42_BLK _33_T1S_Rodney Grantham (108.7_acres)_75_yr_Oncor</t>
  </si>
  <si>
    <t>SOR_SEC _42_BLK _33_T1S_Rodney Grantham (108.7_acres)_75_yr_Oncor</t>
  </si>
  <si>
    <t>2-Make sure every line in the runsheet has a corresponding document saved exactly as the Vol/Page with the correct prefix (DR, OPR, etc..) on both.  Be sure to use the - just like the example below. (not . or /)</t>
  </si>
  <si>
    <t>DR 89-218 should have a document with the same name.  It is incorrect as DR 89.218 or DR 89/218.</t>
  </si>
  <si>
    <t>3- Please send docs as PDFs if possible.  </t>
  </si>
  <si>
    <t>4-Check for duplicate entries and/or missing entries before sending.  </t>
  </si>
  <si>
    <t>5 - When you turn in your assignment, please put the Parcel ID in the email so we know which tract it corresponds with. </t>
  </si>
  <si>
    <t>Finally, if you've turned in your assignment and need another. Please send me a 2nd email after you submit your parcel, letting me know you're ready for a new one. This will help me keep that email unread and allow me to go back and respond with a new assignment. Having said that, if you need an assignment, please let me know now.</t>
  </si>
  <si>
    <t>Please let me know what questions you.</t>
  </si>
  <si>
    <t>New assignments from emails (Reeves County Parcel 28005):</t>
  </si>
  <si>
    <t>Parcel 23742 / CCN 125-D - AB 1745 BLK 56-1 SEC 44 T&amp;P (UND 175.3 AC)</t>
  </si>
  <si>
    <t>Parcel 523758 / CCN 125-C - AB 1745 BLK 56-1 SEC 44 T&amp;P (UND 175.3 AC)</t>
  </si>
  <si>
    <t>Parcel 522757 / CCN 125-B - AB 1745 BLK 56-1 SEC 44 T&amp;P (UND 175.3 AC)</t>
  </si>
  <si>
    <t>Parcel 10578 / CCN 125-A - AB 1745 BLK 56-1 SEC 44 T&amp;P (UND 175.3 AC)</t>
  </si>
  <si>
    <t>Parcel 28005 / CCN 125-E - AB 1745 BLK 56-1 SEC 44 T&amp;P (UND 175.3 AC)</t>
  </si>
  <si>
    <t>1. You can use Texas File to search or the Reeves County website, then use the County or Courthouse direct to view your documents for this tract. The County website for documents can be found at https://reeves.tx.publicsearch.us/</t>
  </si>
  <si>
    <t>1. The County tax records can be found on the Reeves County Appraiser's website at https://www.reeves-cad.org/</t>
  </si>
  <si>
    <t>125-D</t>
  </si>
  <si>
    <t>125-C</t>
  </si>
  <si>
    <t>125-B</t>
  </si>
  <si>
    <t>125-A</t>
  </si>
  <si>
    <t>I had a long conversation with the client this morning and clarified a few instances I felt were mixed directives, as well as how they're finding the documents we've missed. I'm going to try and hit on each one.</t>
  </si>
  <si>
    <t>1. We've provided indices from Courthouse Direct, but as I've tried to explain, those are just a resource, and they won't have all the information needed to run complete title. They use the following resources for every parcel</t>
  </si>
  <si>
    <t>a. County Courthouse website</t>
  </si>
  <si>
    <t>b. Courthouse Direct</t>
  </si>
  <si>
    <t>c. Texas File - he said that Texas File, although clunky, does the best job of not missing documents, which is where they're finding our missing documents. He also said Texas File does the best job of providing probates.</t>
  </si>
  <si>
    <t>2. Probates - If your parcel has a missing chain of title and it is from a Probate, try to find it on one of the various websites, but like I just mentioned, Texas File may be the best resource. If you can't find it on those, call the Courthouse and request it from them. If they tell you it will take a couple of weeks to get to you, then let me know, and we'll find another solution to get it. </t>
  </si>
  <si>
    <t>3. I feel like the most mixed message is the 75-year title directive. I've received responses back from the client about Easements/ROW they found prior. I cleared this up with them and here is how they want us to do this:</t>
  </si>
  <si>
    <t>a. Go back at least 75 years, so the starting deed is a Warranty Deed. If it's prior to 1951, then that is what it has to be, but it has to be a Warranty Deed, not a QCD. When bringing title back to present, if that party enters into an Easement/ROW then include that in your chain of title. </t>
  </si>
  <si>
    <t>b. The other situation is if it is obvious there are more than one undivided owner prior to 1951, then we need to take it back to account for how these owners came into title and back to where it was one owner. </t>
  </si>
  <si>
    <t>4. If there are multiple owners within the same parcel/CNN they all need to be included on your runsheet and SOR. We just had a parcel with 7 undivided owners, all of them need to be on the SOR and also each individually checked for Easement/ROW. We're finding out that the Assessor's office is just listing the largest owner and not all the owners.</t>
  </si>
  <si>
    <t>5. Blanket and Exclusive ROW. I know this has confused a lot of us, but here is the simplest understanding of what we want to see.</t>
  </si>
  <si>
    <t>a. Blanket Easement - There is no defined path on the ROW/Easement of exactly where the route is going. When this is the case, it goes on the SOR, and in the comment area you put:</t>
  </si>
  <si>
    <t>i. Note: This appears to be a Blanket Easement</t>
  </si>
  <si>
    <t>b. Exclusive ROW/Easement - This is the simplest; the document has to say the word Exclusive somewhere in the document. When this happens, in the comment area, you put:</t>
  </si>
  <si>
    <t>i. Note: This appears to be an Exclusive Easement.</t>
  </si>
  <si>
    <t>Please let me know what questions y'all still have.</t>
  </si>
  <si>
    <t>125-E</t>
  </si>
  <si>
    <t>https://www.texasfile.com/search/texas/reeves-county/county-clerk-records/</t>
  </si>
  <si>
    <t>reeves</t>
  </si>
  <si>
    <t>courthouse direct</t>
  </si>
  <si>
    <t>HSIEH YINI</t>
  </si>
  <si>
    <t>You are acting as a senior Texas surface-title/runsheet QA examiner, land records researcher, and document-fix agent.</t>
  </si>
  <si>
    <t>MISSION:</t>
  </si>
  <si>
    <t>Review, verify, correct, and return the entire attached title/runsheet/SOR package. Do not just summarize. Open every attachment, compare every document against the others, search online for missing instruments, fix the editable files, and return corrected copies with every fix clearly highlighted/redlined.</t>
  </si>
  <si>
    <t>PRIMARY PACKAGE:</t>
  </si>
  <si>
    <t>This package appears to involve:</t>
  </si>
  <si>
    <t>- CCN: 125-A</t>
  </si>
  <si>
    <t>- Section 44, Block 56, Township 1 North</t>
  </si>
  <si>
    <t>- T&amp;P RR Co. Survey / Abstract 1745</t>
  </si>
  <si>
    <t>- Tax Appraisal Property ID: 10578</t>
  </si>
  <si>
    <t>- 175.3 gross acres / 43.825 net acres / 25% undivided interest</t>
  </si>
  <si>
    <t>- Known legal from tax/property docs: “AB 1745 BLK 56-1 SEC 44T&amp;P (UND 175.3 AC)”</t>
  </si>
  <si>
    <t>- Known deed history clues: Legacy Deed Vol. 610 Page 506; 2022 Instrument No. 2022001832 from Olds Jerry C et ux Constance to Edgar &amp; Lillian Olds Homestead LLC.</t>
  </si>
  <si>
    <t>IMPORTANT:</t>
  </si>
  <si>
    <t>Some attached CCN 1446 / Howard County files appear to be review examples, markup references, or a separate project. First classify every attachment as either:</t>
  </si>
  <si>
    <t>1. Primary SEC 44 / CCN 125-A Reeves County package,</t>
  </si>
  <si>
    <t>2. Reference/style/QA example,</t>
  </si>
  <si>
    <t>3. Separate CCN 1446 Howard County package,</t>
  </si>
  <si>
    <t>4. General project notes/templates.</t>
  </si>
  <si>
    <t>Do not mix facts between projects. Use CCN 1446 markup/review notes only as style guidance unless the task specifically requires correcting that package too.</t>
  </si>
  <si>
    <t>NON-NEGOTIABLE RULES:</t>
  </si>
  <si>
    <t>1. Use all relevant tools available: spreadsheet editing, DOCX editing, PDF reading, OCR if needed, web search, county clerk/public records portals, CAD/tax sites, document download tools, and comparison tools.</t>
  </si>
  <si>
    <t>2. Think deeply and carefully, but only show me the final audit trail, not private reasoning.</t>
  </si>
  <si>
    <t>3. Do not hallucinate instrument numbers, dates, parties, legal descriptions, liens, easements, or tax status.</t>
  </si>
  <si>
    <t>4. Every correction must be sourced to an attached document, an online record, an instrument image, a CAD/tax record, or marked “NEEDS HUMAN/COUNTY VERIFICATION.”</t>
  </si>
  <si>
    <t>5. Do not overwrite original files. Return new corrected files.</t>
  </si>
  <si>
    <t>6. Every changed cell, paragraph, row, or note must be highlighted/redlined.</t>
  </si>
  <si>
    <t>7. Search online before calling anything missing.</t>
  </si>
  <si>
    <t>8. If a site requires login/paywall/2FA, stop only for that item and give me the exact site, URL, search needed, reason access is needed, and what you need me to do. I can help log in. Do not store or expose credentials.</t>
  </si>
  <si>
    <t>FILES TO REVIEW:</t>
  </si>
  <si>
    <t>Review every attached file, including but not limited to:</t>
  </si>
  <si>
    <t>- Runsheet workbook for SEC 44 / BLK 56 / T1N / Edgar and Lillian Olds Homestead LLC / Oncor</t>
  </si>
  <si>
    <t>- SOR workbook for SEC 44 / BLK 56 / T1N / Edgar and Lillian Olds Homestead LLC / Oncor</t>
  </si>
  <si>
    <t>- CCN 1446 Markup for Review PDF</t>
  </si>
  <si>
    <t>- CCN 1446 review notes PDF</t>
  </si>
  <si>
    <t>- Oncor Longshore / Howard County map PDF</t>
  </si>
  <si>
    <t>RESEARCH REQUIREMENTS:</t>
  </si>
  <si>
    <t>Build a master research table from the existing runsheet/SOR/project notes. Extract:</t>
  </si>
  <si>
    <t>- Every book/page or volume/page</t>
  </si>
  <si>
    <t>- Every date and recording date</t>
  </si>
  <si>
    <t>- Every abstract, section, block, township, survey, acreage, parcel ID, geographic ID, and tax ID</t>
  </si>
  <si>
    <t>For each project, search all names and legal descriptions online. Search both exact and variant forms.</t>
  </si>
  <si>
    <t>For the SEC 44 Reeves County package, include searches for at least:</t>
  </si>
  <si>
    <t>- “Edgar and Lillian Olds Homestead LLC”</t>
  </si>
  <si>
    <t>- “Jerry C Olds”</t>
  </si>
  <si>
    <t>- “Jerry C Olds et ux Constance”</t>
  </si>
  <si>
    <t>- “AB 1745”</t>
  </si>
  <si>
    <t>- “BLK 56-1 SEC 44”</t>
  </si>
  <si>
    <t>- “Section 44 Block 56 Township 1 North”</t>
  </si>
  <si>
    <t>- “Section 44 Block 56 T1N”</t>
  </si>
  <si>
    <t>- “T&amp;P RR Co Survey 1745”</t>
  </si>
  <si>
    <t>- “Property ID 10578”</t>
  </si>
  <si>
    <t>- “Instrument 2022001832”</t>
  </si>
  <si>
    <t>- “Volume 610 Page 506”</t>
  </si>
  <si>
    <t>- “Vol 610 Pg 506”</t>
  </si>
  <si>
    <t>Also search each grantor/grantee combination both directions, including initials, middle names, spelling variations, entity punctuation variations, “et ux,” “trustee,” “estate,” “heirs,” “LLC,” and “homestead.”</t>
  </si>
  <si>
    <t>SITES / SOURCES TO CHECK:</t>
  </si>
  <si>
    <t>Use all relevant available sources, including:</t>
  </si>
  <si>
    <t>- Relevant probate/county court/district court records if title gaps or estates appear</t>
  </si>
  <si>
    <t>- County appraisal district property search</t>
  </si>
  <si>
    <t>- GIS/parcel map portals</t>
  </si>
  <si>
    <t>- Google/Bing exact-phrase searches</t>
  </si>
  <si>
    <t>- Secretary of State / Comptroller entity search if entity identity/status matters</t>
  </si>
  <si>
    <t>- Any attached maps, plats, exhibits, or project notes</t>
  </si>
  <si>
    <t>When searching, do not rely on index hits alone. Open/download the actual instrument image whenever possible and verify the legal description inside the document.</t>
  </si>
  <si>
    <t>LEGAL DESCRIPTION VERIFICATION:</t>
  </si>
  <si>
    <t>For every possible instrument found:</t>
  </si>
  <si>
    <t>1. Open the document.</t>
  </si>
  <si>
    <t>2. Read the legal description.</t>
  </si>
  <si>
    <t>3. Confirm whether it affects the subject tract.</t>
  </si>
  <si>
    <t>4. Compare section/block/township/survey/abstract/acres to the subject property.</t>
  </si>
  <si>
    <t>5. If metes and bounds are present, summarize the effect and include “See document for complete metes and bounds description” only where appropriate.</t>
  </si>
  <si>
    <t>6. If the deed states Section, Block, Township, Survey, Abstract, Certificate No., acreage, or prior source deed, include those details exactly as stated.</t>
  </si>
  <si>
    <t>7. Do not paraphrase granting/reservation language when the review standard requires exact language.</t>
  </si>
  <si>
    <t>RUNSHEET REVIEW/FIX REQUIREMENTS:</t>
  </si>
  <si>
    <t>Review and correct:</t>
  </si>
  <si>
    <t>- Date of runsheet</t>
  </si>
  <si>
    <t>- Document type</t>
  </si>
  <si>
    <t>- Execution date</t>
  </si>
  <si>
    <t>- Recording date</t>
  </si>
  <si>
    <t>Special note style:</t>
  </si>
  <si>
    <t>- Use exact granting language where available.</t>
  </si>
  <si>
    <t>- Include exact reservations/exceptions if stated.</t>
  </si>
  <si>
    <t>- Include “See document for complete metes and bounds description” when the full legal is too long, but only after verifying the document.</t>
  </si>
  <si>
    <t>- Do not invent missing language.</t>
  </si>
  <si>
    <t>- Use clean title-examiner wording.</t>
  </si>
  <si>
    <t>SOR REVIEW/FIX REQUIREMENTS:</t>
  </si>
  <si>
    <t>- Records checked date/time</t>
  </si>
  <si>
    <t>- Deed address vs tax address differences</t>
  </si>
  <si>
    <t>Taxes:</t>
  </si>
  <si>
    <t>- If taxes are paid and not delinquent, use the clean phrase: “Real Estate Taxes have been paid in full.”</t>
  </si>
  <si>
    <t>- Only add more tax detail if taxes are delinquent, unclear, or specifically required.</t>
  </si>
  <si>
    <t>Easements:</t>
  </si>
  <si>
    <t>- Otherwise leave those sections blank or “No,” per template style.</t>
  </si>
  <si>
    <t>- Do not dump every easement into the SOR unless the form requires it.</t>
  </si>
  <si>
    <t>Formatting rules from notes/template:</t>
  </si>
  <si>
    <t>- Use naming style like:</t>
  </si>
  <si>
    <t xml:space="preserve">  Runsheet_SEC44_BLK56_T1N_Edgar_And_Lillian_Olds_Homestead_LLC_(175.3_acres)_75_yr_Oncor.xlsx</t>
  </si>
  <si>
    <t>- Use all caps for SEC, BLK, T.</t>
  </si>
  <si>
    <t>- Use “acres” and “yr” lowercase.</t>
  </si>
  <si>
    <t>- Keep owner/project names proper case.</t>
  </si>
  <si>
    <t>- Top of sheet one should follow the template layout exactly.</t>
  </si>
  <si>
    <t>- On easement sheet: one blank line at top, no header, and one blank line on bottom of all sheets.</t>
  </si>
  <si>
    <t>- Format volume/page references with dashes where required, e.g. “OPR 1298-41” or “DR 308-139,” not slashes, when that is the project style.</t>
  </si>
  <si>
    <t>- Preserve formulas, tabs, formatting, column widths, and print layout unless a fix requires changes.</t>
  </si>
  <si>
    <t>HIGHLIGHT / REDLINE RULES:</t>
  </si>
  <si>
    <t>Return corrected files with all fixes highlighted:</t>
  </si>
  <si>
    <t>- Red text or strikethrough = removed/rejected/incorrect original content</t>
  </si>
  <si>
    <t>- Add a comment/note to changed cells or paragraphs when needed explaining the source.</t>
  </si>
  <si>
    <t>Also create a “CHANGE_LOG” sheet or document with:</t>
  </si>
  <si>
    <t>- Original text/value</t>
  </si>
  <si>
    <t>- Corrected text/value</t>
  </si>
  <si>
    <t>- Confidence level: High / Medium / Low</t>
  </si>
  <si>
    <t>MISSING INSTRUMENT SEARCH:</t>
  </si>
  <si>
    <t>Create a “MISSING_OR_UNVERIFIED_INSTRUMENTS” log. For each suspected missing instrument, include:</t>
  </si>
  <si>
    <t>- Instrument/book/page/date if known</t>
  </si>
  <si>
    <t>- Search terms used</t>
  </si>
  <si>
    <t>- Result: Found / Not found / login needed / county call needed</t>
  </si>
  <si>
    <t>- URL or source reference</t>
  </si>
  <si>
    <t>If an instrument is found:</t>
  </si>
  <si>
    <t>- Download/save the document if possible.</t>
  </si>
  <si>
    <t>- Name it clearly:</t>
  </si>
  <si>
    <t xml:space="preserve">  Instrument_[InstrumentNo_or_Book-Page]_[Grantor]_to_[Grantee]_[Date].pdf</t>
  </si>
  <si>
    <t>- Update the runsheet/SOR if it affects the property.</t>
  </si>
  <si>
    <t>If an instrument is not found:</t>
  </si>
  <si>
    <t>- Do not fake it.</t>
  </si>
  <si>
    <t>- Mark it “NOT FOUND AFTER SEARCH” or “NEEDS COUNTY/LOGIN VERIFICATION.”</t>
  </si>
  <si>
    <t>- Explain exactly what was searched and what remains.</t>
  </si>
  <si>
    <t>PROBATE / ESTATE / HEIRSHIP:</t>
  </si>
  <si>
    <t>If any grantor/grantee chain involves deceased persons, estates, trustees, heirs, affidavits of heirship, executor authority, or unexplained gaps:</t>
  </si>
  <si>
    <t>- Search probate/court records where available.</t>
  </si>
  <si>
    <t>- Look for probate cause numbers, wills, administrations, affidavits, heirship records, certified copies, executor/trustee authority, and deeds out.</t>
  </si>
  <si>
    <t>- If probate cannot be accessed online, list exact county office/site and what needs to be requested.</t>
  </si>
  <si>
    <t>QUALITY CONTROL:</t>
  </si>
  <si>
    <t>Before returning files:</t>
  </si>
  <si>
    <t>1. Reconcile SOR against runsheet.</t>
  </si>
  <si>
    <t>2. Reconcile runsheet against property details/tax/CAD.</t>
  </si>
  <si>
    <t>3. Reconcile owner, interest, acres, legal, PID, and source deed across all documents.</t>
  </si>
  <si>
    <t>4. Confirm no unrelated CCN 1446 facts were inserted into SEC 44 package.</t>
  </si>
  <si>
    <t>5. Confirm all corrections are highlighted.</t>
  </si>
  <si>
    <t>6. Confirm every added claim has a source.</t>
  </si>
  <si>
    <t>7. Spell-check names and legal descriptions carefully.</t>
  </si>
  <si>
    <t>8. Make sure dates are internally consistent.</t>
  </si>
  <si>
    <t>9. Make sure all output filenames follow the required convention.</t>
  </si>
  <si>
    <t>10. Prepare a concise executive summary of major fixes, missing instruments found, unresolved items, and confidence level.</t>
  </si>
  <si>
    <t>FINAL DELIVERABLES:</t>
  </si>
  <si>
    <t>Return:</t>
  </si>
  <si>
    <t>1. Corrected highlighted runsheet workbook.</t>
  </si>
  <si>
    <t>2. Corrected highlighted SOR workbook/document.</t>
  </si>
  <si>
    <t>3. Clean corrected copy of each editable final file.</t>
  </si>
  <si>
    <t>4. CHANGE_LOG.</t>
  </si>
  <si>
    <t>5. RESEARCH_LOG showing all online searches.</t>
  </si>
  <si>
    <t>6. MISSING_OR_UNVERIFIED_INSTRUMENTS log.</t>
  </si>
  <si>
    <t>7. Folder/packet of downloaded found instruments.</t>
  </si>
  <si>
    <t>8. One-page final summary:</t>
  </si>
  <si>
    <t xml:space="preserve">   - What was fixed</t>
  </si>
  <si>
    <t xml:space="preserve">   - What was added</t>
  </si>
  <si>
    <t xml:space="preserve">   - What was removed</t>
  </si>
  <si>
    <t xml:space="preserve">   - What remains unresolved</t>
  </si>
  <si>
    <t xml:space="preserve">   - What needs login/county call</t>
  </si>
  <si>
    <t xml:space="preserve">   - Highest-risk title issues</t>
  </si>
  <si>
    <t xml:space="preserve">   - Whether the package is client-ready or not</t>
  </si>
  <si>
    <t>Do not stop early. Do not give vague answers. Do not say something is fixed unless the file is actually corrected and returned. If access blocks you, document the block and give me the exact login/site/action needed.</t>
  </si>
  <si>
    <t>KEVDEE80 INVESTMENTS LLC</t>
  </si>
  <si>
    <t>Section 22 - Block 34 - Township 1 South - A-1179</t>
  </si>
  <si>
    <t>Sections 19 &amp; 20 - Block 34 - Township 1 South - T&amp;P R.R. Co. Survey -Abstract Nos. A-412</t>
  </si>
  <si>
    <t>Section 26 - Block 34 - Township 1s - Abstract No. A-1176</t>
  </si>
  <si>
    <t>Section 35 - Block 34 - Township 1 South - A-420</t>
  </si>
  <si>
    <t>Section 27 - Block 34 - Township 1 South - Abstract No. A-???</t>
  </si>
  <si>
    <t>Section 24 - Block 34 - Township 1 South - Abstract No. A-???</t>
  </si>
  <si>
    <t>Section 38 - Block 34 - Township 1 South - Abstract No. A-???</t>
  </si>
  <si>
    <t>howard</t>
  </si>
  <si>
    <t>https://www.texasfile.com/search/texas/howard-county/county-clerk-records/</t>
  </si>
  <si>
    <t>I need you to help out on one of my renewal projects. Out in Woodward County, my client is trying to better understand the terms of one of their competitors wind leases. If you look at 2501/431, it's a Memorandum of Wind Easement Agreement. The effective date is 5/19/2021, and the term is for 3 years, with a 3-year option. </t>
  </si>
  <si>
    <t>I've attached a spreadsheet for you to fill out with the information. </t>
  </si>
  <si>
    <t>I'd like for you to limit your research to the following townships:</t>
  </si>
  <si>
    <t>22N-18W</t>
  </si>
  <si>
    <t>22N-17W</t>
  </si>
  <si>
    <t>22N-19W</t>
  </si>
  <si>
    <t>23N-19W</t>
  </si>
  <si>
    <t>23N-18W</t>
  </si>
  <si>
    <t>23N-17W</t>
  </si>
  <si>
    <t>The prospect # is 23-017.</t>
  </si>
  <si>
    <t>find and fix any errors and make sure all formatting are the same and all tracts are accounted for and all numbers are correct and return with all fixes highlighted</t>
  </si>
  <si>
    <t>I need a LH cursory covering Diversified's interest covering the subject section. Here is the index: ​</t>
  </si>
  <si>
    <t>11N 25W 27 - Index.pdf​</t>
  </si>
  <si>
    <t>The prospect number is 26-005.</t>
  </si>
  <si>
    <t xml:space="preserve">use the formatting from 27-15N-24W Cursory Title Report (2-5-25) - NHE test.xlsx and fill in as much as you can for 27-15N-24W Cursory Title Report (6-3-2026) - NHE.xlsx. I need a LH cursory covering Diversified's interest covering the subject section.  </t>
  </si>
  <si>
    <t>think extra hard and use all tools and do full research and do as great as possible</t>
  </si>
  <si>
    <t>Update this report and make all names proper and First Middle Last instead of Last, First Middle and get the well data and tract data and put it all in and return fixed with all fixes highlighted</t>
  </si>
  <si>
    <t xml:space="preserve">I need a LH cursory covering Diversified's interest covering the subject section. </t>
  </si>
  <si>
    <t>b62efd1d7f0919d5a109ea843ce1eb53</t>
  </si>
  <si>
    <t>Your API Key</t>
  </si>
  <si>
    <t>https://okcountyrecords.com/account/dashboard/api-console</t>
  </si>
  <si>
    <t>https://okcountyrecords.com/api/v1/images</t>
  </si>
  <si>
    <t>curl -u &lt;your key&gt;: "https://okcountyrecords.com/api/v1/counties"</t>
  </si>
  <si>
    <t>https://okcountyrecords.com/api/v1/images?county=Adair&amp;number=352795&amp;action=view</t>
  </si>
  <si>
    <t>[Content-Type: application/pdf]
The raw, binary data of a PDF file.</t>
  </si>
  <si>
    <t>You are assisting with an Oklahoma oil-and-gas leasehold cursory title report. You are not giving a legal opinion. Your job is to clean, QA, organize, and improve the workbook based only on provided source materials and clearly flag anything that requires human landman/title-attorney verification.
Files uploaded:
1. Current Excel title report workbook
2. Index PDF / document index
3. Project notes / instructions
Project scope:
- Beckham County, Oklahoma
- Section 27, Township 11 North, Range 25 West
- 640 acres, more or less
- Prospect 26-005
- Cherokee formation focus
- Final scope is 27-11N-25W. Ignore stale 27-15N-24W references unless they are clearly just formatting-template references.
Tasks:
1. Inventory all workbook tabs and summarize what each tab appears to do.
2. Review the “needed” tab and build a completion checklist by category, priority, instrument number, book/page, and required next action.
3. Identify all blank, unverified, inconsistent, duplicate, or stale entries.
4. Normalize individual names from “Last, First Middle” to “First Middle Last” where safe. Do not rewrite company, trust, estate, or entity names unless obviously formatted as an individual.
5. Preserve workbook formulas, sheet names, structure, and formatting.
6. Highlight every changed cell.
7. Add or update a “Change Log” tab listing sheet, cell/range, old value, new value, reason, and source.
8. Add or update a “Remaining Missing Items” tab listing anything not verifiable from provided files.
9. Do not invent lease terms, royalty, depth clauses, expiration dates, well data, production data, ownership percentages, or HBP conclusions.
10. Where source support is missing, write “Needs landman verification” and explain what record/source is required.
11. Return a finished XLSX file and a concise summary of what was changed, what remains missing, and what is high risk.</t>
  </si>
  <si>
    <t>Before returning the final report, please confirm the following in writing:
1. All P1 items in the “needed” tab are either completed or specifically listed as unresolved with reason.
2. All pulled documents are saved as PDFs/images and named by instrument number or book/page.
3. Every changed cell in the workbook is highlighted.
4. A Change Log tab is included.
5. A Remaining Missing Items / Assumptions tab is included.
6. OGL tab is updated with royalty, term, expiration, depth/Pugh, option/extension, no-warranty/warranty, top lease, and burden notes where source documents support it.
7. Leasehold assignment chain has been verified through Diversified/DP Legacy/FourPoint/Maverick path as far as records allow.
8. Releases, partial releases, pooling, HBP, and production support have been checked.
9. Well tab is completed from OCC/production sources where available.
10. Names have been cleaned to First Middle Last format where appropriate.
11. Stale 27-15N-24W references were removed or ignored.
12. Workbook formulas and formatting were preserved.
13. The final report is limited to Section 27-11N-25W unless otherwise noted.
14. You are not relying on unsourced assumptions without listing them.</t>
  </si>
  <si>
    <t>Developing a Title‑Chain Investigation Plan for Section 27‑11N‑25W, Beckham County (Diversified Energy)
Diversified Energy (formerly Diversified Gas &amp; Oil) has grown its central‑region footprint through a series of acquisitions since 2018. These transactions created a web of successor companies that must be considered when building a chain‑of‑title. The sections below outline the major entities and purchase dates, then provide a step‑by‑step approach for using large‑language models (LLMs) and optical‑character‑recognition (OCR) tools to build a title cursory report. The goal is to use AI to process documents quickly, identify linkages between leases and assignments, and produce a defensible ownership matrix.
1 Diversified Energy alias and acquisition tree
The table below summarises the main companies and transactions relevant to Diversified’s central‑region holdings. It includes legacy names and highlights acquisitions that add entities whose names may appear in Beckham County records. When searching tract indexes, include all company names, abbreviations and their former subsidiaries as search terms.
Company / alias	Announcement or closing date (effective date)	Purchase price &amp; notes
Diversified Gas &amp; Oil PLC (DGOC) → Diversified Energy Company PLC (DEC)	Shareholders approved the name change on 27 Apr 2021; shares began trading under DEC on 7 May 2021.	The change was a re‑branding; no change in operations, but older instruments recorded before mid‑2021 may still list Diversified Gas &amp; Oil or DGOC.
Alliance Petroleum Company	Diversified closed the purchase of Alliance Petroleum on 6 Mar 2018 for $95 million. The acquisition increased Diversified’s production in the Appalachian Basin; older instruments may show Alliance Petroleum as the original lessee.	Use alias: Alliance, Alliance Petroleum, and Alliance Petroleum Company.
Tapstone Energy Holdings LLC (Tapstone) &amp; KL CHK SPV LLC	Diversified closed the Tapstone acquisition on 8 Dec 2021. The transaction, announced on 7 Oct 2021, consisted of upstream assets, field infrastructure and equipment. Diversified’s net purchase price was ≈$181 million.	Tapstone was based in Oklahoma; instruments recorded under Tapstone Energy, Tapstone, Tapstone Energy Holdings LLC and KL CHK SPV LLC should be included.
ConocoPhillips Company (Central‑region assets)	On 28 Jul 2022, Diversified announced a purchase &amp; sale agreement with ConocoPhillips to acquire oil‑ and gas‑producing assets in Oklahoma and Texas. The purchase price was $240 million with an estimated net price of ≈$210 million.	Search for ConocoPhillips, Conoco, Phillips Petroleum, and the specific asset subsidiaries used in the assignments.
Maverick Natural Resources (Maverick)	Diversified signed a definitive agreement on 27 Jan 2025 to acquire Maverick for ≈$1.275 billion. The acquisition increased liquids production and provided a new Permian asset base. Diversified issued shares and completed the acquisition on 14 Mar 2025.	Older leases may show Maverick Natural Resources, Maverick, or EIG‑related entities. After closing, Maverick’s CEO Rick Gideon became Diversified’s COO.
Summit Natural Resources	Diversified closed the purchase of Summit’s operated natural‑gas properties on 27 Feb 2025. The net purchase price was ≈$42 million; production was ~12 MMcfepd and reserves 65 Bcfe.	Search for Summit Natural Resources, Summit, and possible subsidiary names.
Canvas Energy (Canvas)	Diversified announced the acquisition of Canvas on 8 Sep 2025 and closed the deal on 24 Nov 2025. Canvas contributed net production of ~147 MMcfepd and ~200 MMBoe of reserves. The purchase price was ≈$550 million, funded by a $400 million asset‑backed securitization.	Include aliases such as Canvas Energy, CE, and any predecessor entity names.
East Texas I / II (ConocoPhillips / regional operator)	On 20 Aug 2024, Diversified announced a joint acquisition of operated natural gas properties in eastern Texas. Diversified’s share of the deal was $69 million with an estimated net price of $64 million.	Search for East Texas, ConocoPhillips assets, regional operator, etc. Another East‑Texas acquisition from Sheridan Production was announced on 26 Feb 2026 for $245 million; this may close after mid‑2026 but may already have recorded assignments.
Future acquisitions	Diversified continues to acquire assets. Examples include bolt‑on additions from Sheridan Production and other East‑Texas sellers. Monitoring news releases and SEC filings is important to keep the alias list current.	Add new entities when announcements occur.
Additional aliases:
Diversified often structures purchases through special‑purpose vehicles. When searching deeds, include names like DGOC (old ticker), DEC, Diversified Gas &amp; Oil, Diversified Energy, Diversified Production LLC, Next LVL Energy (plugging subsidiary), Carlyle (financing partner), and names of acquired subsidiaries.
2 Setting up a chain‑of‑title pipeline
The objective is to identify and document the chain of working‑interest ownership for every oil‑ and gas‑lease affecting Section 27‑11N‑25W. Rather than manually reading each instrument, the recommended approach is to build an AI‑assisted pipeline:
Assemble the data sources.
Obtain the tract index for the section from Beckham County’s records or countyrecords.com. The tract index lists every instrument affecting the section (deeds, leases, assignments, releases, probates, etc.) in chronological order.
Download or scan each instrument referenced in the index—leases, assignments, mineral deeds, corporate mergers, probate documents, releases and ratifications. Use a high‑quality scanner or direct PDF download to preserve legibility.
OCR and structure the documents.
Use LM Studio or a similar local LLM to perform OCR. Convert each document into searchable text and extract metadata (instrument type, volume/page or instrument number, recording date, grantor, grantee, legal description).
Store the results in a spreadsheet or database with one row per instrument and fields such as: Instrument, Date, Grantor, Grantee, Legal, Description, OCR_Text. This forms the evidence database.
Save the raw text of each instrument as a separate file for context when feeding to an LLM.
Parse the tract index.
Use a large‑context LLM (e.g., ChatGPT 4 Pro with 128K context) to parse the tract index rows. Provide examples (20–30 lines) to the model and ask it to extract structured data into JSON or CSV with fields: Instrument_Type, Grantor, Grantee, Volume_Page (or Instrument_Number), Recording_Date, Legal_Description, Quarter_Calls, and Notes.
Instruct the model to flag rows that likely correspond to oil‑and‑gas leases, assignments, releases, corporate transactions, probates, conveyances and affidavits. Non‑relevant entries (e.g., highway easements) can be ignored.
Sample prompt:
You are an expert land‑title paralegal. Extract data from the following tract‑index lines. For each line, return a JSON object with keys: Instrument_Type, Grantor, Grantee, Volume_Page (or Instrument_Number), Recording_Date, Quarter_Calls, Legal_Description, and Notes. Determine whether the entry appears to be an oil‑and‑gas lease, an assignment, a release, a probate document, a corporate transaction, or other. Use Confidence (0–1) to score your determination. Example input line: “O&amp;G Lease – Smith Jr to Maverick Natural Resources – Vol 123 Pg 456 – 4/12/1984 – SW/4 Section 27 11N 25W.”
Build the lease chain.
Starting from the earliest recorded lease for Section 27‑11N‑25W, use the OCR text and index data to identify the original lessor (mineral owner) and original lessee.
Trace assignments chronologically. For each lease, identify every assignment, partial assignment, conveyance, merger, name change or release. Follow the chain until the present, noting the current owner of the working interest. Document the chain as a table with columns: Date, Assignor, Assignee, Instrument, Notes.
To accelerate this process, feed batches of assignment documents (e.g., 5–10 assignments) into an LLM like Claude or GPT 4 Pro and ask it to summarise who conveyed what interest to whom. Provide the model with the previous chain so it can append new links.
Sample prompt:
You are a title attorney. The following documents are assignments related to Lease A covering Section 27‑11N‑25W. Summarise, in chronological order, the parties, dates and interests conveyed. Include citations to the instrument numbers. Continue the existing chain (shown below) and ensure that each new link has clear grantor, grantee, effective date and acreage. Do not skip documents unless they clearly do not affect Lease A.
Separate working‑interest vs mineral‑interest.
Keep separate tables for mineral ownership (fee ownership of the minerals) and leasehold working interest (rights under oil‑and‑gas leases). Do not commingle the two.
For mineral deeds, trace how the minerals moved from the patent holder to the present mineral owners. For leases, focus on assignments and subleases.
Back‑trace from Diversified.
Instead of starting in the 1900s and moving forward, start with Diversified (or its subsidiaries) as the most recent holder of working interest. For each interest, ask: “Which instrument gave Diversified this interest?” and “Which instrument gave the prior holder their interest?” Repeat until you reach the original lease. This backward approach quickly isolates the relevant chain.
Create a mineral‑owner table.
For each oil‑and‑gas lease, record the lessor (mineral owner), lease date, legal description, and acreage. Use probate documents, affidavits of heirship and conveyances to confirm ownership. Include notes on life estates, reserved royalty interests, or depth limitations.
Sample columns: Lessor, Lease_Date, Acres, Depth_Limitations, Current_Status, Supporting_Documents.
Demand evidence for conclusions.
Always require the AI to cite the specific instrument supporting each conclusion. If the model cannot identify supporting language in the document, mark the conclusion as “low confidence” or leave it unresolved. Use a table: Conclusion, Supporting_Instrument, Confidence.
Build the final ownership matrix.
Present the results in a matrix with rows for each type of interest (working interest, leasehold interest, mineral interest, overriding royalty, non‑participating royalty, etc.) and columns for Current Owner, Source Instrument, and Confidence.
This matrix is what decision‑makers typically need. It highlights any gaps where additional documents or curative actions are required.
Maintain an evolving alias list.
Each time you encounter a new company name in the records, add it to the alias list and investigate whether it is related to Diversified. Include mergers, name changes, dissolutions or bankruptcies. This prevents missing assignments that use unfamiliar names.
3 Prompts for LLMs and code assistants
Below are example prompts tailored for common subtasks. Replace placeholders with your own content (e.g., sample text, instrument numbers). Use ChatGPT, Claude or other code‑capable models.
3.1 Extract data from tract index
You are an expert land‑title paralegal.  The following lines come from the Beckham County tract index for Section 27‑11N‑25W.  For each line, produce a JSON object with keys: Instrument_Type, Grantor, Grantee, Volume_Page or Instrument_Number, Recording_Date, Legal_Description, Quarter_Calls and Notes.  Identify whether the entry is an oil‑and‑gas lease, assignment, conveyance, release, probate document or other.  Provide a Confidence score (0–1).  Example output: {"Instrument_Type":"O&amp;G Lease", "Grantor":"John Smith", ...}.  Here are the lines:
&lt;PASTE 20–30 lines here&gt;
3.2 Summarise assignment documents
You are a title attorney.  Below is the text of several assignment documents related to the White Lease covering Section 27‑11N‑25W.  Summarise each assignment in chronological order.  For each assignment, provide: Assignor, Assignee, Effective_Date, Acres or Fraction conveyed, Consideration (if stated), and Instrument_Number.  If the assignment is partial or subject to reservations, describe those limitations.  Then update the existing chain of title (provided at the end of this prompt) with these new links.  Do not guess; if a document does not clearly convey an interest, mark it as unclear and flag it for review.
---
&lt;PASTE OCR text of assignments here&gt;
---
Existing chain of title:
1. 4/1/1980 – Smith Heirs leased to Tapstone Energy – 160 acres, N/2.  
2. 5/1/1981 – Tapstone assigned 50% to Maverick Natural Resources – 160 acres, N/2.
3.3 Validate mineral ownership
You are reviewing mineral deeds and probate documents for Section 27‑11N‑25W.  For each document, determine what interest the grantor conveyed to the grantee, including whether the grantor owned a full mineral interest or only a fractional interest.  Note any life estates, reservations, or depth limitations.  Summarise as: Grantor, Grantee, Conveyed_Interest, Reserved_Interest, Instrument_Number, and Issues (e.g., missing heirs, unprobated estates).  Provide citations to specific language within the documents.
3.4 Generate final ownership matrix
You have completed the chain‑of‑title analysis for Section 27‑11N‑25W.  Based on the evidence gathered (leases, assignments, deeds), produce a table listing each type of interest (Working Interest, Leasehold Interest, Mineral Interest, Overriding Royalty, Non‑Participating Royalty).  For each interest, list the Current Owner(s), Source Instrument(s), and Confidence (0–1).  Note any unresolved gaps or curative requirements.  Separate working interest from mineral ownership.  Do not combine them.
4 Recommendations for efficient execution
Automate where possible. Use Python or spreadsheet macros to standardize instrument numbers, dates and names. If you have a countyrecords.com API key, write scripts to download documents in bulk and feed them into the OCR and LLM pipeline.
Use chunking strategies. Large documents should be split into smaller sections (e.g., 1–2 pages) before sending to an LLM. Provide necessary context from earlier pages (e.g., definition of terms) to avoid misinterpretation.
Verify AI outputs. Despite advanced reasoning capabilities, LLMs can hallucinate or overlook details. Cross‑check critical information—such as fractional interests and depth clauses—against the original documents.
Maintain security. Store sensitive documents in an encrypted environment. Limit access to the API keys and maintain audit logs of all automated actions.
Stay updated. Diversified’s acquisition activity is ongoing. Check investor‑relations pages regularly for new announcements and add new entities to the alias list.
By following this plan and using the sample prompts, you can leverage LLMs and OCR tools to process large volumes of documents quickly and produce a defensible cursory report for Section 27‑11N‑25W. The key is to organise the data first, structure the questions you ask the LLM, and require evidence for every conclusion.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</si>
</sst>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Aptos Narrow"/>
      <family val="2"/>
      <scheme val="minor"/>
    </font>
    <font>
      <sz val="11"/>
      <color rgb="FF000000"/>
      <name val="Helvetica"/>
    </font>
    <font>
      <b/>
      <sz val="11"/>
      <color rgb="FF000000"/>
      <name val="Helvetica"/>
    </font>
    <font>
      <sz val="12"/>
      <color rgb="FF000000"/>
      <name val="Helvetica"/>
    </font>
    <font>
      <b/>
      <sz val="11"/>
      <color theme="1"/>
      <name val="TimesNewRomanPS-BoldMT"/>
    </font>
    <font>
      <sz val="13"/>
      <color theme="1"/>
      <name val="Helvetica"/>
    </font>
    <font>
      <sz val="12"/>
      <color rgb="FF000000"/>
      <name val="Aptos"/>
      <family val="2"/>
    </font>
    <font>
      <u/>
      <sz val="11"/>
      <color theme="10"/>
      <name val="Aptos Narrow"/>
      <family val="2"/>
      <scheme val="minor"/>
    </font>
    <font>
      <sz val="11"/>
      <color rgb="FF242424"/>
      <name val="Helvetica"/>
    </font>
    <font>
      <b/>
      <sz val="11"/>
      <color rgb="FF242424"/>
      <name val="Helvetica"/>
    </font>
    <font>
      <b/>
      <sz val="12"/>
      <color rgb="FF000000"/>
      <name val="Aptos"/>
      <family val="2"/>
    </font>
    <font>
      <sz val="12"/>
      <color rgb="FF242424"/>
      <name val="Helvetica"/>
    </font>
    <font>
      <sz val="11"/>
      <color rgb="FF000000"/>
      <name val="Aptos"/>
      <family val="2"/>
    </font>
    <font>
      <b/>
      <sz val="11"/>
      <color theme="1"/>
      <name val="Aptos Narrow"/>
      <family val="2"/>
      <scheme val="minor"/>
    </font>
    <font>
      <sz val="10"/>
      <color rgb="FF000000"/>
      <name val="Segoe UI"/>
      <family val="2"/>
    </font>
    <font>
      <sz val="11"/>
      <color theme="1"/>
      <name val="Segoe UI"/>
      <family val="2"/>
    </font>
  </fonts>
  <fills count="6">
    <fill>
      <patternFill patternType="none"/>
    </fill>
    <fill>
      <patternFill patternType="gray125"/>
    </fill>
    <fill>
      <patternFill patternType="solid">
        <fgColor rgb="FFD6D6D6"/>
        <bgColor indexed="64"/>
      </patternFill>
    </fill>
    <fill>
      <patternFill patternType="solid">
        <fgColor rgb="FFFFFFFF"/>
        <bgColor indexed="64"/>
      </patternFill>
    </fill>
    <fill>
      <patternFill patternType="solid">
        <fgColor rgb="FFFFFF00"/>
        <bgColor indexed="64"/>
      </patternFill>
    </fill>
    <fill>
      <patternFill patternType="solid">
        <fgColor theme="9"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7" fillId="0" borderId="0"/>
  </cellStyleXfs>
  <cellXfs count="70">
    <xf numFmtId="0" fontId="0" fillId="0" borderId="0" xfId="0"/>
    <xf numFmtId="0" fontId="1" fillId="0" borderId="0" xfId="0" applyFont="1" applyAlignment="1">
      <alignment horizontal="justify" vertical="center" wrapText="1"/>
    </xf>
    <xf numFmtId="0" fontId="2" fillId="0" borderId="0" xfId="0" applyFont="1" applyAlignment="1">
      <alignment horizontal="justify" vertical="center" wrapText="1"/>
    </xf>
    <xf numFmtId="0" fontId="1" fillId="0" borderId="0" xfId="0" applyFont="1" applyAlignment="1">
      <alignment vertical="center" wrapText="1"/>
    </xf>
    <xf numFmtId="0" fontId="3" fillId="0" borderId="0" xfId="0" applyFont="1" applyAlignment="1">
      <alignment vertical="center" wrapText="1"/>
    </xf>
    <xf numFmtId="0" fontId="4" fillId="2" borderId="0" xfId="0" applyFont="1" applyFill="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vertical="center" wrapText="1"/>
    </xf>
    <xf numFmtId="0" fontId="6" fillId="0" borderId="0" xfId="0" applyFont="1" applyAlignment="1">
      <alignment horizontal="left" vertical="center" wrapText="1" indent="1"/>
    </xf>
    <xf numFmtId="0" fontId="7" fillId="0" borderId="0" xfId="1" applyAlignment="1">
      <alignment horizontal="left" vertical="center" wrapText="1" indent="1"/>
    </xf>
    <xf numFmtId="0" fontId="7" fillId="0" borderId="0" xfId="1"/>
    <xf numFmtId="0" fontId="6" fillId="0" borderId="0" xfId="0" applyFont="1" applyAlignment="1">
      <alignment horizontal="left" vertical="center" wrapText="1" readingOrder="1"/>
    </xf>
    <xf numFmtId="0" fontId="0" fillId="3" borderId="0" xfId="0" applyFill="1" applyAlignment="1">
      <alignment vertical="center" wrapText="1"/>
    </xf>
    <xf numFmtId="0" fontId="9" fillId="0" borderId="0" xfId="0" applyFont="1" applyAlignment="1">
      <alignment horizontal="justify" vertical="center" wrapText="1" readingOrder="1"/>
    </xf>
    <xf numFmtId="0" fontId="7" fillId="0" borderId="0" xfId="1" applyAlignment="1">
      <alignment horizontal="left" vertical="center" wrapText="1" readingOrder="1"/>
    </xf>
    <xf numFmtId="0" fontId="10" fillId="0" borderId="0" xfId="0" applyFont="1" applyAlignment="1">
      <alignment horizontal="left" vertical="center" wrapText="1" readingOrder="1"/>
    </xf>
    <xf numFmtId="0" fontId="8" fillId="0" borderId="0" xfId="0" applyFont="1" applyAlignment="1">
      <alignment horizontal="justify" vertical="center" wrapText="1" readingOrder="1"/>
    </xf>
    <xf numFmtId="0" fontId="8" fillId="0" borderId="0" xfId="0" applyFont="1" applyAlignment="1">
      <alignment horizontal="left" vertical="center" wrapText="1" readingOrder="1"/>
    </xf>
    <xf numFmtId="0" fontId="12" fillId="0" borderId="0" xfId="0" applyFont="1" applyAlignment="1">
      <alignment vertical="center" wrapText="1"/>
    </xf>
    <xf numFmtId="0" fontId="0" fillId="0" borderId="0" xfId="0" applyAlignment="1">
      <alignment horizontal="left" vertical="center" wrapText="1" indent="1"/>
    </xf>
    <xf numFmtId="0" fontId="12" fillId="0" borderId="0" xfId="0" applyFont="1" applyAlignment="1">
      <alignment horizontal="left" vertical="center" wrapText="1" indent="1"/>
    </xf>
    <xf numFmtId="0" fontId="0" fillId="0" borderId="0" xfId="0" applyAlignment="1">
      <alignment wrapText="1"/>
    </xf>
    <xf numFmtId="0" fontId="13" fillId="0" borderId="0" xfId="0" applyFont="1"/>
    <xf numFmtId="0" fontId="0" fillId="0" borderId="0" xfId="0" applyAlignment="1">
      <alignment horizontal="left" vertical="center" indent="1"/>
    </xf>
    <xf numFmtId="0" fontId="13" fillId="0" borderId="0" xfId="0" applyFont="1" applyAlignment="1">
      <alignment horizontal="left" vertical="center" indent="1"/>
    </xf>
    <xf numFmtId="0" fontId="7" fillId="0" borderId="0" xfId="1" applyAlignment="1">
      <alignment horizontal="left" vertical="center" indent="1"/>
    </xf>
    <xf numFmtId="0" fontId="0" fillId="3" borderId="0" xfId="0" applyFill="1"/>
    <xf numFmtId="0" fontId="15" fillId="3" borderId="0" xfId="0" applyFont="1" applyFill="1" applyAlignment="1">
      <alignment horizontal="left" vertical="center"/>
    </xf>
    <xf numFmtId="0" fontId="15" fillId="3" borderId="0" xfId="0" applyFont="1" applyFill="1" applyAlignment="1">
      <alignment horizontal="center" vertical="center"/>
    </xf>
    <xf numFmtId="0" fontId="15" fillId="3" borderId="0" xfId="0" applyFont="1" applyFill="1" applyAlignment="1">
      <alignment horizontal="right" vertical="center"/>
    </xf>
    <xf numFmtId="0" fontId="11" fillId="0" borderId="1" xfId="0" applyFont="1" applyBorder="1" applyAlignment="1">
      <alignment horizontal="left" vertical="center" wrapText="1" readingOrder="1"/>
    </xf>
    <xf numFmtId="0" fontId="0" fillId="0" borderId="1" xfId="0" applyBorder="1"/>
    <xf numFmtId="0" fontId="8" fillId="0" borderId="1" xfId="0" applyFont="1" applyBorder="1" applyAlignment="1">
      <alignment horizontal="left" vertical="center" wrapText="1" readingOrder="1"/>
    </xf>
    <xf numFmtId="0" fontId="10" fillId="2" borderId="1" xfId="0" applyFont="1" applyFill="1" applyBorder="1" applyAlignment="1">
      <alignment horizontal="center" vertical="center" wrapText="1"/>
    </xf>
    <xf numFmtId="0" fontId="10" fillId="2" borderId="1" xfId="0" applyFont="1" applyFill="1" applyBorder="1" applyAlignment="1">
      <alignment horizontal="center" vertical="center"/>
    </xf>
    <xf numFmtId="0" fontId="6" fillId="4" borderId="1" xfId="0" applyFont="1" applyFill="1" applyBorder="1" applyAlignment="1">
      <alignment horizontal="center" vertical="center" wrapText="1"/>
    </xf>
    <xf numFmtId="0" fontId="6" fillId="4" borderId="1" xfId="0" applyFont="1" applyFill="1" applyBorder="1" applyAlignment="1">
      <alignment horizontal="center" vertical="center"/>
    </xf>
    <xf numFmtId="0" fontId="0" fillId="4" borderId="1" xfId="0" applyFill="1" applyBorder="1"/>
    <xf numFmtId="0" fontId="10" fillId="4" borderId="1" xfId="0" applyFont="1" applyFill="1" applyBorder="1" applyAlignment="1">
      <alignment horizontal="center" vertical="center" wrapText="1"/>
    </xf>
    <xf numFmtId="0" fontId="10" fillId="4" borderId="1" xfId="0" applyFont="1" applyFill="1" applyBorder="1" applyAlignment="1">
      <alignment horizontal="center" vertical="center"/>
    </xf>
    <xf numFmtId="0" fontId="6" fillId="4" borderId="1" xfId="0" applyFont="1" applyFill="1" applyBorder="1" applyAlignment="1">
      <alignment vertical="center" wrapText="1"/>
    </xf>
    <xf numFmtId="0" fontId="5" fillId="4" borderId="1" xfId="0" applyFont="1" applyFill="1" applyBorder="1" applyAlignment="1">
      <alignment horizontal="center" vertical="center" wrapText="1"/>
    </xf>
    <xf numFmtId="0" fontId="6" fillId="5" borderId="1" xfId="0" applyFont="1" applyFill="1" applyBorder="1" applyAlignment="1">
      <alignment horizontal="center" vertical="center"/>
    </xf>
    <xf numFmtId="0" fontId="0" fillId="0" borderId="0" xfId="0" applyAlignment="1">
      <alignment vertical="center" wrapText="1"/>
    </xf>
    <xf numFmtId="0" fontId="6" fillId="0" borderId="0" xfId="0" applyFont="1" applyAlignment="1">
      <alignment horizontal="left" vertical="center" wrapText="1"/>
    </xf>
    <xf numFmtId="0" fontId="5" fillId="4" borderId="2"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0" fillId="5" borderId="1" xfId="0" applyFill="1" applyBorder="1"/>
    <xf numFmtId="0" fontId="0" fillId="5" borderId="0" xfId="0" applyFill="1"/>
    <xf numFmtId="0" fontId="10" fillId="4" borderId="2" xfId="0" applyFont="1" applyFill="1" applyBorder="1" applyAlignment="1">
      <alignment horizontal="center" vertical="center" wrapText="1"/>
    </xf>
    <xf numFmtId="0" fontId="10" fillId="4" borderId="2"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2" xfId="0" applyFont="1" applyFill="1" applyBorder="1" applyAlignment="1">
      <alignment vertical="center" wrapText="1"/>
    </xf>
    <xf numFmtId="0" fontId="5" fillId="5" borderId="1" xfId="0" applyFont="1" applyFill="1" applyBorder="1" applyAlignment="1">
      <alignment horizontal="center" vertical="center" wrapText="1"/>
    </xf>
    <xf numFmtId="0" fontId="5" fillId="5" borderId="0" xfId="0" applyFont="1" applyFill="1" applyAlignment="1">
      <alignment horizontal="center" vertical="center" wrapText="1"/>
    </xf>
    <xf numFmtId="0" fontId="5" fillId="5" borderId="2" xfId="0" applyFont="1" applyFill="1" applyBorder="1" applyAlignment="1">
      <alignment horizontal="center" vertical="center" wrapText="1"/>
    </xf>
    <xf numFmtId="0" fontId="6" fillId="5" borderId="1" xfId="0" applyFont="1" applyFill="1" applyBorder="1" applyAlignment="1">
      <alignment vertical="center" wrapText="1"/>
    </xf>
    <xf numFmtId="0" fontId="10" fillId="5" borderId="2" xfId="0" applyFont="1" applyFill="1" applyBorder="1" applyAlignment="1">
      <alignment horizontal="center" vertical="center" wrapText="1"/>
    </xf>
    <xf numFmtId="0" fontId="10" fillId="5" borderId="2" xfId="0" applyFont="1" applyFill="1" applyBorder="1" applyAlignment="1">
      <alignment horizontal="center" vertical="center"/>
    </xf>
    <xf numFmtId="0" fontId="10" fillId="5" borderId="1" xfId="0" applyFont="1" applyFill="1" applyBorder="1" applyAlignment="1">
      <alignment horizontal="center" vertical="center" wrapText="1"/>
    </xf>
    <xf numFmtId="0" fontId="10" fillId="5" borderId="1" xfId="0" applyFont="1" applyFill="1" applyBorder="1" applyAlignment="1">
      <alignment horizontal="center" vertical="center"/>
    </xf>
    <xf numFmtId="0" fontId="12" fillId="0" borderId="0" xfId="0" applyFont="1" applyAlignment="1">
      <alignment horizontal="left" vertical="center" wrapText="1" indent="2"/>
    </xf>
    <xf numFmtId="0" fontId="12" fillId="0" borderId="0" xfId="0" applyFont="1" applyAlignment="1">
      <alignment horizontal="left" vertical="center" wrapText="1" indent="3"/>
    </xf>
    <xf numFmtId="0" fontId="6" fillId="4" borderId="1" xfId="0" applyFont="1" applyFill="1" applyBorder="1" applyAlignment="1">
      <alignment horizontal="center" vertical="top" wrapText="1"/>
    </xf>
    <xf numFmtId="0" fontId="7" fillId="5" borderId="0" xfId="1" applyFill="1"/>
    <xf numFmtId="0" fontId="6" fillId="3" borderId="0" xfId="0" applyFont="1" applyFill="1" applyAlignment="1">
      <alignment vertical="center" wrapText="1"/>
    </xf>
    <xf numFmtId="0" fontId="0" fillId="0" borderId="0" xfId="0"/>
    <xf numFmtId="0" fontId="7" fillId="3" borderId="0" xfId="1" applyFill="1" applyAlignment="1">
      <alignment vertical="center" wrapText="1" readingOrder="1"/>
    </xf>
    <xf numFmtId="0" fontId="14" fillId="3" borderId="0" xfId="0" applyFont="1" applyFill="1" applyAlignment="1">
      <alignment vertical="center" wrapText="1" readingOrder="1"/>
    </xf>
    <xf numFmtId="0" fontId="0" fillId="3" borderId="0" xfId="0" applyFill="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drew02azhiafawsk8qhm3qwgl5r-my.sharepoint.com/:b:/g/personal/dan_horizonenergy_io/IQCr-9N6R72XTa7SVTNun2QVASyVCc6JeaDeKWX1RaZIyFU"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171450</xdr:colOff>
      <xdr:row>1</xdr:row>
      <xdr:rowOff>171450</xdr:rowOff>
    </xdr:to>
    <xdr:pic>
      <xdr:nvPicPr>
        <xdr:cNvPr id="2" name="Picture 1">
          <a:hlinkClick xmlns:r="http://schemas.openxmlformats.org/officeDocument/2006/relationships" r:id="rId1" tgtFrame="_blank"/>
          <a:extLst>
            <a:ext uri="{FF2B5EF4-FFF2-40B4-BE49-F238E27FC236}">
              <a16:creationId xmlns:a16="http://schemas.microsoft.com/office/drawing/2014/main" id="{F0B029FF-4B45-409A-FC05-56014F7C3CF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9050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okcountyrecords.com/account/dashboard/api-console" TargetMode="External"/><Relationship Id="rId2" Type="http://schemas.openxmlformats.org/officeDocument/2006/relationships/hyperlink" Target="https://drew02azhiafawsk8qhm3qwgl5r-my.sharepoint.com/:b:/g/personal/dan_horizonenergy_io/IQCr-9N6R72XTa7SVTNun2QVASyVCc6JeaDeKWX1RaZIyFU" TargetMode="External"/><Relationship Id="rId1" Type="http://schemas.openxmlformats.org/officeDocument/2006/relationships/hyperlink" Target="https://drew02azhiafawsk8qhm3qwgl5r-my.sharepoint.com/:b:/g/personal/dan_horizonenergy_io/IQCr-9N6R72XTa7SVTNun2QVASyVCc6JeaDeKWX1RaZIyFU" TargetMode="External"/><Relationship Id="rId6" Type="http://schemas.openxmlformats.org/officeDocument/2006/relationships/drawing" Target="../drawings/drawing1.xml"/><Relationship Id="rId5" Type="http://schemas.openxmlformats.org/officeDocument/2006/relationships/hyperlink" Target="https://okcountyrecords.com/api/v1/images?county=Adair&amp;number=352795&amp;action=view" TargetMode="External"/><Relationship Id="rId4" Type="http://schemas.openxmlformats.org/officeDocument/2006/relationships/hyperlink" Target="https://okcountyrecords.com/api/v1/images"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mailto:allie@horizonenergy.io" TargetMode="External"/><Relationship Id="rId13" Type="http://schemas.openxmlformats.org/officeDocument/2006/relationships/hyperlink" Target="mailto:ryangille02@aol.com" TargetMode="External"/><Relationship Id="rId18" Type="http://schemas.openxmlformats.org/officeDocument/2006/relationships/hyperlink" Target="https://www.reeves-cad.org/" TargetMode="External"/><Relationship Id="rId3" Type="http://schemas.openxmlformats.org/officeDocument/2006/relationships/hyperlink" Target="https://www.courthousedirect.com/" TargetMode="External"/><Relationship Id="rId21" Type="http://schemas.openxmlformats.org/officeDocument/2006/relationships/hyperlink" Target="https://howardcountytx-web.tylerhost.net/web/user/disclaimer" TargetMode="External"/><Relationship Id="rId7" Type="http://schemas.openxmlformats.org/officeDocument/2006/relationships/hyperlink" Target="https://direct.sos.state.tx.us/lef/index.aspx" TargetMode="External"/><Relationship Id="rId12" Type="http://schemas.openxmlformats.org/officeDocument/2006/relationships/hyperlink" Target="https://www.texasfile.com/search/texas/martin-county/county-clerk-records/" TargetMode="External"/><Relationship Id="rId17" Type="http://schemas.openxmlformats.org/officeDocument/2006/relationships/hyperlink" Target="https://reeves.tx.publicsearch.us/" TargetMode="External"/><Relationship Id="rId2" Type="http://schemas.openxmlformats.org/officeDocument/2006/relationships/hyperlink" Target="https://culbersoncad.org/" TargetMode="External"/><Relationship Id="rId16" Type="http://schemas.openxmlformats.org/officeDocument/2006/relationships/hyperlink" Target="https://www.texasfile.com/search/texas/reeves-county/county-clerk-records/" TargetMode="External"/><Relationship Id="rId20" Type="http://schemas.openxmlformats.org/officeDocument/2006/relationships/hyperlink" Target="https://www.courthousedirect.com/" TargetMode="External"/><Relationship Id="rId1" Type="http://schemas.openxmlformats.org/officeDocument/2006/relationships/hyperlink" Target="https://esearch.howardcad.org/" TargetMode="External"/><Relationship Id="rId6" Type="http://schemas.openxmlformats.org/officeDocument/2006/relationships/hyperlink" Target="https://direct.sos.state.tx.us/acct/acct-login.asp" TargetMode="External"/><Relationship Id="rId11" Type="http://schemas.openxmlformats.org/officeDocument/2006/relationships/hyperlink" Target="https://www.martincad.org/Home/Search" TargetMode="External"/><Relationship Id="rId5" Type="http://schemas.openxmlformats.org/officeDocument/2006/relationships/hyperlink" Target="https://drive.google.com/drive/folders/1tTCE_MlxlSms-3ZO8I4gN8n1R2TO780X?usp=drive_link" TargetMode="External"/><Relationship Id="rId15" Type="http://schemas.openxmlformats.org/officeDocument/2006/relationships/hyperlink" Target="mailto:ryangille02@aol.com" TargetMode="External"/><Relationship Id="rId23" Type="http://schemas.openxmlformats.org/officeDocument/2006/relationships/hyperlink" Target="mailto:ryangille02@aol.com" TargetMode="External"/><Relationship Id="rId10" Type="http://schemas.openxmlformats.org/officeDocument/2006/relationships/hyperlink" Target="https://esearch.howardcad.org/" TargetMode="External"/><Relationship Id="rId19" Type="http://schemas.openxmlformats.org/officeDocument/2006/relationships/hyperlink" Target="https://www.courthousedirect.com/" TargetMode="External"/><Relationship Id="rId4" Type="http://schemas.openxmlformats.org/officeDocument/2006/relationships/hyperlink" Target="https://howardcountytx-web.tylerhost.net/web/user/disclaimer" TargetMode="External"/><Relationship Id="rId9" Type="http://schemas.openxmlformats.org/officeDocument/2006/relationships/hyperlink" Target="https://www.dropbox.com/home/Ryan%20Gille/Parcel%20298936" TargetMode="External"/><Relationship Id="rId14" Type="http://schemas.openxmlformats.org/officeDocument/2006/relationships/hyperlink" Target="https://public.lgsonlinesolutions.com/ors.html" TargetMode="External"/><Relationship Id="rId22" Type="http://schemas.openxmlformats.org/officeDocument/2006/relationships/hyperlink" Target="https://www.texasfile.com/search/texas/howard-county/county-clerk-records/"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mailto:kristen@horizonenergy.io" TargetMode="External"/><Relationship Id="rId2" Type="http://schemas.openxmlformats.org/officeDocument/2006/relationships/hyperlink" Target="mailto:allie@horizonenergy.io" TargetMode="External"/><Relationship Id="rId1" Type="http://schemas.openxmlformats.org/officeDocument/2006/relationships/hyperlink" Target="mailto:josh@horizonenergy.io" TargetMode="External"/><Relationship Id="rId4" Type="http://schemas.openxmlformats.org/officeDocument/2006/relationships/hyperlink" Target="mailto:allie@horizonenergy.io,%20"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mailto:josh@horizonenergy.io" TargetMode="External"/><Relationship Id="rId1" Type="http://schemas.openxmlformats.org/officeDocument/2006/relationships/hyperlink" Target="https://esearch.howardcad.org/"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howardcountytx-web.tylerhost.net/web/user/disclaimer" TargetMode="External"/><Relationship Id="rId7" Type="http://schemas.openxmlformats.org/officeDocument/2006/relationships/hyperlink" Target="mailto:allie@horizonenergy.io" TargetMode="External"/><Relationship Id="rId2" Type="http://schemas.openxmlformats.org/officeDocument/2006/relationships/hyperlink" Target="https://www.courthousedirect.com/" TargetMode="External"/><Relationship Id="rId1" Type="http://schemas.openxmlformats.org/officeDocument/2006/relationships/hyperlink" Target="https://culbersoncad.org/" TargetMode="External"/><Relationship Id="rId6" Type="http://schemas.openxmlformats.org/officeDocument/2006/relationships/hyperlink" Target="https://direct.sos.state.tx.us/lef/index.aspx" TargetMode="External"/><Relationship Id="rId5" Type="http://schemas.openxmlformats.org/officeDocument/2006/relationships/hyperlink" Target="https://direct.sos.state.tx.us/acct/acct-login.asp" TargetMode="External"/><Relationship Id="rId4" Type="http://schemas.openxmlformats.org/officeDocument/2006/relationships/hyperlink" Target="https://drive.google.com/drive/folders/1tTCE_MlxlSms-3ZO8I4gN8n1R2TO780X?usp=drive_link"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dropbox.com/home/Ryan%20Gille/Parcel%20298936"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esearch.howardcad.org/" TargetMode="External"/></Relationships>
</file>

<file path=xl/worksheets/_rels/sheet14.xml.rels><?xml version="1.0" encoding="UTF-8" standalone="yes"?>
<Relationships xmlns="http://schemas.openxmlformats.org/package/2006/relationships"><Relationship Id="rId2" Type="http://schemas.openxmlformats.org/officeDocument/2006/relationships/hyperlink" Target="https://www.reeves-cad.org/" TargetMode="External"/><Relationship Id="rId1" Type="http://schemas.openxmlformats.org/officeDocument/2006/relationships/hyperlink" Target="https://reeves.tx.publicsearch.u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25876-B377-4CEF-9EF2-E9AE269602E1}">
  <dimension ref="A1:A26"/>
  <sheetViews>
    <sheetView tabSelected="1" workbookViewId="0">
      <selection activeCell="J22" sqref="J22"/>
    </sheetView>
  </sheetViews>
  <sheetFormatPr defaultRowHeight="15"/>
  <cols>
    <col min="1" max="1" width="77.5703125" customWidth="1"/>
  </cols>
  <sheetData>
    <row r="1" spans="1:1">
      <c r="A1" s="10" t="s">
        <v>419</v>
      </c>
    </row>
    <row r="2" spans="1:1">
      <c r="A2" s="10" t="s">
        <v>420</v>
      </c>
    </row>
    <row r="4" spans="1:1">
      <c r="A4" s="18" t="s">
        <v>421</v>
      </c>
    </row>
    <row r="6" spans="1:1">
      <c r="A6" t="s">
        <v>422</v>
      </c>
    </row>
    <row r="8" spans="1:1">
      <c r="A8" t="s">
        <v>423</v>
      </c>
    </row>
    <row r="10" spans="1:1">
      <c r="A10" t="s">
        <v>424</v>
      </c>
    </row>
    <row r="12" spans="1:1">
      <c r="A12" t="s">
        <v>425</v>
      </c>
    </row>
    <row r="16" spans="1:1">
      <c r="A16" s="10" t="s">
        <v>428</v>
      </c>
    </row>
    <row r="17" spans="1:1">
      <c r="A17" t="s">
        <v>427</v>
      </c>
    </row>
    <row r="18" spans="1:1">
      <c r="A18" t="s">
        <v>426</v>
      </c>
    </row>
    <row r="20" spans="1:1">
      <c r="A20" s="10" t="s">
        <v>429</v>
      </c>
    </row>
    <row r="22" spans="1:1">
      <c r="A22" t="s">
        <v>430</v>
      </c>
    </row>
    <row r="24" spans="1:1">
      <c r="A24" s="10" t="s">
        <v>431</v>
      </c>
    </row>
    <row r="26" spans="1:1" ht="30">
      <c r="A26" s="21" t="s">
        <v>432</v>
      </c>
    </row>
  </sheetData>
  <hyperlinks>
    <hyperlink ref="A1" r:id="rId1" display="https://drew02azhiafawsk8qhm3qwgl5r-my.sharepoint.com/:b:/g/personal/dan_horizonenergy_io/IQCr-9N6R72XTa7SVTNun2QVASyVCc6JeaDeKWX1RaZIyFU" xr:uid="{FF55101A-76D4-4A1E-9D6D-5EB7DF2E359C}"/>
    <hyperlink ref="A2" r:id="rId2" display="https://drew02azhiafawsk8qhm3qwgl5r-my.sharepoint.com/:b:/g/personal/dan_horizonenergy_io/IQCr-9N6R72XTa7SVTNun2QVASyVCc6JeaDeKWX1RaZIyFU" xr:uid="{5BAF4773-6CF3-48A5-B321-A98C13CAA292}"/>
    <hyperlink ref="A16" r:id="rId3" xr:uid="{E0AF5B7E-5F82-4D7A-8328-3465928C2A59}"/>
    <hyperlink ref="A20" r:id="rId4" xr:uid="{6846D364-B634-4A6C-82D3-A5CFEDEAEB7E}"/>
    <hyperlink ref="A24" r:id="rId5" xr:uid="{C17A96DB-E7AC-4FDA-8C58-6D67FE9CA959}"/>
  </hyperlinks>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FAF99-C679-422F-ADF7-C6DC2B336C8A}">
  <dimension ref="A1:A14"/>
  <sheetViews>
    <sheetView workbookViewId="0">
      <selection activeCell="A12" sqref="A12"/>
    </sheetView>
  </sheetViews>
  <sheetFormatPr defaultRowHeight="15"/>
  <cols>
    <col min="1" max="1" width="192.85546875" customWidth="1"/>
  </cols>
  <sheetData>
    <row r="1" spans="1:1" ht="30">
      <c r="A1" s="18" t="s">
        <v>408</v>
      </c>
    </row>
    <row r="3" spans="1:1">
      <c r="A3" s="18" t="s">
        <v>409</v>
      </c>
    </row>
    <row r="5" spans="1:1">
      <c r="A5" s="18" t="s">
        <v>410</v>
      </c>
    </row>
    <row r="6" spans="1:1">
      <c r="A6" s="19"/>
    </row>
    <row r="7" spans="1:1">
      <c r="A7" s="20" t="s">
        <v>411</v>
      </c>
    </row>
    <row r="8" spans="1:1">
      <c r="A8" s="20" t="s">
        <v>412</v>
      </c>
    </row>
    <row r="9" spans="1:1">
      <c r="A9" s="20" t="s">
        <v>413</v>
      </c>
    </row>
    <row r="10" spans="1:1">
      <c r="A10" s="20" t="s">
        <v>414</v>
      </c>
    </row>
    <row r="11" spans="1:1">
      <c r="A11" s="20" t="s">
        <v>415</v>
      </c>
    </row>
    <row r="12" spans="1:1">
      <c r="A12" s="20" t="s">
        <v>416</v>
      </c>
    </row>
    <row r="14" spans="1:1">
      <c r="A14" s="18" t="s">
        <v>417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8"/>
  <sheetViews>
    <sheetView workbookViewId="0">
      <selection activeCell="C6" sqref="C6"/>
    </sheetView>
  </sheetViews>
  <sheetFormatPr defaultColWidth="88.140625" defaultRowHeight="15"/>
  <cols>
    <col min="1" max="1" width="40.140625" bestFit="1" customWidth="1"/>
    <col min="2" max="2" width="15.5703125" bestFit="1" customWidth="1"/>
    <col min="3" max="3" width="11.28515625" bestFit="1" customWidth="1"/>
    <col min="4" max="4" width="8.7109375" bestFit="1" customWidth="1"/>
    <col min="5" max="5" width="73" bestFit="1" customWidth="1"/>
    <col min="6" max="6" width="10.85546875" bestFit="1" customWidth="1"/>
    <col min="7" max="7" width="11.140625" bestFit="1" customWidth="1"/>
    <col min="8" max="8" width="12.28515625" bestFit="1" customWidth="1"/>
    <col min="9" max="9" width="15.5703125" bestFit="1" customWidth="1"/>
    <col min="10" max="10" width="8.85546875" bestFit="1" customWidth="1"/>
    <col min="11" max="11" width="7.85546875" bestFit="1" customWidth="1"/>
  </cols>
  <sheetData>
    <row r="1" spans="1:11" ht="15.75" customHeight="1">
      <c r="A1" s="33" t="s">
        <v>26</v>
      </c>
      <c r="B1" s="34" t="s">
        <v>27</v>
      </c>
      <c r="C1" s="34" t="s">
        <v>28</v>
      </c>
      <c r="D1" s="34" t="s">
        <v>29</v>
      </c>
      <c r="E1" s="33" t="s">
        <v>30</v>
      </c>
      <c r="F1" s="34" t="s">
        <v>31</v>
      </c>
      <c r="G1" s="34" t="s">
        <v>32</v>
      </c>
      <c r="H1" s="34" t="s">
        <v>33</v>
      </c>
      <c r="I1" s="34" t="s">
        <v>34</v>
      </c>
      <c r="J1" s="34" t="s">
        <v>35</v>
      </c>
      <c r="K1" s="34" t="s">
        <v>36</v>
      </c>
    </row>
    <row r="2" spans="1:11" ht="16.5" customHeight="1">
      <c r="A2" s="47" t="s">
        <v>37</v>
      </c>
      <c r="B2" s="53">
        <v>13228</v>
      </c>
      <c r="C2" s="53">
        <v>13228</v>
      </c>
      <c r="D2" s="53">
        <v>952</v>
      </c>
      <c r="E2" s="53" t="s">
        <v>38</v>
      </c>
      <c r="F2" s="53">
        <v>24</v>
      </c>
      <c r="G2" s="53" t="s">
        <v>39</v>
      </c>
      <c r="H2" s="53" t="s">
        <v>40</v>
      </c>
      <c r="I2" s="53"/>
      <c r="J2" s="53" t="s">
        <v>41</v>
      </c>
      <c r="K2" s="47" t="s">
        <v>42</v>
      </c>
    </row>
    <row r="3" spans="1:11" ht="15.75" customHeight="1">
      <c r="A3" s="46" t="s">
        <v>43</v>
      </c>
      <c r="B3" s="42">
        <v>52042000200</v>
      </c>
      <c r="C3" s="42">
        <v>298265</v>
      </c>
      <c r="D3" s="42">
        <v>1440</v>
      </c>
      <c r="E3" s="46" t="s">
        <v>44</v>
      </c>
      <c r="F3" s="42">
        <v>42</v>
      </c>
      <c r="G3" s="42" t="s">
        <v>45</v>
      </c>
      <c r="H3" s="42" t="s">
        <v>46</v>
      </c>
      <c r="I3" s="42" t="s">
        <v>47</v>
      </c>
      <c r="J3" s="42" t="s">
        <v>41</v>
      </c>
      <c r="K3" s="47" t="s">
        <v>42</v>
      </c>
    </row>
    <row r="4" spans="1:11" ht="16.5" customHeight="1">
      <c r="A4" s="52" t="s">
        <v>48</v>
      </c>
      <c r="B4" s="50"/>
      <c r="C4" s="51">
        <v>298948</v>
      </c>
      <c r="D4" s="50">
        <v>1437</v>
      </c>
      <c r="E4" s="49" t="s">
        <v>405</v>
      </c>
      <c r="F4" s="50"/>
      <c r="G4" s="50"/>
      <c r="H4" s="50"/>
      <c r="I4" s="51"/>
      <c r="J4" s="41" t="s">
        <v>41</v>
      </c>
      <c r="K4" s="37" t="s">
        <v>49</v>
      </c>
    </row>
    <row r="5" spans="1:11" ht="16.5" customHeight="1">
      <c r="A5" s="40" t="s">
        <v>48</v>
      </c>
      <c r="B5" s="36"/>
      <c r="C5" s="36">
        <v>298936</v>
      </c>
      <c r="D5" s="36">
        <v>1404</v>
      </c>
      <c r="E5" s="35" t="s">
        <v>402</v>
      </c>
      <c r="F5" s="36"/>
      <c r="G5" s="36"/>
      <c r="H5" s="36"/>
      <c r="I5" s="36"/>
      <c r="J5" s="41" t="s">
        <v>41</v>
      </c>
      <c r="K5" s="37" t="s">
        <v>49</v>
      </c>
    </row>
    <row r="6" spans="1:11" ht="16.5" customHeight="1">
      <c r="A6" s="40" t="s">
        <v>48</v>
      </c>
      <c r="B6" s="41"/>
      <c r="C6" s="36">
        <v>298913</v>
      </c>
      <c r="D6" s="41">
        <v>1402</v>
      </c>
      <c r="E6" s="41" t="s">
        <v>403</v>
      </c>
      <c r="F6" s="36"/>
      <c r="G6" s="36"/>
      <c r="H6" s="36"/>
      <c r="I6" s="36"/>
      <c r="J6" s="41" t="s">
        <v>41</v>
      </c>
      <c r="K6" s="37" t="s">
        <v>49</v>
      </c>
    </row>
    <row r="7" spans="1:11" ht="16.5" customHeight="1">
      <c r="A7" s="40" t="s">
        <v>48</v>
      </c>
      <c r="B7" s="36"/>
      <c r="C7" s="36">
        <v>298912</v>
      </c>
      <c r="D7" s="36">
        <v>1403</v>
      </c>
      <c r="E7" s="35" t="s">
        <v>401</v>
      </c>
      <c r="F7" s="36">
        <v>26</v>
      </c>
      <c r="G7" s="36" t="s">
        <v>50</v>
      </c>
      <c r="H7" s="36"/>
      <c r="I7" s="36"/>
      <c r="J7" s="41" t="s">
        <v>41</v>
      </c>
      <c r="K7" s="37" t="s">
        <v>49</v>
      </c>
    </row>
    <row r="8" spans="1:11" ht="16.5" customHeight="1">
      <c r="A8" s="40" t="s">
        <v>48</v>
      </c>
      <c r="B8" s="39"/>
      <c r="C8" s="36">
        <v>298899</v>
      </c>
      <c r="D8" s="36">
        <v>1400.1</v>
      </c>
      <c r="E8" s="38" t="s">
        <v>399</v>
      </c>
      <c r="F8" s="39"/>
      <c r="G8" s="39"/>
      <c r="H8" s="39"/>
      <c r="I8" s="36"/>
      <c r="J8" s="41" t="s">
        <v>41</v>
      </c>
      <c r="K8" s="37" t="s">
        <v>49</v>
      </c>
    </row>
    <row r="9" spans="1:11" ht="16.5" customHeight="1">
      <c r="A9" s="40" t="s">
        <v>48</v>
      </c>
      <c r="B9" s="36">
        <v>52521000100</v>
      </c>
      <c r="C9" s="36">
        <v>298898</v>
      </c>
      <c r="D9" s="36">
        <v>1400</v>
      </c>
      <c r="E9" s="35" t="s">
        <v>51</v>
      </c>
      <c r="F9" s="36">
        <v>21</v>
      </c>
      <c r="G9" s="36" t="s">
        <v>52</v>
      </c>
      <c r="H9" s="36" t="s">
        <v>53</v>
      </c>
      <c r="I9" s="36" t="s">
        <v>47</v>
      </c>
      <c r="J9" s="41" t="s">
        <v>41</v>
      </c>
      <c r="K9" s="37" t="s">
        <v>49</v>
      </c>
    </row>
    <row r="10" spans="1:11" ht="16.5" customHeight="1">
      <c r="A10" s="40" t="s">
        <v>48</v>
      </c>
      <c r="B10" s="36"/>
      <c r="C10" s="36">
        <v>298897</v>
      </c>
      <c r="D10" s="36">
        <v>1399</v>
      </c>
      <c r="E10" s="35" t="s">
        <v>404</v>
      </c>
      <c r="F10" s="36"/>
      <c r="G10" s="36"/>
      <c r="H10" s="36"/>
      <c r="I10" s="36"/>
      <c r="J10" s="41" t="s">
        <v>41</v>
      </c>
      <c r="K10" s="37" t="s">
        <v>49</v>
      </c>
    </row>
    <row r="11" spans="1:11" ht="16.5" customHeight="1">
      <c r="A11" s="40" t="s">
        <v>48</v>
      </c>
      <c r="B11" s="36"/>
      <c r="C11" s="36">
        <v>298896</v>
      </c>
      <c r="D11" s="36">
        <v>1397</v>
      </c>
      <c r="E11" s="63" t="s">
        <v>400</v>
      </c>
      <c r="F11" s="36"/>
      <c r="G11" s="36"/>
      <c r="H11" s="36"/>
      <c r="I11" s="36" t="s">
        <v>47</v>
      </c>
      <c r="J11" s="41" t="s">
        <v>41</v>
      </c>
      <c r="K11" s="37" t="s">
        <v>49</v>
      </c>
    </row>
    <row r="12" spans="1:11" ht="16.5" customHeight="1">
      <c r="A12" s="54" t="s">
        <v>54</v>
      </c>
      <c r="B12" s="53"/>
      <c r="C12" s="53">
        <v>298946</v>
      </c>
      <c r="D12" s="53">
        <v>1438</v>
      </c>
      <c r="E12" s="53" t="s">
        <v>55</v>
      </c>
      <c r="F12" s="53"/>
      <c r="G12" s="53"/>
      <c r="H12" s="53"/>
      <c r="I12" s="42" t="s">
        <v>47</v>
      </c>
      <c r="J12" s="55" t="s">
        <v>41</v>
      </c>
      <c r="K12" s="47" t="s">
        <v>42</v>
      </c>
    </row>
    <row r="13" spans="1:11" ht="16.5" customHeight="1">
      <c r="A13" s="41" t="s">
        <v>56</v>
      </c>
      <c r="B13" s="41">
        <v>7003</v>
      </c>
      <c r="C13" s="41">
        <v>7003</v>
      </c>
      <c r="D13" s="41">
        <v>277</v>
      </c>
      <c r="E13" s="41" t="s">
        <v>57</v>
      </c>
      <c r="F13" s="41">
        <v>43</v>
      </c>
      <c r="G13" s="41" t="s">
        <v>58</v>
      </c>
      <c r="H13" s="41" t="s">
        <v>59</v>
      </c>
      <c r="I13" s="41" t="s">
        <v>60</v>
      </c>
      <c r="J13" s="45" t="s">
        <v>41</v>
      </c>
      <c r="K13" s="37" t="s">
        <v>49</v>
      </c>
    </row>
    <row r="14" spans="1:11" s="48" customFormat="1" ht="16.5" customHeight="1">
      <c r="A14" s="56" t="s">
        <v>61</v>
      </c>
      <c r="B14" s="42">
        <v>1446</v>
      </c>
      <c r="C14" s="42">
        <v>300444</v>
      </c>
      <c r="D14" s="42"/>
      <c r="E14" s="46"/>
      <c r="F14" s="42">
        <v>39</v>
      </c>
      <c r="G14" s="42" t="s">
        <v>45</v>
      </c>
      <c r="H14" s="42"/>
      <c r="I14" s="42" t="s">
        <v>47</v>
      </c>
      <c r="J14" s="55" t="s">
        <v>41</v>
      </c>
      <c r="K14" s="47" t="s">
        <v>42</v>
      </c>
    </row>
    <row r="15" spans="1:11" s="48" customFormat="1" ht="16.5" customHeight="1">
      <c r="A15" s="46" t="s">
        <v>62</v>
      </c>
      <c r="B15" s="42">
        <v>1395</v>
      </c>
      <c r="C15" s="42">
        <v>300211</v>
      </c>
      <c r="D15" s="42"/>
      <c r="E15" s="46" t="s">
        <v>63</v>
      </c>
      <c r="F15" s="42"/>
      <c r="G15" s="42"/>
      <c r="H15" s="42"/>
      <c r="I15" s="42" t="s">
        <v>47</v>
      </c>
      <c r="J15" s="55" t="s">
        <v>41</v>
      </c>
      <c r="K15" s="47" t="s">
        <v>42</v>
      </c>
    </row>
    <row r="16" spans="1:11" s="48" customFormat="1" ht="16.5" customHeight="1">
      <c r="A16" s="57" t="s">
        <v>64</v>
      </c>
      <c r="B16" s="58"/>
      <c r="C16" s="58">
        <v>299264</v>
      </c>
      <c r="D16" s="58"/>
      <c r="E16" s="57"/>
      <c r="F16" s="58"/>
      <c r="G16" s="58"/>
      <c r="H16" s="58"/>
      <c r="I16" s="42" t="s">
        <v>47</v>
      </c>
      <c r="J16" s="55" t="s">
        <v>41</v>
      </c>
      <c r="K16" s="47" t="s">
        <v>42</v>
      </c>
    </row>
    <row r="17" spans="1:11" ht="16.5" customHeight="1">
      <c r="A17" s="38" t="s">
        <v>65</v>
      </c>
      <c r="B17" s="39">
        <v>1393</v>
      </c>
      <c r="C17" s="39">
        <v>299262</v>
      </c>
      <c r="D17" s="39"/>
      <c r="E17" s="38" t="s">
        <v>66</v>
      </c>
      <c r="F17" s="39">
        <v>23</v>
      </c>
      <c r="G17" s="39" t="s">
        <v>67</v>
      </c>
      <c r="H17" s="39"/>
      <c r="I17" s="36" t="s">
        <v>47</v>
      </c>
      <c r="J17" s="45" t="s">
        <v>41</v>
      </c>
      <c r="K17" s="37" t="s">
        <v>49</v>
      </c>
    </row>
    <row r="18" spans="1:11" s="48" customFormat="1" ht="16.5" customHeight="1">
      <c r="A18" s="57" t="s">
        <v>68</v>
      </c>
      <c r="B18" s="53"/>
      <c r="C18" s="42">
        <v>298264</v>
      </c>
      <c r="D18" s="53"/>
      <c r="E18" s="53" t="s">
        <v>69</v>
      </c>
      <c r="F18" s="42">
        <v>42</v>
      </c>
      <c r="G18" s="42" t="s">
        <v>45</v>
      </c>
      <c r="H18" s="42"/>
      <c r="I18" s="42" t="s">
        <v>47</v>
      </c>
      <c r="J18" s="55" t="s">
        <v>41</v>
      </c>
      <c r="K18" s="47" t="s">
        <v>42</v>
      </c>
    </row>
    <row r="19" spans="1:11" s="48" customFormat="1" ht="16.5" customHeight="1">
      <c r="A19" s="56" t="s">
        <v>70</v>
      </c>
      <c r="B19" s="42"/>
      <c r="C19" s="42">
        <v>9154</v>
      </c>
      <c r="D19" s="42"/>
      <c r="E19" s="46" t="s">
        <v>71</v>
      </c>
      <c r="F19" s="42"/>
      <c r="G19" s="42"/>
      <c r="H19" s="42"/>
      <c r="I19" s="42" t="s">
        <v>72</v>
      </c>
      <c r="J19" s="55" t="s">
        <v>41</v>
      </c>
      <c r="K19" s="47" t="s">
        <v>42</v>
      </c>
    </row>
    <row r="20" spans="1:11" s="48" customFormat="1" ht="16.5" customHeight="1">
      <c r="A20" s="59" t="s">
        <v>73</v>
      </c>
      <c r="B20" s="60"/>
      <c r="C20" s="60">
        <v>9153</v>
      </c>
      <c r="D20" s="60"/>
      <c r="E20" s="59" t="s">
        <v>74</v>
      </c>
      <c r="F20" s="60"/>
      <c r="G20" s="60"/>
      <c r="H20" s="60"/>
      <c r="I20" s="42" t="s">
        <v>72</v>
      </c>
      <c r="J20" s="55" t="s">
        <v>41</v>
      </c>
      <c r="K20" s="47" t="s">
        <v>42</v>
      </c>
    </row>
    <row r="21" spans="1:11" s="48" customFormat="1" ht="16.5" customHeight="1">
      <c r="A21" s="56" t="s">
        <v>75</v>
      </c>
      <c r="B21" s="42"/>
      <c r="C21" s="42">
        <v>6182</v>
      </c>
      <c r="D21" s="42">
        <v>967</v>
      </c>
      <c r="E21" s="46"/>
      <c r="F21" s="42"/>
      <c r="G21" s="42"/>
      <c r="H21" s="42"/>
      <c r="I21" s="42" t="s">
        <v>72</v>
      </c>
      <c r="J21" s="55" t="s">
        <v>41</v>
      </c>
      <c r="K21" s="47" t="s">
        <v>42</v>
      </c>
    </row>
    <row r="22" spans="1:11" s="48" customFormat="1" ht="16.5" customHeight="1">
      <c r="A22" s="56" t="s">
        <v>76</v>
      </c>
      <c r="B22" s="42"/>
      <c r="C22" s="42">
        <v>298284</v>
      </c>
      <c r="D22" s="42"/>
      <c r="E22" s="46" t="s">
        <v>77</v>
      </c>
      <c r="F22" s="42"/>
      <c r="G22" s="42"/>
      <c r="H22" s="42"/>
      <c r="I22" s="42"/>
      <c r="J22" s="55" t="s">
        <v>41</v>
      </c>
      <c r="K22" s="47" t="s">
        <v>42</v>
      </c>
    </row>
    <row r="23" spans="1:11" s="48" customFormat="1" ht="16.5" customHeight="1">
      <c r="A23" s="48" t="s">
        <v>78</v>
      </c>
      <c r="B23" s="53"/>
      <c r="C23" s="53">
        <v>298250</v>
      </c>
      <c r="D23" s="53"/>
      <c r="E23" s="53" t="s">
        <v>79</v>
      </c>
      <c r="F23" s="53"/>
      <c r="G23" s="53"/>
      <c r="H23" s="53"/>
      <c r="I23" s="53"/>
      <c r="J23" s="55" t="s">
        <v>41</v>
      </c>
      <c r="K23" s="47" t="s">
        <v>42</v>
      </c>
    </row>
    <row r="24" spans="1:11">
      <c r="A24" s="48" t="s">
        <v>80</v>
      </c>
      <c r="B24" s="48" t="s">
        <v>211</v>
      </c>
      <c r="C24" s="48">
        <v>23742</v>
      </c>
      <c r="D24" s="48" t="s">
        <v>211</v>
      </c>
      <c r="E24" s="48" t="s">
        <v>81</v>
      </c>
      <c r="F24" s="48">
        <v>44</v>
      </c>
      <c r="G24" s="48" t="s">
        <v>82</v>
      </c>
      <c r="H24" s="48" t="s">
        <v>83</v>
      </c>
      <c r="I24" s="48" t="s">
        <v>84</v>
      </c>
      <c r="J24" s="48" t="s">
        <v>41</v>
      </c>
      <c r="K24" s="47" t="s">
        <v>42</v>
      </c>
    </row>
    <row r="25" spans="1:11">
      <c r="A25" s="48" t="s">
        <v>235</v>
      </c>
      <c r="B25" s="48" t="s">
        <v>212</v>
      </c>
      <c r="C25" s="48">
        <v>522758</v>
      </c>
      <c r="D25" s="48" t="s">
        <v>212</v>
      </c>
      <c r="E25" s="48" t="s">
        <v>81</v>
      </c>
      <c r="F25" s="48">
        <v>44</v>
      </c>
      <c r="G25" s="48" t="s">
        <v>82</v>
      </c>
      <c r="H25" s="48" t="s">
        <v>83</v>
      </c>
      <c r="I25" s="48" t="s">
        <v>84</v>
      </c>
      <c r="J25" s="48" t="s">
        <v>41</v>
      </c>
      <c r="K25" s="47" t="s">
        <v>42</v>
      </c>
    </row>
    <row r="26" spans="1:11">
      <c r="A26" s="48" t="s">
        <v>85</v>
      </c>
      <c r="B26" s="48" t="s">
        <v>213</v>
      </c>
      <c r="C26" s="48">
        <v>522757</v>
      </c>
      <c r="D26" s="48" t="s">
        <v>213</v>
      </c>
      <c r="E26" s="48" t="s">
        <v>81</v>
      </c>
      <c r="F26" s="48">
        <v>44</v>
      </c>
      <c r="G26" s="48" t="s">
        <v>82</v>
      </c>
      <c r="H26" s="48" t="s">
        <v>83</v>
      </c>
      <c r="I26" s="48" t="s">
        <v>84</v>
      </c>
      <c r="J26" s="48" t="s">
        <v>41</v>
      </c>
      <c r="K26" s="47" t="s">
        <v>42</v>
      </c>
    </row>
    <row r="27" spans="1:11">
      <c r="A27" s="48" t="s">
        <v>86</v>
      </c>
      <c r="B27" s="48" t="s">
        <v>214</v>
      </c>
      <c r="C27" s="48">
        <v>10578</v>
      </c>
      <c r="D27" s="48" t="s">
        <v>214</v>
      </c>
      <c r="E27" s="48" t="s">
        <v>81</v>
      </c>
      <c r="F27" s="48">
        <v>44</v>
      </c>
      <c r="G27" s="48" t="s">
        <v>82</v>
      </c>
      <c r="H27" s="48" t="s">
        <v>83</v>
      </c>
      <c r="I27" s="48" t="s">
        <v>84</v>
      </c>
      <c r="J27" s="48" t="s">
        <v>41</v>
      </c>
      <c r="K27" s="47" t="s">
        <v>42</v>
      </c>
    </row>
    <row r="28" spans="1:11">
      <c r="A28" s="48" t="s">
        <v>398</v>
      </c>
      <c r="B28" s="48" t="s">
        <v>231</v>
      </c>
      <c r="C28" s="48">
        <v>28005</v>
      </c>
      <c r="D28" s="48" t="s">
        <v>231</v>
      </c>
      <c r="E28" s="48" t="s">
        <v>81</v>
      </c>
      <c r="F28" s="48">
        <v>44</v>
      </c>
      <c r="G28" s="48" t="s">
        <v>82</v>
      </c>
      <c r="H28" s="48" t="s">
        <v>83</v>
      </c>
      <c r="I28" s="48" t="s">
        <v>84</v>
      </c>
      <c r="J28" s="48" t="s">
        <v>41</v>
      </c>
      <c r="K28" s="47" t="s">
        <v>42</v>
      </c>
    </row>
  </sheetData>
  <autoFilter ref="A1:K23" xr:uid="{00000000-0009-0000-0000-000000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G63"/>
  <sheetViews>
    <sheetView workbookViewId="0">
      <selection activeCell="A23" sqref="A23"/>
    </sheetView>
  </sheetViews>
  <sheetFormatPr defaultRowHeight="15"/>
  <cols>
    <col min="1" max="1" width="148.140625" customWidth="1"/>
  </cols>
  <sheetData>
    <row r="2" spans="1:5" ht="43.5" customHeight="1">
      <c r="A2" s="14" t="s">
        <v>0</v>
      </c>
      <c r="B2" t="s">
        <v>1</v>
      </c>
      <c r="E2" t="s">
        <v>2</v>
      </c>
    </row>
    <row r="4" spans="1:5">
      <c r="A4" s="9" t="s">
        <v>3</v>
      </c>
    </row>
    <row r="6" spans="1:5">
      <c r="A6" t="s">
        <v>4</v>
      </c>
    </row>
    <row r="7" spans="1:5">
      <c r="A7" t="s">
        <v>5</v>
      </c>
    </row>
    <row r="8" spans="1:5">
      <c r="A8" t="s">
        <v>6</v>
      </c>
    </row>
    <row r="9" spans="1:5">
      <c r="A9" s="10" t="s">
        <v>7</v>
      </c>
    </row>
    <row r="11" spans="1:5">
      <c r="A11" s="10" t="s">
        <v>8</v>
      </c>
    </row>
    <row r="13" spans="1:5">
      <c r="A13" t="s">
        <v>9</v>
      </c>
    </row>
    <row r="14" spans="1:5">
      <c r="A14" t="s">
        <v>10</v>
      </c>
    </row>
    <row r="16" spans="1:5">
      <c r="A16" t="s">
        <v>11</v>
      </c>
    </row>
    <row r="17" spans="1:1">
      <c r="A17" s="10" t="s">
        <v>12</v>
      </c>
    </row>
    <row r="19" spans="1:1">
      <c r="A19" t="s">
        <v>13</v>
      </c>
    </row>
    <row r="21" spans="1:1">
      <c r="A21" s="10" t="s">
        <v>14</v>
      </c>
    </row>
    <row r="22" spans="1:1">
      <c r="A22" s="10" t="s">
        <v>15</v>
      </c>
    </row>
    <row r="25" spans="1:1">
      <c r="A25" s="10" t="s">
        <v>16</v>
      </c>
    </row>
    <row r="29" spans="1:1">
      <c r="A29" s="10" t="s">
        <v>17</v>
      </c>
    </row>
    <row r="32" spans="1:1">
      <c r="A32" s="25" t="s">
        <v>18</v>
      </c>
    </row>
    <row r="35" spans="1:7">
      <c r="A35" s="10" t="s">
        <v>19</v>
      </c>
      <c r="B35" t="s">
        <v>20</v>
      </c>
    </row>
    <row r="37" spans="1:7">
      <c r="A37" s="10" t="s">
        <v>21</v>
      </c>
      <c r="B37" t="s">
        <v>22</v>
      </c>
      <c r="D37" s="10" t="s">
        <v>23</v>
      </c>
      <c r="G37" t="s">
        <v>24</v>
      </c>
    </row>
    <row r="39" spans="1:7">
      <c r="A39" s="10" t="s">
        <v>25</v>
      </c>
      <c r="B39" t="s">
        <v>22</v>
      </c>
      <c r="D39" s="10" t="s">
        <v>23</v>
      </c>
      <c r="G39" t="s">
        <v>10</v>
      </c>
    </row>
    <row r="41" spans="1:7">
      <c r="A41" s="10" t="s">
        <v>232</v>
      </c>
      <c r="B41" t="s">
        <v>233</v>
      </c>
    </row>
    <row r="44" spans="1:7">
      <c r="A44" s="10" t="s">
        <v>209</v>
      </c>
      <c r="B44" t="s">
        <v>233</v>
      </c>
    </row>
    <row r="46" spans="1:7">
      <c r="A46" s="10" t="s">
        <v>210</v>
      </c>
      <c r="B46" t="s">
        <v>233</v>
      </c>
    </row>
    <row r="50" spans="1:5">
      <c r="A50" s="10" t="s">
        <v>7</v>
      </c>
      <c r="C50" t="s">
        <v>234</v>
      </c>
    </row>
    <row r="54" spans="1:5">
      <c r="A54" s="10" t="s">
        <v>7</v>
      </c>
      <c r="B54" t="s">
        <v>9</v>
      </c>
      <c r="C54" t="s">
        <v>10</v>
      </c>
      <c r="E54" t="s">
        <v>24</v>
      </c>
    </row>
    <row r="56" spans="1:5" s="48" customFormat="1">
      <c r="A56" s="64" t="s">
        <v>8</v>
      </c>
      <c r="B56" s="48" t="s">
        <v>9</v>
      </c>
      <c r="C56" s="48" t="s">
        <v>10</v>
      </c>
    </row>
    <row r="58" spans="1:5">
      <c r="A58" t="s">
        <v>9</v>
      </c>
    </row>
    <row r="59" spans="1:5">
      <c r="A59" t="s">
        <v>10</v>
      </c>
    </row>
    <row r="61" spans="1:5">
      <c r="A61" s="10"/>
      <c r="B61" t="s">
        <v>406</v>
      </c>
    </row>
    <row r="63" spans="1:5">
      <c r="A63" s="10" t="s">
        <v>407</v>
      </c>
      <c r="B63" s="10" t="s">
        <v>23</v>
      </c>
      <c r="E63" t="s">
        <v>24</v>
      </c>
    </row>
  </sheetData>
  <hyperlinks>
    <hyperlink ref="A2" r:id="rId1" display="https://esearch.howardcad.org/" xr:uid="{00000000-0004-0000-0100-000000000000}"/>
    <hyperlink ref="A4" r:id="rId2" display="https://culbersoncad.org/" xr:uid="{00000000-0004-0000-0100-000001000000}"/>
    <hyperlink ref="A9" r:id="rId3" xr:uid="{00000000-0004-0000-0100-000002000000}"/>
    <hyperlink ref="A11" r:id="rId4" xr:uid="{00000000-0004-0000-0100-000003000000}"/>
    <hyperlink ref="A17" r:id="rId5" xr:uid="{00000000-0004-0000-0100-000004000000}"/>
    <hyperlink ref="A21" r:id="rId6" xr:uid="{00000000-0004-0000-0100-000005000000}"/>
    <hyperlink ref="A22" r:id="rId7" xr:uid="{00000000-0004-0000-0100-000006000000}"/>
    <hyperlink ref="A25" r:id="rId8" xr:uid="{00000000-0004-0000-0100-000007000000}"/>
    <hyperlink ref="A29" r:id="rId9" xr:uid="{00000000-0004-0000-0100-000008000000}"/>
    <hyperlink ref="A32" r:id="rId10" display="https://esearch.howardcad.org/" xr:uid="{00000000-0004-0000-0100-000009000000}"/>
    <hyperlink ref="A35" r:id="rId11" xr:uid="{00000000-0004-0000-0100-00000A000000}"/>
    <hyperlink ref="A37" r:id="rId12" xr:uid="{00000000-0004-0000-0100-00000B000000}"/>
    <hyperlink ref="D37" r:id="rId13" xr:uid="{00000000-0004-0000-0100-00000C000000}"/>
    <hyperlink ref="A39" r:id="rId14" xr:uid="{00000000-0004-0000-0100-00000D000000}"/>
    <hyperlink ref="D39" r:id="rId15" xr:uid="{00000000-0004-0000-0100-00000E000000}"/>
    <hyperlink ref="A41" r:id="rId16" xr:uid="{2F317019-9233-4800-8E6C-8D64E3E2F1B3}"/>
    <hyperlink ref="A44" r:id="rId17" tooltip="https://reeves.tx.publicsearch.us/" display="https://reeves.tx.publicsearch.us/" xr:uid="{5391CE28-CD22-49D4-BF08-F685E2712BF1}"/>
    <hyperlink ref="A46" r:id="rId18" tooltip="https://www.reeves-cad.org/" display="https://www.reeves-cad.org/" xr:uid="{656FD6B7-F350-4151-B18E-D795C9ED5EC2}"/>
    <hyperlink ref="A50" r:id="rId19" xr:uid="{1ED53CFE-A183-4865-9E60-2F34D31735A2}"/>
    <hyperlink ref="A54" r:id="rId20" xr:uid="{3F3B9C85-D26B-4AA1-948C-4DE86E43E071}"/>
    <hyperlink ref="A56" r:id="rId21" xr:uid="{7172A2B6-DF64-41B7-86BC-3559C8D39ACF}"/>
    <hyperlink ref="A63" r:id="rId22" xr:uid="{DBA305C7-FAE2-448D-9FD7-67FE5C265E0D}"/>
    <hyperlink ref="B63" r:id="rId23" xr:uid="{D0BC7578-EE06-4EEB-AC12-DEF4619100BA}"/>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30"/>
  <sheetViews>
    <sheetView topLeftCell="A3" workbookViewId="0">
      <selection activeCell="A30" sqref="A30"/>
    </sheetView>
  </sheetViews>
  <sheetFormatPr defaultRowHeight="15"/>
  <cols>
    <col min="1" max="1" width="176.140625" customWidth="1"/>
  </cols>
  <sheetData>
    <row r="1" spans="1:1">
      <c r="A1" s="18" t="s">
        <v>87</v>
      </c>
    </row>
    <row r="2" spans="1:1">
      <c r="A2" s="19"/>
    </row>
    <row r="3" spans="1:1" ht="30" customHeight="1">
      <c r="A3" s="20" t="s">
        <v>88</v>
      </c>
    </row>
    <row r="4" spans="1:1" ht="30" customHeight="1">
      <c r="A4" s="20" t="s">
        <v>89</v>
      </c>
    </row>
    <row r="5" spans="1:1">
      <c r="A5" s="20" t="s">
        <v>90</v>
      </c>
    </row>
    <row r="7" spans="1:1">
      <c r="A7" s="18" t="s">
        <v>91</v>
      </c>
    </row>
    <row r="8" spans="1:1">
      <c r="A8" s="19"/>
    </row>
    <row r="9" spans="1:1">
      <c r="A9" s="20" t="s">
        <v>92</v>
      </c>
    </row>
    <row r="10" spans="1:1">
      <c r="A10" s="20" t="s">
        <v>93</v>
      </c>
    </row>
    <row r="11" spans="1:1">
      <c r="A11" s="20" t="s">
        <v>94</v>
      </c>
    </row>
    <row r="12" spans="1:1" ht="30" customHeight="1">
      <c r="A12" s="20" t="s">
        <v>95</v>
      </c>
    </row>
    <row r="13" spans="1:1">
      <c r="A13" s="20" t="s">
        <v>96</v>
      </c>
    </row>
    <row r="15" spans="1:1">
      <c r="A15" s="18" t="s">
        <v>97</v>
      </c>
    </row>
    <row r="17" spans="1:1" ht="30" customHeight="1">
      <c r="A17" s="18" t="s">
        <v>98</v>
      </c>
    </row>
    <row r="19" spans="1:1">
      <c r="A19" s="18" t="s">
        <v>99</v>
      </c>
    </row>
    <row r="21" spans="1:1">
      <c r="A21" s="18" t="s">
        <v>100</v>
      </c>
    </row>
    <row r="23" spans="1:1" ht="30" customHeight="1">
      <c r="A23" s="18" t="s">
        <v>101</v>
      </c>
    </row>
    <row r="25" spans="1:1">
      <c r="A25" s="10" t="s">
        <v>102</v>
      </c>
    </row>
    <row r="26" spans="1:1">
      <c r="A26" t="s">
        <v>103</v>
      </c>
    </row>
    <row r="28" spans="1:1">
      <c r="A28" s="10" t="s">
        <v>16</v>
      </c>
    </row>
    <row r="29" spans="1:1">
      <c r="A29" s="10" t="s">
        <v>104</v>
      </c>
    </row>
    <row r="30" spans="1:1">
      <c r="A30" s="10" t="s">
        <v>105</v>
      </c>
    </row>
  </sheetData>
  <hyperlinks>
    <hyperlink ref="A25" r:id="rId1" xr:uid="{00000000-0004-0000-0200-000000000000}"/>
    <hyperlink ref="A28" r:id="rId2" xr:uid="{00000000-0004-0000-0200-000001000000}"/>
    <hyperlink ref="A29" r:id="rId3" xr:uid="{00000000-0004-0000-0200-000002000000}"/>
    <hyperlink ref="A30" r:id="rId4" display="allie@horizonenergy.io, " xr:uid="{00000000-0004-0000-0200-000003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dimension ref="A1:K198"/>
  <sheetViews>
    <sheetView topLeftCell="A86" workbookViewId="0">
      <selection activeCell="A86" sqref="A86"/>
    </sheetView>
  </sheetViews>
  <sheetFormatPr defaultRowHeight="15"/>
  <cols>
    <col min="1" max="1" width="105" customWidth="1"/>
    <col min="2" max="2" width="19.85546875" customWidth="1"/>
    <col min="3" max="3" width="11.28515625" bestFit="1" customWidth="1"/>
    <col min="5" max="5" width="48.85546875" customWidth="1"/>
    <col min="9" max="9" width="16.28515625" customWidth="1"/>
    <col min="11" max="11" width="14" customWidth="1"/>
  </cols>
  <sheetData>
    <row r="1" spans="1:2" ht="31.5" customHeight="1">
      <c r="A1" s="11" t="s">
        <v>106</v>
      </c>
    </row>
    <row r="2" spans="1:2">
      <c r="A2" s="12"/>
    </row>
    <row r="3" spans="1:2">
      <c r="A3" s="13" t="s">
        <v>107</v>
      </c>
    </row>
    <row r="4" spans="1:2" ht="47.25" customHeight="1">
      <c r="A4" s="11" t="s">
        <v>108</v>
      </c>
    </row>
    <row r="5" spans="1:2" ht="30" customHeight="1">
      <c r="A5" s="14" t="s">
        <v>0</v>
      </c>
      <c r="B5" t="s">
        <v>1</v>
      </c>
    </row>
    <row r="6" spans="1:2" ht="47.25" customHeight="1">
      <c r="A6" s="11" t="s">
        <v>109</v>
      </c>
    </row>
    <row r="7" spans="1:2" ht="31.5" customHeight="1">
      <c r="A7" s="11" t="s">
        <v>110</v>
      </c>
    </row>
    <row r="8" spans="1:2" ht="47.25" customHeight="1">
      <c r="A8" s="15" t="s">
        <v>111</v>
      </c>
    </row>
    <row r="9" spans="1:2" ht="15.75" customHeight="1">
      <c r="A9" s="11" t="s">
        <v>112</v>
      </c>
    </row>
    <row r="11" spans="1:2" ht="72" customHeight="1">
      <c r="A11" s="16" t="s">
        <v>113</v>
      </c>
    </row>
    <row r="12" spans="1:2">
      <c r="A12" s="16"/>
    </row>
    <row r="13" spans="1:2" ht="71.25" customHeight="1">
      <c r="A13" s="16" t="s">
        <v>114</v>
      </c>
    </row>
    <row r="14" spans="1:2">
      <c r="A14" s="16" t="s">
        <v>115</v>
      </c>
    </row>
    <row r="15" spans="1:2">
      <c r="A15" s="13" t="s">
        <v>116</v>
      </c>
    </row>
    <row r="16" spans="1:2" ht="158.25" customHeight="1">
      <c r="A16" s="16" t="s">
        <v>117</v>
      </c>
    </row>
    <row r="17" spans="1:1">
      <c r="A17" s="16"/>
    </row>
    <row r="18" spans="1:1">
      <c r="A18" s="13" t="s">
        <v>118</v>
      </c>
    </row>
    <row r="19" spans="1:1" ht="71.25" customHeight="1">
      <c r="A19" s="16" t="s">
        <v>119</v>
      </c>
    </row>
    <row r="20" spans="1:1">
      <c r="A20" s="16"/>
    </row>
    <row r="21" spans="1:1" ht="28.5" customHeight="1">
      <c r="A21" s="16" t="s">
        <v>120</v>
      </c>
    </row>
    <row r="22" spans="1:1">
      <c r="A22" s="16"/>
    </row>
    <row r="23" spans="1:1" ht="28.5" customHeight="1">
      <c r="A23" s="16" t="s">
        <v>121</v>
      </c>
    </row>
    <row r="24" spans="1:1">
      <c r="A24" s="16"/>
    </row>
    <row r="25" spans="1:1">
      <c r="A25" s="13" t="s">
        <v>122</v>
      </c>
    </row>
    <row r="26" spans="1:1" ht="71.25" customHeight="1">
      <c r="A26" s="16" t="s">
        <v>123</v>
      </c>
    </row>
    <row r="27" spans="1:1">
      <c r="A27" s="16"/>
    </row>
    <row r="28" spans="1:1" ht="57" customHeight="1">
      <c r="A28" s="16" t="s">
        <v>124</v>
      </c>
    </row>
    <row r="29" spans="1:1">
      <c r="A29" s="16"/>
    </row>
    <row r="30" spans="1:1">
      <c r="A30" s="13" t="s">
        <v>125</v>
      </c>
    </row>
    <row r="31" spans="1:1" ht="114.75" customHeight="1">
      <c r="A31" s="16" t="s">
        <v>126</v>
      </c>
    </row>
    <row r="32" spans="1:1">
      <c r="A32" s="16"/>
    </row>
    <row r="33" spans="1:1">
      <c r="A33" s="13" t="s">
        <v>127</v>
      </c>
    </row>
    <row r="34" spans="1:1" ht="42.75" customHeight="1">
      <c r="A34" s="16" t="s">
        <v>128</v>
      </c>
    </row>
    <row r="35" spans="1:1">
      <c r="A35" s="16"/>
    </row>
    <row r="36" spans="1:1" ht="28.5" customHeight="1">
      <c r="A36" s="16" t="s">
        <v>129</v>
      </c>
    </row>
    <row r="37" spans="1:1">
      <c r="A37" s="16"/>
    </row>
    <row r="38" spans="1:1">
      <c r="A38" s="13" t="s">
        <v>130</v>
      </c>
    </row>
    <row r="39" spans="1:1" ht="28.5" customHeight="1">
      <c r="A39" s="16" t="s">
        <v>131</v>
      </c>
    </row>
    <row r="40" spans="1:1">
      <c r="A40" s="16" t="s">
        <v>132</v>
      </c>
    </row>
    <row r="41" spans="1:1">
      <c r="A41" s="16" t="s">
        <v>133</v>
      </c>
    </row>
    <row r="42" spans="1:1" ht="28.5" customHeight="1">
      <c r="A42" s="16" t="s">
        <v>134</v>
      </c>
    </row>
    <row r="43" spans="1:1" ht="42.75" customHeight="1">
      <c r="A43" s="16" t="s">
        <v>135</v>
      </c>
    </row>
    <row r="44" spans="1:1">
      <c r="A44" s="17" t="s">
        <v>136</v>
      </c>
    </row>
    <row r="45" spans="1:1" ht="57" customHeight="1">
      <c r="A45" s="16" t="s">
        <v>137</v>
      </c>
    </row>
    <row r="48" spans="1:1">
      <c r="A48" s="16" t="s">
        <v>138</v>
      </c>
    </row>
    <row r="49" spans="1:11">
      <c r="A49" s="16"/>
    </row>
    <row r="50" spans="1:11">
      <c r="A50" s="30" t="s">
        <v>139</v>
      </c>
      <c r="B50" s="31"/>
      <c r="C50" s="31"/>
      <c r="D50" s="31"/>
      <c r="E50" s="31"/>
      <c r="F50" s="31"/>
      <c r="G50" s="31"/>
      <c r="H50" s="31"/>
      <c r="I50" s="31"/>
      <c r="J50" s="31"/>
      <c r="K50" s="31"/>
    </row>
    <row r="51" spans="1:11">
      <c r="A51" s="32" t="s">
        <v>140</v>
      </c>
      <c r="B51" s="31"/>
      <c r="C51" s="31"/>
      <c r="D51" s="31"/>
      <c r="E51" s="31"/>
      <c r="F51" s="31"/>
      <c r="G51" s="31"/>
      <c r="H51" s="31"/>
      <c r="I51" s="31"/>
      <c r="J51" s="31"/>
      <c r="K51" s="31"/>
    </row>
    <row r="52" spans="1:11">
      <c r="A52" s="68"/>
      <c r="B52" s="66"/>
      <c r="C52" s="66"/>
      <c r="D52" s="66"/>
      <c r="E52" s="66"/>
      <c r="F52" s="66"/>
      <c r="G52" s="66"/>
      <c r="H52" s="66"/>
      <c r="I52" s="66"/>
      <c r="J52" s="66"/>
    </row>
    <row r="53" spans="1:11" ht="15" customHeight="1">
      <c r="A53" s="67" t="s">
        <v>102</v>
      </c>
      <c r="B53" s="66"/>
      <c r="C53" s="66"/>
      <c r="D53" s="66"/>
      <c r="E53" s="66"/>
      <c r="F53" s="66"/>
      <c r="G53" s="66"/>
      <c r="H53" s="66"/>
      <c r="I53" s="66"/>
      <c r="J53" s="66"/>
    </row>
    <row r="54" spans="1:11">
      <c r="A54" s="69"/>
      <c r="B54" s="66"/>
      <c r="C54" s="66"/>
      <c r="D54" s="66"/>
      <c r="E54" s="66"/>
      <c r="F54" s="66"/>
      <c r="G54" s="66"/>
      <c r="H54" s="66"/>
      <c r="I54" s="66"/>
      <c r="J54" s="66"/>
    </row>
    <row r="55" spans="1:11">
      <c r="A55" s="68" t="s">
        <v>141</v>
      </c>
      <c r="B55" s="66"/>
      <c r="C55" s="66"/>
      <c r="D55" s="66"/>
      <c r="E55" s="66"/>
      <c r="F55" s="66"/>
      <c r="G55" s="66"/>
      <c r="H55" s="66"/>
      <c r="I55" s="66"/>
      <c r="J55" s="66"/>
    </row>
    <row r="56" spans="1:11" ht="16.5" customHeight="1">
      <c r="A56" s="27"/>
      <c r="B56" s="28"/>
      <c r="C56" s="29"/>
      <c r="D56" s="26"/>
      <c r="E56" s="26"/>
      <c r="F56" s="26"/>
      <c r="G56" s="26"/>
      <c r="H56" s="26"/>
      <c r="I56" s="26"/>
      <c r="J56" s="26"/>
    </row>
    <row r="57" spans="1:11" ht="15" customHeight="1"/>
    <row r="58" spans="1:11" ht="15.75" customHeight="1">
      <c r="A58" s="65" t="s">
        <v>142</v>
      </c>
      <c r="B58" s="66"/>
      <c r="C58" s="66"/>
      <c r="D58" s="66"/>
      <c r="E58" s="66"/>
      <c r="F58" s="66"/>
      <c r="G58" s="66"/>
      <c r="H58" s="66"/>
      <c r="I58" s="66"/>
      <c r="J58" s="66"/>
      <c r="K58" s="66"/>
    </row>
    <row r="60" spans="1:11" ht="15" customHeight="1">
      <c r="A60" s="18" t="s">
        <v>143</v>
      </c>
    </row>
    <row r="61" spans="1:11" ht="15" customHeight="1">
      <c r="A61" s="18"/>
    </row>
    <row r="62" spans="1:11" ht="15" customHeight="1">
      <c r="A62" s="18"/>
    </row>
    <row r="63" spans="1:11" ht="15" customHeight="1"/>
    <row r="64" spans="1:11" ht="15" customHeight="1">
      <c r="A64" s="18" t="s">
        <v>144</v>
      </c>
    </row>
    <row r="66" spans="1:1">
      <c r="A66" t="s">
        <v>145</v>
      </c>
    </row>
    <row r="68" spans="1:1">
      <c r="A68" t="s">
        <v>146</v>
      </c>
    </row>
    <row r="70" spans="1:1">
      <c r="A70" t="s">
        <v>147</v>
      </c>
    </row>
    <row r="72" spans="1:1">
      <c r="A72" t="s">
        <v>418</v>
      </c>
    </row>
    <row r="79" spans="1:1">
      <c r="A79" t="s">
        <v>422</v>
      </c>
    </row>
    <row r="81" spans="1:1">
      <c r="A81" t="s">
        <v>423</v>
      </c>
    </row>
    <row r="83" spans="1:1">
      <c r="A83" t="s">
        <v>424</v>
      </c>
    </row>
    <row r="85" spans="1:1" ht="28.5" customHeight="1">
      <c r="A85" s="21" t="s">
        <v>433</v>
      </c>
    </row>
    <row r="86" spans="1:1" ht="270">
      <c r="A86" s="21" t="s">
        <v>434</v>
      </c>
    </row>
    <row r="87" spans="1:1" ht="409.5">
      <c r="A87" s="21" t="s">
        <v>435</v>
      </c>
    </row>
    <row r="112" ht="28.5" customHeight="1"/>
    <row r="124" ht="15" customHeight="1"/>
    <row r="130" ht="30" customHeight="1"/>
    <row r="132" ht="15.75" customHeight="1"/>
    <row r="134" ht="15.75" customHeight="1"/>
    <row r="136" ht="18.75" customHeight="1"/>
    <row r="137" ht="15" customHeight="1"/>
    <row r="138" ht="15" customHeight="1"/>
    <row r="142" ht="15" customHeight="1"/>
    <row r="145" ht="15" customHeight="1"/>
    <row r="146" ht="15" customHeight="1"/>
    <row r="147" ht="15" customHeight="1"/>
    <row r="148" ht="15" customHeight="1"/>
    <row r="149" ht="15" customHeight="1"/>
    <row r="152" ht="31.5" customHeight="1"/>
    <row r="154" ht="31.5" customHeight="1"/>
    <row r="156" ht="15.75" customHeight="1"/>
    <row r="158" ht="15.75" customHeight="1"/>
    <row r="160" ht="18.75" customHeight="1"/>
    <row r="161" ht="15" customHeight="1"/>
    <row r="162" ht="15" customHeight="1"/>
    <row r="166" ht="15" customHeight="1"/>
    <row r="169" ht="15" customHeight="1"/>
    <row r="170" ht="15" customHeight="1"/>
    <row r="171" ht="15" customHeight="1"/>
    <row r="172" ht="15" customHeight="1"/>
    <row r="173" ht="15" customHeight="1"/>
    <row r="176" ht="15.75" customHeight="1"/>
    <row r="178" ht="15.75" customHeight="1"/>
    <row r="179" ht="15.75" customHeight="1"/>
    <row r="180" ht="15" customHeight="1"/>
    <row r="181" ht="31.5" customHeight="1"/>
    <row r="182" ht="15.75" customHeight="1"/>
    <row r="183" ht="15.75" customHeight="1"/>
    <row r="184" ht="15.75" customHeight="1"/>
    <row r="186" ht="31.5" customHeight="1"/>
    <row r="188" ht="15.75" customHeight="1"/>
    <row r="190" ht="15.75" customHeight="1"/>
    <row r="192" ht="18.75" customHeight="1"/>
    <row r="193" ht="15" customHeight="1"/>
    <row r="194" ht="15" customHeight="1"/>
    <row r="198" ht="15" customHeight="1"/>
  </sheetData>
  <mergeCells count="5">
    <mergeCell ref="A58:K58"/>
    <mergeCell ref="A53:J53"/>
    <mergeCell ref="A55:J55"/>
    <mergeCell ref="A54:J54"/>
    <mergeCell ref="A52:J52"/>
  </mergeCells>
  <hyperlinks>
    <hyperlink ref="A5" r:id="rId1" display="https://esearch.howardcad.org/" xr:uid="{00000000-0004-0000-0300-000000000000}"/>
    <hyperlink ref="A53" r:id="rId2" tooltip="mailto:josh@horizonenergy.io" display="mailto:josh@horizonenergy.io" xr:uid="{00000000-0004-0000-0300-000001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32"/>
  <sheetViews>
    <sheetView topLeftCell="A20" workbookViewId="0">
      <selection activeCell="A18" sqref="A18"/>
    </sheetView>
  </sheetViews>
  <sheetFormatPr defaultRowHeight="15"/>
  <cols>
    <col min="1" max="1" width="214.42578125" customWidth="1"/>
  </cols>
  <sheetData>
    <row r="1" spans="1:1" ht="15.75" customHeight="1">
      <c r="A1" s="7" t="s">
        <v>148</v>
      </c>
    </row>
    <row r="2" spans="1:1" ht="15.75" customHeight="1">
      <c r="A2" s="8" t="s">
        <v>149</v>
      </c>
    </row>
    <row r="3" spans="1:1">
      <c r="A3" s="9" t="s">
        <v>3</v>
      </c>
    </row>
    <row r="4" spans="1:1" ht="31.5" customHeight="1">
      <c r="A4" s="8" t="s">
        <v>109</v>
      </c>
    </row>
    <row r="5" spans="1:1" ht="15.75" customHeight="1">
      <c r="A5" s="8" t="s">
        <v>110</v>
      </c>
    </row>
    <row r="6" spans="1:1" ht="31.5" customHeight="1">
      <c r="A6" s="8" t="s">
        <v>150</v>
      </c>
    </row>
    <row r="7" spans="1:1" ht="15.75" customHeight="1">
      <c r="A7" s="8" t="s">
        <v>112</v>
      </c>
    </row>
    <row r="9" spans="1:1" ht="47.25" customHeight="1">
      <c r="A9" s="7" t="s">
        <v>151</v>
      </c>
    </row>
    <row r="11" spans="1:1" ht="15.75" customHeight="1">
      <c r="A11" s="7" t="s">
        <v>152</v>
      </c>
    </row>
    <row r="13" spans="1:1">
      <c r="A13" t="s">
        <v>4</v>
      </c>
    </row>
    <row r="14" spans="1:1">
      <c r="A14" t="s">
        <v>5</v>
      </c>
    </row>
    <row r="15" spans="1:1">
      <c r="A15" t="s">
        <v>6</v>
      </c>
    </row>
    <row r="16" spans="1:1">
      <c r="A16" s="10" t="s">
        <v>7</v>
      </c>
    </row>
    <row r="18" spans="1:1">
      <c r="A18" s="10" t="s">
        <v>8</v>
      </c>
    </row>
    <row r="20" spans="1:1">
      <c r="A20" t="s">
        <v>9</v>
      </c>
    </row>
    <row r="21" spans="1:1">
      <c r="A21" t="s">
        <v>10</v>
      </c>
    </row>
    <row r="23" spans="1:1">
      <c r="A23" t="s">
        <v>11</v>
      </c>
    </row>
    <row r="24" spans="1:1">
      <c r="A24" s="10" t="s">
        <v>12</v>
      </c>
    </row>
    <row r="26" spans="1:1">
      <c r="A26" t="s">
        <v>153</v>
      </c>
    </row>
    <row r="28" spans="1:1">
      <c r="A28" s="10" t="s">
        <v>14</v>
      </c>
    </row>
    <row r="29" spans="1:1">
      <c r="A29" s="10" t="s">
        <v>15</v>
      </c>
    </row>
    <row r="31" spans="1:1">
      <c r="A31" t="s">
        <v>154</v>
      </c>
    </row>
    <row r="32" spans="1:1">
      <c r="A32" s="10" t="s">
        <v>16</v>
      </c>
    </row>
  </sheetData>
  <hyperlinks>
    <hyperlink ref="A3" r:id="rId1" display="https://culbersoncad.org/" xr:uid="{00000000-0004-0000-0400-000000000000}"/>
    <hyperlink ref="A16" r:id="rId2" xr:uid="{00000000-0004-0000-0400-000001000000}"/>
    <hyperlink ref="A18" r:id="rId3" xr:uid="{00000000-0004-0000-0400-000002000000}"/>
    <hyperlink ref="A24" r:id="rId4" xr:uid="{00000000-0004-0000-0400-000003000000}"/>
    <hyperlink ref="A28" r:id="rId5" xr:uid="{00000000-0004-0000-0400-000004000000}"/>
    <hyperlink ref="A29" r:id="rId6" xr:uid="{00000000-0004-0000-0400-000005000000}"/>
    <hyperlink ref="A32" r:id="rId7" xr:uid="{00000000-0004-0000-0400-000006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43"/>
  <sheetViews>
    <sheetView workbookViewId="0">
      <selection activeCell="E46" sqref="E46"/>
    </sheetView>
  </sheetViews>
  <sheetFormatPr defaultRowHeight="15"/>
  <cols>
    <col min="1" max="1" width="214.140625" customWidth="1"/>
    <col min="3" max="3" width="12.85546875" customWidth="1"/>
    <col min="5" max="5" width="25.140625" customWidth="1"/>
    <col min="6" max="6" width="12.140625" customWidth="1"/>
    <col min="7" max="7" width="13.42578125" customWidth="1"/>
    <col min="8" max="8" width="15.5703125" customWidth="1"/>
    <col min="9" max="9" width="18" customWidth="1"/>
  </cols>
  <sheetData>
    <row r="1" spans="1:1" ht="29.25" customHeight="1">
      <c r="A1" s="1" t="s">
        <v>113</v>
      </c>
    </row>
    <row r="2" spans="1:1">
      <c r="A2" s="1"/>
    </row>
    <row r="3" spans="1:1" ht="42.75" customHeight="1">
      <c r="A3" s="1" t="s">
        <v>114</v>
      </c>
    </row>
    <row r="4" spans="1:1">
      <c r="A4" s="1" t="s">
        <v>115</v>
      </c>
    </row>
    <row r="5" spans="1:1">
      <c r="A5" s="2" t="s">
        <v>116</v>
      </c>
    </row>
    <row r="6" spans="1:1" ht="86.25" customHeight="1">
      <c r="A6" s="1" t="s">
        <v>117</v>
      </c>
    </row>
    <row r="7" spans="1:1">
      <c r="A7" s="1"/>
    </row>
    <row r="8" spans="1:1">
      <c r="A8" s="2" t="s">
        <v>118</v>
      </c>
    </row>
    <row r="9" spans="1:1" ht="42.75" customHeight="1">
      <c r="A9" s="1" t="s">
        <v>119</v>
      </c>
    </row>
    <row r="10" spans="1:1">
      <c r="A10" s="1"/>
    </row>
    <row r="11" spans="1:1">
      <c r="A11" s="1" t="s">
        <v>120</v>
      </c>
    </row>
    <row r="12" spans="1:1">
      <c r="A12" s="1"/>
    </row>
    <row r="13" spans="1:1">
      <c r="A13" s="1" t="s">
        <v>121</v>
      </c>
    </row>
    <row r="14" spans="1:1">
      <c r="A14" s="1"/>
    </row>
    <row r="15" spans="1:1">
      <c r="A15" s="2" t="s">
        <v>122</v>
      </c>
    </row>
    <row r="16" spans="1:1" ht="28.5" customHeight="1">
      <c r="A16" s="1" t="s">
        <v>123</v>
      </c>
    </row>
    <row r="17" spans="1:1">
      <c r="A17" s="1"/>
    </row>
    <row r="18" spans="1:1" ht="28.5" customHeight="1">
      <c r="A18" s="1" t="s">
        <v>124</v>
      </c>
    </row>
    <row r="19" spans="1:1">
      <c r="A19" s="1"/>
    </row>
    <row r="20" spans="1:1">
      <c r="A20" s="2" t="s">
        <v>125</v>
      </c>
    </row>
    <row r="21" spans="1:1" ht="57.75" customHeight="1">
      <c r="A21" s="1" t="s">
        <v>126</v>
      </c>
    </row>
    <row r="22" spans="1:1">
      <c r="A22" s="1"/>
    </row>
    <row r="23" spans="1:1">
      <c r="A23" s="2" t="s">
        <v>127</v>
      </c>
    </row>
    <row r="24" spans="1:1" ht="28.5" customHeight="1">
      <c r="A24" s="1" t="s">
        <v>128</v>
      </c>
    </row>
    <row r="25" spans="1:1">
      <c r="A25" s="1"/>
    </row>
    <row r="26" spans="1:1">
      <c r="A26" s="1" t="s">
        <v>129</v>
      </c>
    </row>
    <row r="27" spans="1:1">
      <c r="A27" s="1"/>
    </row>
    <row r="28" spans="1:1">
      <c r="A28" s="2" t="s">
        <v>130</v>
      </c>
    </row>
    <row r="29" spans="1:1">
      <c r="A29" s="1" t="s">
        <v>131</v>
      </c>
    </row>
    <row r="30" spans="1:1">
      <c r="A30" s="1" t="s">
        <v>132</v>
      </c>
    </row>
    <row r="31" spans="1:1">
      <c r="A31" s="1" t="s">
        <v>133</v>
      </c>
    </row>
    <row r="32" spans="1:1">
      <c r="A32" s="1" t="s">
        <v>134</v>
      </c>
    </row>
    <row r="33" spans="1:11" ht="28.5" customHeight="1">
      <c r="A33" s="1" t="s">
        <v>135</v>
      </c>
    </row>
    <row r="34" spans="1:11">
      <c r="A34" s="3" t="s">
        <v>136</v>
      </c>
    </row>
    <row r="35" spans="1:11" ht="28.5" customHeight="1">
      <c r="A35" s="1" t="s">
        <v>137</v>
      </c>
    </row>
    <row r="36" spans="1:11">
      <c r="A36" s="1"/>
    </row>
    <row r="37" spans="1:11">
      <c r="A37" s="1" t="s">
        <v>138</v>
      </c>
    </row>
    <row r="38" spans="1:11">
      <c r="A38" s="1"/>
    </row>
    <row r="39" spans="1:11">
      <c r="A39" s="4" t="s">
        <v>155</v>
      </c>
    </row>
    <row r="40" spans="1:11">
      <c r="A40" s="3" t="s">
        <v>140</v>
      </c>
    </row>
    <row r="41" spans="1:11">
      <c r="A41" s="5" t="s">
        <v>26</v>
      </c>
      <c r="B41" s="5" t="s">
        <v>27</v>
      </c>
      <c r="C41" s="5" t="s">
        <v>28</v>
      </c>
      <c r="D41" s="5" t="s">
        <v>29</v>
      </c>
      <c r="E41" s="5" t="s">
        <v>30</v>
      </c>
      <c r="F41" s="5" t="s">
        <v>31</v>
      </c>
      <c r="G41" s="5" t="s">
        <v>32</v>
      </c>
      <c r="H41" s="5" t="s">
        <v>33</v>
      </c>
      <c r="I41" s="5" t="s">
        <v>34</v>
      </c>
      <c r="J41" s="5" t="s">
        <v>35</v>
      </c>
    </row>
    <row r="42" spans="1:11" ht="33" customHeight="1">
      <c r="A42" s="6" t="s">
        <v>56</v>
      </c>
      <c r="B42" s="6">
        <v>7003</v>
      </c>
      <c r="C42" s="6">
        <v>7003</v>
      </c>
      <c r="D42" s="6">
        <v>277</v>
      </c>
      <c r="E42" s="6" t="s">
        <v>57</v>
      </c>
      <c r="F42" s="6">
        <v>43</v>
      </c>
      <c r="G42" s="6" t="s">
        <v>58</v>
      </c>
      <c r="H42" s="6" t="s">
        <v>59</v>
      </c>
      <c r="I42" s="6" t="s">
        <v>60</v>
      </c>
      <c r="J42" s="6" t="s">
        <v>41</v>
      </c>
      <c r="K42" s="6" t="s">
        <v>42</v>
      </c>
    </row>
    <row r="43" spans="1:11">
      <c r="A43" s="4"/>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6"/>
  <sheetViews>
    <sheetView workbookViewId="0">
      <selection activeCell="A4" sqref="A4"/>
    </sheetView>
  </sheetViews>
  <sheetFormatPr defaultRowHeight="15"/>
  <cols>
    <col min="1" max="1" width="198.28515625" customWidth="1"/>
  </cols>
  <sheetData>
    <row r="1" spans="1:1" ht="15.75" customHeight="1">
      <c r="A1" s="7" t="s">
        <v>156</v>
      </c>
    </row>
    <row r="2" spans="1:1" ht="15.75" customHeight="1">
      <c r="A2" s="8" t="s">
        <v>157</v>
      </c>
    </row>
    <row r="3" spans="1:1" ht="31.5" customHeight="1">
      <c r="A3" s="8" t="s">
        <v>158</v>
      </c>
    </row>
    <row r="4" spans="1:1" ht="31.5" customHeight="1">
      <c r="A4" s="8" t="s">
        <v>159</v>
      </c>
    </row>
    <row r="5" spans="1:1">
      <c r="A5" s="12"/>
    </row>
    <row r="6" spans="1:1" ht="15.75" customHeight="1">
      <c r="A6" s="7" t="s">
        <v>160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B14"/>
  <sheetViews>
    <sheetView workbookViewId="0">
      <selection activeCell="B2" sqref="A2:B2"/>
    </sheetView>
  </sheetViews>
  <sheetFormatPr defaultRowHeight="15"/>
  <cols>
    <col min="1" max="1" width="153.5703125" customWidth="1"/>
  </cols>
  <sheetData>
    <row r="2" spans="1:2">
      <c r="A2" s="10" t="s">
        <v>17</v>
      </c>
    </row>
    <row r="4" spans="1:2" ht="30" customHeight="1">
      <c r="A4" s="18" t="s">
        <v>161</v>
      </c>
    </row>
    <row r="6" spans="1:2">
      <c r="A6" s="18" t="s">
        <v>162</v>
      </c>
    </row>
    <row r="7" spans="1:2">
      <c r="A7" s="19"/>
    </row>
    <row r="8" spans="1:2">
      <c r="A8" s="20" t="s">
        <v>163</v>
      </c>
      <c r="B8" t="s">
        <v>164</v>
      </c>
    </row>
    <row r="10" spans="1:2">
      <c r="A10" s="18" t="s">
        <v>165</v>
      </c>
    </row>
    <row r="12" spans="1:2" ht="60" customHeight="1">
      <c r="A12" s="21" t="s">
        <v>166</v>
      </c>
      <c r="B12" t="s">
        <v>164</v>
      </c>
    </row>
    <row r="14" spans="1:2">
      <c r="A14" t="s">
        <v>167</v>
      </c>
    </row>
  </sheetData>
  <hyperlinks>
    <hyperlink ref="A2" r:id="rId1" xr:uid="{00000000-0004-0000-07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23"/>
  <sheetViews>
    <sheetView topLeftCell="A22" workbookViewId="0">
      <selection activeCell="H28" sqref="H28"/>
    </sheetView>
  </sheetViews>
  <sheetFormatPr defaultRowHeight="15"/>
  <sheetData>
    <row r="1" spans="1:1">
      <c r="A1" s="22" t="s">
        <v>168</v>
      </c>
    </row>
    <row r="2" spans="1:1">
      <c r="A2" s="22" t="s">
        <v>169</v>
      </c>
    </row>
    <row r="3" spans="1:1">
      <c r="A3" s="23"/>
    </row>
    <row r="4" spans="1:1">
      <c r="A4" s="24" t="s">
        <v>170</v>
      </c>
    </row>
    <row r="5" spans="1:1">
      <c r="A5" s="25" t="s">
        <v>18</v>
      </c>
    </row>
    <row r="6" spans="1:1">
      <c r="A6" s="24" t="s">
        <v>171</v>
      </c>
    </row>
    <row r="7" spans="1:1">
      <c r="A7" s="24" t="s">
        <v>172</v>
      </c>
    </row>
    <row r="8" spans="1:1">
      <c r="A8" s="24" t="s">
        <v>173</v>
      </c>
    </row>
    <row r="9" spans="1:1">
      <c r="A9" s="24" t="s">
        <v>174</v>
      </c>
    </row>
    <row r="10" spans="1:1">
      <c r="A10" s="24" t="s">
        <v>175</v>
      </c>
    </row>
    <row r="13" spans="1:1">
      <c r="A13" s="22" t="s">
        <v>176</v>
      </c>
    </row>
    <row r="14" spans="1:1">
      <c r="A14" s="22" t="s">
        <v>169</v>
      </c>
    </row>
    <row r="15" spans="1:1">
      <c r="A15" s="23"/>
    </row>
    <row r="16" spans="1:1">
      <c r="A16" s="24" t="s">
        <v>177</v>
      </c>
    </row>
    <row r="17" spans="1:1">
      <c r="A17" s="24" t="s">
        <v>178</v>
      </c>
    </row>
    <row r="18" spans="1:1">
      <c r="A18" s="24" t="s">
        <v>179</v>
      </c>
    </row>
    <row r="19" spans="1:1">
      <c r="A19" s="24" t="s">
        <v>180</v>
      </c>
    </row>
    <row r="20" spans="1:1">
      <c r="A20" s="24" t="s">
        <v>181</v>
      </c>
    </row>
    <row r="21" spans="1:1">
      <c r="A21" s="24" t="s">
        <v>182</v>
      </c>
    </row>
    <row r="22" spans="1:1">
      <c r="A22" s="24" t="s">
        <v>183</v>
      </c>
    </row>
    <row r="23" spans="1:1">
      <c r="A23" s="24" t="s">
        <v>184</v>
      </c>
    </row>
  </sheetData>
  <hyperlinks>
    <hyperlink ref="A5" r:id="rId1" display="https://esearch.howardcad.org/" xr:uid="{00000000-0004-0000-08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3"/>
  <sheetViews>
    <sheetView topLeftCell="A3" workbookViewId="0"/>
  </sheetViews>
  <sheetFormatPr defaultRowHeight="15"/>
  <cols>
    <col min="1" max="1" width="241.7109375" customWidth="1"/>
  </cols>
  <sheetData>
    <row r="1" spans="1:1">
      <c r="A1" t="s">
        <v>185</v>
      </c>
    </row>
    <row r="2" spans="1:1" ht="30" customHeight="1"/>
    <row r="3" spans="1:1" ht="409.5" customHeight="1">
      <c r="A3" s="21" t="s">
        <v>186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33"/>
  <sheetViews>
    <sheetView topLeftCell="A9" workbookViewId="0">
      <selection activeCell="A28" sqref="A28"/>
    </sheetView>
  </sheetViews>
  <sheetFormatPr defaultRowHeight="15"/>
  <cols>
    <col min="1" max="1" width="214.140625" customWidth="1"/>
  </cols>
  <sheetData>
    <row r="1" spans="1:1" ht="15.75" customHeight="1">
      <c r="A1" s="7" t="s">
        <v>187</v>
      </c>
    </row>
    <row r="2" spans="1:1">
      <c r="A2" s="19"/>
    </row>
    <row r="3" spans="1:1" ht="47.25" customHeight="1">
      <c r="A3" s="8" t="s">
        <v>188</v>
      </c>
    </row>
    <row r="4" spans="1:1" ht="31.5" customHeight="1">
      <c r="A4" s="8" t="s">
        <v>189</v>
      </c>
    </row>
    <row r="5" spans="1:1" ht="18" customHeight="1">
      <c r="A5" s="8" t="s">
        <v>190</v>
      </c>
    </row>
    <row r="7" spans="1:1" ht="15.75" customHeight="1">
      <c r="A7" s="7" t="s">
        <v>191</v>
      </c>
    </row>
    <row r="9" spans="1:1" ht="15.75" customHeight="1">
      <c r="A9" s="44" t="s">
        <v>192</v>
      </c>
    </row>
    <row r="10" spans="1:1">
      <c r="A10" s="19"/>
    </row>
    <row r="11" spans="1:1" ht="15.75" customHeight="1">
      <c r="A11" s="44" t="s">
        <v>193</v>
      </c>
    </row>
    <row r="12" spans="1:1" ht="15.75" customHeight="1">
      <c r="A12" s="44" t="s">
        <v>194</v>
      </c>
    </row>
    <row r="13" spans="1:1" ht="15.75" customHeight="1">
      <c r="A13" s="44" t="s">
        <v>195</v>
      </c>
    </row>
    <row r="14" spans="1:1">
      <c r="A14" s="43"/>
    </row>
    <row r="15" spans="1:1" ht="15.75" customHeight="1">
      <c r="A15" s="44" t="s">
        <v>196</v>
      </c>
    </row>
    <row r="16" spans="1:1">
      <c r="A16" s="19"/>
    </row>
    <row r="17" spans="1:1" ht="15.75" customHeight="1">
      <c r="A17" s="44" t="s">
        <v>197</v>
      </c>
    </row>
    <row r="18" spans="1:1">
      <c r="A18" s="12"/>
    </row>
    <row r="19" spans="1:1" ht="15.75" customHeight="1">
      <c r="A19" s="44" t="s">
        <v>198</v>
      </c>
    </row>
    <row r="20" spans="1:1">
      <c r="A20" s="12"/>
    </row>
    <row r="21" spans="1:1" ht="15.75" customHeight="1">
      <c r="A21" s="44" t="s">
        <v>199</v>
      </c>
    </row>
    <row r="22" spans="1:1">
      <c r="A22" s="12"/>
    </row>
    <row r="23" spans="1:1" ht="15.75" customHeight="1">
      <c r="A23" s="44" t="s">
        <v>200</v>
      </c>
    </row>
    <row r="25" spans="1:1" ht="33.75" customHeight="1">
      <c r="A25" s="7" t="s">
        <v>201</v>
      </c>
    </row>
    <row r="27" spans="1:1" ht="15.75" customHeight="1">
      <c r="A27" s="7" t="s">
        <v>202</v>
      </c>
    </row>
    <row r="28" spans="1:1">
      <c r="A28" t="s">
        <v>203</v>
      </c>
    </row>
    <row r="29" spans="1:1">
      <c r="A29" t="s">
        <v>204</v>
      </c>
    </row>
    <row r="30" spans="1:1">
      <c r="A30" t="s">
        <v>205</v>
      </c>
    </row>
    <row r="31" spans="1:1">
      <c r="A31" t="s">
        <v>206</v>
      </c>
    </row>
    <row r="32" spans="1:1">
      <c r="A32" t="s">
        <v>207</v>
      </c>
    </row>
    <row r="33" spans="1:1">
      <c r="A33" t="s">
        <v>208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7D97B-CDB6-4307-9EF6-48DD548087E3}">
  <dimension ref="A2:A23"/>
  <sheetViews>
    <sheetView workbookViewId="0">
      <selection activeCell="A6" sqref="A6"/>
    </sheetView>
  </sheetViews>
  <sheetFormatPr defaultRowHeight="24.75" customHeight="1"/>
  <cols>
    <col min="1" max="1" width="206.85546875" customWidth="1"/>
  </cols>
  <sheetData>
    <row r="2" spans="1:1" ht="24.75" customHeight="1">
      <c r="A2" s="10" t="s">
        <v>209</v>
      </c>
    </row>
    <row r="4" spans="1:1" ht="24.75" customHeight="1">
      <c r="A4" s="10" t="s">
        <v>210</v>
      </c>
    </row>
    <row r="6" spans="1:1" ht="24.75" customHeight="1">
      <c r="A6" s="18" t="s">
        <v>215</v>
      </c>
    </row>
    <row r="7" spans="1:1" ht="24.75" customHeight="1">
      <c r="A7" s="19"/>
    </row>
    <row r="8" spans="1:1" ht="24.75" customHeight="1">
      <c r="A8" s="20" t="s">
        <v>216</v>
      </c>
    </row>
    <row r="9" spans="1:1" ht="24.75" customHeight="1">
      <c r="A9" s="61" t="s">
        <v>217</v>
      </c>
    </row>
    <row r="10" spans="1:1" ht="24.75" customHeight="1">
      <c r="A10" s="61" t="s">
        <v>218</v>
      </c>
    </row>
    <row r="11" spans="1:1" ht="24.75" customHeight="1">
      <c r="A11" s="61" t="s">
        <v>219</v>
      </c>
    </row>
    <row r="12" spans="1:1" ht="24.75" customHeight="1">
      <c r="A12" s="20" t="s">
        <v>220</v>
      </c>
    </row>
    <row r="13" spans="1:1" ht="24.75" customHeight="1">
      <c r="A13" s="20" t="s">
        <v>221</v>
      </c>
    </row>
    <row r="14" spans="1:1" ht="24.75" customHeight="1">
      <c r="A14" s="61" t="s">
        <v>222</v>
      </c>
    </row>
    <row r="15" spans="1:1" ht="24.75" customHeight="1">
      <c r="A15" s="61" t="s">
        <v>223</v>
      </c>
    </row>
    <row r="16" spans="1:1" ht="24.75" customHeight="1">
      <c r="A16" s="20" t="s">
        <v>224</v>
      </c>
    </row>
    <row r="17" spans="1:1" ht="24.75" customHeight="1">
      <c r="A17" s="20" t="s">
        <v>225</v>
      </c>
    </row>
    <row r="18" spans="1:1" ht="24.75" customHeight="1">
      <c r="A18" s="61" t="s">
        <v>226</v>
      </c>
    </row>
    <row r="19" spans="1:1" ht="24.75" customHeight="1">
      <c r="A19" s="62" t="s">
        <v>227</v>
      </c>
    </row>
    <row r="20" spans="1:1" ht="24.75" customHeight="1">
      <c r="A20" s="61" t="s">
        <v>228</v>
      </c>
    </row>
    <row r="21" spans="1:1" ht="24.75" customHeight="1">
      <c r="A21" s="62" t="s">
        <v>229</v>
      </c>
    </row>
    <row r="22" spans="1:1" ht="24.75" customHeight="1">
      <c r="A22" s="12"/>
    </row>
    <row r="23" spans="1:1" ht="24.75" customHeight="1">
      <c r="A23" s="18" t="s">
        <v>230</v>
      </c>
    </row>
  </sheetData>
  <hyperlinks>
    <hyperlink ref="A2" r:id="rId1" tooltip="https://reeves.tx.publicsearch.us/" display="https://reeves.tx.publicsearch.us/" xr:uid="{360A0F32-FF9B-4872-AB69-8EFC4A3680FB}"/>
    <hyperlink ref="A4" r:id="rId2" tooltip="https://www.reeves-cad.org/" display="https://www.reeves-cad.org/" xr:uid="{C75464F0-D77A-4411-B386-8CEFC3B149FB}"/>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8504C-6703-470A-87D7-EF6132C5362B}">
  <dimension ref="A1:A276"/>
  <sheetViews>
    <sheetView workbookViewId="0">
      <selection activeCell="L10" sqref="L10"/>
    </sheetView>
  </sheetViews>
  <sheetFormatPr defaultRowHeight="15"/>
  <sheetData>
    <row r="1" spans="1:1">
      <c r="A1" t="s">
        <v>236</v>
      </c>
    </row>
    <row r="3" spans="1:1">
      <c r="A3" t="s">
        <v>237</v>
      </c>
    </row>
    <row r="4" spans="1:1">
      <c r="A4" t="s">
        <v>238</v>
      </c>
    </row>
    <row r="6" spans="1:1">
      <c r="A6" t="s">
        <v>239</v>
      </c>
    </row>
    <row r="7" spans="1:1">
      <c r="A7" t="s">
        <v>240</v>
      </c>
    </row>
    <row r="8" spans="1:1">
      <c r="A8" t="s">
        <v>241</v>
      </c>
    </row>
    <row r="9" spans="1:1">
      <c r="A9" t="s">
        <v>242</v>
      </c>
    </row>
    <row r="10" spans="1:1">
      <c r="A10" t="s">
        <v>243</v>
      </c>
    </row>
    <row r="11" spans="1:1">
      <c r="A11" t="e">
        <f>- Reeves County, Texas</f>
        <v>#NAME?</v>
      </c>
    </row>
    <row r="12" spans="1:1">
      <c r="A12" t="s">
        <v>244</v>
      </c>
    </row>
    <row r="13" spans="1:1">
      <c r="A13" t="s">
        <v>245</v>
      </c>
    </row>
    <row r="14" spans="1:1">
      <c r="A14" t="e" cm="1">
        <f t="array" ref="A14">- Current owner shown: Edgar &amp; Lillian Olds Homestead LLC</f>
        <v>#NAME?</v>
      </c>
    </row>
    <row r="15" spans="1:1">
      <c r="A15" t="s">
        <v>246</v>
      </c>
    </row>
    <row r="16" spans="1:1">
      <c r="A16" t="s">
        <v>247</v>
      </c>
    </row>
    <row r="18" spans="1:1">
      <c r="A18" t="s">
        <v>248</v>
      </c>
    </row>
    <row r="19" spans="1:1">
      <c r="A19" t="s">
        <v>249</v>
      </c>
    </row>
    <row r="20" spans="1:1">
      <c r="A20" t="s">
        <v>250</v>
      </c>
    </row>
    <row r="21" spans="1:1">
      <c r="A21" t="s">
        <v>251</v>
      </c>
    </row>
    <row r="22" spans="1:1">
      <c r="A22" t="s">
        <v>252</v>
      </c>
    </row>
    <row r="23" spans="1:1">
      <c r="A23" t="s">
        <v>253</v>
      </c>
    </row>
    <row r="25" spans="1:1">
      <c r="A25" t="s">
        <v>254</v>
      </c>
    </row>
    <row r="27" spans="1:1">
      <c r="A27" t="s">
        <v>255</v>
      </c>
    </row>
    <row r="28" spans="1:1">
      <c r="A28" t="s">
        <v>256</v>
      </c>
    </row>
    <row r="29" spans="1:1">
      <c r="A29" t="s">
        <v>257</v>
      </c>
    </row>
    <row r="30" spans="1:1">
      <c r="A30" t="s">
        <v>258</v>
      </c>
    </row>
    <row r="31" spans="1:1">
      <c r="A31" t="s">
        <v>259</v>
      </c>
    </row>
    <row r="32" spans="1:1">
      <c r="A32" t="s">
        <v>260</v>
      </c>
    </row>
    <row r="33" spans="1:1">
      <c r="A33" t="s">
        <v>261</v>
      </c>
    </row>
    <row r="34" spans="1:1">
      <c r="A34" t="s">
        <v>262</v>
      </c>
    </row>
    <row r="35" spans="1:1">
      <c r="A35" t="s">
        <v>263</v>
      </c>
    </row>
    <row r="37" spans="1:1">
      <c r="A37" t="s">
        <v>264</v>
      </c>
    </row>
    <row r="38" spans="1:1">
      <c r="A38" t="s">
        <v>265</v>
      </c>
    </row>
    <row r="39" spans="1:1">
      <c r="A39" t="s">
        <v>266</v>
      </c>
    </row>
    <row r="40" spans="1:1">
      <c r="A40" t="s">
        <v>267</v>
      </c>
    </row>
    <row r="41" spans="1:1">
      <c r="A41" t="e" cm="1">
        <f t="array" ref="A41">- Tax Statement PDF</f>
        <v>#NAME?</v>
      </c>
    </row>
    <row r="42" spans="1:1">
      <c r="A42" t="e" cm="1">
        <f t="array" ref="A42">- Coversheet DOCX</f>
        <v>#NAME?</v>
      </c>
    </row>
    <row r="43" spans="1:1">
      <c r="A43" t="e" cm="1">
        <f t="array" ref="A43">- Property Details PDF</f>
        <v>#NAME?</v>
      </c>
    </row>
    <row r="44" spans="1:1">
      <c r="A44" t="e" cm="1">
        <f t="array" ref="A44">- Organized project notes workbook</f>
        <v>#NAME?</v>
      </c>
    </row>
    <row r="45" spans="1:1">
      <c r="A45" t="e" cm="1">
        <f t="array" ref="A45">- Parcel / legal / CCN numbers workbook</f>
        <v>#NAME?</v>
      </c>
    </row>
    <row r="46" spans="1:1">
      <c r="A46" t="e" cm="1">
        <f t="array" ref="A46">- project notes workbook</f>
        <v>#NAME?</v>
      </c>
    </row>
    <row r="47" spans="1:1">
      <c r="A47" t="s">
        <v>268</v>
      </c>
    </row>
    <row r="48" spans="1:1">
      <c r="A48" t="s">
        <v>269</v>
      </c>
    </row>
    <row r="49" spans="1:1">
      <c r="A49" t="e" cm="1">
        <f t="array" ref="A49">- notes for Dan DOCX</f>
        <v>#NAME?</v>
      </c>
    </row>
    <row r="50" spans="1:1">
      <c r="A50" t="s">
        <v>270</v>
      </c>
    </row>
    <row r="52" spans="1:1">
      <c r="A52" t="s">
        <v>271</v>
      </c>
    </row>
    <row r="53" spans="1:1">
      <c r="A53" t="s">
        <v>272</v>
      </c>
    </row>
    <row r="54" spans="1:1">
      <c r="A54" t="e" cm="1">
        <f t="array" ref="A54">- Every grantor</f>
        <v>#NAME?</v>
      </c>
    </row>
    <row r="55" spans="1:1">
      <c r="A55" t="e" cm="1">
        <f t="array" ref="A55">- Every grantee</f>
        <v>#NAME?</v>
      </c>
    </row>
    <row r="56" spans="1:1">
      <c r="A56" t="e" cm="1">
        <f t="array" ref="A56">- Every owner name</f>
        <v>#NAME?</v>
      </c>
    </row>
    <row r="57" spans="1:1">
      <c r="A57" t="e" cm="1">
        <f t="array" ref="A57">- Every spouse name</f>
        <v>#NAME?</v>
      </c>
    </row>
    <row r="58" spans="1:1">
      <c r="A58" t="e" cm="1">
        <f t="array" ref="A58">- Every trustee/lender/beneficiary</f>
        <v>#NAME?</v>
      </c>
    </row>
    <row r="59" spans="1:1">
      <c r="A59" t="e" cm="1">
        <f t="array" ref="A59">- Every entity name</f>
        <v>#NAME?</v>
      </c>
    </row>
    <row r="60" spans="1:1">
      <c r="A60" t="e" cm="1">
        <f t="array" ref="A60">- Every instrument number</f>
        <v>#NAME?</v>
      </c>
    </row>
    <row r="61" spans="1:1">
      <c r="A61" t="s">
        <v>273</v>
      </c>
    </row>
    <row r="62" spans="1:1">
      <c r="A62" t="s">
        <v>274</v>
      </c>
    </row>
    <row r="63" spans="1:1">
      <c r="A63" t="e" cm="1">
        <f t="array" ref="A63">- Every legal description</f>
        <v>#NAME?</v>
      </c>
    </row>
    <row r="64" spans="1:1">
      <c r="A64" t="s">
        <v>275</v>
      </c>
    </row>
    <row r="66" spans="1:1">
      <c r="A66" t="s">
        <v>276</v>
      </c>
    </row>
    <row r="68" spans="1:1">
      <c r="A68" t="s">
        <v>277</v>
      </c>
    </row>
    <row r="69" spans="1:1">
      <c r="A69" t="e" cm="1">
        <f t="array" ref="A69">- “Edgar &amp; Lillian Olds Homestead LLC”</f>
        <v>#NAME?</v>
      </c>
    </row>
    <row r="70" spans="1:1">
      <c r="A70" t="s">
        <v>278</v>
      </c>
    </row>
    <row r="71" spans="1:1">
      <c r="A71" t="e" cm="1">
        <f t="array" ref="A71">- “Edgar Olds”</f>
        <v>#NAME?</v>
      </c>
    </row>
    <row r="72" spans="1:1">
      <c r="A72" t="e" cm="1">
        <f t="array" ref="A72">- “Lillian Olds”</f>
        <v>#NAME?</v>
      </c>
    </row>
    <row r="73" spans="1:1">
      <c r="A73" t="e" cm="1">
        <f t="array" ref="A73">- “Olds Homestead LLC”</f>
        <v>#NAME?</v>
      </c>
    </row>
    <row r="74" spans="1:1">
      <c r="A74" t="s">
        <v>279</v>
      </c>
    </row>
    <row r="75" spans="1:1">
      <c r="A75" t="e" cm="1">
        <f t="array" ref="A75">- “Constance Olds”</f>
        <v>#NAME?</v>
      </c>
    </row>
    <row r="76" spans="1:1">
      <c r="A76" t="s">
        <v>280</v>
      </c>
    </row>
    <row r="77" spans="1:1">
      <c r="A77" t="e" cm="1">
        <f t="array" ref="A77">- “Kimberly O Crocetti”</f>
        <v>#NAME?</v>
      </c>
    </row>
    <row r="78" spans="1:1">
      <c r="A78" t="s">
        <v>281</v>
      </c>
    </row>
    <row r="79" spans="1:1">
      <c r="A79" t="s">
        <v>282</v>
      </c>
    </row>
    <row r="80" spans="1:1">
      <c r="A80" t="s">
        <v>283</v>
      </c>
    </row>
    <row r="81" spans="1:1">
      <c r="A81" t="s">
        <v>284</v>
      </c>
    </row>
    <row r="82" spans="1:1">
      <c r="A82" t="s">
        <v>285</v>
      </c>
    </row>
    <row r="83" spans="1:1">
      <c r="A83" t="e" cm="1">
        <f t="array" ref="A83">- “175.3 acres Reeves County”</f>
        <v>#NAME?</v>
      </c>
    </row>
    <row r="84" spans="1:1">
      <c r="A84" t="s">
        <v>286</v>
      </c>
    </row>
    <row r="85" spans="1:1">
      <c r="A85" t="s">
        <v>287</v>
      </c>
    </row>
    <row r="86" spans="1:1">
      <c r="A86" t="s">
        <v>288</v>
      </c>
    </row>
    <row r="87" spans="1:1">
      <c r="A87" t="s">
        <v>289</v>
      </c>
    </row>
    <row r="89" spans="1:1">
      <c r="A89" t="s">
        <v>290</v>
      </c>
    </row>
    <row r="91" spans="1:1">
      <c r="A91" t="s">
        <v>291</v>
      </c>
    </row>
    <row r="92" spans="1:1">
      <c r="A92" t="s">
        <v>292</v>
      </c>
    </row>
    <row r="93" spans="1:1">
      <c r="A93" t="e" cm="1">
        <f t="array" ref="A93">- Relevant County Clerk Official Public Records</f>
        <v>#NAME?</v>
      </c>
    </row>
    <row r="94" spans="1:1">
      <c r="A94" t="e" cm="1">
        <f t="array" ref="A94">- Relevant County Clerk deed Records / real Property Records</f>
        <v>#NAME?</v>
      </c>
    </row>
    <row r="95" spans="1:1">
      <c r="A95" t="s">
        <v>293</v>
      </c>
    </row>
    <row r="96" spans="1:1">
      <c r="A96" t="s">
        <v>294</v>
      </c>
    </row>
    <row r="97" spans="1:1">
      <c r="A97" t="e" cm="1">
        <f t="array" ref="A97">- County Tax office/Tax transparency/Property Tax Records</f>
        <v>#NAME?</v>
      </c>
    </row>
    <row r="98" spans="1:1">
      <c r="A98" t="e" cm="1">
        <f t="array" ref="A98">- CourthouseDirect</f>
        <v>#NAME?</v>
      </c>
    </row>
    <row r="99" spans="1:1">
      <c r="A99" t="e" cm="1">
        <f t="array" ref="A99">- TexasFile</f>
        <v>#NAME?</v>
      </c>
    </row>
    <row r="100" spans="1:1">
      <c r="A100" t="e" cm="1">
        <f t="array" ref="A100">- CountyRecords.com</f>
        <v>#NAME?</v>
      </c>
    </row>
    <row r="101" spans="1:1">
      <c r="A101" t="e" cm="1">
        <f t="array" ref="A101">- NETR Online</f>
        <v>#NAME?</v>
      </c>
    </row>
    <row r="102" spans="1:1">
      <c r="A102" t="s">
        <v>295</v>
      </c>
    </row>
    <row r="103" spans="1:1">
      <c r="A103" t="s">
        <v>296</v>
      </c>
    </row>
    <row r="104" spans="1:1">
      <c r="A104" t="s">
        <v>297</v>
      </c>
    </row>
    <row r="105" spans="1:1">
      <c r="A105" t="s">
        <v>298</v>
      </c>
    </row>
    <row r="107" spans="1:1">
      <c r="A107" t="s">
        <v>299</v>
      </c>
    </row>
    <row r="109" spans="1:1">
      <c r="A109" t="s">
        <v>300</v>
      </c>
    </row>
    <row r="110" spans="1:1">
      <c r="A110" t="s">
        <v>301</v>
      </c>
    </row>
    <row r="111" spans="1:1">
      <c r="A111" t="s">
        <v>302</v>
      </c>
    </row>
    <row r="112" spans="1:1">
      <c r="A112" t="s">
        <v>303</v>
      </c>
    </row>
    <row r="113" spans="1:1">
      <c r="A113" t="s">
        <v>304</v>
      </c>
    </row>
    <row r="114" spans="1:1">
      <c r="A114" t="s">
        <v>305</v>
      </c>
    </row>
    <row r="115" spans="1:1">
      <c r="A115" t="s">
        <v>306</v>
      </c>
    </row>
    <row r="116" spans="1:1">
      <c r="A116" t="s">
        <v>307</v>
      </c>
    </row>
    <row r="117" spans="1:1">
      <c r="A117" t="s">
        <v>308</v>
      </c>
    </row>
    <row r="119" spans="1:1">
      <c r="A119" t="s">
        <v>309</v>
      </c>
    </row>
    <row r="120" spans="1:1">
      <c r="A120" t="s">
        <v>310</v>
      </c>
    </row>
    <row r="121" spans="1:1">
      <c r="A121" t="e" cm="1">
        <f t="array" ref="A121">- Header fields</f>
        <v>#NAME?</v>
      </c>
    </row>
    <row r="122" spans="1:1">
      <c r="A122" t="e" cm="1">
        <f t="array" ref="A122">- CCN</f>
        <v>#NAME?</v>
      </c>
    </row>
    <row r="123" spans="1:1">
      <c r="A123" t="e" cm="1">
        <f t="array" ref="A123">- Section</f>
        <v>#NAME?</v>
      </c>
    </row>
    <row r="124" spans="1:1">
      <c r="A124" t="e" cm="1">
        <f t="array" ref="A124">- block</f>
        <v>#NAME?</v>
      </c>
    </row>
    <row r="125" spans="1:1">
      <c r="A125" t="e" cm="1">
        <f t="array" ref="A125">- township</f>
        <v>#NAME?</v>
      </c>
    </row>
    <row r="126" spans="1:1">
      <c r="A126" t="e" cm="1">
        <f t="array" ref="A126">- Abstract</f>
        <v>#NAME?</v>
      </c>
    </row>
    <row r="127" spans="1:1">
      <c r="A127" t="e" cm="1">
        <f t="array" ref="A127">- Survey</f>
        <v>#NAME?</v>
      </c>
    </row>
    <row r="128" spans="1:1">
      <c r="A128" t="e" cm="1">
        <f t="array" ref="A128">- acres</f>
        <v>#NAME?</v>
      </c>
    </row>
    <row r="129" spans="1:1">
      <c r="A129" t="e" cm="1">
        <f t="array" ref="A129">- County/State</f>
        <v>#NAME?</v>
      </c>
    </row>
    <row r="130" spans="1:1">
      <c r="A130" t="s">
        <v>311</v>
      </c>
    </row>
    <row r="131" spans="1:1">
      <c r="A131" t="e" cm="1">
        <f t="array" ref="A131">- Records checked period</f>
        <v>#NAME?</v>
      </c>
    </row>
    <row r="132" spans="1:1">
      <c r="A132" t="e" cm="1">
        <f t="array" ref="A132">- instrument numbering</f>
        <v>#NAME?</v>
      </c>
    </row>
    <row r="133" spans="1:1">
      <c r="A133" t="e" cm="1">
        <f t="array" ref="A133">- Volume/page/instrument formatting</f>
        <v>#NAME?</v>
      </c>
    </row>
    <row r="134" spans="1:1">
      <c r="A134" t="s">
        <v>312</v>
      </c>
    </row>
    <row r="135" spans="1:1">
      <c r="A135" t="s">
        <v>313</v>
      </c>
    </row>
    <row r="136" spans="1:1">
      <c r="A136" t="s">
        <v>314</v>
      </c>
    </row>
    <row r="137" spans="1:1">
      <c r="A137" t="e" cm="1">
        <f t="array" ref="A137">- grantor/grantee names</f>
        <v>#NAME?</v>
      </c>
    </row>
    <row r="138" spans="1:1">
      <c r="A138" t="e" cm="1">
        <f t="array" ref="A138">- acreage</f>
        <v>#NAME?</v>
      </c>
    </row>
    <row r="139" spans="1:1">
      <c r="A139" t="e" cm="1">
        <f t="array" ref="A139">- Prior source deed</f>
        <v>#NAME?</v>
      </c>
    </row>
    <row r="140" spans="1:1">
      <c r="A140" t="e" cm="1">
        <f t="array" ref="A140">- legal description</f>
        <v>#NAME?</v>
      </c>
    </row>
    <row r="141" spans="1:1">
      <c r="A141" t="e" cm="1">
        <f t="array" ref="A141">- Reservations/special notes</f>
        <v>#NAME?</v>
      </c>
    </row>
    <row r="142" spans="1:1">
      <c r="A142" t="e" cm="1">
        <f t="array" ref="A142">- Easements/_xleta.ROWS</f>
        <v>#NAME?</v>
      </c>
    </row>
    <row r="143" spans="1:1">
      <c r="A143" t="e" cm="1">
        <f t="array" ref="A143">- Liens/mortgages/deeds of trust</f>
        <v>#NAME?</v>
      </c>
    </row>
    <row r="144" spans="1:1">
      <c r="A144" t="e" cm="1">
        <f t="array" ref="A144">- probate/title-gap references</f>
        <v>#NAME?</v>
      </c>
    </row>
    <row r="145" spans="1:1">
      <c r="A145" t="e" cm="1">
        <f t="array" ref="A145">- Chronological order</f>
        <v>#NAME?</v>
      </c>
    </row>
    <row r="146" spans="1:1">
      <c r="A146" t="e" cm="1">
        <f t="array" ref="A146">- Missing instruments</f>
        <v>#NAME?</v>
      </c>
    </row>
    <row r="148" spans="1:1">
      <c r="A148" t="s">
        <v>315</v>
      </c>
    </row>
    <row r="149" spans="1:1">
      <c r="A149" t="s">
        <v>316</v>
      </c>
    </row>
    <row r="150" spans="1:1">
      <c r="A150" t="s">
        <v>317</v>
      </c>
    </row>
    <row r="151" spans="1:1">
      <c r="A151" t="s">
        <v>318</v>
      </c>
    </row>
    <row r="152" spans="1:1">
      <c r="A152" t="s">
        <v>319</v>
      </c>
    </row>
    <row r="153" spans="1:1">
      <c r="A153" t="s">
        <v>320</v>
      </c>
    </row>
    <row r="155" spans="1:1">
      <c r="A155" t="s">
        <v>321</v>
      </c>
    </row>
    <row r="156" spans="1:1">
      <c r="A156" t="s">
        <v>310</v>
      </c>
    </row>
    <row r="157" spans="1:1">
      <c r="A157" t="e" cm="1">
        <f t="array" ref="A157">- Property description</f>
        <v>#NAME?</v>
      </c>
    </row>
    <row r="158" spans="1:1">
      <c r="A158" t="e" cm="1">
        <f t="array" ref="A158">- owner name/_xleta.ADDRESS</f>
        <v>#NAME?</v>
      </c>
    </row>
    <row r="159" spans="1:1">
      <c r="A159" t="e" cm="1">
        <f t="array" ref="A159">- Interest/net acres</f>
        <v>#NAME?</v>
      </c>
    </row>
    <row r="160" spans="1:1">
      <c r="A160" t="e" cm="1">
        <f t="array" ref="A160">- source deed</f>
        <v>#NAME?</v>
      </c>
    </row>
    <row r="161" spans="1:1">
      <c r="A161" t="e" cm="1">
        <f t="array" ref="A161">- Tax status</f>
        <v>#NAME?</v>
      </c>
    </row>
    <row r="162" spans="1:1">
      <c r="A162" t="e" cm="1">
        <f t="array" ref="A162">- Open Liens/mortgages</f>
        <v>#NAME?</v>
      </c>
    </row>
    <row r="163" spans="1:1">
      <c r="A163" t="e" cm="1">
        <f t="array" ref="A163">- Exclusive Easements</f>
        <v>#NAME?</v>
      </c>
    </row>
    <row r="164" spans="1:1">
      <c r="A164" t="e" cm="1">
        <f t="array" ref="A164">- Blanket Easements</f>
        <v>#NAME?</v>
      </c>
    </row>
    <row r="165" spans="1:1">
      <c r="A165" t="e" cm="1">
        <f t="array" ref="A165">- Surface title notes</f>
        <v>#NAME?</v>
      </c>
    </row>
    <row r="166" spans="1:1">
      <c r="A166" t="s">
        <v>322</v>
      </c>
    </row>
    <row r="167" spans="1:1">
      <c r="A167" t="s">
        <v>323</v>
      </c>
    </row>
    <row r="168" spans="1:1">
      <c r="A168" t="e" cm="1">
        <f t="array" ref="A168">- Disclaimers/certification consistency</f>
        <v>#NAME?</v>
      </c>
    </row>
    <row r="169" spans="1:1">
      <c r="A169" t="e" cm="1">
        <f t="array" ref="A169">- formatting against template/style notes</f>
        <v>#NAME?</v>
      </c>
    </row>
    <row r="171" spans="1:1">
      <c r="A171" t="s">
        <v>324</v>
      </c>
    </row>
    <row r="172" spans="1:1">
      <c r="A172" t="e" cm="1">
        <f t="array" ref="A172">- Verify Current Tax status from Tax/CAD/Tax office sources.</f>
        <v>#NAME?</v>
      </c>
    </row>
    <row r="173" spans="1:1">
      <c r="A173" t="s">
        <v>325</v>
      </c>
    </row>
    <row r="174" spans="1:1">
      <c r="A174" t="s">
        <v>326</v>
      </c>
    </row>
    <row r="176" spans="1:1">
      <c r="A176" t="s">
        <v>327</v>
      </c>
    </row>
    <row r="177" spans="1:1">
      <c r="A177" t="e" cm="1">
        <f t="array" ref="A177">- Only list Exclusive Easements in the Exclusive easement section.</f>
        <v>#NAME?</v>
      </c>
    </row>
    <row r="178" spans="1:1">
      <c r="A178" t="e" cm="1">
        <f t="array" ref="A178">- Only list Blanket Easements in the Blanket easement section.</f>
        <v>#NAME?</v>
      </c>
    </row>
    <row r="179" spans="1:1">
      <c r="A179" t="s">
        <v>328</v>
      </c>
    </row>
    <row r="180" spans="1:1">
      <c r="A180" t="s">
        <v>329</v>
      </c>
    </row>
    <row r="182" spans="1:1">
      <c r="A182" t="s">
        <v>330</v>
      </c>
    </row>
    <row r="183" spans="1:1">
      <c r="A183" t="e" cm="1">
        <f t="array" ref="A183">- add underscores for spaces in output filenames.</f>
        <v>#NAME?</v>
      </c>
    </row>
    <row r="184" spans="1:1">
      <c r="A184" t="s">
        <v>331</v>
      </c>
    </row>
    <row r="185" spans="1:1">
      <c r="A185" t="s">
        <v>332</v>
      </c>
    </row>
    <row r="186" spans="1:1">
      <c r="A186" t="s">
        <v>333</v>
      </c>
    </row>
    <row r="187" spans="1:1">
      <c r="A187" t="s">
        <v>334</v>
      </c>
    </row>
    <row r="188" spans="1:1">
      <c r="A188" t="s">
        <v>335</v>
      </c>
    </row>
    <row r="189" spans="1:1">
      <c r="A189" t="s">
        <v>336</v>
      </c>
    </row>
    <row r="190" spans="1:1">
      <c r="A190" t="s">
        <v>337</v>
      </c>
    </row>
    <row r="191" spans="1:1">
      <c r="A191" t="s">
        <v>338</v>
      </c>
    </row>
    <row r="192" spans="1:1">
      <c r="A192" t="s">
        <v>339</v>
      </c>
    </row>
    <row r="194" spans="1:1">
      <c r="A194" t="s">
        <v>340</v>
      </c>
    </row>
    <row r="195" spans="1:1">
      <c r="A195" t="s">
        <v>341</v>
      </c>
    </row>
    <row r="196" spans="1:1">
      <c r="A196" t="e" cm="1">
        <f t="array" ref="A196">- Yellow highlight = changed/corrected existing content</f>
        <v>#NAME?</v>
      </c>
    </row>
    <row r="197" spans="1:1">
      <c r="A197" t="e" cm="1">
        <f t="array" ref="A197">- Green highlight = newly added content/instrument/_xleta.ROW</f>
        <v>#NAME?</v>
      </c>
    </row>
    <row r="198" spans="1:1">
      <c r="A198" t="s">
        <v>342</v>
      </c>
    </row>
    <row r="199" spans="1:1">
      <c r="A199" t="e" cm="1">
        <f t="array" ref="A199">- Orange highlight = unresolved / needs login / needs County verification</f>
        <v>#NAME?</v>
      </c>
    </row>
    <row r="200" spans="1:1">
      <c r="A200" t="s">
        <v>343</v>
      </c>
    </row>
    <row r="202" spans="1:1">
      <c r="A202" t="s">
        <v>344</v>
      </c>
    </row>
    <row r="203" spans="1:1">
      <c r="A203" t="e" cm="1">
        <f t="array" ref="A203">- File name</f>
        <v>#NAME?</v>
      </c>
    </row>
    <row r="204" spans="1:1">
      <c r="A204" t="e" cm="1">
        <f t="array" aca="1" ref="A204" ca="1">- _xleta.SHEET/page/Section</f>
        <v>#VALUE!</v>
      </c>
    </row>
    <row r="205" spans="1:1">
      <c r="A205" t="e" cm="1">
        <f t="array" aca="1" ref="A205" ca="1">- _xleta.CELL/_xleta.ROW/paragraph</f>
        <v>#VALUE!</v>
      </c>
    </row>
    <row r="206" spans="1:1">
      <c r="A206" t="e" cm="1">
        <f t="array" ref="A206">- Issue found</f>
        <v>#NAME?</v>
      </c>
    </row>
    <row r="207" spans="1:1">
      <c r="A207" t="s">
        <v>345</v>
      </c>
    </row>
    <row r="208" spans="1:1">
      <c r="A208" t="s">
        <v>346</v>
      </c>
    </row>
    <row r="209" spans="1:1">
      <c r="A209" t="e" cm="1">
        <f t="array" ref="A209">- source Document/URL/instrument</f>
        <v>#NAME?</v>
      </c>
    </row>
    <row r="210" spans="1:1">
      <c r="A210" t="s">
        <v>347</v>
      </c>
    </row>
    <row r="211" spans="1:1">
      <c r="A211" t="e" cm="1">
        <f t="array" ref="A211">- Follow-up needed</f>
        <v>#NAME?</v>
      </c>
    </row>
    <row r="213" spans="1:1">
      <c r="A213" t="s">
        <v>348</v>
      </c>
    </row>
    <row r="214" spans="1:1">
      <c r="A214" t="s">
        <v>349</v>
      </c>
    </row>
    <row r="215" spans="1:1">
      <c r="A215" t="s">
        <v>350</v>
      </c>
    </row>
    <row r="216" spans="1:1">
      <c r="A216" t="e" cm="1">
        <f t="array" ref="A216">- grantor</f>
        <v>#NAME?</v>
      </c>
    </row>
    <row r="217" spans="1:1">
      <c r="A217" t="e" cm="1">
        <f t="array" ref="A217">- grantee</f>
        <v>#NAME?</v>
      </c>
    </row>
    <row r="218" spans="1:1">
      <c r="A218" t="e" cm="1">
        <f t="array" ref="A218">- Why it matters</f>
        <v>#NAME?</v>
      </c>
    </row>
    <row r="219" spans="1:1">
      <c r="A219" t="e" cm="1">
        <f t="array" ref="A219">- legal/Property clue</f>
        <v>#NAME?</v>
      </c>
    </row>
    <row r="220" spans="1:1">
      <c r="A220" t="e" cm="1">
        <f t="array" ref="A220">- Sites searched</f>
        <v>#NAME?</v>
      </c>
    </row>
    <row r="221" spans="1:1">
      <c r="A221" t="s">
        <v>351</v>
      </c>
    </row>
    <row r="222" spans="1:1">
      <c r="A222" t="s">
        <v>352</v>
      </c>
    </row>
    <row r="223" spans="1:1">
      <c r="A223" t="s">
        <v>353</v>
      </c>
    </row>
    <row r="224" spans="1:1">
      <c r="A224" t="e" cm="1">
        <f t="array" ref="A224">- Next action</f>
        <v>#NAME?</v>
      </c>
    </row>
    <row r="226" spans="1:1">
      <c r="A226" t="s">
        <v>354</v>
      </c>
    </row>
    <row r="227" spans="1:1">
      <c r="A227" t="s">
        <v>355</v>
      </c>
    </row>
    <row r="228" spans="1:1">
      <c r="A228" t="s">
        <v>356</v>
      </c>
    </row>
    <row r="229" spans="1:1">
      <c r="A229" t="s">
        <v>357</v>
      </c>
    </row>
    <row r="230" spans="1:1">
      <c r="A230" t="e" cm="1">
        <f t="array" ref="A230">- add it to the research packet.</f>
        <v>#NAME?</v>
      </c>
    </row>
    <row r="231" spans="1:1">
      <c r="A231" t="s">
        <v>358</v>
      </c>
    </row>
    <row r="233" spans="1:1">
      <c r="A233" t="s">
        <v>359</v>
      </c>
    </row>
    <row r="234" spans="1:1">
      <c r="A234" t="s">
        <v>360</v>
      </c>
    </row>
    <row r="235" spans="1:1">
      <c r="A235" t="s">
        <v>361</v>
      </c>
    </row>
    <row r="236" spans="1:1">
      <c r="A236" t="s">
        <v>362</v>
      </c>
    </row>
    <row r="238" spans="1:1">
      <c r="A238" t="s">
        <v>363</v>
      </c>
    </row>
    <row r="239" spans="1:1">
      <c r="A239" t="s">
        <v>364</v>
      </c>
    </row>
    <row r="240" spans="1:1">
      <c r="A240" t="s">
        <v>365</v>
      </c>
    </row>
    <row r="241" spans="1:1">
      <c r="A241" t="s">
        <v>366</v>
      </c>
    </row>
    <row r="242" spans="1:1">
      <c r="A242" t="e" cm="1">
        <f t="array" ref="A242">- add probate/title-gap notes Only when Relevant to the subject chain.</f>
        <v>#NAME?</v>
      </c>
    </row>
    <row r="243" spans="1:1">
      <c r="A243" t="s">
        <v>367</v>
      </c>
    </row>
    <row r="245" spans="1:1">
      <c r="A245" t="s">
        <v>368</v>
      </c>
    </row>
    <row r="246" spans="1:1">
      <c r="A246" t="s">
        <v>369</v>
      </c>
    </row>
    <row r="247" spans="1:1">
      <c r="A247" t="s">
        <v>370</v>
      </c>
    </row>
    <row r="248" spans="1:1">
      <c r="A248" t="s">
        <v>371</v>
      </c>
    </row>
    <row r="249" spans="1:1">
      <c r="A249" t="s">
        <v>372</v>
      </c>
    </row>
    <row r="250" spans="1:1">
      <c r="A250" t="s">
        <v>373</v>
      </c>
    </row>
    <row r="251" spans="1:1">
      <c r="A251" t="s">
        <v>374</v>
      </c>
    </row>
    <row r="252" spans="1:1">
      <c r="A252" t="s">
        <v>375</v>
      </c>
    </row>
    <row r="253" spans="1:1">
      <c r="A253" t="s">
        <v>376</v>
      </c>
    </row>
    <row r="254" spans="1:1">
      <c r="A254" t="s">
        <v>377</v>
      </c>
    </row>
    <row r="255" spans="1:1">
      <c r="A255" t="s">
        <v>378</v>
      </c>
    </row>
    <row r="256" spans="1:1">
      <c r="A256" t="s">
        <v>379</v>
      </c>
    </row>
    <row r="258" spans="1:1">
      <c r="A258" t="s">
        <v>380</v>
      </c>
    </row>
    <row r="259" spans="1:1">
      <c r="A259" t="s">
        <v>381</v>
      </c>
    </row>
    <row r="260" spans="1:1">
      <c r="A260" t="s">
        <v>382</v>
      </c>
    </row>
    <row r="261" spans="1:1">
      <c r="A261" t="s">
        <v>383</v>
      </c>
    </row>
    <row r="262" spans="1:1">
      <c r="A262" t="s">
        <v>384</v>
      </c>
    </row>
    <row r="263" spans="1:1">
      <c r="A263" t="s">
        <v>385</v>
      </c>
    </row>
    <row r="264" spans="1:1">
      <c r="A264" t="s">
        <v>386</v>
      </c>
    </row>
    <row r="265" spans="1:1">
      <c r="A265" t="s">
        <v>387</v>
      </c>
    </row>
    <row r="266" spans="1:1">
      <c r="A266" t="s">
        <v>388</v>
      </c>
    </row>
    <row r="267" spans="1:1">
      <c r="A267" t="s">
        <v>389</v>
      </c>
    </row>
    <row r="268" spans="1:1">
      <c r="A268" t="s">
        <v>390</v>
      </c>
    </row>
    <row r="269" spans="1:1">
      <c r="A269" t="s">
        <v>391</v>
      </c>
    </row>
    <row r="270" spans="1:1">
      <c r="A270" t="s">
        <v>392</v>
      </c>
    </row>
    <row r="271" spans="1:1">
      <c r="A271" t="s">
        <v>393</v>
      </c>
    </row>
    <row r="272" spans="1:1">
      <c r="A272" t="s">
        <v>394</v>
      </c>
    </row>
    <row r="273" spans="1:1">
      <c r="A273" t="s">
        <v>395</v>
      </c>
    </row>
    <row r="274" spans="1:1">
      <c r="A274" t="s">
        <v>396</v>
      </c>
    </row>
    <row r="276" spans="1:1">
      <c r="A276" t="s">
        <v>397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Sheet10</vt:lpstr>
      <vt:lpstr>Sheet9</vt:lpstr>
      <vt:lpstr>todo</vt:lpstr>
      <vt:lpstr>links</vt:lpstr>
      <vt:lpstr>emails</vt:lpstr>
      <vt:lpstr>prompts</vt:lpstr>
      <vt:lpstr>Sheet2</vt:lpstr>
      <vt:lpstr>Sheet1</vt:lpstr>
      <vt:lpstr>Sheet4</vt:lpstr>
      <vt:lpstr>Sheet6</vt:lpstr>
      <vt:lpstr>Sheet7</vt:lpstr>
      <vt:lpstr>Sheet8</vt:lpstr>
      <vt:lpstr>notes</vt:lpstr>
      <vt:lpstr>Sheet3</vt:lpstr>
      <vt:lpstr>Sheet5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 Gille</dc:creator>
  <cp:lastModifiedBy>Ryan Gille</cp:lastModifiedBy>
  <dcterms:created xsi:type="dcterms:W3CDTF">2026-04-08T13:57:22Z</dcterms:created>
  <dcterms:modified xsi:type="dcterms:W3CDTF">2026-06-08T00:49:26Z</dcterms:modified>
</cp:coreProperties>
</file>